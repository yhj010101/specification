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jpg" ContentType="image/jpeg"/>
  <Default Extension="png" ContentType="image/png"/>
  <Default Extension="rels" ContentType="application/vnd.openxmlformats-package.relationships+xml"/>
  <Default Extension="svg" ContentType="image/svg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827" codeName="{0730EB3F-75F1-03CD-C966-41DC9FD4AD36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work\"/>
    </mc:Choice>
  </mc:AlternateContent>
  <xr:revisionPtr revIDLastSave="0" documentId="13_ncr:1_{0EB6C468-33DF-45C7-9B21-394B6A160AB4}" xr6:coauthVersionLast="47" xr6:coauthVersionMax="47" xr10:uidLastSave="{00000000-0000-0000-0000-000000000000}"/>
  <bookViews>
    <workbookView xWindow="-120" yWindow="-120" windowWidth="29040" windowHeight="15840" tabRatio="716" xr2:uid="{17F36E22-0BD4-4C4C-A7DC-D6B626B4DE69}"/>
  </bookViews>
  <sheets>
    <sheet name="Home" sheetId="35" r:id="rId1"/>
    <sheet name="경비처리" sheetId="47" r:id="rId2"/>
    <sheet name="거래명세서" sheetId="53" r:id="rId3"/>
    <sheet name="주문data" sheetId="52" state="hidden" r:id="rId4"/>
    <sheet name="주문" sheetId="19" state="hidden" r:id="rId5"/>
    <sheet name="Login" sheetId="46" state="hidden" r:id="rId6"/>
    <sheet name="주문_리스트" sheetId="18" r:id="rId7"/>
    <sheet name="BTS_매출관리" sheetId="33" r:id="rId8"/>
    <sheet name="FastGarage" sheetId="54" r:id="rId9"/>
    <sheet name="FastGarage_매출관리" sheetId="55" r:id="rId10"/>
    <sheet name="식비구분" sheetId="51" state="hidden" r:id="rId11"/>
    <sheet name="거래명세서_NEW" sheetId="11" state="hidden" r:id="rId12"/>
    <sheet name="Sheet1" sheetId="26" state="veryHidden" r:id="rId13"/>
    <sheet name="거래내역서" sheetId="34" r:id="rId14"/>
    <sheet name="거래처" sheetId="4" r:id="rId15"/>
    <sheet name="Sheet2" sheetId="27" state="veryHidden" r:id="rId16"/>
    <sheet name="temp" sheetId="30" state="veryHidden" r:id="rId17"/>
    <sheet name="매출" sheetId="32" state="hidden" r:id="rId18"/>
    <sheet name="제품" sheetId="1" r:id="rId19"/>
    <sheet name="재고" sheetId="5" state="hidden" r:id="rId20"/>
    <sheet name="Sheet3" sheetId="28" state="veryHidden" r:id="rId21"/>
    <sheet name="배송" sheetId="14" state="veryHidden" r:id="rId22"/>
    <sheet name="구분" sheetId="13" state="hidden" r:id="rId23"/>
    <sheet name="제품구분" sheetId="10" state="hidden" r:id="rId24"/>
    <sheet name="단위" sheetId="9" state="veryHidden" r:id="rId25"/>
    <sheet name="프로모션" sheetId="12" state="veryHidden" r:id="rId26"/>
    <sheet name="경동택배" sheetId="20" state="veryHidden" r:id="rId27"/>
    <sheet name="Sheet4" sheetId="29" state="veryHidden" r:id="rId28"/>
    <sheet name="로그인 기록" sheetId="23" state="veryHidden" r:id="rId29"/>
    <sheet name="재고관리" sheetId="6" state="hidden" r:id="rId30"/>
    <sheet name="Sheet6" sheetId="40" r:id="rId31"/>
    <sheet name="Sheet7" sheetId="49" r:id="rId32"/>
    <sheet name="업무일지" sheetId="38" state="hidden" r:id="rId33"/>
  </sheets>
  <functionGroups builtInGroupCount="19">
    <functionGroup name="Commands"/>
  </functionGroups>
  <definedNames>
    <definedName name="_xlnm._FilterDatabase" localSheetId="7" hidden="1">BTS_매출관리!$A$8:$P$179</definedName>
    <definedName name="_xlnm._FilterDatabase" localSheetId="14" hidden="1">거래처!$A$1:$J$220</definedName>
    <definedName name="_xlnm._FilterDatabase" localSheetId="19" hidden="1">재고!$A$1:$I$1</definedName>
    <definedName name="_xlnm._FilterDatabase" localSheetId="29" hidden="1">재고관리!$H$4:$R$7</definedName>
    <definedName name="_xlnm._FilterDatabase" localSheetId="4" hidden="1">주문!$A$15:$J$25</definedName>
    <definedName name="_xlnm._FilterDatabase" localSheetId="6" hidden="1">주문_리스트!$A$1:$K$622</definedName>
    <definedName name="_xlnm.Print_Area" localSheetId="2">거래명세서!$A$1:$U$44</definedName>
    <definedName name="_xlnm.Print_Area" localSheetId="11">거래명세서_NEW!$A$1:$U$44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I41" i="4" l="1"/>
  <c r="I38" i="4"/>
  <c r="I3" i="4"/>
  <c r="I120" i="4"/>
  <c r="I46" i="4"/>
  <c r="C25" i="53"/>
  <c r="T25" i="53"/>
  <c r="S24" i="53"/>
  <c r="A5" i="55"/>
  <c r="G4" i="55"/>
  <c r="A4" i="55"/>
  <c r="G3" i="55"/>
  <c r="E3" i="55"/>
  <c r="C3" i="55"/>
  <c r="L147" i="54"/>
  <c r="J146" i="54"/>
  <c r="K146" i="54" s="1"/>
  <c r="G146" i="54"/>
  <c r="H146" i="54" s="1"/>
  <c r="I146" i="54" s="1"/>
  <c r="J145" i="54"/>
  <c r="G145" i="54"/>
  <c r="H145" i="54" s="1"/>
  <c r="I145" i="54" s="1"/>
  <c r="J144" i="54"/>
  <c r="G144" i="54"/>
  <c r="H144" i="54" s="1"/>
  <c r="I144" i="54" s="1"/>
  <c r="J143" i="54"/>
  <c r="G143" i="54"/>
  <c r="H143" i="54" s="1"/>
  <c r="I143" i="54" s="1"/>
  <c r="J142" i="54"/>
  <c r="G142" i="54"/>
  <c r="H142" i="54" s="1"/>
  <c r="I142" i="54" s="1"/>
  <c r="J141" i="54"/>
  <c r="G141" i="54"/>
  <c r="H141" i="54" s="1"/>
  <c r="I141" i="54" s="1"/>
  <c r="J140" i="54"/>
  <c r="K140" i="54" s="1"/>
  <c r="G140" i="54"/>
  <c r="H140" i="54" s="1"/>
  <c r="I140" i="54" s="1"/>
  <c r="J139" i="54"/>
  <c r="G139" i="54"/>
  <c r="H139" i="54" s="1"/>
  <c r="I139" i="54" s="1"/>
  <c r="J138" i="54"/>
  <c r="G138" i="54"/>
  <c r="H138" i="54" s="1"/>
  <c r="I138" i="54" s="1"/>
  <c r="J137" i="54"/>
  <c r="G137" i="54"/>
  <c r="H137" i="54" s="1"/>
  <c r="I137" i="54" s="1"/>
  <c r="J136" i="54"/>
  <c r="G136" i="54"/>
  <c r="H136" i="54" s="1"/>
  <c r="I136" i="54" s="1"/>
  <c r="J135" i="54"/>
  <c r="G135" i="54"/>
  <c r="H135" i="54" s="1"/>
  <c r="I135" i="54" s="1"/>
  <c r="J134" i="54"/>
  <c r="K134" i="54" s="1"/>
  <c r="G134" i="54"/>
  <c r="H134" i="54" s="1"/>
  <c r="I134" i="54" s="1"/>
  <c r="J133" i="54"/>
  <c r="G133" i="54"/>
  <c r="H133" i="54" s="1"/>
  <c r="I133" i="54" s="1"/>
  <c r="J132" i="54"/>
  <c r="G132" i="54"/>
  <c r="H132" i="54" s="1"/>
  <c r="I132" i="54" s="1"/>
  <c r="J131" i="54"/>
  <c r="G131" i="54"/>
  <c r="H131" i="54" s="1"/>
  <c r="I131" i="54" s="1"/>
  <c r="J130" i="54"/>
  <c r="G130" i="54"/>
  <c r="H130" i="54" s="1"/>
  <c r="I130" i="54" s="1"/>
  <c r="J129" i="54"/>
  <c r="G129" i="54"/>
  <c r="H129" i="54" s="1"/>
  <c r="I129" i="54" s="1"/>
  <c r="J128" i="54"/>
  <c r="K128" i="54" s="1"/>
  <c r="G128" i="54"/>
  <c r="H128" i="54" s="1"/>
  <c r="I128" i="54" s="1"/>
  <c r="J127" i="54"/>
  <c r="G127" i="54"/>
  <c r="H127" i="54" s="1"/>
  <c r="I127" i="54" s="1"/>
  <c r="J126" i="54"/>
  <c r="G126" i="54"/>
  <c r="H126" i="54" s="1"/>
  <c r="I126" i="54" s="1"/>
  <c r="J125" i="54"/>
  <c r="G125" i="54"/>
  <c r="H125" i="54" s="1"/>
  <c r="I125" i="54" s="1"/>
  <c r="J124" i="54"/>
  <c r="G124" i="54"/>
  <c r="H124" i="54" s="1"/>
  <c r="I124" i="54" s="1"/>
  <c r="J123" i="54"/>
  <c r="G123" i="54"/>
  <c r="H123" i="54" s="1"/>
  <c r="I123" i="54" s="1"/>
  <c r="J122" i="54"/>
  <c r="K122" i="54" s="1"/>
  <c r="G122" i="54"/>
  <c r="H122" i="54" s="1"/>
  <c r="I122" i="54" s="1"/>
  <c r="J121" i="54"/>
  <c r="G121" i="54"/>
  <c r="H121" i="54" s="1"/>
  <c r="I121" i="54" s="1"/>
  <c r="J120" i="54"/>
  <c r="G120" i="54"/>
  <c r="H120" i="54" s="1"/>
  <c r="I120" i="54" s="1"/>
  <c r="J119" i="54"/>
  <c r="G119" i="54"/>
  <c r="H119" i="54" s="1"/>
  <c r="I119" i="54" s="1"/>
  <c r="J118" i="54"/>
  <c r="G118" i="54"/>
  <c r="H118" i="54" s="1"/>
  <c r="I118" i="54" s="1"/>
  <c r="J117" i="54"/>
  <c r="H117" i="54"/>
  <c r="I117" i="54" s="1"/>
  <c r="G117" i="54"/>
  <c r="J116" i="54"/>
  <c r="K116" i="54" s="1"/>
  <c r="G116" i="54"/>
  <c r="H116" i="54" s="1"/>
  <c r="I116" i="54" s="1"/>
  <c r="J115" i="54"/>
  <c r="G115" i="54"/>
  <c r="H115" i="54" s="1"/>
  <c r="I115" i="54" s="1"/>
  <c r="J114" i="54"/>
  <c r="G114" i="54"/>
  <c r="H114" i="54" s="1"/>
  <c r="I114" i="54" s="1"/>
  <c r="J113" i="54"/>
  <c r="G113" i="54"/>
  <c r="H113" i="54" s="1"/>
  <c r="I113" i="54" s="1"/>
  <c r="J112" i="54"/>
  <c r="G112" i="54"/>
  <c r="H112" i="54" s="1"/>
  <c r="I112" i="54" s="1"/>
  <c r="J111" i="54"/>
  <c r="G111" i="54"/>
  <c r="H111" i="54" s="1"/>
  <c r="I111" i="54" s="1"/>
  <c r="K110" i="54"/>
  <c r="J110" i="54"/>
  <c r="G110" i="54"/>
  <c r="H110" i="54" s="1"/>
  <c r="I110" i="54" s="1"/>
  <c r="J109" i="54"/>
  <c r="G109" i="54"/>
  <c r="H109" i="54" s="1"/>
  <c r="I109" i="54" s="1"/>
  <c r="J108" i="54"/>
  <c r="G108" i="54"/>
  <c r="H108" i="54" s="1"/>
  <c r="I108" i="54" s="1"/>
  <c r="J107" i="54"/>
  <c r="G107" i="54"/>
  <c r="H107" i="54" s="1"/>
  <c r="I107" i="54" s="1"/>
  <c r="J106" i="54"/>
  <c r="G106" i="54"/>
  <c r="H106" i="54" s="1"/>
  <c r="I106" i="54" s="1"/>
  <c r="J105" i="54"/>
  <c r="G105" i="54"/>
  <c r="H105" i="54" s="1"/>
  <c r="I105" i="54" s="1"/>
  <c r="J104" i="54"/>
  <c r="K104" i="54" s="1"/>
  <c r="G104" i="54"/>
  <c r="H104" i="54" s="1"/>
  <c r="I104" i="54" s="1"/>
  <c r="J103" i="54"/>
  <c r="G103" i="54"/>
  <c r="H103" i="54" s="1"/>
  <c r="I103" i="54" s="1"/>
  <c r="J102" i="54"/>
  <c r="H102" i="54"/>
  <c r="I102" i="54" s="1"/>
  <c r="G102" i="54"/>
  <c r="J101" i="54"/>
  <c r="G101" i="54"/>
  <c r="H101" i="54" s="1"/>
  <c r="I101" i="54" s="1"/>
  <c r="J100" i="54"/>
  <c r="G100" i="54"/>
  <c r="H100" i="54" s="1"/>
  <c r="I100" i="54" s="1"/>
  <c r="J99" i="54"/>
  <c r="G99" i="54"/>
  <c r="H99" i="54" s="1"/>
  <c r="I99" i="54" s="1"/>
  <c r="J98" i="54"/>
  <c r="K98" i="54" s="1"/>
  <c r="G98" i="54"/>
  <c r="H98" i="54" s="1"/>
  <c r="I98" i="54" s="1"/>
  <c r="J97" i="54"/>
  <c r="G97" i="54"/>
  <c r="H97" i="54" s="1"/>
  <c r="I97" i="54" s="1"/>
  <c r="J96" i="54"/>
  <c r="G96" i="54"/>
  <c r="H96" i="54" s="1"/>
  <c r="I96" i="54" s="1"/>
  <c r="J95" i="54"/>
  <c r="G95" i="54"/>
  <c r="H95" i="54" s="1"/>
  <c r="I95" i="54" s="1"/>
  <c r="J94" i="54"/>
  <c r="G94" i="54"/>
  <c r="H94" i="54" s="1"/>
  <c r="I94" i="54" s="1"/>
  <c r="J93" i="54"/>
  <c r="G93" i="54"/>
  <c r="H93" i="54" s="1"/>
  <c r="I93" i="54" s="1"/>
  <c r="J92" i="54"/>
  <c r="K92" i="54" s="1"/>
  <c r="G92" i="54"/>
  <c r="H92" i="54" s="1"/>
  <c r="I92" i="54" s="1"/>
  <c r="J91" i="54"/>
  <c r="G91" i="54"/>
  <c r="H91" i="54" s="1"/>
  <c r="I91" i="54" s="1"/>
  <c r="J90" i="54"/>
  <c r="G90" i="54"/>
  <c r="H90" i="54" s="1"/>
  <c r="I90" i="54" s="1"/>
  <c r="J89" i="54"/>
  <c r="H89" i="54"/>
  <c r="I89" i="54" s="1"/>
  <c r="G89" i="54"/>
  <c r="J88" i="54"/>
  <c r="G88" i="54"/>
  <c r="H88" i="54" s="1"/>
  <c r="I88" i="54" s="1"/>
  <c r="J87" i="54"/>
  <c r="G87" i="54"/>
  <c r="H87" i="54" s="1"/>
  <c r="I87" i="54" s="1"/>
  <c r="J86" i="54"/>
  <c r="K86" i="54" s="1"/>
  <c r="G86" i="54"/>
  <c r="H86" i="54" s="1"/>
  <c r="I86" i="54" s="1"/>
  <c r="J85" i="54"/>
  <c r="G85" i="54"/>
  <c r="H85" i="54" s="1"/>
  <c r="I85" i="54" s="1"/>
  <c r="J84" i="54"/>
  <c r="G84" i="54"/>
  <c r="H84" i="54" s="1"/>
  <c r="I84" i="54" s="1"/>
  <c r="J83" i="54"/>
  <c r="G83" i="54"/>
  <c r="H83" i="54" s="1"/>
  <c r="I83" i="54" s="1"/>
  <c r="J82" i="54"/>
  <c r="G82" i="54"/>
  <c r="H82" i="54" s="1"/>
  <c r="I82" i="54" s="1"/>
  <c r="J81" i="54"/>
  <c r="G81" i="54"/>
  <c r="H81" i="54" s="1"/>
  <c r="I81" i="54" s="1"/>
  <c r="J80" i="54"/>
  <c r="K80" i="54" s="1"/>
  <c r="G80" i="54"/>
  <c r="H80" i="54" s="1"/>
  <c r="I80" i="54" s="1"/>
  <c r="J79" i="54"/>
  <c r="G79" i="54"/>
  <c r="H79" i="54" s="1"/>
  <c r="I79" i="54" s="1"/>
  <c r="J78" i="54"/>
  <c r="G78" i="54"/>
  <c r="H78" i="54" s="1"/>
  <c r="I78" i="54" s="1"/>
  <c r="J77" i="54"/>
  <c r="G77" i="54"/>
  <c r="H77" i="54" s="1"/>
  <c r="I77" i="54" s="1"/>
  <c r="J76" i="54"/>
  <c r="G76" i="54"/>
  <c r="H76" i="54" s="1"/>
  <c r="I76" i="54" s="1"/>
  <c r="J75" i="54"/>
  <c r="G75" i="54"/>
  <c r="H75" i="54" s="1"/>
  <c r="I75" i="54" s="1"/>
  <c r="K74" i="54"/>
  <c r="J74" i="54"/>
  <c r="G74" i="54"/>
  <c r="H74" i="54" s="1"/>
  <c r="I74" i="54" s="1"/>
  <c r="J73" i="54"/>
  <c r="G73" i="54"/>
  <c r="H73" i="54" s="1"/>
  <c r="I73" i="54" s="1"/>
  <c r="J72" i="54"/>
  <c r="G72" i="54"/>
  <c r="H72" i="54" s="1"/>
  <c r="I72" i="54" s="1"/>
  <c r="J71" i="54"/>
  <c r="G71" i="54"/>
  <c r="H71" i="54" s="1"/>
  <c r="I71" i="54" s="1"/>
  <c r="J70" i="54"/>
  <c r="G70" i="54"/>
  <c r="H70" i="54" s="1"/>
  <c r="I70" i="54" s="1"/>
  <c r="J69" i="54"/>
  <c r="G69" i="54"/>
  <c r="H69" i="54" s="1"/>
  <c r="I69" i="54" s="1"/>
  <c r="J68" i="54"/>
  <c r="K68" i="54" s="1"/>
  <c r="G68" i="54"/>
  <c r="H68" i="54" s="1"/>
  <c r="I68" i="54" s="1"/>
  <c r="J67" i="54"/>
  <c r="G67" i="54"/>
  <c r="H67" i="54" s="1"/>
  <c r="I67" i="54" s="1"/>
  <c r="J66" i="54"/>
  <c r="G66" i="54"/>
  <c r="H66" i="54" s="1"/>
  <c r="I66" i="54" s="1"/>
  <c r="J65" i="54"/>
  <c r="G65" i="54"/>
  <c r="H65" i="54" s="1"/>
  <c r="I65" i="54" s="1"/>
  <c r="J64" i="54"/>
  <c r="G64" i="54"/>
  <c r="H64" i="54" s="1"/>
  <c r="I64" i="54" s="1"/>
  <c r="J63" i="54"/>
  <c r="G63" i="54"/>
  <c r="H63" i="54" s="1"/>
  <c r="I63" i="54" s="1"/>
  <c r="J62" i="54"/>
  <c r="K62" i="54" s="1"/>
  <c r="G62" i="54"/>
  <c r="H62" i="54" s="1"/>
  <c r="I62" i="54" s="1"/>
  <c r="J61" i="54"/>
  <c r="G61" i="54"/>
  <c r="H61" i="54" s="1"/>
  <c r="I61" i="54" s="1"/>
  <c r="J60" i="54"/>
  <c r="G60" i="54"/>
  <c r="H60" i="54" s="1"/>
  <c r="I60" i="54" s="1"/>
  <c r="J59" i="54"/>
  <c r="G59" i="54"/>
  <c r="H59" i="54" s="1"/>
  <c r="I59" i="54" s="1"/>
  <c r="J58" i="54"/>
  <c r="G58" i="54"/>
  <c r="H58" i="54" s="1"/>
  <c r="I58" i="54" s="1"/>
  <c r="J57" i="54"/>
  <c r="G57" i="54"/>
  <c r="H57" i="54" s="1"/>
  <c r="I57" i="54" s="1"/>
  <c r="J56" i="54"/>
  <c r="K56" i="54" s="1"/>
  <c r="G56" i="54"/>
  <c r="H56" i="54" s="1"/>
  <c r="I56" i="54" s="1"/>
  <c r="J55" i="54"/>
  <c r="G55" i="54"/>
  <c r="H55" i="54" s="1"/>
  <c r="I55" i="54" s="1"/>
  <c r="J54" i="54"/>
  <c r="G54" i="54"/>
  <c r="H54" i="54" s="1"/>
  <c r="I54" i="54" s="1"/>
  <c r="J53" i="54"/>
  <c r="G53" i="54"/>
  <c r="H53" i="54" s="1"/>
  <c r="I53" i="54" s="1"/>
  <c r="J52" i="54"/>
  <c r="G52" i="54"/>
  <c r="H52" i="54" s="1"/>
  <c r="I52" i="54" s="1"/>
  <c r="J51" i="54"/>
  <c r="G51" i="54"/>
  <c r="H51" i="54" s="1"/>
  <c r="I51" i="54" s="1"/>
  <c r="J50" i="54"/>
  <c r="G50" i="54"/>
  <c r="H50" i="54" s="1"/>
  <c r="I50" i="54" s="1"/>
  <c r="J49" i="54"/>
  <c r="G49" i="54"/>
  <c r="H49" i="54" s="1"/>
  <c r="I49" i="54" s="1"/>
  <c r="J48" i="54"/>
  <c r="K48" i="54" s="1"/>
  <c r="G48" i="54"/>
  <c r="H48" i="54" s="1"/>
  <c r="I48" i="54" s="1"/>
  <c r="J47" i="54"/>
  <c r="K47" i="54" s="1"/>
  <c r="G47" i="54"/>
  <c r="H47" i="54" s="1"/>
  <c r="I47" i="54" s="1"/>
  <c r="J46" i="54"/>
  <c r="K46" i="54" s="1"/>
  <c r="G46" i="54"/>
  <c r="H46" i="54" s="1"/>
  <c r="I46" i="54" s="1"/>
  <c r="J45" i="54"/>
  <c r="K45" i="54" s="1"/>
  <c r="G45" i="54"/>
  <c r="H45" i="54" s="1"/>
  <c r="I45" i="54" s="1"/>
  <c r="J44" i="54"/>
  <c r="K44" i="54" s="1"/>
  <c r="G44" i="54"/>
  <c r="H44" i="54" s="1"/>
  <c r="I44" i="54" s="1"/>
  <c r="J43" i="54"/>
  <c r="K43" i="54" s="1"/>
  <c r="G43" i="54"/>
  <c r="H43" i="54" s="1"/>
  <c r="I43" i="54" s="1"/>
  <c r="J42" i="54"/>
  <c r="K42" i="54" s="1"/>
  <c r="G42" i="54"/>
  <c r="H42" i="54" s="1"/>
  <c r="I42" i="54" s="1"/>
  <c r="J41" i="54"/>
  <c r="K41" i="54" s="1"/>
  <c r="G41" i="54"/>
  <c r="H41" i="54" s="1"/>
  <c r="I41" i="54" s="1"/>
  <c r="J40" i="54"/>
  <c r="K40" i="54" s="1"/>
  <c r="G40" i="54"/>
  <c r="H40" i="54" s="1"/>
  <c r="I40" i="54" s="1"/>
  <c r="J39" i="54"/>
  <c r="K39" i="54" s="1"/>
  <c r="G39" i="54"/>
  <c r="H39" i="54" s="1"/>
  <c r="I39" i="54" s="1"/>
  <c r="J38" i="54"/>
  <c r="K38" i="54" s="1"/>
  <c r="G38" i="54"/>
  <c r="H38" i="54" s="1"/>
  <c r="I38" i="54" s="1"/>
  <c r="J37" i="54"/>
  <c r="K37" i="54" s="1"/>
  <c r="G37" i="54"/>
  <c r="H37" i="54" s="1"/>
  <c r="I37" i="54" s="1"/>
  <c r="J36" i="54"/>
  <c r="K36" i="54" s="1"/>
  <c r="G36" i="54"/>
  <c r="H36" i="54" s="1"/>
  <c r="I36" i="54" s="1"/>
  <c r="J35" i="54"/>
  <c r="K35" i="54" s="1"/>
  <c r="G35" i="54"/>
  <c r="H35" i="54" s="1"/>
  <c r="I35" i="54" s="1"/>
  <c r="J34" i="54"/>
  <c r="K34" i="54" s="1"/>
  <c r="G34" i="54"/>
  <c r="H34" i="54" s="1"/>
  <c r="I34" i="54" s="1"/>
  <c r="J33" i="54"/>
  <c r="K33" i="54" s="1"/>
  <c r="G33" i="54"/>
  <c r="H33" i="54" s="1"/>
  <c r="I33" i="54" s="1"/>
  <c r="J32" i="54"/>
  <c r="K32" i="54" s="1"/>
  <c r="G32" i="54"/>
  <c r="H32" i="54" s="1"/>
  <c r="I32" i="54" s="1"/>
  <c r="J31" i="54"/>
  <c r="K31" i="54" s="1"/>
  <c r="G31" i="54"/>
  <c r="H31" i="54" s="1"/>
  <c r="I31" i="54" s="1"/>
  <c r="J30" i="54"/>
  <c r="K30" i="54" s="1"/>
  <c r="G30" i="54"/>
  <c r="H30" i="54" s="1"/>
  <c r="I30" i="54" s="1"/>
  <c r="J29" i="54"/>
  <c r="K29" i="54" s="1"/>
  <c r="G29" i="54"/>
  <c r="H29" i="54" s="1"/>
  <c r="I29" i="54" s="1"/>
  <c r="J28" i="54"/>
  <c r="K28" i="54" s="1"/>
  <c r="G28" i="54"/>
  <c r="H28" i="54" s="1"/>
  <c r="I28" i="54" s="1"/>
  <c r="J27" i="54"/>
  <c r="K27" i="54" s="1"/>
  <c r="G27" i="54"/>
  <c r="H27" i="54" s="1"/>
  <c r="I27" i="54" s="1"/>
  <c r="J26" i="54"/>
  <c r="K26" i="54" s="1"/>
  <c r="G26" i="54"/>
  <c r="H26" i="54" s="1"/>
  <c r="I26" i="54" s="1"/>
  <c r="J25" i="54"/>
  <c r="K25" i="54" s="1"/>
  <c r="G25" i="54"/>
  <c r="H25" i="54" s="1"/>
  <c r="I25" i="54" s="1"/>
  <c r="K24" i="54"/>
  <c r="J24" i="54"/>
  <c r="G24" i="54"/>
  <c r="H24" i="54" s="1"/>
  <c r="I24" i="54" s="1"/>
  <c r="J23" i="54"/>
  <c r="K23" i="54" s="1"/>
  <c r="G23" i="54"/>
  <c r="H23" i="54" s="1"/>
  <c r="I23" i="54" s="1"/>
  <c r="J22" i="54"/>
  <c r="K22" i="54" s="1"/>
  <c r="G22" i="54"/>
  <c r="H22" i="54" s="1"/>
  <c r="I22" i="54" s="1"/>
  <c r="J21" i="54"/>
  <c r="K21" i="54" s="1"/>
  <c r="G21" i="54"/>
  <c r="H21" i="54" s="1"/>
  <c r="I21" i="54" s="1"/>
  <c r="J20" i="54"/>
  <c r="K20" i="54" s="1"/>
  <c r="G20" i="54"/>
  <c r="H20" i="54" s="1"/>
  <c r="I20" i="54" s="1"/>
  <c r="J19" i="54"/>
  <c r="K19" i="54" s="1"/>
  <c r="G19" i="54"/>
  <c r="H19" i="54" s="1"/>
  <c r="I19" i="54" s="1"/>
  <c r="J18" i="54"/>
  <c r="K18" i="54" s="1"/>
  <c r="G18" i="54"/>
  <c r="H18" i="54" s="1"/>
  <c r="I18" i="54" s="1"/>
  <c r="J17" i="54"/>
  <c r="K17" i="54" s="1"/>
  <c r="G17" i="54"/>
  <c r="H17" i="54" s="1"/>
  <c r="I17" i="54" s="1"/>
  <c r="J16" i="54"/>
  <c r="K16" i="54" s="1"/>
  <c r="G16" i="54"/>
  <c r="H16" i="54" s="1"/>
  <c r="I16" i="54" s="1"/>
  <c r="J15" i="54"/>
  <c r="K15" i="54" s="1"/>
  <c r="G15" i="54"/>
  <c r="H15" i="54" s="1"/>
  <c r="I15" i="54" s="1"/>
  <c r="J14" i="54"/>
  <c r="K14" i="54" s="1"/>
  <c r="G14" i="54"/>
  <c r="H14" i="54" s="1"/>
  <c r="I14" i="54" s="1"/>
  <c r="J13" i="54"/>
  <c r="K13" i="54" s="1"/>
  <c r="G13" i="54"/>
  <c r="H13" i="54" s="1"/>
  <c r="I13" i="54" s="1"/>
  <c r="J12" i="54"/>
  <c r="K12" i="54" s="1"/>
  <c r="G12" i="54"/>
  <c r="H12" i="54" s="1"/>
  <c r="I12" i="54" s="1"/>
  <c r="J11" i="54"/>
  <c r="K11" i="54" s="1"/>
  <c r="G11" i="54"/>
  <c r="H11" i="54" s="1"/>
  <c r="I11" i="54" s="1"/>
  <c r="J10" i="54"/>
  <c r="K10" i="54" s="1"/>
  <c r="G10" i="54"/>
  <c r="H10" i="54" s="1"/>
  <c r="I10" i="54" s="1"/>
  <c r="J9" i="54"/>
  <c r="K9" i="54" s="1"/>
  <c r="G9" i="54"/>
  <c r="H9" i="54" s="1"/>
  <c r="I9" i="54" s="1"/>
  <c r="J8" i="54"/>
  <c r="K8" i="54" s="1"/>
  <c r="G8" i="54"/>
  <c r="H8" i="54" s="1"/>
  <c r="I8" i="54" s="1"/>
  <c r="J7" i="54"/>
  <c r="K7" i="54" s="1"/>
  <c r="G7" i="54"/>
  <c r="H7" i="54" s="1"/>
  <c r="I7" i="54" s="1"/>
  <c r="J6" i="54"/>
  <c r="K6" i="54" s="1"/>
  <c r="G6" i="54"/>
  <c r="H6" i="54" s="1"/>
  <c r="I6" i="54" s="1"/>
  <c r="J5" i="54"/>
  <c r="K5" i="54" s="1"/>
  <c r="G5" i="54"/>
  <c r="H5" i="54" s="1"/>
  <c r="I5" i="54" s="1"/>
  <c r="J4" i="54"/>
  <c r="K4" i="54" s="1"/>
  <c r="G4" i="54"/>
  <c r="H4" i="54" s="1"/>
  <c r="I4" i="54" s="1"/>
  <c r="J3" i="54"/>
  <c r="K3" i="54" s="1"/>
  <c r="G3" i="54"/>
  <c r="H3" i="54" s="1"/>
  <c r="I3" i="54" s="1"/>
  <c r="J2" i="54"/>
  <c r="K2" i="54" s="1"/>
  <c r="G2" i="54"/>
  <c r="H2" i="54" s="1"/>
  <c r="A5" i="33"/>
  <c r="A4" i="33"/>
  <c r="G4" i="33"/>
  <c r="G3" i="33"/>
  <c r="C5" i="55" l="1"/>
  <c r="C4" i="55"/>
  <c r="I2" i="54"/>
  <c r="I147" i="54" s="1"/>
  <c r="H147" i="54"/>
  <c r="K147" i="54"/>
  <c r="J147" i="54"/>
  <c r="I121" i="4"/>
  <c r="I122" i="4"/>
  <c r="I123" i="4"/>
  <c r="I124" i="4"/>
  <c r="I125" i="4"/>
  <c r="I126" i="4"/>
  <c r="I127" i="4"/>
  <c r="I128" i="4"/>
  <c r="I129" i="4"/>
  <c r="I130" i="4"/>
  <c r="I131" i="4"/>
  <c r="I132" i="4"/>
  <c r="I133" i="4"/>
  <c r="I134" i="4"/>
  <c r="I135" i="4"/>
  <c r="I136" i="4"/>
  <c r="I137" i="4"/>
  <c r="I138" i="4"/>
  <c r="I139" i="4"/>
  <c r="I140" i="4"/>
  <c r="I141" i="4"/>
  <c r="I142" i="4"/>
  <c r="I143" i="4"/>
  <c r="I144" i="4"/>
  <c r="I145" i="4"/>
  <c r="I146" i="4"/>
  <c r="I147" i="4"/>
  <c r="I148" i="4"/>
  <c r="I149" i="4"/>
  <c r="I150" i="4"/>
  <c r="I151" i="4"/>
  <c r="I152" i="4"/>
  <c r="I153" i="4"/>
  <c r="I154" i="4"/>
  <c r="I155" i="4"/>
  <c r="I156" i="4"/>
  <c r="I157" i="4"/>
  <c r="I158" i="4"/>
  <c r="I159" i="4"/>
  <c r="I160" i="4"/>
  <c r="I161" i="4"/>
  <c r="I162" i="4"/>
  <c r="I163" i="4"/>
  <c r="I164" i="4"/>
  <c r="I165" i="4"/>
  <c r="I166" i="4"/>
  <c r="I167" i="4"/>
  <c r="I168" i="4"/>
  <c r="I169" i="4"/>
  <c r="I170" i="4"/>
  <c r="I171" i="4"/>
  <c r="I172" i="4"/>
  <c r="I173" i="4"/>
  <c r="I174" i="4"/>
  <c r="I175" i="4"/>
  <c r="I176" i="4"/>
  <c r="I177" i="4"/>
  <c r="I178" i="4"/>
  <c r="I179" i="4"/>
  <c r="I180" i="4"/>
  <c r="I181" i="4"/>
  <c r="I182" i="4"/>
  <c r="I183" i="4"/>
  <c r="I184" i="4"/>
  <c r="I185" i="4"/>
  <c r="I186" i="4"/>
  <c r="I187" i="4"/>
  <c r="I188" i="4"/>
  <c r="I189" i="4"/>
  <c r="I190" i="4"/>
  <c r="I191" i="4"/>
  <c r="I192" i="4"/>
  <c r="I193" i="4"/>
  <c r="I194" i="4"/>
  <c r="I195" i="4"/>
  <c r="I196" i="4"/>
  <c r="I197" i="4"/>
  <c r="I198" i="4"/>
  <c r="I199" i="4"/>
  <c r="I200" i="4"/>
  <c r="I201" i="4"/>
  <c r="I202" i="4"/>
  <c r="I203" i="4"/>
  <c r="I204" i="4"/>
  <c r="I205" i="4"/>
  <c r="I206" i="4"/>
  <c r="I207" i="4"/>
  <c r="I208" i="4"/>
  <c r="I209" i="4"/>
  <c r="I210" i="4"/>
  <c r="I211" i="4"/>
  <c r="I212" i="4"/>
  <c r="I213" i="4"/>
  <c r="I214" i="4"/>
  <c r="I215" i="4"/>
  <c r="I216" i="4"/>
  <c r="I217" i="4"/>
  <c r="I112" i="4"/>
  <c r="I113" i="4"/>
  <c r="I2" i="4" l="1"/>
  <c r="I11" i="4" l="1"/>
  <c r="T20" i="53"/>
  <c r="T43" i="53" s="1"/>
  <c r="T29" i="53"/>
  <c r="C29" i="53"/>
  <c r="C28" i="53"/>
  <c r="C27" i="53"/>
  <c r="C26" i="53"/>
  <c r="L44" i="53"/>
  <c r="F43" i="53"/>
  <c r="F39" i="53"/>
  <c r="T38" i="53"/>
  <c r="Q38" i="53"/>
  <c r="O38" i="53"/>
  <c r="J38" i="53"/>
  <c r="F38" i="53"/>
  <c r="A38" i="53"/>
  <c r="T37" i="53"/>
  <c r="Q37" i="53"/>
  <c r="O37" i="53"/>
  <c r="J37" i="53"/>
  <c r="F37" i="53"/>
  <c r="A37" i="53"/>
  <c r="T36" i="53"/>
  <c r="Q36" i="53"/>
  <c r="O36" i="53"/>
  <c r="J36" i="53"/>
  <c r="F36" i="53"/>
  <c r="A36" i="53"/>
  <c r="T35" i="53"/>
  <c r="Q35" i="53"/>
  <c r="O35" i="53"/>
  <c r="J35" i="53"/>
  <c r="F35" i="53"/>
  <c r="A35" i="53"/>
  <c r="T34" i="53"/>
  <c r="Q34" i="53"/>
  <c r="O34" i="53"/>
  <c r="J34" i="53"/>
  <c r="F34" i="53"/>
  <c r="A34" i="53"/>
  <c r="T33" i="53"/>
  <c r="Q33" i="53"/>
  <c r="O33" i="53"/>
  <c r="J33" i="53"/>
  <c r="F33" i="53"/>
  <c r="A33" i="53"/>
  <c r="T32" i="53"/>
  <c r="Q32" i="53"/>
  <c r="O32" i="53"/>
  <c r="J32" i="53"/>
  <c r="F32" i="53"/>
  <c r="A32" i="53"/>
  <c r="T31" i="53"/>
  <c r="Q31" i="53"/>
  <c r="O31" i="53"/>
  <c r="J31" i="53"/>
  <c r="F31" i="53"/>
  <c r="A31" i="53"/>
  <c r="Q21" i="53"/>
  <c r="Q44" i="53" s="1"/>
  <c r="L21" i="53"/>
  <c r="Q20" i="53"/>
  <c r="Q43" i="53" s="1"/>
  <c r="O20" i="53"/>
  <c r="O43" i="53" s="1"/>
  <c r="J20" i="53"/>
  <c r="J43" i="53" s="1"/>
  <c r="F21" i="53" l="1"/>
  <c r="F44" i="53" s="1"/>
  <c r="C3" i="33" l="1"/>
  <c r="I57" i="4" l="1"/>
  <c r="I73" i="4"/>
  <c r="I218" i="4"/>
  <c r="I219" i="4"/>
  <c r="I220" i="4"/>
  <c r="I221" i="4"/>
  <c r="I222" i="4"/>
  <c r="I223" i="4"/>
  <c r="I224" i="4"/>
  <c r="I225" i="4"/>
  <c r="I226" i="4"/>
  <c r="I227" i="4"/>
  <c r="I20" i="4"/>
  <c r="I119" i="4"/>
  <c r="I118" i="4"/>
  <c r="I116" i="4"/>
  <c r="I115" i="4"/>
  <c r="I114" i="4"/>
  <c r="I110" i="4"/>
  <c r="I109" i="4"/>
  <c r="I107" i="4"/>
  <c r="I104" i="4"/>
  <c r="I101" i="4"/>
  <c r="I100" i="4"/>
  <c r="I98" i="4"/>
  <c r="I97" i="4"/>
  <c r="I95" i="4"/>
  <c r="I94" i="4"/>
  <c r="I92" i="4"/>
  <c r="I91" i="4"/>
  <c r="I88" i="4"/>
  <c r="I87" i="4"/>
  <c r="I84" i="4"/>
  <c r="I82" i="4"/>
  <c r="I79" i="4"/>
  <c r="I77" i="4"/>
  <c r="I76" i="4"/>
  <c r="I74" i="4"/>
  <c r="I72" i="4"/>
  <c r="I68" i="4"/>
  <c r="I58" i="4"/>
  <c r="I54" i="4"/>
  <c r="I52" i="4"/>
  <c r="I51" i="4"/>
  <c r="I50" i="4"/>
  <c r="I49" i="4"/>
  <c r="I43" i="4"/>
  <c r="I39" i="4"/>
  <c r="I37" i="4"/>
  <c r="I36" i="4"/>
  <c r="I31" i="4"/>
  <c r="I29" i="4"/>
  <c r="I28" i="4"/>
  <c r="I26" i="4"/>
  <c r="I25" i="4"/>
  <c r="I19" i="4"/>
  <c r="I18" i="4"/>
  <c r="I17" i="4"/>
  <c r="I14" i="4"/>
  <c r="I13" i="4"/>
  <c r="I4" i="4"/>
  <c r="I5" i="4"/>
  <c r="I6" i="4"/>
  <c r="I7" i="4"/>
  <c r="I8" i="4"/>
  <c r="I9" i="4"/>
  <c r="I10" i="4"/>
  <c r="I12" i="4"/>
  <c r="I15" i="4"/>
  <c r="I16" i="4"/>
  <c r="I21" i="4"/>
  <c r="I22" i="4"/>
  <c r="I23" i="4"/>
  <c r="I24" i="4"/>
  <c r="I27" i="4"/>
  <c r="I30" i="4"/>
  <c r="I32" i="4"/>
  <c r="I33" i="4"/>
  <c r="I34" i="4"/>
  <c r="I35" i="4"/>
  <c r="I40" i="4"/>
  <c r="I42" i="4"/>
  <c r="I44" i="4"/>
  <c r="I45" i="4"/>
  <c r="I47" i="4"/>
  <c r="I48" i="4"/>
  <c r="I53" i="4"/>
  <c r="I55" i="4"/>
  <c r="I56" i="4"/>
  <c r="I59" i="4"/>
  <c r="I60" i="4"/>
  <c r="I61" i="4"/>
  <c r="I62" i="4"/>
  <c r="I63" i="4"/>
  <c r="I64" i="4"/>
  <c r="I65" i="4"/>
  <c r="I66" i="4"/>
  <c r="I67" i="4"/>
  <c r="I69" i="4"/>
  <c r="I70" i="4"/>
  <c r="I71" i="4"/>
  <c r="I75" i="4"/>
  <c r="I78" i="4"/>
  <c r="I80" i="4"/>
  <c r="I81" i="4"/>
  <c r="I83" i="4"/>
  <c r="I85" i="4"/>
  <c r="I86" i="4"/>
  <c r="I89" i="4"/>
  <c r="I90" i="4"/>
  <c r="I93" i="4"/>
  <c r="I96" i="4"/>
  <c r="I99" i="4"/>
  <c r="I102" i="4"/>
  <c r="I103" i="4"/>
  <c r="I105" i="4"/>
  <c r="I106" i="4"/>
  <c r="I108" i="4"/>
  <c r="I111" i="4"/>
  <c r="I117" i="4"/>
  <c r="L37" i="4" l="1"/>
  <c r="K17" i="4"/>
  <c r="C27" i="11"/>
  <c r="I28" i="19"/>
  <c r="J28" i="19"/>
  <c r="J4" i="19" s="1"/>
  <c r="I3" i="1"/>
  <c r="I4" i="1"/>
  <c r="I5" i="1"/>
  <c r="I6" i="1"/>
  <c r="I7" i="1"/>
  <c r="I8" i="1"/>
  <c r="I9" i="1"/>
  <c r="I10" i="1"/>
  <c r="I11" i="1"/>
  <c r="I12" i="1"/>
  <c r="I13" i="1"/>
  <c r="I14" i="1"/>
  <c r="I15" i="1"/>
  <c r="I16" i="1"/>
  <c r="I17" i="1"/>
  <c r="I18" i="1"/>
  <c r="I19" i="1"/>
  <c r="I20" i="1"/>
  <c r="I21" i="1"/>
  <c r="I22" i="1"/>
  <c r="I23" i="1"/>
  <c r="I24" i="1"/>
  <c r="I25" i="1"/>
  <c r="I26" i="1"/>
  <c r="I27" i="1"/>
  <c r="I28" i="1"/>
  <c r="I29" i="1"/>
  <c r="I30" i="1"/>
  <c r="I31" i="1"/>
  <c r="I32" i="1"/>
  <c r="I33" i="1"/>
  <c r="I34" i="1"/>
  <c r="I35" i="1"/>
  <c r="I36" i="1"/>
  <c r="I37" i="1"/>
  <c r="I38" i="1"/>
  <c r="I39" i="1"/>
  <c r="I40" i="1"/>
  <c r="I41" i="1"/>
  <c r="I42" i="1"/>
  <c r="I43" i="1"/>
  <c r="I44" i="1"/>
  <c r="I45" i="1"/>
  <c r="I46" i="1"/>
  <c r="I47" i="1"/>
  <c r="I48" i="1"/>
  <c r="I49" i="1"/>
  <c r="I50" i="1"/>
  <c r="I51" i="1"/>
  <c r="I52" i="1"/>
  <c r="I53" i="1"/>
  <c r="I54" i="1"/>
  <c r="I55" i="1"/>
  <c r="I56" i="1"/>
  <c r="I57" i="1"/>
  <c r="I58" i="1"/>
  <c r="I59" i="1"/>
  <c r="I60" i="1"/>
  <c r="I61" i="1"/>
  <c r="I62" i="1"/>
  <c r="I63" i="1"/>
  <c r="I64" i="1"/>
  <c r="I65" i="1"/>
  <c r="I66" i="1"/>
  <c r="I67" i="1"/>
  <c r="I68" i="1"/>
  <c r="I69" i="1"/>
  <c r="I70" i="1"/>
  <c r="I71" i="1"/>
  <c r="I72" i="1"/>
  <c r="I73" i="1"/>
  <c r="I74" i="1"/>
  <c r="I75" i="1"/>
  <c r="I76" i="1"/>
  <c r="I77" i="1"/>
  <c r="I78" i="1"/>
  <c r="I79" i="1"/>
  <c r="I80" i="1"/>
  <c r="I81" i="1"/>
  <c r="I82" i="1"/>
  <c r="I83" i="1"/>
  <c r="I84" i="1"/>
  <c r="I85" i="1"/>
  <c r="I86" i="1"/>
  <c r="I87" i="1"/>
  <c r="I88" i="1"/>
  <c r="I89" i="1"/>
  <c r="I90" i="1"/>
  <c r="I91" i="1"/>
  <c r="I92" i="1"/>
  <c r="I93" i="1"/>
  <c r="I94" i="1"/>
  <c r="I95" i="1"/>
  <c r="I96" i="1"/>
  <c r="I97" i="1"/>
  <c r="I98" i="1"/>
  <c r="I99" i="1"/>
  <c r="I100" i="1"/>
  <c r="I101" i="1"/>
  <c r="I102" i="1"/>
  <c r="I103" i="1"/>
  <c r="I104" i="1"/>
  <c r="I105" i="1"/>
  <c r="I106" i="1"/>
  <c r="I107" i="1"/>
  <c r="I108" i="1"/>
  <c r="I109" i="1"/>
  <c r="I110" i="1"/>
  <c r="I111" i="1"/>
  <c r="I112" i="1"/>
  <c r="I113" i="1"/>
  <c r="I114" i="1"/>
  <c r="I115" i="1"/>
  <c r="I116" i="1"/>
  <c r="I117" i="1"/>
  <c r="I118" i="1"/>
  <c r="I119" i="1"/>
  <c r="I120" i="1"/>
  <c r="I2" i="1"/>
  <c r="C4" i="33" l="1"/>
  <c r="C5" i="33" l="1"/>
  <c r="Q20" i="11"/>
  <c r="F21" i="11" s="1"/>
  <c r="E3" i="33"/>
  <c r="M29" i="11"/>
  <c r="M28" i="11"/>
  <c r="T27" i="11"/>
  <c r="M27" i="11"/>
  <c r="M26" i="11"/>
  <c r="C25" i="11"/>
  <c r="L21" i="11"/>
  <c r="L44" i="11" s="1"/>
  <c r="F43" i="11"/>
  <c r="T42" i="11"/>
  <c r="Q42" i="11"/>
  <c r="L42" i="11"/>
  <c r="J42" i="11"/>
  <c r="F42" i="11"/>
  <c r="A42" i="11"/>
  <c r="T41" i="11"/>
  <c r="Q41" i="11"/>
  <c r="L41" i="11"/>
  <c r="J41" i="11"/>
  <c r="F41" i="11"/>
  <c r="A41" i="11"/>
  <c r="T40" i="11"/>
  <c r="Q40" i="11"/>
  <c r="L40" i="11"/>
  <c r="J40" i="11"/>
  <c r="F40" i="11"/>
  <c r="A40" i="11"/>
  <c r="T39" i="11"/>
  <c r="Q39" i="11"/>
  <c r="L39" i="11"/>
  <c r="J39" i="11"/>
  <c r="F39" i="11"/>
  <c r="A39" i="11"/>
  <c r="T38" i="11"/>
  <c r="Q38" i="11"/>
  <c r="L38" i="11"/>
  <c r="J38" i="11"/>
  <c r="F38" i="11"/>
  <c r="A38" i="11"/>
  <c r="T37" i="11"/>
  <c r="Q37" i="11"/>
  <c r="L37" i="11"/>
  <c r="J37" i="11"/>
  <c r="F37" i="11"/>
  <c r="A37" i="11"/>
  <c r="T36" i="11"/>
  <c r="Q36" i="11"/>
  <c r="L36" i="11"/>
  <c r="J36" i="11"/>
  <c r="F36" i="11"/>
  <c r="A36" i="11"/>
  <c r="T35" i="11"/>
  <c r="Q35" i="11"/>
  <c r="L35" i="11"/>
  <c r="J35" i="11"/>
  <c r="F35" i="11"/>
  <c r="A35" i="11"/>
  <c r="T34" i="11"/>
  <c r="Q34" i="11"/>
  <c r="L34" i="11"/>
  <c r="F34" i="11"/>
  <c r="A34" i="11"/>
  <c r="T33" i="11"/>
  <c r="Q33" i="11"/>
  <c r="L33" i="11"/>
  <c r="J33" i="11"/>
  <c r="F33" i="11"/>
  <c r="A33" i="11"/>
  <c r="T32" i="11"/>
  <c r="Q32" i="11"/>
  <c r="L32" i="11"/>
  <c r="J32" i="11"/>
  <c r="F32" i="11"/>
  <c r="A32" i="11"/>
  <c r="T31" i="11"/>
  <c r="Q31" i="11"/>
  <c r="L31" i="11"/>
  <c r="F31" i="11"/>
  <c r="A31" i="11"/>
  <c r="C29" i="11"/>
  <c r="C28" i="11"/>
  <c r="C26" i="11"/>
  <c r="T25" i="11"/>
  <c r="H28" i="19"/>
  <c r="E12" i="19"/>
  <c r="J20" i="11" l="1"/>
  <c r="J43" i="11" s="1"/>
  <c r="J31" i="11"/>
  <c r="Q21" i="11"/>
  <c r="Q44" i="11" s="1"/>
  <c r="J6" i="19" l="1"/>
  <c r="Q43" i="11"/>
  <c r="F44" i="11" l="1"/>
</calcChain>
</file>

<file path=xl/sharedStrings.xml><?xml version="1.0" encoding="utf-8"?>
<sst xmlns="http://schemas.openxmlformats.org/spreadsheetml/2006/main" count="6768" uniqueCount="2865">
  <si>
    <t>제품명</t>
    <phoneticPr fontId="2" type="noConversion"/>
  </si>
  <si>
    <t>제품코드</t>
    <phoneticPr fontId="2" type="noConversion"/>
  </si>
  <si>
    <t>ID</t>
    <phoneticPr fontId="2" type="noConversion"/>
  </si>
  <si>
    <t>단위</t>
    <phoneticPr fontId="2" type="noConversion"/>
  </si>
  <si>
    <t>비고</t>
    <phoneticPr fontId="2" type="noConversion"/>
  </si>
  <si>
    <t>EA</t>
    <phoneticPr fontId="2" type="noConversion"/>
  </si>
  <si>
    <t>BOX</t>
    <phoneticPr fontId="2" type="noConversion"/>
  </si>
  <si>
    <t>CTN</t>
    <phoneticPr fontId="2" type="noConversion"/>
  </si>
  <si>
    <t>거래처명</t>
    <phoneticPr fontId="2" type="noConversion"/>
  </si>
  <si>
    <t>연락처</t>
    <phoneticPr fontId="2" type="noConversion"/>
  </si>
  <si>
    <t>주소</t>
    <phoneticPr fontId="2" type="noConversion"/>
  </si>
  <si>
    <t>ID_제품</t>
    <phoneticPr fontId="2" type="noConversion"/>
  </si>
  <si>
    <t>입출고내역 입력</t>
    <phoneticPr fontId="2" type="noConversion"/>
  </si>
  <si>
    <t>순번</t>
    <phoneticPr fontId="2" type="noConversion"/>
  </si>
  <si>
    <t>일자</t>
    <phoneticPr fontId="2" type="noConversion"/>
  </si>
  <si>
    <t>ID_재고</t>
    <phoneticPr fontId="2" type="noConversion"/>
  </si>
  <si>
    <t>입고수량</t>
    <phoneticPr fontId="2" type="noConversion"/>
  </si>
  <si>
    <t>PCS</t>
    <phoneticPr fontId="2" type="noConversion"/>
  </si>
  <si>
    <t>PLT</t>
  </si>
  <si>
    <t>CAN</t>
  </si>
  <si>
    <t>기본제품ID</t>
    <phoneticPr fontId="2" type="noConversion"/>
  </si>
  <si>
    <t>기본제품기준수량</t>
    <phoneticPr fontId="2" type="noConversion"/>
  </si>
  <si>
    <t>프로모션제품ID</t>
    <phoneticPr fontId="2" type="noConversion"/>
  </si>
  <si>
    <t>프로모션제공수량</t>
    <phoneticPr fontId="2" type="noConversion"/>
  </si>
  <si>
    <t>010-6859-2065</t>
    <phoneticPr fontId="2" type="noConversion"/>
  </si>
  <si>
    <t>대구 서구 가르뱅이로10길 3-5</t>
    <phoneticPr fontId="2" type="noConversion"/>
  </si>
  <si>
    <t>배송</t>
    <phoneticPr fontId="2" type="noConversion"/>
  </si>
  <si>
    <t>010-8752-6273</t>
  </si>
  <si>
    <t>광주광역시 서구 풍서우로 148</t>
  </si>
  <si>
    <t>대구</t>
    <phoneticPr fontId="2" type="noConversion"/>
  </si>
  <si>
    <t>010-8854-0599</t>
  </si>
  <si>
    <t>대구광역시 달서구 호산동로 6-8</t>
  </si>
  <si>
    <t>BENZ</t>
    <phoneticPr fontId="2" type="noConversion"/>
  </si>
  <si>
    <t>사업자 번호</t>
    <phoneticPr fontId="2" type="noConversion"/>
  </si>
  <si>
    <t>배송구분</t>
    <phoneticPr fontId="2" type="noConversion"/>
  </si>
  <si>
    <t>배송지주소</t>
    <phoneticPr fontId="2" type="noConversion"/>
  </si>
  <si>
    <t>경동(화물)</t>
    <phoneticPr fontId="2" type="noConversion"/>
  </si>
  <si>
    <t>경동(택배)</t>
    <phoneticPr fontId="2" type="noConversion"/>
  </si>
  <si>
    <t>대신(화물)</t>
    <phoneticPr fontId="2" type="noConversion"/>
  </si>
  <si>
    <t>대신(택배)</t>
    <phoneticPr fontId="2" type="noConversion"/>
  </si>
  <si>
    <t>구분</t>
    <phoneticPr fontId="2" type="noConversion"/>
  </si>
  <si>
    <t>GS</t>
    <phoneticPr fontId="2" type="noConversion"/>
  </si>
  <si>
    <t>경동(화물)</t>
    <phoneticPr fontId="2" type="noConversion"/>
  </si>
  <si>
    <t>GS</t>
    <phoneticPr fontId="2" type="noConversion"/>
  </si>
  <si>
    <t>GA</t>
    <phoneticPr fontId="2" type="noConversion"/>
  </si>
  <si>
    <t>GB</t>
    <phoneticPr fontId="2" type="noConversion"/>
  </si>
  <si>
    <t>구분</t>
    <phoneticPr fontId="2" type="noConversion"/>
  </si>
  <si>
    <t>단가</t>
    <phoneticPr fontId="2" type="noConversion"/>
  </si>
  <si>
    <t>차량구분</t>
    <phoneticPr fontId="2" type="noConversion"/>
  </si>
  <si>
    <t>Part No</t>
    <phoneticPr fontId="2" type="noConversion"/>
  </si>
  <si>
    <t>Part No</t>
    <phoneticPr fontId="2" type="noConversion"/>
  </si>
  <si>
    <t>출고수량</t>
    <phoneticPr fontId="2" type="noConversion"/>
  </si>
  <si>
    <t>PartNo</t>
    <phoneticPr fontId="2" type="noConversion"/>
  </si>
  <si>
    <t>비고</t>
    <phoneticPr fontId="2" type="noConversion"/>
  </si>
  <si>
    <t>거래처</t>
    <phoneticPr fontId="2" type="noConversion"/>
  </si>
  <si>
    <t>수량</t>
    <phoneticPr fontId="2" type="noConversion"/>
  </si>
  <si>
    <t>ID_거래처</t>
    <phoneticPr fontId="2" type="noConversion"/>
  </si>
  <si>
    <t>재고수량</t>
    <phoneticPr fontId="2" type="noConversion"/>
  </si>
  <si>
    <t>주문제품</t>
    <phoneticPr fontId="2" type="noConversion"/>
  </si>
  <si>
    <t>PartNo</t>
    <phoneticPr fontId="2" type="noConversion"/>
  </si>
  <si>
    <t>총주문가격</t>
    <phoneticPr fontId="2" type="noConversion"/>
  </si>
  <si>
    <t>010-4141-9634</t>
    <phoneticPr fontId="2" type="noConversion"/>
  </si>
  <si>
    <t>대구광역시 북구 연암로42길 43-1</t>
    <phoneticPr fontId="2" type="noConversion"/>
  </si>
  <si>
    <t>결재금액</t>
    <phoneticPr fontId="2" type="noConversion"/>
  </si>
  <si>
    <t>공급가액</t>
    <phoneticPr fontId="2" type="noConversion"/>
  </si>
  <si>
    <t>상호</t>
    <phoneticPr fontId="2" type="noConversion"/>
  </si>
  <si>
    <t>주소</t>
    <phoneticPr fontId="2" type="noConversion"/>
  </si>
  <si>
    <t>등록
번호</t>
    <phoneticPr fontId="2" type="noConversion"/>
  </si>
  <si>
    <t>성명</t>
    <phoneticPr fontId="2" type="noConversion"/>
  </si>
  <si>
    <t>날짜:</t>
    <phoneticPr fontId="2" type="noConversion"/>
  </si>
  <si>
    <t>인수자:</t>
    <phoneticPr fontId="2" type="noConversion"/>
  </si>
  <si>
    <t>계좌:</t>
    <phoneticPr fontId="2" type="noConversion"/>
  </si>
  <si>
    <t>010-5168-3542</t>
    <phoneticPr fontId="2" type="noConversion"/>
  </si>
  <si>
    <t>수  량</t>
    <phoneticPr fontId="2" type="noConversion"/>
  </si>
  <si>
    <t>공 급 가</t>
    <phoneticPr fontId="2" type="noConversion"/>
  </si>
  <si>
    <t>부 가 세</t>
    <phoneticPr fontId="2" type="noConversion"/>
  </si>
  <si>
    <t>품          명</t>
    <phoneticPr fontId="2" type="noConversion"/>
  </si>
  <si>
    <t>거   래   명   세   서</t>
    <phoneticPr fontId="2" type="noConversion"/>
  </si>
  <si>
    <t>259-12-01768</t>
    <phoneticPr fontId="2" type="noConversion"/>
  </si>
  <si>
    <t>장효주</t>
    <phoneticPr fontId="2" type="noConversion"/>
  </si>
  <si>
    <t>대구 달서구 용산로 28(본리동)</t>
    <phoneticPr fontId="2" type="noConversion"/>
  </si>
  <si>
    <t>전화</t>
    <phoneticPr fontId="2" type="noConversion"/>
  </si>
  <si>
    <t xml:space="preserve">  (공급하는자 보관용)</t>
    <phoneticPr fontId="2" type="noConversion"/>
  </si>
  <si>
    <t xml:space="preserve">  (공급받는자 보관용)</t>
    <phoneticPr fontId="2" type="noConversion"/>
  </si>
  <si>
    <t>Part No</t>
    <phoneticPr fontId="2" type="noConversion"/>
  </si>
  <si>
    <t>미수금</t>
    <phoneticPr fontId="2" type="noConversion"/>
  </si>
  <si>
    <t>일자</t>
    <phoneticPr fontId="2" type="noConversion"/>
  </si>
  <si>
    <t>미수금:</t>
    <phoneticPr fontId="2" type="noConversion"/>
  </si>
  <si>
    <t>부가세</t>
    <phoneticPr fontId="2" type="noConversion"/>
  </si>
  <si>
    <t>공급가액</t>
    <phoneticPr fontId="2" type="noConversion"/>
  </si>
  <si>
    <t>일자</t>
    <phoneticPr fontId="2" type="noConversion"/>
  </si>
  <si>
    <t>제품코드</t>
    <phoneticPr fontId="2" type="noConversion"/>
  </si>
  <si>
    <t>제품명</t>
    <phoneticPr fontId="2" type="noConversion"/>
  </si>
  <si>
    <t>ID</t>
    <phoneticPr fontId="2" type="noConversion"/>
  </si>
  <si>
    <t>Total</t>
    <phoneticPr fontId="2" type="noConversion"/>
  </si>
  <si>
    <t>연락처</t>
    <phoneticPr fontId="2" type="noConversion"/>
  </si>
  <si>
    <t>부가세 선택</t>
    <phoneticPr fontId="2" type="noConversion"/>
  </si>
  <si>
    <t>총합계(주문가+미수금)</t>
    <phoneticPr fontId="2" type="noConversion"/>
  </si>
  <si>
    <t>경기가평승안60</t>
  </si>
  <si>
    <t>경기도 가평군 가평읍 가화로 257</t>
  </si>
  <si>
    <t>031-581-4141</t>
  </si>
  <si>
    <t>경기가평청평188</t>
  </si>
  <si>
    <t>경기도 가평군 청평면 잠곡로 69-9</t>
  </si>
  <si>
    <t>031-585-5024</t>
  </si>
  <si>
    <t>서울마포서교</t>
  </si>
  <si>
    <t>경기도 고양시 덕양구 덕은로 12</t>
  </si>
  <si>
    <t>02-322-0802</t>
  </si>
  <si>
    <t>고양덕양도내723</t>
  </si>
  <si>
    <t>경기도 고양시 덕양구 도내동 723-40</t>
  </si>
  <si>
    <t>02-3159-3801</t>
  </si>
  <si>
    <t>서울은평진관</t>
  </si>
  <si>
    <t>경기도 고양시 덕양구 용두동 457</t>
  </si>
  <si>
    <t>02-381-3455</t>
  </si>
  <si>
    <t>고양덕양내유426</t>
  </si>
  <si>
    <t>경기도 고양시 덕양구 내유길 6</t>
  </si>
  <si>
    <t>031-964-0222</t>
  </si>
  <si>
    <t>서울마포상암</t>
  </si>
  <si>
    <t>경기도 고양시 덕양구 대덕로 1-12</t>
  </si>
  <si>
    <t>02-3158-0236</t>
  </si>
  <si>
    <t>고양덕양현천137</t>
  </si>
  <si>
    <t>경기도 고양시 덕양구 대덕로 141번길 13</t>
  </si>
  <si>
    <t>02-3158-0803</t>
  </si>
  <si>
    <t>서울은평갈현</t>
  </si>
  <si>
    <t>경기도 고양시 덕양구 봉산로 251</t>
  </si>
  <si>
    <t>02-387-9882</t>
  </si>
  <si>
    <t>고양일산동구설문759</t>
  </si>
  <si>
    <t>경기도 고양시 일산동구 고봉로 770번길 71-15 3동, 4동</t>
  </si>
  <si>
    <t>031-977-0745</t>
  </si>
  <si>
    <t>고양일산동구장항543</t>
  </si>
  <si>
    <t>경기도 고양시 일산동구 장대길 160-106</t>
  </si>
  <si>
    <t>031-907-2477</t>
  </si>
  <si>
    <t>고양일산동구백석1115</t>
  </si>
  <si>
    <t>경기도 고양시 일산동구 장항로71 가동</t>
  </si>
  <si>
    <t>031-902-7372</t>
  </si>
  <si>
    <t>고양일산동구문봉58</t>
  </si>
  <si>
    <t>경기도 고양시 알산동구 지영로 32</t>
  </si>
  <si>
    <t>031-967-4044</t>
  </si>
  <si>
    <t>고양일산서구구산367</t>
  </si>
  <si>
    <t>경기도 고양시 일산서구 구산로116-1 라동</t>
  </si>
  <si>
    <t>031-923-2426</t>
  </si>
  <si>
    <t>고양일산서구가좌485</t>
  </si>
  <si>
    <t>경기도 고양시 일산서구 덕산로 140</t>
  </si>
  <si>
    <t>031-911-4344</t>
  </si>
  <si>
    <t>서울서초서초</t>
  </si>
  <si>
    <t>경기도 과천시 돌무개길 29</t>
  </si>
  <si>
    <t>02-521-2422</t>
  </si>
  <si>
    <t>서울서초양재</t>
  </si>
  <si>
    <t>경기도 과천시 상하벌1로 68</t>
  </si>
  <si>
    <t>02-529-9044</t>
  </si>
  <si>
    <t>광명가학104</t>
  </si>
  <si>
    <t>경기도 광명시 가학동 104-3</t>
  </si>
  <si>
    <t>02-2616-1340</t>
  </si>
  <si>
    <t>광명노온사676</t>
  </si>
  <si>
    <t>경기도 광명시 노온사동 676</t>
  </si>
  <si>
    <t>02-2689-9484</t>
  </si>
  <si>
    <t>광명소하233</t>
  </si>
  <si>
    <t>경기도 광명시 오리로 490</t>
  </si>
  <si>
    <t>02-805-1441</t>
  </si>
  <si>
    <t>경기광주능평175</t>
  </si>
  <si>
    <t>경기도 광주시 능평동 175-9</t>
  </si>
  <si>
    <t>031-768-5470</t>
  </si>
  <si>
    <t>경기광주매산715</t>
  </si>
  <si>
    <t>경기도 광주시 매산동 715-20</t>
  </si>
  <si>
    <t>031-765-5470</t>
  </si>
  <si>
    <t>경기광주문형689</t>
  </si>
  <si>
    <t>경기도 광주시 문현동 689-2</t>
  </si>
  <si>
    <t>031-765-8243</t>
  </si>
  <si>
    <t>경기광주초월지월599</t>
  </si>
  <si>
    <t>경기도 광주시 초월읍 지월리 599-16</t>
  </si>
  <si>
    <t>031-769-9676</t>
  </si>
  <si>
    <t>경기광주태전363</t>
  </si>
  <si>
    <t>경기도 광주시 고불로 131</t>
  </si>
  <si>
    <t>031-768-6902</t>
  </si>
  <si>
    <t>경기광주곤지암장심339</t>
  </si>
  <si>
    <t>경기도 광주시 곤지암읍 광여로 680-12</t>
  </si>
  <si>
    <t>031-797-5775</t>
  </si>
  <si>
    <t>경기광주곤지암오향426</t>
  </si>
  <si>
    <t>경기도 광주시 곤지암읍 구수동길 4</t>
  </si>
  <si>
    <t>031-761-9532</t>
  </si>
  <si>
    <t>경기광주곤지암신대48</t>
  </si>
  <si>
    <t>경기도 광주시 곤지암읍 대석동길 31</t>
  </si>
  <si>
    <t>031-763-8025</t>
  </si>
  <si>
    <t>경기광주곤지암봉현621</t>
  </si>
  <si>
    <t>경기도 광주시 곤지암읍 신만로 142</t>
  </si>
  <si>
    <t>031-798-6430</t>
  </si>
  <si>
    <t>경기광주목동22</t>
  </si>
  <si>
    <t>경기도 광주시 광남안로 112-1</t>
  </si>
  <si>
    <t>031-765-6080</t>
  </si>
  <si>
    <t>경기광주태전350</t>
  </si>
  <si>
    <t>경기도 광주시 광남안로 22-1</t>
  </si>
  <si>
    <t>031-768-6901</t>
  </si>
  <si>
    <t>경기광주도척노곡25</t>
  </si>
  <si>
    <t>경기도 광주시 도척로 461</t>
  </si>
  <si>
    <t>031-763-7331</t>
  </si>
  <si>
    <t>경기광주도척유정234</t>
  </si>
  <si>
    <t>경기도 광주시 도척면 마도로 273</t>
  </si>
  <si>
    <t>031-763-7332</t>
  </si>
  <si>
    <t>경기광주초월신월474</t>
  </si>
  <si>
    <t>경기도 광주시 초월읍 두월길 3</t>
  </si>
  <si>
    <t>031-761-2113</t>
  </si>
  <si>
    <t>경기광주초월늑현16</t>
  </si>
  <si>
    <t>경기도 광주시 초월읍 산수로58번길 16</t>
  </si>
  <si>
    <t>031-798-8712</t>
  </si>
  <si>
    <t>경기광주초월용수355</t>
  </si>
  <si>
    <t>경기도 광주시 초월읍 용수리 355-2</t>
  </si>
  <si>
    <t>031-763-3647</t>
  </si>
  <si>
    <t>경기광주초월용수357</t>
  </si>
  <si>
    <t>경기도 광주시 초월읍 장담길 88-26</t>
  </si>
  <si>
    <t>031-769-8580</t>
  </si>
  <si>
    <t>경기도 광주시 초월읍 장담길 88-28</t>
  </si>
  <si>
    <t>경기광주장지224</t>
  </si>
  <si>
    <t>경기도 광주시 포은대로 641</t>
  </si>
  <si>
    <t>031-764-5864</t>
  </si>
  <si>
    <t>구리사노452</t>
  </si>
  <si>
    <t>경기도 구리시 동구릉로 520-7</t>
  </si>
  <si>
    <t>031-555-6710</t>
  </si>
  <si>
    <t>서울광진중곡</t>
  </si>
  <si>
    <t>경기도 구리시 코스모스길 129-26</t>
  </si>
  <si>
    <t>031-562-0791</t>
  </si>
  <si>
    <t>구리토평46</t>
  </si>
  <si>
    <t>경기도 구리시 코스모스길213번길 82</t>
  </si>
  <si>
    <t>031-557-7111</t>
  </si>
  <si>
    <t>군포산본18</t>
  </si>
  <si>
    <t>경기도 군포시 산본동 18-32</t>
  </si>
  <si>
    <t>031-429-4480</t>
  </si>
  <si>
    <t>군포당동48</t>
  </si>
  <si>
    <t>경기도 군포시 공단로 131</t>
  </si>
  <si>
    <t>031-456-4091</t>
  </si>
  <si>
    <t>군포금정214</t>
  </si>
  <si>
    <t>경기도 군포시 공단로 177</t>
  </si>
  <si>
    <t>031-459-3754</t>
  </si>
  <si>
    <t>군포부곡451나</t>
  </si>
  <si>
    <t>경기도 군포시 번영로 82 나동</t>
  </si>
  <si>
    <t>031-460-7800</t>
  </si>
  <si>
    <t>군포부곡451바</t>
  </si>
  <si>
    <t>경기도 군포시 번영로 82 바동</t>
  </si>
  <si>
    <t>031-460-2460</t>
  </si>
  <si>
    <t>김포고촌태139</t>
  </si>
  <si>
    <t>경기도 김포시 고촌읍 태리 139</t>
  </si>
  <si>
    <t>031-985-8560</t>
  </si>
  <si>
    <t>김포운양40</t>
  </si>
  <si>
    <t>경기도 김포시 운양동 40-1</t>
  </si>
  <si>
    <t>031-989-0256</t>
  </si>
  <si>
    <t>김포고천전호745</t>
  </si>
  <si>
    <t>경기도 김포시 고촌읍 아라육로 57번길 70</t>
  </si>
  <si>
    <t>031-988-4541</t>
  </si>
  <si>
    <t>김포운양1245</t>
  </si>
  <si>
    <t>경기도 김포시 금포로 1509</t>
  </si>
  <si>
    <t>031-986-1614</t>
  </si>
  <si>
    <t>김포감정389</t>
  </si>
  <si>
    <t>경기도 김포시 김포대로1141번길 35</t>
  </si>
  <si>
    <t>031-988-8271</t>
  </si>
  <si>
    <t>김포대곶대능494</t>
  </si>
  <si>
    <t>경기도 김포시 대곶면 대곶남로 390</t>
  </si>
  <si>
    <t>031-996-0600</t>
  </si>
  <si>
    <t>김포대곶초원지347</t>
  </si>
  <si>
    <t>경기도 김포시 대곶면 대곶북로 22-1</t>
  </si>
  <si>
    <t>031-981-2423</t>
  </si>
  <si>
    <t>김포대곶송마1</t>
  </si>
  <si>
    <t>경기도 김포시 대곶면 대곶북로 249</t>
  </si>
  <si>
    <t>031-996-3780</t>
  </si>
  <si>
    <t>김포대곶석정1</t>
  </si>
  <si>
    <t>경기도 김포시 대곶면 대곶북로 440</t>
  </si>
  <si>
    <t>031-996-0601</t>
  </si>
  <si>
    <t>김포대곶율생636</t>
  </si>
  <si>
    <t>경기도 김포시 대곶면 대곶서로 324-1</t>
  </si>
  <si>
    <t>031-981-4163</t>
  </si>
  <si>
    <t>김포대곶거물대398</t>
  </si>
  <si>
    <t>경기도 김포시 대곶면 율마로 174</t>
  </si>
  <si>
    <t>031-989-5714</t>
  </si>
  <si>
    <t>김포양촌구래91</t>
  </si>
  <si>
    <t>경기도 김포시 양촌읍 구매로 42번길 175</t>
  </si>
  <si>
    <t>031-983-1841</t>
  </si>
  <si>
    <t>김포양촌누산1108</t>
  </si>
  <si>
    <t>경기도 김포시 양촌읍 김포대로 1759번길 15</t>
  </si>
  <si>
    <t>031-983-0406</t>
  </si>
  <si>
    <t>김포양촌대포2</t>
  </si>
  <si>
    <t>경기도 김포시 양촌읍 봉수대로 1754-10</t>
  </si>
  <si>
    <t>031-983-9633</t>
  </si>
  <si>
    <t>김포양촌석모1186</t>
  </si>
  <si>
    <t>경기도 김포시 양촌읍 석모로 51-18</t>
  </si>
  <si>
    <t>031-986-5666</t>
  </si>
  <si>
    <t>김포양촌학운422</t>
  </si>
  <si>
    <t>경기도 김포시 양촌읍 황금1로 250</t>
  </si>
  <si>
    <t>031-996-0666</t>
  </si>
  <si>
    <t>김포양촌학운2937</t>
  </si>
  <si>
    <t>경기도 김포시 양촌읍 황금로 23번길 18-62</t>
  </si>
  <si>
    <t>031-997-2666</t>
  </si>
  <si>
    <t>김포양촌황금산단67</t>
  </si>
  <si>
    <t>경기도 김포시 양촌읍 황금산단로 67</t>
  </si>
  <si>
    <t>031-984-8531</t>
  </si>
  <si>
    <t>김포월곶고양60</t>
  </si>
  <si>
    <t>경기도 김포시 월곶면 고양로 115번길 32</t>
  </si>
  <si>
    <t>031-997-8288</t>
  </si>
  <si>
    <t>김포월곶갈산209</t>
  </si>
  <si>
    <t>경기도 김포시 월곶면 월하로 116</t>
  </si>
  <si>
    <t>031-982-2403</t>
  </si>
  <si>
    <t>김포풍무371</t>
  </si>
  <si>
    <t>경기도 김포시 유현1로 159-64</t>
  </si>
  <si>
    <t>031-986-0651</t>
  </si>
  <si>
    <t>김포통진가현810</t>
  </si>
  <si>
    <t>경기도 김포시 통진읍 가현로 29</t>
  </si>
  <si>
    <t>031-998-8744</t>
  </si>
  <si>
    <t>김포통진고정553</t>
  </si>
  <si>
    <t>경기도 김포시 통진읍 월하로 346</t>
  </si>
  <si>
    <t>031-985-0540</t>
  </si>
  <si>
    <t>김포통진귀전438</t>
  </si>
  <si>
    <t>경기도 김포시 통진읍 월하로 463</t>
  </si>
  <si>
    <t>031-997-0247</t>
  </si>
  <si>
    <t>김포하성양택308</t>
  </si>
  <si>
    <t>경기도 김포시 하성면 양택리 308-57</t>
  </si>
  <si>
    <t>031-989-4540</t>
  </si>
  <si>
    <t>김포하성마곡707</t>
  </si>
  <si>
    <t>경기도 김포시 하성면 원산로 100(2호)</t>
  </si>
  <si>
    <t>031-986-0621</t>
  </si>
  <si>
    <t>김포하성원산572</t>
  </si>
  <si>
    <t>경기도 김포시 하성면 월하로 642</t>
  </si>
  <si>
    <t>031-997-1266</t>
  </si>
  <si>
    <t>김포하성전류215</t>
  </si>
  <si>
    <t>경기도 김포시 하성면 월하로 902</t>
  </si>
  <si>
    <t>031-981-2296</t>
  </si>
  <si>
    <t>경기도 김포시 하성면 하성로694번길 17</t>
  </si>
  <si>
    <t>서울중랑중화</t>
  </si>
  <si>
    <t>경기도 남양주시 송산로 294-26</t>
  </si>
  <si>
    <t>02-434-8425</t>
  </si>
  <si>
    <t>남양주진접내곡384</t>
  </si>
  <si>
    <t>경기도 남양주시 진접읍 내곡리 384-2</t>
  </si>
  <si>
    <t>031-572-4329</t>
  </si>
  <si>
    <t>남양주화도답내504</t>
  </si>
  <si>
    <t>경기도 남양주시 경춘로 2275번길 28</t>
  </si>
  <si>
    <t>031-591-5041</t>
  </si>
  <si>
    <t>서울노원하계</t>
  </si>
  <si>
    <t>경기도 남양주시 별내면 송산로678번길 26</t>
  </si>
  <si>
    <t>02-971-2430</t>
  </si>
  <si>
    <t>남양주수동운수155</t>
  </si>
  <si>
    <t>경기도 남양주시 수동면 남가로 1510</t>
  </si>
  <si>
    <t>031-559-0660</t>
  </si>
  <si>
    <t>남양주수동송천646</t>
  </si>
  <si>
    <t>경기도 남양주시 수동면 비룡로 530번길 5</t>
  </si>
  <si>
    <t>031-595-7913</t>
  </si>
  <si>
    <t>남양주오남양지106</t>
  </si>
  <si>
    <t>경기도 남양주시 오남읍 진건오남로 797번길 19</t>
  </si>
  <si>
    <t>031-572-6747</t>
  </si>
  <si>
    <t>남양주오남양지448</t>
  </si>
  <si>
    <t>경기도 남양주시 오남읍 진건오남로 929번길 28</t>
  </si>
  <si>
    <t>031-573-7247</t>
  </si>
  <si>
    <t>남양주와부율석750</t>
  </si>
  <si>
    <t>경기도 남양주시 와부읍 석실로488번길 4-25</t>
  </si>
  <si>
    <t>031-591-8082</t>
  </si>
  <si>
    <t>남양주월문1071</t>
  </si>
  <si>
    <t>경기도 남양주시 와부읍 월문천로173번길 18-3</t>
  </si>
  <si>
    <t>031-552-6784</t>
  </si>
  <si>
    <t>남양주진건사능457</t>
  </si>
  <si>
    <t>경기도 남양주시 진건읍 진건우회로 132</t>
  </si>
  <si>
    <t>031-528-8098</t>
  </si>
  <si>
    <t>남양주진건진관686</t>
  </si>
  <si>
    <t>경기도 남양주시 진건읍 진관로502번길 20-47</t>
  </si>
  <si>
    <t>031-528-3321</t>
  </si>
  <si>
    <t>남양주진접금곡501</t>
  </si>
  <si>
    <t>경기도 남양주시 진접읍 경복대로 316</t>
  </si>
  <si>
    <t>031-529-7247</t>
  </si>
  <si>
    <t>남양주진접연평418</t>
  </si>
  <si>
    <t>경기도 남양주시 진접읍 양진로684번길 69</t>
  </si>
  <si>
    <t>031-575-8082</t>
  </si>
  <si>
    <t>남양주일패433</t>
  </si>
  <si>
    <t>경기도 남양주시 홍유릉로 24</t>
  </si>
  <si>
    <t>031-566-6784</t>
  </si>
  <si>
    <t>경기도 남양주시 화도읍 경춘로2275번길 28</t>
  </si>
  <si>
    <t>남양주화도창현172</t>
  </si>
  <si>
    <t>경기도 남양주시 화도읍 폭포로242번안길 20-16</t>
  </si>
  <si>
    <t>031-595-0237</t>
  </si>
  <si>
    <t>동두천상패410</t>
  </si>
  <si>
    <t>경기도 동두천시 상패동 410</t>
  </si>
  <si>
    <t>031-863-0375</t>
  </si>
  <si>
    <t>부천심곡본522</t>
  </si>
  <si>
    <t>경기도 부천시 경인로 302</t>
  </si>
  <si>
    <t>032-663-4000</t>
  </si>
  <si>
    <t>부천삼정14</t>
  </si>
  <si>
    <t>경기도 부천시 삼정동 14-13</t>
  </si>
  <si>
    <t>032-681-0011</t>
  </si>
  <si>
    <t>부천삼정268</t>
  </si>
  <si>
    <t>경기도 부천시 석천로380번길 47</t>
  </si>
  <si>
    <t>032-681-3338</t>
  </si>
  <si>
    <t>부천내동375</t>
  </si>
  <si>
    <t>경기도 부천시 수도로 235</t>
  </si>
  <si>
    <t>032-673-8282</t>
  </si>
  <si>
    <t>부천삼정349</t>
  </si>
  <si>
    <t>경기도 부천시 수도로 55번길 6</t>
  </si>
  <si>
    <t>032-323-4734</t>
  </si>
  <si>
    <t>부천내동56</t>
  </si>
  <si>
    <t>경기도 부천시 신흥로377번가길 33</t>
  </si>
  <si>
    <t>032-662-5870</t>
  </si>
  <si>
    <t>부천도당163</t>
  </si>
  <si>
    <t>경기도 부천시 원미구 도약로 297</t>
  </si>
  <si>
    <t>032-677-3044</t>
  </si>
  <si>
    <t>부천춘의190</t>
  </si>
  <si>
    <t>경기도 부천시 원미구 원미로 231</t>
  </si>
  <si>
    <t>032-668-1050</t>
  </si>
  <si>
    <t>성남분당정자81</t>
  </si>
  <si>
    <t>경기도 성남시 분당구 정자동 81-14</t>
  </si>
  <si>
    <t>031-722-4050</t>
  </si>
  <si>
    <t>성남분당야탑500</t>
  </si>
  <si>
    <t>경기도 성남시 분당구 판교로 588</t>
  </si>
  <si>
    <t>031-702-8340</t>
  </si>
  <si>
    <t>성남수정고등</t>
  </si>
  <si>
    <t>경기도 성남시 수정구 고등동 259-2</t>
  </si>
  <si>
    <t>031-754-3382</t>
  </si>
  <si>
    <t>서울강남논현</t>
  </si>
  <si>
    <t>031-722-5778</t>
  </si>
  <si>
    <t>서울강남압구정</t>
  </si>
  <si>
    <t>경기도 성남시 수정구 등자로 13</t>
  </si>
  <si>
    <t>성남수정복정27</t>
  </si>
  <si>
    <t>031-759-6992</t>
  </si>
  <si>
    <t>성남분당백현</t>
  </si>
  <si>
    <t>서울강남일원629</t>
  </si>
  <si>
    <t>성남중원상대원460</t>
  </si>
  <si>
    <t>경기도 성남시 중원구 둔촌대로 536</t>
  </si>
  <si>
    <t>031-731-4605</t>
  </si>
  <si>
    <t>성남중원상대원225</t>
  </si>
  <si>
    <t>경기도 성남시 중원구 사기막골로 122번길 10</t>
  </si>
  <si>
    <t>031-734-4547</t>
  </si>
  <si>
    <t>수원권선곡반정315A</t>
  </si>
  <si>
    <t>경기도 수원시 권선구 곡반정로 72-26</t>
  </si>
  <si>
    <t>031-226-6786</t>
  </si>
  <si>
    <t>수원권선오목천231</t>
  </si>
  <si>
    <t>경기도 수원시 권선구 서수원로 188</t>
  </si>
  <si>
    <t>031-293-9000</t>
  </si>
  <si>
    <t>수원권선입북429</t>
  </si>
  <si>
    <t>경기도 수원시 권선구 입북로 19</t>
  </si>
  <si>
    <t>031-227-5825</t>
  </si>
  <si>
    <t>수원영통매탄524</t>
  </si>
  <si>
    <t>경기도 수원시 영통구 영통로 345번길 23</t>
  </si>
  <si>
    <t>031-216-1991</t>
  </si>
  <si>
    <t>수원장안송죽183</t>
  </si>
  <si>
    <t>경기도 수원시 장안구 만석로 229</t>
  </si>
  <si>
    <t>031-251-8200</t>
  </si>
  <si>
    <t>수원팔달우만137</t>
  </si>
  <si>
    <t>경기도 수원시 팔달구 권광로 340번길 1-3</t>
  </si>
  <si>
    <t>031-233-8277</t>
  </si>
  <si>
    <t>시흥정왕1365</t>
  </si>
  <si>
    <t>경기도 시흥시 공단1대로 195번길 12</t>
  </si>
  <si>
    <t>031-497-0306</t>
  </si>
  <si>
    <t>시흥정왕1364</t>
  </si>
  <si>
    <t>경기도 시흥시 공단1대로 204</t>
  </si>
  <si>
    <t>031-434-0137</t>
  </si>
  <si>
    <t>시흥과림446</t>
  </si>
  <si>
    <t>경기도 시흥시 금오로 401</t>
  </si>
  <si>
    <t>02-2687-6644</t>
  </si>
  <si>
    <t>시흥도창31</t>
  </si>
  <si>
    <t>경기도 시흥시 매화산단2길 47</t>
  </si>
  <si>
    <t>031-314-7600</t>
  </si>
  <si>
    <t>시흥목감334</t>
  </si>
  <si>
    <t>경기도 시흥시 목감우회로 114번길 37</t>
  </si>
  <si>
    <t>031-405-7088</t>
  </si>
  <si>
    <t>시흥죽율30</t>
  </si>
  <si>
    <t>경기도 시흥시 봉화로 311</t>
  </si>
  <si>
    <t>031-497-9631</t>
  </si>
  <si>
    <t>시흥정왕2597</t>
  </si>
  <si>
    <t>경기도 시흥시 시화벤처로 1119번길 8</t>
  </si>
  <si>
    <t>031-498-3211</t>
  </si>
  <si>
    <t>시흥방산718</t>
  </si>
  <si>
    <t>경기도 시흥시 신현로 253</t>
  </si>
  <si>
    <t>031-316-7900</t>
  </si>
  <si>
    <t>시흥정왕2669</t>
  </si>
  <si>
    <t>경기도 시흥시 엠티브이24로 18-11, 102호</t>
  </si>
  <si>
    <t>031-498-2669</t>
  </si>
  <si>
    <t>시흥오이도스틸랜드B동</t>
  </si>
  <si>
    <t>경기도 시흥시 오이도로 21 B동 1226호</t>
  </si>
  <si>
    <t>031-8041-4646</t>
  </si>
  <si>
    <t>시흥오이도스틸랜드C동</t>
  </si>
  <si>
    <t>경기도 시흥시 오이도로 21 C동 1627호</t>
  </si>
  <si>
    <t>031-8041-4456</t>
  </si>
  <si>
    <t>시흥오이도스틸랜드A동</t>
  </si>
  <si>
    <t>경기도 시흥시 오이도로 21 스틸랜드 A 8동 817호</t>
  </si>
  <si>
    <t>031-8041-4666</t>
  </si>
  <si>
    <t>시흥정왕 1359</t>
  </si>
  <si>
    <t>경기도 시흥시 옥구천동로 118</t>
  </si>
  <si>
    <t>031-431-6009</t>
  </si>
  <si>
    <t>시흥정왕 1288</t>
  </si>
  <si>
    <t>경기도 시흥시 정왕천로 197 동우디지탈 A-116</t>
  </si>
  <si>
    <t>031-432-7088</t>
  </si>
  <si>
    <t>안산단원신길1229</t>
  </si>
  <si>
    <t>경기도 안산시 단원구 신길동 1229</t>
  </si>
  <si>
    <t>031-492-2588</t>
  </si>
  <si>
    <t>안산단원초지645</t>
  </si>
  <si>
    <t>경기도 안산시 단원구 초지동 645</t>
  </si>
  <si>
    <t>031-485-7006</t>
  </si>
  <si>
    <t>안산상록팔곡이27</t>
  </si>
  <si>
    <t>경기도 안산시 상록구 팔곡이동 27-4</t>
  </si>
  <si>
    <t>031-409-8572</t>
  </si>
  <si>
    <t>안산단원신길1123</t>
  </si>
  <si>
    <t>경기도 안산시 단원구 능안로 81 안산디지털파크 1054호</t>
  </si>
  <si>
    <t>031-434-0282</t>
  </si>
  <si>
    <t>안산단원성곡669</t>
  </si>
  <si>
    <t>경기도 안산시 단원구 번영1로 65</t>
  </si>
  <si>
    <t>031-497-8280</t>
  </si>
  <si>
    <t>안산단원성곡710</t>
  </si>
  <si>
    <t>경기도 안산시 단원구 번영로 123 시화공단 4라 606호</t>
  </si>
  <si>
    <t>031-319-1189</t>
  </si>
  <si>
    <t>안산단원목내457A</t>
  </si>
  <si>
    <t>경기도 안산시 단원구 별망로419, 112호</t>
  </si>
  <si>
    <t>031-365-3939</t>
  </si>
  <si>
    <t>안산단원목내457B</t>
  </si>
  <si>
    <t>안산단원원시731</t>
  </si>
  <si>
    <t>경기도 안산시 단원구 산단로 107 서흥테크노벨리</t>
  </si>
  <si>
    <t>031-508-8599</t>
  </si>
  <si>
    <t>안산단원성곡851</t>
  </si>
  <si>
    <t>경기도 안산시 단원구 성곡동 엠티브이 5로 13</t>
  </si>
  <si>
    <t>031-495-7552</t>
  </si>
  <si>
    <t>안산단원성곡645</t>
  </si>
  <si>
    <t>경기도 안산시 단원구 성곡로 176, 나동 139호</t>
  </si>
  <si>
    <t>031-491-1194</t>
  </si>
  <si>
    <t>경기도 안산시 단원구 신길동 1229 지식산업센터 157</t>
  </si>
  <si>
    <t>안산단원원곡994A</t>
  </si>
  <si>
    <t>경기도 안산시 단원구 풍전로 37-24, 321동 110~117호</t>
  </si>
  <si>
    <t>031-493-8787</t>
  </si>
  <si>
    <t>안산단원초지653</t>
  </si>
  <si>
    <t>경기도 안산시 단원구해안로327 반월디지털지식산업센터 A동 107호</t>
  </si>
  <si>
    <t>031-482-5678</t>
  </si>
  <si>
    <t>안산단원대부동578</t>
  </si>
  <si>
    <t>경기도 안산시 대부황금로 799</t>
  </si>
  <si>
    <t>032-888-1263</t>
  </si>
  <si>
    <t>안산상록부곡45</t>
  </si>
  <si>
    <t>경기도 안산시 상록구 새말1길 7</t>
  </si>
  <si>
    <t>031-485-1474</t>
  </si>
  <si>
    <t>안성미양구수82</t>
  </si>
  <si>
    <t>경기도 안성시 미양면 서운로 644</t>
  </si>
  <si>
    <t>031-671-8686</t>
  </si>
  <si>
    <t>안성죽산787</t>
  </si>
  <si>
    <t>경기도 안성시 죽산면 장원남산길 22-1</t>
  </si>
  <si>
    <t>031-676-9988</t>
  </si>
  <si>
    <t>안성공도만정626</t>
  </si>
  <si>
    <t>경기도 안성시 공도읍 덕봉서원로229-33</t>
  </si>
  <si>
    <t>031-658-7757</t>
  </si>
  <si>
    <t>안성대덕건지219</t>
  </si>
  <si>
    <t>경기도 안성시 대덕면 서동대로 4867-3</t>
  </si>
  <si>
    <t>031-676-1671</t>
  </si>
  <si>
    <t>안성미양계륵201</t>
  </si>
  <si>
    <t>경기도 안성시 미양면 신두만곡로 927-14</t>
  </si>
  <si>
    <t>031-675-1553</t>
  </si>
  <si>
    <t>안성보개적가213</t>
  </si>
  <si>
    <t>경기도 안성시 보개면 한사울길 231-1</t>
  </si>
  <si>
    <t>031-676-3432</t>
  </si>
  <si>
    <t>안성도기2</t>
  </si>
  <si>
    <t>경기도 안성시 안성맞춤대로 979</t>
  </si>
  <si>
    <t>031-675-2163</t>
  </si>
  <si>
    <t>안성양성장서227A</t>
  </si>
  <si>
    <t>경기도 안성시 양성면 양성로 667-11</t>
  </si>
  <si>
    <t>031-674-7182</t>
  </si>
  <si>
    <t>안성일죽월정1546</t>
  </si>
  <si>
    <t>경기도 안성시 일죽면 서동대로 7125</t>
  </si>
  <si>
    <t>031-676-9927</t>
  </si>
  <si>
    <t>안성원곡성은278</t>
  </si>
  <si>
    <t>경기도 안성시 천덕산로 650</t>
  </si>
  <si>
    <t>031-654-0192</t>
  </si>
  <si>
    <t>안양동안호계901</t>
  </si>
  <si>
    <t>경기도 안양시 동안구 호계동 901-42</t>
  </si>
  <si>
    <t>031-429-8072</t>
  </si>
  <si>
    <t>안양동안관양855</t>
  </si>
  <si>
    <t>경기도 안양시 동안구 벌말로 102번길 54</t>
  </si>
  <si>
    <t>031-422-5973</t>
  </si>
  <si>
    <t>안양동안호계555B</t>
  </si>
  <si>
    <t>경기도 안양시 동안구 엘에스로92, 9동 119호</t>
  </si>
  <si>
    <t>031-425-6556</t>
  </si>
  <si>
    <t>안양만안안양198</t>
  </si>
  <si>
    <t>경기도 안양시 만안구 안양천서로 101</t>
  </si>
  <si>
    <t>031-449-6604</t>
  </si>
  <si>
    <t>안양만안박달782</t>
  </si>
  <si>
    <t>경기도 안양시 만안구 오리로 19</t>
  </si>
  <si>
    <t>031-469-8282</t>
  </si>
  <si>
    <t>양주광적석우417</t>
  </si>
  <si>
    <t>경기도 양주시 광적면 광적로 119</t>
  </si>
  <si>
    <t>031-855-8508</t>
  </si>
  <si>
    <t>양주광적가납193</t>
  </si>
  <si>
    <t>경기도 양주시 광적면 그루고개로 221번길 15-52</t>
  </si>
  <si>
    <t>031-843-9294</t>
  </si>
  <si>
    <t>양주광적덕도254</t>
  </si>
  <si>
    <t>경기도 양주시 광적면 현석로 697</t>
  </si>
  <si>
    <t>031-872-6261</t>
  </si>
  <si>
    <t>양주남면경신129</t>
  </si>
  <si>
    <t>경기도 양주시 남면 삼일로 485번길 3</t>
  </si>
  <si>
    <t>031-859-8686</t>
  </si>
  <si>
    <t>양주남면입암114</t>
  </si>
  <si>
    <t>경기도 양주시 남면 삼일로 764</t>
  </si>
  <si>
    <t>031-861-4004</t>
  </si>
  <si>
    <t>양주백석방성8</t>
  </si>
  <si>
    <t>경기도 양주시 백석읍 부흥로 974</t>
  </si>
  <si>
    <t>031-879-8988</t>
  </si>
  <si>
    <t>양주산북74</t>
  </si>
  <si>
    <t>경기도 양주시 산북동 74-27</t>
  </si>
  <si>
    <t>031-843-8660</t>
  </si>
  <si>
    <t>양주은현봉암169</t>
  </si>
  <si>
    <t>경기도 양주시 은현면 봉암리 169</t>
  </si>
  <si>
    <t>031-861-4766</t>
  </si>
  <si>
    <t>양주은현선암302</t>
  </si>
  <si>
    <t>경기도 양주시 은현면 선암리 302</t>
  </si>
  <si>
    <t>031-864-7279</t>
  </si>
  <si>
    <t>양주봉양632</t>
  </si>
  <si>
    <t>경기도 양주시 칠봉산로 227번길 27</t>
  </si>
  <si>
    <t>031-865-1730</t>
  </si>
  <si>
    <t>경기도 양주시 평화로 1224</t>
  </si>
  <si>
    <t>경기양평오빈314</t>
  </si>
  <si>
    <t>경기도 양평군 양평읍 안산길 53-3</t>
  </si>
  <si>
    <t>031-774-9123</t>
  </si>
  <si>
    <t>경기양평용문금곡640</t>
  </si>
  <si>
    <t>경기도 양평군 용문면 용문로 640</t>
  </si>
  <si>
    <t>031-772-1580</t>
  </si>
  <si>
    <t>여주삼교436</t>
  </si>
  <si>
    <t>경기도 여주시 삼교동 436-7</t>
  </si>
  <si>
    <t>031-8051-2484~5</t>
  </si>
  <si>
    <t>여주가남삼군217</t>
  </si>
  <si>
    <t>경기도 여주시 가남읍 여주남로 952</t>
  </si>
  <si>
    <t>031-885-7827</t>
  </si>
  <si>
    <t>여주월송214</t>
  </si>
  <si>
    <t>경기도 여주시 삼밭골길 26-12</t>
  </si>
  <si>
    <t>031-886-1202</t>
  </si>
  <si>
    <t>경기연천전곡289</t>
  </si>
  <si>
    <t>경기도 연천군 전곡읍 은대성로 63-6</t>
  </si>
  <si>
    <t>031-832-0375</t>
  </si>
  <si>
    <t>오산원동547</t>
  </si>
  <si>
    <t>경기도 오산시 동부대로 407-21</t>
  </si>
  <si>
    <t>031-372-4621</t>
  </si>
  <si>
    <t>오산서동202</t>
  </si>
  <si>
    <t>경기도 오산시 서동로 61</t>
  </si>
  <si>
    <t>031-378-1034</t>
  </si>
  <si>
    <t>용인수지풍덕천</t>
  </si>
  <si>
    <t>경기도 용인시 기흥구 이현로 86-9</t>
  </si>
  <si>
    <t>031-264-1071</t>
  </si>
  <si>
    <t>용인기흥지곡278</t>
  </si>
  <si>
    <t>경기도 용인시 기흥구 지삼로 190</t>
  </si>
  <si>
    <t>031-282-3403</t>
  </si>
  <si>
    <t>용인처인남사통삼641</t>
  </si>
  <si>
    <t>경기도 용인시 처인구 남사면 서촌로 208</t>
  </si>
  <si>
    <t>031-323-4325</t>
  </si>
  <si>
    <t>용인처인모현매산320</t>
  </si>
  <si>
    <t>경기도 용인시 처인구 모현읍 곡현로 581-2</t>
  </si>
  <si>
    <t>031-336-1423</t>
  </si>
  <si>
    <t>용인처인모현갈담443</t>
  </si>
  <si>
    <t>경기도 용인시 처인구 모현읍 백옥대로 2172</t>
  </si>
  <si>
    <t>031-332-3947</t>
  </si>
  <si>
    <t>용인처인백암가좌267</t>
  </si>
  <si>
    <t>경기도 용인시 처인구 백암면 석실로 10</t>
  </si>
  <si>
    <t>031-334-9731</t>
  </si>
  <si>
    <t>용인처인마평313</t>
  </si>
  <si>
    <t>경기도 용인시 처인구 신송로 68</t>
  </si>
  <si>
    <t>031-334-1282</t>
  </si>
  <si>
    <t>용인처인양지주북306</t>
  </si>
  <si>
    <t>경기도 용인시 처인구 양지면 주북로 269</t>
  </si>
  <si>
    <t>031-321-9027</t>
  </si>
  <si>
    <t>용인처인이동덕성260</t>
  </si>
  <si>
    <t>경기도 용인시 처인구 이동면 시미곡로 21번길 3</t>
  </si>
  <si>
    <t>031-337-3051</t>
  </si>
  <si>
    <t>용인처인포곡삼계277</t>
  </si>
  <si>
    <t>경기도 용인시 처인구 포곡읍 백옥대로 1837</t>
  </si>
  <si>
    <t>031-339-5471</t>
  </si>
  <si>
    <t>용인처인포곡영문117</t>
  </si>
  <si>
    <t>경기도 용인시 처인구 포곡읍 석성로985번길 42</t>
  </si>
  <si>
    <t>031-321-6075</t>
  </si>
  <si>
    <t>의왕오전166</t>
  </si>
  <si>
    <t>경기도 의왕시 맑은내길 64</t>
  </si>
  <si>
    <t>031-429-7182</t>
  </si>
  <si>
    <t>의왕고천474</t>
  </si>
  <si>
    <t>경기도 의왕시 오전공업길 36</t>
  </si>
  <si>
    <t>031-456-6713</t>
  </si>
  <si>
    <t>의정부금오441</t>
  </si>
  <si>
    <t>경기도 의정부시 금오동 441-65</t>
  </si>
  <si>
    <t>031-541-6766</t>
  </si>
  <si>
    <t>의정부신곡771</t>
  </si>
  <si>
    <t>경기도 의정부시 부용로 185번길 50</t>
  </si>
  <si>
    <t>031-853-9514~5</t>
  </si>
  <si>
    <t>서울노원상계</t>
  </si>
  <si>
    <t>경기도 의정부시 장암동 120</t>
  </si>
  <si>
    <t>031-873-8082</t>
  </si>
  <si>
    <t>의정부가능227</t>
  </si>
  <si>
    <t>경기도 의정부시 호국로 1162</t>
  </si>
  <si>
    <t>031-836-6593</t>
  </si>
  <si>
    <t>이천호법유산769</t>
  </si>
  <si>
    <t>경기도 이천시 호법면 유산리 769-19</t>
  </si>
  <si>
    <t>031-633-6991</t>
  </si>
  <si>
    <t>이천사음457</t>
  </si>
  <si>
    <t>경기도 이천시 경충대로 2937-2</t>
  </si>
  <si>
    <t>031-638-1288</t>
  </si>
  <si>
    <t>이천부발무촌412</t>
  </si>
  <si>
    <t>경기도 이천시 부발읍 무촌로 21-53</t>
  </si>
  <si>
    <t>031-635-7733</t>
  </si>
  <si>
    <t>이천장호원오남3</t>
  </si>
  <si>
    <t>경기도 이천시 장호원읍 서동대로8965번길 33</t>
  </si>
  <si>
    <t>031-641-2348</t>
  </si>
  <si>
    <t>파주광탄창만492</t>
  </si>
  <si>
    <t>경기도 파주시 광탄면 보광로 1330-10</t>
  </si>
  <si>
    <t>031-941-3606</t>
  </si>
  <si>
    <t>파주광탄분수178</t>
  </si>
  <si>
    <t>경기도 파주시 광탄면 장지산로 300</t>
  </si>
  <si>
    <t>031-948-6544</t>
  </si>
  <si>
    <t>경기도 파주시 광탄면 창만리 492-22</t>
  </si>
  <si>
    <t>파주광탄신산346</t>
  </si>
  <si>
    <t>경기도 파주시 광탄면 혜음로 1198</t>
  </si>
  <si>
    <t>031-947-2131</t>
  </si>
  <si>
    <t>파주교하연다산45</t>
  </si>
  <si>
    <t>경기도 파주시 교하로 1007-8</t>
  </si>
  <si>
    <t>1522-8977</t>
  </si>
  <si>
    <t>파주문산선유1363</t>
  </si>
  <si>
    <t>경기도 파주시 문산읍 돈유안길 42-29</t>
  </si>
  <si>
    <t>031-954-1363</t>
  </si>
  <si>
    <t>파주문산사목265</t>
  </si>
  <si>
    <t>경기도 파주시 문산읍 반구정로 17</t>
  </si>
  <si>
    <t>031-952-2276</t>
  </si>
  <si>
    <t>파주법원대능125</t>
  </si>
  <si>
    <t>경기도 파주시 법원읍 화합로 43</t>
  </si>
  <si>
    <t>031-958-0229</t>
  </si>
  <si>
    <t>파주아동353</t>
  </si>
  <si>
    <t>경기도 파주시 새꽃로 237</t>
  </si>
  <si>
    <t>031-944-5855</t>
  </si>
  <si>
    <t>파주교하상지석546</t>
  </si>
  <si>
    <t>경기도 파주시 운정로 150</t>
  </si>
  <si>
    <t>031-946-3341</t>
  </si>
  <si>
    <t>파주월롱덕은1062</t>
  </si>
  <si>
    <t>경기도 파주시 월롱면 휴암로 215</t>
  </si>
  <si>
    <t>031-944-6364</t>
  </si>
  <si>
    <t>파주적성마지193</t>
  </si>
  <si>
    <t>경기도 파주시 적성면 솥뒤로 95</t>
  </si>
  <si>
    <t>031-958-6011</t>
  </si>
  <si>
    <t>파주조리뇌조416</t>
  </si>
  <si>
    <t>경기도 파주시 조리읍 등원로 119</t>
  </si>
  <si>
    <t>031-946-1153</t>
  </si>
  <si>
    <t>파주조리봉일천20</t>
  </si>
  <si>
    <t>경기도 파주시 조리읍 통일로 137</t>
  </si>
  <si>
    <t>031-943-6100</t>
  </si>
  <si>
    <t>파주탄현축현277</t>
  </si>
  <si>
    <t>경기도 파주시 탄현면 검산로 458</t>
  </si>
  <si>
    <t>031-946-1158</t>
  </si>
  <si>
    <t>파주탄현법흥71</t>
  </si>
  <si>
    <t>경기도 파주시 탄현면 방촌로 430</t>
  </si>
  <si>
    <t>031-957-0043</t>
  </si>
  <si>
    <t>파주탄현낙하223</t>
  </si>
  <si>
    <t>경기도 파주시 탄현면 엘지로 716</t>
  </si>
  <si>
    <t>031-942-4761</t>
  </si>
  <si>
    <t>파주부곡44</t>
  </si>
  <si>
    <t>경기도 파주시 파주읍 여울길 326</t>
  </si>
  <si>
    <t>031-954-3307</t>
  </si>
  <si>
    <t>평택도일1168</t>
  </si>
  <si>
    <t>경기도 평택시 도일동 1168-6</t>
  </si>
  <si>
    <t>031-656-0192</t>
  </si>
  <si>
    <t>평택이충65</t>
  </si>
  <si>
    <t>경기도 평택시 청원로 1377</t>
  </si>
  <si>
    <t>031-668-8704</t>
  </si>
  <si>
    <t>평택포승도곡717</t>
  </si>
  <si>
    <t>경기도 평택시 포승읍 도곡리 717-2</t>
  </si>
  <si>
    <t>031-8054-8041</t>
  </si>
  <si>
    <t>평택포승도곡845</t>
  </si>
  <si>
    <t>경기도 평택시 포승읍 도곡리 845-14</t>
  </si>
  <si>
    <t>031-683-3044</t>
  </si>
  <si>
    <t>평택포승만호324</t>
  </si>
  <si>
    <t>경기도 평택시 포승읍 만호리 324-1</t>
  </si>
  <si>
    <t>031-686-9441</t>
  </si>
  <si>
    <t>평택포승만호577</t>
  </si>
  <si>
    <t>경기도 평택시 포승읍 만호리 577-5</t>
  </si>
  <si>
    <t>031-686-5033</t>
  </si>
  <si>
    <t>평택청룡62</t>
  </si>
  <si>
    <t>경기도 평택시 만세로 1469</t>
  </si>
  <si>
    <t>031-651-7072</t>
  </si>
  <si>
    <t>평택서탄수월암984</t>
  </si>
  <si>
    <t>경기도 평택시 서탄면 서탄로 437</t>
  </si>
  <si>
    <t>031-611-4304</t>
  </si>
  <si>
    <t>평택서탄수월암639</t>
  </si>
  <si>
    <t>경기도 평택시 서탄면 수월암길 7</t>
  </si>
  <si>
    <t>031-668-7484</t>
  </si>
  <si>
    <t>평택안중학현39</t>
  </si>
  <si>
    <t>경기도 평택시 안중읍 덕우로 67-4</t>
  </si>
  <si>
    <t>031-683-2278</t>
  </si>
  <si>
    <t>경기도 평택시 이충동 65-10</t>
  </si>
  <si>
    <t>평택진위청호37</t>
  </si>
  <si>
    <t>경기도 평택시 진위면 청호길 66</t>
  </si>
  <si>
    <t>031-611-1284</t>
  </si>
  <si>
    <t>평택청북고렴479</t>
  </si>
  <si>
    <t>경기도 평택시 청북읍 서해로 1962</t>
  </si>
  <si>
    <t>031-683-0295</t>
  </si>
  <si>
    <t>평택청북토진632</t>
  </si>
  <si>
    <t>경기도 평택시 청북읍 청오로 357-42</t>
  </si>
  <si>
    <t>031-684-9462</t>
  </si>
  <si>
    <t>평택청북현곡253</t>
  </si>
  <si>
    <t>경기도 평택시 청북읍 청원로 55</t>
  </si>
  <si>
    <t>031-681-1650</t>
  </si>
  <si>
    <t>평택팽성남산317</t>
  </si>
  <si>
    <t>경기도 평택시 팽성읍 남산리 317-175</t>
  </si>
  <si>
    <t>031-653-6293</t>
  </si>
  <si>
    <t>포천소흘이동교678</t>
  </si>
  <si>
    <t>경기도 포천시 소흘읍 이동교리 678</t>
  </si>
  <si>
    <t>포천가산금현250</t>
  </si>
  <si>
    <t>경기도 포천시 가산면 포천로 709</t>
  </si>
  <si>
    <t>031-541-6007</t>
  </si>
  <si>
    <t>포천군내하성북669</t>
  </si>
  <si>
    <t>경기도 포천시 군내면 포천로 1544</t>
  </si>
  <si>
    <t>031-531-2211</t>
  </si>
  <si>
    <t>포천내촌음현470</t>
  </si>
  <si>
    <t>경기도 포천시 내촌면 금강로 2018번길 41</t>
  </si>
  <si>
    <t>031-533-9774</t>
  </si>
  <si>
    <t>포천내촌진목714</t>
  </si>
  <si>
    <t>경기도 포천시 내촌면 부마로 503번길 3</t>
  </si>
  <si>
    <t>031-532-7280</t>
  </si>
  <si>
    <t>포천소흘무봉87</t>
  </si>
  <si>
    <t>경기도 포천시 소흘읍 소흘로 139번길 7</t>
  </si>
  <si>
    <t>031-544-3166~7</t>
  </si>
  <si>
    <t>포천소흘송우110</t>
  </si>
  <si>
    <t>경기도 포천시 소흘읍 송우리 110-13</t>
  </si>
  <si>
    <t>031-541-2211</t>
  </si>
  <si>
    <t>포천신북신평250</t>
  </si>
  <si>
    <t>경기도 포천시 신북면 신평로 39</t>
  </si>
  <si>
    <t>031-534-2211</t>
  </si>
  <si>
    <t>포천신북기지685</t>
  </si>
  <si>
    <t>경기도 포천시 신북면 틀못이길 11-35</t>
  </si>
  <si>
    <t>031-531-2250</t>
  </si>
  <si>
    <t>포천어룡67</t>
  </si>
  <si>
    <t>경기도 포천시 어가길 31</t>
  </si>
  <si>
    <t>031-535-5666</t>
  </si>
  <si>
    <t>포천일동길명782</t>
  </si>
  <si>
    <t>경기도 포천시 일동면 영일로 429</t>
  </si>
  <si>
    <t>031-532-1245</t>
  </si>
  <si>
    <t>서울송파오금</t>
  </si>
  <si>
    <t>경기도 하남시 감일동 210</t>
  </si>
  <si>
    <t>02-431-9994</t>
  </si>
  <si>
    <t>서울강동길동</t>
  </si>
  <si>
    <t>경기도 하남시 풍산동 393-38</t>
  </si>
  <si>
    <t>031-794-4737</t>
  </si>
  <si>
    <t>하남감북39</t>
  </si>
  <si>
    <t>경기도 하남시 감초로 131번길 11</t>
  </si>
  <si>
    <t>02-486-0151</t>
  </si>
  <si>
    <t>하남하사창296</t>
  </si>
  <si>
    <t>경기도 하남시 고골로 124</t>
  </si>
  <si>
    <t>031-793-2668</t>
  </si>
  <si>
    <t>하남창우54</t>
  </si>
  <si>
    <t>경기도 하남시 창우동 54-2</t>
  </si>
  <si>
    <t>031-792-6446</t>
  </si>
  <si>
    <t>서울강동상일</t>
  </si>
  <si>
    <t>경기도 하남시 초일동 318-5</t>
  </si>
  <si>
    <t>02-428-0974</t>
  </si>
  <si>
    <t>화성금곡102</t>
  </si>
  <si>
    <t>경기도 화성시 금곡동 102</t>
  </si>
  <si>
    <t>031-374-0915</t>
  </si>
  <si>
    <t>화성매송원리179</t>
  </si>
  <si>
    <t>경기도 화성시 매송면 푸른들판로 2037</t>
  </si>
  <si>
    <t>031-292-1250</t>
  </si>
  <si>
    <t>화성방교756</t>
  </si>
  <si>
    <t>경기도 화성시 방교동 756-8</t>
  </si>
  <si>
    <t>031-376-0916</t>
  </si>
  <si>
    <t>화성송산사강320</t>
  </si>
  <si>
    <t>경기도 화성시 송산면 사강리 320-4</t>
  </si>
  <si>
    <t>031-366-7575</t>
  </si>
  <si>
    <t>화성정남덕절243</t>
  </si>
  <si>
    <t>경기도 화성시 정남면 덕절리 243-1</t>
  </si>
  <si>
    <t>031-374-0775</t>
  </si>
  <si>
    <t>화성남양신남1240</t>
  </si>
  <si>
    <t>경기도 화성시 남양읍 신남로 316-14</t>
  </si>
  <si>
    <t>031-355-2123</t>
  </si>
  <si>
    <t>화성남양북양528</t>
  </si>
  <si>
    <t>경기도 화성시 남양읍 현대기아로 741-3</t>
  </si>
  <si>
    <t>031-355-3080</t>
  </si>
  <si>
    <t>화성마도쌍송90</t>
  </si>
  <si>
    <t>경기도 화성시 마도면 마도로 790</t>
  </si>
  <si>
    <t>031-356-3563</t>
  </si>
  <si>
    <t>화성마도두곡287</t>
  </si>
  <si>
    <t>경기도 화성시 마도면 송정로 20-3</t>
  </si>
  <si>
    <t>031-357-2030</t>
  </si>
  <si>
    <t>화성마도쌍송139</t>
  </si>
  <si>
    <t>경기도 화성시 마도면 신남로 34-7</t>
  </si>
  <si>
    <t>031-355-9101</t>
  </si>
  <si>
    <t>화성마도청원71</t>
  </si>
  <si>
    <t>경기도 화성시 마도면 절골로 12</t>
  </si>
  <si>
    <t>031-356-8587</t>
  </si>
  <si>
    <t>화성마도쌍송624</t>
  </si>
  <si>
    <t>경기도 화성시 마도면 청원로 283-9</t>
  </si>
  <si>
    <t>031-356-9772</t>
  </si>
  <si>
    <t>화성마도청원1168</t>
  </si>
  <si>
    <t>경기도 화성시 마도면 청원산단8길 57</t>
  </si>
  <si>
    <t>031-356-9757</t>
  </si>
  <si>
    <t>경기도 화성시 매송면 원리 179-8</t>
  </si>
  <si>
    <t>화성반월340</t>
  </si>
  <si>
    <t>경기도 화성시 반월길 13</t>
  </si>
  <si>
    <t>031-221-4434</t>
  </si>
  <si>
    <t>수원영통망포</t>
  </si>
  <si>
    <t>경기도 화성시 반정로 138번길</t>
  </si>
  <si>
    <t>031-236-9555</t>
  </si>
  <si>
    <t>화성봉담세곡23</t>
  </si>
  <si>
    <t>경기도 화성시 봉담읍 가능골 2길 5-3</t>
  </si>
  <si>
    <t>031-227-6036</t>
  </si>
  <si>
    <t>화성봉담덕우107</t>
  </si>
  <si>
    <t>경기도 화성시 봉담읍 마당바위로 324-6</t>
  </si>
  <si>
    <t>031-297-0807</t>
  </si>
  <si>
    <t>화성비봉자안505</t>
  </si>
  <si>
    <t>경기도 화성시 비봉면 푸른들판로 1119</t>
  </si>
  <si>
    <t>031-355-1735</t>
  </si>
  <si>
    <t>화성서신전곡487</t>
  </si>
  <si>
    <t>경기도 화성시 서신면 당성로115번길 21</t>
  </si>
  <si>
    <t>031-357-3993</t>
  </si>
  <si>
    <t>화성안녕186</t>
  </si>
  <si>
    <t>경기도 화성시 세자로 494</t>
  </si>
  <si>
    <t>031-234-4433</t>
  </si>
  <si>
    <t>화성양감대양1112</t>
  </si>
  <si>
    <t>경기도 화성시 양감면 두머리길 2</t>
  </si>
  <si>
    <t>031-353-1526</t>
  </si>
  <si>
    <t>화성양감송산461</t>
  </si>
  <si>
    <t>경기도 화성시 양감면 송망길 97-4</t>
  </si>
  <si>
    <t>031-366-4211</t>
  </si>
  <si>
    <t>화성양감요당580</t>
  </si>
  <si>
    <t>경기도 화성시 양감면 암소고개로 237</t>
  </si>
  <si>
    <t>031-353-7996</t>
  </si>
  <si>
    <t>화성양감요당195</t>
  </si>
  <si>
    <t>경기도 화성시 양감면 요당리 195</t>
  </si>
  <si>
    <t>031-352-7121</t>
  </si>
  <si>
    <t>화성장안수촌939</t>
  </si>
  <si>
    <t>경기도 화성시 장안면 3.1만세로 433</t>
  </si>
  <si>
    <t>031-351-7557</t>
  </si>
  <si>
    <t>화성장안사곡465</t>
  </si>
  <si>
    <t>경기도 화성시 장안면 기아자동차로676</t>
  </si>
  <si>
    <t>031-358-3701</t>
  </si>
  <si>
    <t>화성장안석포392</t>
  </si>
  <si>
    <t>경기도 화성시 장안면 버들로 1213</t>
  </si>
  <si>
    <t>031-351-9908</t>
  </si>
  <si>
    <t>화성장안석포754</t>
  </si>
  <si>
    <t>경기도 화성시 장안면 석포로 325-3</t>
  </si>
  <si>
    <t>031-351-7660</t>
  </si>
  <si>
    <t>화성장안독정163</t>
  </si>
  <si>
    <t>경기도 화성시 장안면 장안로 425</t>
  </si>
  <si>
    <t>031-358-5885</t>
  </si>
  <si>
    <t>화성정남신리143</t>
  </si>
  <si>
    <t>경기도 화성시 정남면 서봉로 1053-11</t>
  </si>
  <si>
    <t>031-354-5906</t>
  </si>
  <si>
    <t>화성정남괘랑1064</t>
  </si>
  <si>
    <t>경기도 화성시 정남면 세자로 34</t>
  </si>
  <si>
    <t>031-352-6798</t>
  </si>
  <si>
    <t>화성정남수면65</t>
  </si>
  <si>
    <t>경기도 화성시 정남면 수면리 65</t>
  </si>
  <si>
    <t>031-354-5006</t>
  </si>
  <si>
    <t>화성정남음양938</t>
  </si>
  <si>
    <t>경기도 화성시 정남면 정남산단로 142-5</t>
  </si>
  <si>
    <t>031-378-5991</t>
  </si>
  <si>
    <t>화성팔탄고주197</t>
  </si>
  <si>
    <t>경기도 화성시 제암고주로 114</t>
  </si>
  <si>
    <t>031-379-9888</t>
  </si>
  <si>
    <t>화성팔탄하저930</t>
  </si>
  <si>
    <t>경기도 화성시 팔탄면 무하로 147</t>
  </si>
  <si>
    <t>031-366-0026</t>
  </si>
  <si>
    <t>화성팔탄율암396</t>
  </si>
  <si>
    <t>경기도 화성시 팔탄면 시청로766번길 19-6</t>
  </si>
  <si>
    <t>031-354-0022</t>
  </si>
  <si>
    <t>화성팔탄덕우115</t>
  </si>
  <si>
    <t>경기도 화성시 팔탄면 온천로165번길 20</t>
  </si>
  <si>
    <t>031-8059-5071</t>
  </si>
  <si>
    <t>화성팔탄구장179</t>
  </si>
  <si>
    <t>경기도 화성시 팔탄면 푸른들판로 557-6</t>
  </si>
  <si>
    <t>031-8059-8895</t>
  </si>
  <si>
    <t>화성팔탄구장112</t>
  </si>
  <si>
    <t>경기도 화성시 팔탄면 푸른들판로 650</t>
  </si>
  <si>
    <t>031-354-3386</t>
  </si>
  <si>
    <t>화성향남증거331</t>
  </si>
  <si>
    <t>경기도 화성시 향남읍 만년로151번길 12</t>
  </si>
  <si>
    <t>031-354-9167</t>
  </si>
  <si>
    <t>화성향남동오132</t>
  </si>
  <si>
    <t>경기도 화성시 향남읍 서봉로 684-10</t>
  </si>
  <si>
    <t>031-353-8990</t>
  </si>
  <si>
    <t>화성향남상신1150</t>
  </si>
  <si>
    <t>경기도 화성시 향남읍 장안로850 1동</t>
  </si>
  <si>
    <t>031-352-8195</t>
  </si>
  <si>
    <t>영업소명</t>
    <phoneticPr fontId="2" type="noConversion"/>
  </si>
  <si>
    <t>PartNo</t>
    <phoneticPr fontId="2" type="noConversion"/>
  </si>
  <si>
    <t>177-01-03420</t>
    <phoneticPr fontId="2" type="noConversion"/>
  </si>
  <si>
    <t>합계:</t>
    <phoneticPr fontId="2" type="noConversion"/>
  </si>
  <si>
    <t>이전 미수금</t>
    <phoneticPr fontId="2" type="noConversion"/>
  </si>
  <si>
    <t>주문+이전미수금</t>
    <phoneticPr fontId="2" type="noConversion"/>
  </si>
  <si>
    <t>259-12-01768</t>
  </si>
  <si>
    <t>경동(화물)</t>
  </si>
  <si>
    <t>BTS&amp;P</t>
  </si>
  <si>
    <t>납품자:</t>
    <phoneticPr fontId="2" type="noConversion"/>
  </si>
  <si>
    <t>010-3838-0429</t>
    <phoneticPr fontId="2" type="noConversion"/>
  </si>
  <si>
    <t>부산 사상구 학장동 학감대로 145</t>
    <phoneticPr fontId="2" type="noConversion"/>
  </si>
  <si>
    <t>010-8720-9825</t>
    <phoneticPr fontId="2" type="noConversion"/>
  </si>
  <si>
    <t>인천 부평구 수변로 89-1</t>
    <phoneticPr fontId="2" type="noConversion"/>
  </si>
  <si>
    <t>경동(화물)</t>
    <phoneticPr fontId="2" type="noConversion"/>
  </si>
  <si>
    <t>춘의190</t>
  </si>
  <si>
    <t>010-2050-8899</t>
  </si>
  <si>
    <t>대구 서구 문화로 17길 39</t>
  </si>
  <si>
    <t>대구</t>
  </si>
  <si>
    <t>010-3573-5439</t>
  </si>
  <si>
    <t>울산 남구 삼산로 402번길 21</t>
  </si>
  <si>
    <t>대신(화물)</t>
  </si>
  <si>
    <t>스카이오토미션</t>
  </si>
  <si>
    <t>마일레오토(마포)</t>
  </si>
  <si>
    <t>마일레오토(군포)</t>
  </si>
  <si>
    <t>한국오토(일산)</t>
    <phoneticPr fontId="2" type="noConversion"/>
  </si>
  <si>
    <t>010-6322-0551</t>
    <phoneticPr fontId="2" type="noConversion"/>
  </si>
  <si>
    <t>GA</t>
    <phoneticPr fontId="2" type="noConversion"/>
  </si>
  <si>
    <t>경기도 고양시 일산서구 송포로 349</t>
    <phoneticPr fontId="2" type="noConversion"/>
  </si>
  <si>
    <t>메르카바(고양)</t>
    <phoneticPr fontId="2" type="noConversion"/>
  </si>
  <si>
    <t>010-8743-2402</t>
    <phoneticPr fontId="2" type="noConversion"/>
  </si>
  <si>
    <t>GS</t>
    <phoneticPr fontId="2" type="noConversion"/>
  </si>
  <si>
    <t>경기도 고양시 덕양구 토당로 9</t>
    <phoneticPr fontId="2" type="noConversion"/>
  </si>
  <si>
    <t>경기 고양 백석1115지점</t>
    <phoneticPr fontId="2" type="noConversion"/>
  </si>
  <si>
    <t>한국오토(안양)</t>
  </si>
  <si>
    <t>010-7326-0913</t>
  </si>
  <si>
    <t>전북 완주군 삼례읍 삼봉로 344</t>
  </si>
  <si>
    <t>010-4821-1735</t>
  </si>
  <si>
    <t>인천 서구 북항로 120번길 13-6</t>
  </si>
  <si>
    <t>010-9033-8865</t>
  </si>
  <si>
    <t>서울특별시 동대문구 장안벛꽃로 27</t>
  </si>
  <si>
    <t>010-2399-2804</t>
  </si>
  <si>
    <t>010-5317-7200</t>
  </si>
  <si>
    <t>경남 창원시 마산회원구 자유무역1길 92</t>
  </si>
  <si>
    <t>010-5548-7658</t>
  </si>
  <si>
    <t>부산광역시 해운대구 송정1로 8번길 25</t>
  </si>
  <si>
    <t>오토랜드(방배)</t>
  </si>
  <si>
    <t>010-3788-5595</t>
  </si>
  <si>
    <t>서울 서초구 서초대로15번길 4</t>
  </si>
  <si>
    <t>대륙오토</t>
  </si>
  <si>
    <t>010-2806-9270</t>
  </si>
  <si>
    <t>대구광역시 북구 산격동 14-149</t>
  </si>
  <si>
    <t>010-9114-3008</t>
  </si>
  <si>
    <t>대구광역시 달서구 달구벌대로 1374</t>
  </si>
  <si>
    <t>010-8314-0322</t>
  </si>
  <si>
    <t>대구 북구 산격로 7</t>
  </si>
  <si>
    <t>현진미션(칠곡)</t>
  </si>
  <si>
    <t>010-4505-2801</t>
  </si>
  <si>
    <t>대구광역시 북구 태전로1길 36</t>
  </si>
  <si>
    <t>010-5100-1818</t>
  </si>
  <si>
    <t>대구 수성구 파동로 183</t>
  </si>
  <si>
    <t>서산오토(충남)</t>
  </si>
  <si>
    <t>010-5424-6763</t>
  </si>
  <si>
    <t>충남 서산시 예천동 512-27</t>
  </si>
  <si>
    <t>하나오토(청주)</t>
  </si>
  <si>
    <t>010-3547-4485</t>
  </si>
  <si>
    <t>대구광역시 달서구 문화회관5길 63</t>
  </si>
  <si>
    <t>현진미션(남대구)</t>
  </si>
  <si>
    <t>010-2991-0341</t>
  </si>
  <si>
    <t>대구광역시 달서구 문화회관6길 12</t>
  </si>
  <si>
    <t>010-3542-4069</t>
  </si>
  <si>
    <t>대구광역시 달서구 장기로65번길 7</t>
  </si>
  <si>
    <t>현대오토(전주)</t>
    <phoneticPr fontId="2" type="noConversion"/>
  </si>
  <si>
    <t>010-3651-6759</t>
    <phoneticPr fontId="2" type="noConversion"/>
  </si>
  <si>
    <t>전북 전주시 완산구 산월2길 16</t>
    <phoneticPr fontId="2" type="noConversion"/>
  </si>
  <si>
    <t>현대오토(영천)</t>
  </si>
  <si>
    <t>010-6526-9328</t>
  </si>
  <si>
    <t>경상북도 영천시 장수로 64</t>
  </si>
  <si>
    <t>010-3567-6656</t>
  </si>
  <si>
    <t>대구광역시 서구 와룡로 355</t>
  </si>
  <si>
    <t>010-5486-7951</t>
  </si>
  <si>
    <t>대구광역시 달서구 성서서로36길 5-4</t>
  </si>
  <si>
    <t>010-8546-5932</t>
  </si>
  <si>
    <t>경상남도 창원시 마산회원구 봉암공단10길 5</t>
  </si>
  <si>
    <t>010-6315-6046</t>
  </si>
  <si>
    <t>대구 달서구 장기로 382</t>
  </si>
  <si>
    <t>부산비엔비(부산)</t>
    <phoneticPr fontId="2" type="noConversion"/>
  </si>
  <si>
    <t>010-2512-8242</t>
  </si>
  <si>
    <t>대구광역시 달서구 호산동로151</t>
  </si>
  <si>
    <t>이시아오토</t>
  </si>
  <si>
    <t>010-8248-5056</t>
  </si>
  <si>
    <t>대구광역시 동구 팔공로49길 35 107호</t>
  </si>
  <si>
    <t>010-9459-0999</t>
  </si>
  <si>
    <t>대구 서구 팔달로 72-6</t>
  </si>
  <si>
    <t>010-4111-1882</t>
  </si>
  <si>
    <t>010-7180-5255</t>
  </si>
  <si>
    <t>대구 서구 염색공단천로 8-1</t>
  </si>
  <si>
    <t>전주오토(전주)</t>
  </si>
  <si>
    <t>010-6524-1782</t>
  </si>
  <si>
    <t>대구 서구 서대구로63길 39</t>
  </si>
  <si>
    <t>010-6640-2226</t>
  </si>
  <si>
    <t>부산시 해운대구 송정중앙로 9번길 90</t>
  </si>
  <si>
    <t>010-3833-7730</t>
  </si>
  <si>
    <t>부산 기장군 기장읍 차성동로 116번길8 하나로카</t>
  </si>
  <si>
    <t>010-7145-8215</t>
  </si>
  <si>
    <t>경북 구미시 송선로 373</t>
  </si>
  <si>
    <t>혜광오토(부산)</t>
  </si>
  <si>
    <t>한국지엠(대구남구)</t>
  </si>
  <si>
    <t>010-3534-9601</t>
  </si>
  <si>
    <t>대구광역시 남구 대명복개로 141</t>
  </si>
  <si>
    <t>010-7140-3822</t>
  </si>
  <si>
    <t>서울 중랑구 봉화산로58길 11</t>
  </si>
  <si>
    <t>한국오토(노원)</t>
    <phoneticPr fontId="2" type="noConversion"/>
  </si>
  <si>
    <t>010-3717-1041</t>
    <phoneticPr fontId="2" type="noConversion"/>
  </si>
  <si>
    <t>서울 노원구 공릉로 62길 15</t>
    <phoneticPr fontId="2" type="noConversion"/>
  </si>
  <si>
    <t>010-3525-5490</t>
  </si>
  <si>
    <t>대구광역시 수성구 만촌동 425-1</t>
  </si>
  <si>
    <t>010-8852-0830</t>
  </si>
  <si>
    <t>대구광역시 서구 북비산로 105-8</t>
  </si>
  <si>
    <t>010-7383-8520</t>
  </si>
  <si>
    <t>경북 구미시 형곡로14길 5</t>
  </si>
  <si>
    <t>010-5047-4749</t>
    <phoneticPr fontId="2" type="noConversion"/>
  </si>
  <si>
    <t>대구 남구 이천로64</t>
    <phoneticPr fontId="2" type="noConversion"/>
  </si>
  <si>
    <t>010-2029-2144</t>
  </si>
  <si>
    <t>대구광역시 북구 노원로1길 4</t>
  </si>
  <si>
    <t>010-6402-9728</t>
  </si>
  <si>
    <t>대전 중구 안영로 17</t>
  </si>
  <si>
    <t>010-9155-0301</t>
  </si>
  <si>
    <t>경북 포항시 북구 법원로97번길 24-12</t>
  </si>
  <si>
    <t>010-4518-7907</t>
  </si>
  <si>
    <t>대구 달서구 평리로 136</t>
  </si>
  <si>
    <t>010-6351-6658</t>
  </si>
  <si>
    <t>울산광역시 남구 돋질로 367</t>
  </si>
  <si>
    <t>010-4507-9730</t>
  </si>
  <si>
    <t>대구 수성구 동원로 30-1</t>
  </si>
  <si>
    <t>010-3123-6754</t>
  </si>
  <si>
    <t>전주시 완산구 쑥고개로 301-15</t>
  </si>
  <si>
    <t>마일레오토(전주)</t>
  </si>
  <si>
    <t>010-8604-8248</t>
  </si>
  <si>
    <t>전주시 덕진구 들샤평서로26</t>
  </si>
  <si>
    <t>010-3535-6883</t>
  </si>
  <si>
    <t>대구 동구 반야원로14길21</t>
  </si>
  <si>
    <t>혜광오토(김해)</t>
  </si>
  <si>
    <t>010-5370-6523</t>
  </si>
  <si>
    <t>대구광역시 서구 북비산로 42</t>
  </si>
  <si>
    <t>010-7999-2566</t>
    <phoneticPr fontId="2" type="noConversion"/>
  </si>
  <si>
    <t>달성군 현풍읍 현풍동로 147</t>
    <phoneticPr fontId="2" type="noConversion"/>
  </si>
  <si>
    <t>010-3846-5973</t>
  </si>
  <si>
    <t>서울 도봉구 도봉로 881</t>
  </si>
  <si>
    <t>엠모터스(김천)</t>
    <phoneticPr fontId="2" type="noConversion"/>
  </si>
  <si>
    <t>010-9297-3393</t>
    <phoneticPr fontId="2" type="noConversion"/>
  </si>
  <si>
    <t>경상북도 김천시 송설로 114</t>
    <phoneticPr fontId="2" type="noConversion"/>
  </si>
  <si>
    <t>010-5102-8176</t>
  </si>
  <si>
    <t>대구광역시 서구 가르뱅이로 53</t>
  </si>
  <si>
    <t>한일오토(구리)</t>
    <phoneticPr fontId="2" type="noConversion"/>
  </si>
  <si>
    <t>010-3792-6944</t>
    <phoneticPr fontId="2" type="noConversion"/>
  </si>
  <si>
    <t>경기 구리시 경춘로43</t>
    <phoneticPr fontId="2" type="noConversion"/>
  </si>
  <si>
    <t>010-9437-9328</t>
  </si>
  <si>
    <t>부산 북구 구만덕로60번길 66</t>
  </si>
  <si>
    <t>010-4740-3666</t>
  </si>
  <si>
    <t>경기도 고양일산동구 풍동 457-2 3,4호</t>
  </si>
  <si>
    <t>010-4877-5553</t>
  </si>
  <si>
    <t>부산 사상구 모덕로 105</t>
  </si>
  <si>
    <t>010-9825-2555</t>
  </si>
  <si>
    <t>대구 달서구 성화로 155</t>
  </si>
  <si>
    <t>010-4544-7703</t>
  </si>
  <si>
    <t>제주시 남성로23길 19-1</t>
  </si>
  <si>
    <t>admin</t>
  </si>
  <si>
    <t>OILPAN</t>
  </si>
  <si>
    <t>접속시간</t>
    <phoneticPr fontId="2" type="noConversion"/>
  </si>
  <si>
    <t>직원전호</t>
    <phoneticPr fontId="2" type="noConversion"/>
  </si>
  <si>
    <t>BMW</t>
    <phoneticPr fontId="2" type="noConversion"/>
  </si>
  <si>
    <t>AUDI</t>
    <phoneticPr fontId="2" type="noConversion"/>
  </si>
  <si>
    <t>Rangerover</t>
    <phoneticPr fontId="2" type="noConversion"/>
  </si>
  <si>
    <t>FORD</t>
  </si>
  <si>
    <t>aa</t>
  </si>
  <si>
    <t>bb</t>
  </si>
  <si>
    <t>yhj0319</t>
  </si>
  <si>
    <t>제품구분_ID</t>
    <phoneticPr fontId="2" type="noConversion"/>
  </si>
  <si>
    <t>code</t>
  </si>
  <si>
    <t>Product</t>
  </si>
  <si>
    <t>Partno</t>
  </si>
  <si>
    <t>서울서초신원418</t>
    <phoneticPr fontId="2" type="noConversion"/>
  </si>
  <si>
    <t>매출수량</t>
    <phoneticPr fontId="2" type="noConversion"/>
  </si>
  <si>
    <t>원가</t>
    <phoneticPr fontId="2" type="noConversion"/>
  </si>
  <si>
    <t>원가총액</t>
    <phoneticPr fontId="2" type="noConversion"/>
  </si>
  <si>
    <t>매출총액</t>
    <phoneticPr fontId="2" type="noConversion"/>
  </si>
  <si>
    <t>이익금액</t>
    <phoneticPr fontId="2" type="noConversion"/>
  </si>
  <si>
    <t>이익률</t>
    <phoneticPr fontId="2" type="noConversion"/>
  </si>
  <si>
    <t>판매비율</t>
    <phoneticPr fontId="2" type="noConversion"/>
  </si>
  <si>
    <t>평균판매가</t>
    <phoneticPr fontId="2" type="noConversion"/>
  </si>
  <si>
    <t>판매단가</t>
    <phoneticPr fontId="2" type="noConversion"/>
  </si>
  <si>
    <t>이익률(매입)</t>
    <phoneticPr fontId="2" type="noConversion"/>
  </si>
  <si>
    <t>이익률(원가)</t>
    <phoneticPr fontId="2" type="noConversion"/>
  </si>
  <si>
    <t>이익률(매출)</t>
    <phoneticPr fontId="2" type="noConversion"/>
  </si>
  <si>
    <t>판매비율(금액)</t>
    <phoneticPr fontId="2" type="noConversion"/>
  </si>
  <si>
    <t>판매비율(수량)</t>
    <phoneticPr fontId="2" type="noConversion"/>
  </si>
  <si>
    <t>판매비율(매출)</t>
    <phoneticPr fontId="2" type="noConversion"/>
  </si>
  <si>
    <t>결재</t>
  </si>
  <si>
    <t>오늘 총매출</t>
    <phoneticPr fontId="2" type="noConversion"/>
  </si>
  <si>
    <t>이번달 총매출</t>
    <phoneticPr fontId="2" type="noConversion"/>
  </si>
  <si>
    <t>올해 총매출</t>
    <phoneticPr fontId="2" type="noConversion"/>
  </si>
  <si>
    <t>O2E_AL</t>
  </si>
  <si>
    <t>OAM Mechatronics</t>
  </si>
  <si>
    <t>8HP70 VALBEBODY</t>
  </si>
  <si>
    <t>OAM REPAIR KIT</t>
  </si>
  <si>
    <t>BTS</t>
  </si>
  <si>
    <t>ETC</t>
  </si>
  <si>
    <t>OB5_FILTER</t>
  </si>
  <si>
    <t>6F35_SOLENOID_PACK</t>
  </si>
  <si>
    <t>9G_OILPAN</t>
  </si>
  <si>
    <t>75W140</t>
  </si>
  <si>
    <t>OGC_REPAIR</t>
  </si>
  <si>
    <t>8HP50_EGS</t>
  </si>
  <si>
    <t>ISM_NEW</t>
    <phoneticPr fontId="2" type="noConversion"/>
  </si>
  <si>
    <t>LUK</t>
  </si>
  <si>
    <t>CLUTCH Rebuild</t>
  </si>
  <si>
    <t>RAVENOL</t>
  </si>
  <si>
    <t>ME9.7 A273</t>
  </si>
  <si>
    <t>미르오토</t>
  </si>
  <si>
    <t>엠모터스(구미)</t>
  </si>
  <si>
    <t>엠모터스(구미)</t>
    <phoneticPr fontId="2" type="noConversion"/>
  </si>
  <si>
    <t>OB5_Repair_kit &amp; Solenoid</t>
  </si>
  <si>
    <t>8HP50_VALBE_BODY</t>
  </si>
  <si>
    <t>8HP75_Mechatronics</t>
  </si>
  <si>
    <t>010-4849-8824</t>
  </si>
  <si>
    <t>경남 창원시 의창구 남산로 115번길 11</t>
  </si>
  <si>
    <t>ISM_NEW</t>
  </si>
  <si>
    <t>OAM_Mechatronics</t>
  </si>
  <si>
    <t>MEISTER-K(부산)</t>
  </si>
  <si>
    <t>010-7749-5966</t>
  </si>
  <si>
    <t>부산광역시 금정구 반송로 395</t>
  </si>
  <si>
    <t>MEISTER-K(울산)</t>
    <phoneticPr fontId="2" type="noConversion"/>
  </si>
  <si>
    <t>010-3105-8191</t>
    <phoneticPr fontId="2" type="noConversion"/>
  </si>
  <si>
    <t>울산광역시 중구 번영로 612(남외동 544-3)</t>
    <phoneticPr fontId="2" type="noConversion"/>
  </si>
  <si>
    <t>대신(화물)</t>
    <phoneticPr fontId="2" type="noConversion"/>
  </si>
  <si>
    <t>OHL_ONLINE_SERVICE</t>
  </si>
  <si>
    <t>OHK_4번_ONLINE</t>
  </si>
  <si>
    <t>VAS6154</t>
  </si>
  <si>
    <t>OB5_VALBE_BODY</t>
  </si>
  <si>
    <t>공급받는자</t>
    <phoneticPr fontId="2" type="noConversion"/>
  </si>
  <si>
    <t>공급자</t>
    <phoneticPr fontId="2" type="noConversion"/>
  </si>
  <si>
    <t>결과</t>
    <phoneticPr fontId="2" type="noConversion"/>
  </si>
  <si>
    <t>증상</t>
    <phoneticPr fontId="2" type="noConversion"/>
  </si>
  <si>
    <t>명세서위치</t>
    <phoneticPr fontId="2" type="noConversion"/>
  </si>
  <si>
    <t>010-7460-3253</t>
    <phoneticPr fontId="2" type="noConversion"/>
  </si>
  <si>
    <t>남양주시 진접읍 경북대로 451</t>
    <phoneticPr fontId="2" type="noConversion"/>
  </si>
  <si>
    <t>하나오토(진주)</t>
  </si>
  <si>
    <t>010-3214-1040</t>
  </si>
  <si>
    <t>경남 진주시 호탄길15</t>
  </si>
  <si>
    <t>진주상평265</t>
  </si>
  <si>
    <t>010-5452-4454</t>
    <phoneticPr fontId="2" type="noConversion"/>
  </si>
  <si>
    <t>대전광역시 대덕구 신탄진로614</t>
    <phoneticPr fontId="2" type="noConversion"/>
  </si>
  <si>
    <t>대신(택배)</t>
    <phoneticPr fontId="2" type="noConversion"/>
  </si>
  <si>
    <t>대전 신탄진</t>
  </si>
  <si>
    <t>경동(택배)</t>
  </si>
  <si>
    <t>8HP45</t>
    <phoneticPr fontId="2" type="noConversion"/>
  </si>
  <si>
    <t>8HP50</t>
    <phoneticPr fontId="2" type="noConversion"/>
  </si>
  <si>
    <t>8HP70</t>
    <phoneticPr fontId="2" type="noConversion"/>
  </si>
  <si>
    <t>8HP75</t>
    <phoneticPr fontId="2" type="noConversion"/>
  </si>
  <si>
    <t>8HP76</t>
    <phoneticPr fontId="2" type="noConversion"/>
  </si>
  <si>
    <t>8HP90</t>
    <phoneticPr fontId="2" type="noConversion"/>
  </si>
  <si>
    <t>오토티엠(용인)</t>
    <phoneticPr fontId="2" type="noConversion"/>
  </si>
  <si>
    <t>010-6432-2999</t>
    <phoneticPr fontId="2" type="noConversion"/>
  </si>
  <si>
    <t>경기도 용인시 처인구 모현읍 곡현로 656번길 1</t>
    <phoneticPr fontId="2" type="noConversion"/>
  </si>
  <si>
    <t>오토티엠(광명)</t>
    <phoneticPr fontId="2" type="noConversion"/>
  </si>
  <si>
    <t>010-5154-1996</t>
    <phoneticPr fontId="2" type="noConversion"/>
  </si>
  <si>
    <t>경기도 광명시 노온사동 572-108</t>
    <phoneticPr fontId="2" type="noConversion"/>
  </si>
  <si>
    <t>경동(화물)</t>
    <phoneticPr fontId="2" type="noConversion"/>
  </si>
  <si>
    <t>노온사676</t>
    <phoneticPr fontId="2" type="noConversion"/>
  </si>
  <si>
    <t>전주완산효자3가370</t>
  </si>
  <si>
    <t>차대번호</t>
    <phoneticPr fontId="2" type="noConversion"/>
  </si>
  <si>
    <t>VIN:</t>
    <phoneticPr fontId="2" type="noConversion"/>
  </si>
  <si>
    <t>927769DK</t>
  </si>
  <si>
    <t>927769E</t>
  </si>
  <si>
    <t>927156K</t>
  </si>
  <si>
    <t>927156AA</t>
  </si>
  <si>
    <t>OCK</t>
  </si>
  <si>
    <t>VGSNAG3</t>
  </si>
  <si>
    <t>A0002702600</t>
  </si>
  <si>
    <t>VGSNAG2</t>
  </si>
  <si>
    <t>A0009013200</t>
  </si>
  <si>
    <t>0B5398048D</t>
  </si>
  <si>
    <t>OB5_Repair_Kit</t>
  </si>
  <si>
    <t>BTOP</t>
    <phoneticPr fontId="2" type="noConversion"/>
  </si>
  <si>
    <t>A0002703500</t>
    <phoneticPr fontId="2" type="noConversion"/>
  </si>
  <si>
    <t>010-7191-8898</t>
    <phoneticPr fontId="2" type="noConversion"/>
  </si>
  <si>
    <t>광주 광산구 상무대로419번길 11</t>
    <phoneticPr fontId="2" type="noConversion"/>
  </si>
  <si>
    <t>부가세</t>
    <phoneticPr fontId="2" type="noConversion"/>
  </si>
  <si>
    <t>O2E_AL</t>
    <phoneticPr fontId="2" type="noConversion"/>
  </si>
  <si>
    <t>02E927770AL</t>
    <phoneticPr fontId="2" type="noConversion"/>
  </si>
  <si>
    <t>02E927770AQ</t>
  </si>
  <si>
    <t>O2E_AQ</t>
  </si>
  <si>
    <t>O2E_AQ_NEW</t>
  </si>
  <si>
    <t>02E927770AQN</t>
    <phoneticPr fontId="2" type="noConversion"/>
  </si>
  <si>
    <t>0BH927711C</t>
  </si>
  <si>
    <t>OBH</t>
  </si>
  <si>
    <t>미르오토_250320_091859.xlsx</t>
  </si>
  <si>
    <t>VGSNAG3</t>
    <phoneticPr fontId="2" type="noConversion"/>
  </si>
  <si>
    <t>이시아오토_250320_105337.xlsx</t>
  </si>
  <si>
    <t>A7252709011</t>
    <phoneticPr fontId="2" type="noConversion"/>
  </si>
  <si>
    <t>스카이오토미션_250320_115156.xlsx</t>
  </si>
  <si>
    <t>A0054463710</t>
  </si>
  <si>
    <t>010-2278-2326</t>
    <phoneticPr fontId="2" type="noConversion"/>
  </si>
  <si>
    <t>충남 천안시 동남구 유량로 153</t>
    <phoneticPr fontId="2" type="noConversion"/>
  </si>
  <si>
    <t>경동(화물)</t>
    <phoneticPr fontId="2" type="noConversion"/>
  </si>
  <si>
    <t>천안서북성정36</t>
  </si>
  <si>
    <t>혜광오토(양산)</t>
  </si>
  <si>
    <t>010-7308-6869</t>
  </si>
  <si>
    <t>경남 양산시 옥곡8길 18</t>
  </si>
  <si>
    <t>양산북정901</t>
  </si>
  <si>
    <t>010-3218-6031</t>
    <phoneticPr fontId="2" type="noConversion"/>
  </si>
  <si>
    <t>GS</t>
    <phoneticPr fontId="2" type="noConversion"/>
  </si>
  <si>
    <t>서울 서초구 마방로2길 20</t>
    <phoneticPr fontId="2" type="noConversion"/>
  </si>
  <si>
    <t>대성오토(대구)</t>
    <phoneticPr fontId="2" type="noConversion"/>
  </si>
  <si>
    <t>010-7519-0971</t>
    <phoneticPr fontId="2" type="noConversion"/>
  </si>
  <si>
    <t>대구광역시 남구 대명복개로 51</t>
    <phoneticPr fontId="2" type="noConversion"/>
  </si>
  <si>
    <t>대구</t>
    <phoneticPr fontId="2" type="noConversion"/>
  </si>
  <si>
    <t>스타모터스(대구)</t>
  </si>
  <si>
    <t>010-3826-3459</t>
  </si>
  <si>
    <t>대구 수성구 황금동 들안로 130</t>
  </si>
  <si>
    <t>스타모터스(대구)_250320_122443.xlsx</t>
  </si>
  <si>
    <t>010-4810-7573</t>
    <phoneticPr fontId="2" type="noConversion"/>
  </si>
  <si>
    <t>경북 경산시 경안로 133</t>
    <phoneticPr fontId="2" type="noConversion"/>
  </si>
  <si>
    <t>경산갑제319</t>
  </si>
  <si>
    <t>이벤트</t>
    <phoneticPr fontId="2" type="noConversion"/>
  </si>
  <si>
    <t>내용</t>
    <phoneticPr fontId="2" type="noConversion"/>
  </si>
  <si>
    <t>ECU 입수</t>
    <phoneticPr fontId="2" type="noConversion"/>
  </si>
  <si>
    <t>FLANGE</t>
    <phoneticPr fontId="2" type="noConversion"/>
  </si>
  <si>
    <t>FASTGARAGE</t>
    <phoneticPr fontId="2" type="noConversion"/>
  </si>
  <si>
    <t>6F35_SOLENOID_PACK</t>
    <phoneticPr fontId="2" type="noConversion"/>
  </si>
  <si>
    <t>B 1시간 오일교체, 10분 추가</t>
    <phoneticPr fontId="2" type="noConversion"/>
  </si>
  <si>
    <t>F바디 FLANGE 1개 로얄모터스 전달예정
10:50 분에 로얄사장님 가져가심</t>
    <phoneticPr fontId="2" type="noConversion"/>
  </si>
  <si>
    <t>A 1시간 , 투싼 X2.0</t>
    <phoneticPr fontId="2" type="noConversion"/>
  </si>
  <si>
    <t>B 1시간 오일교체, 투싼 VDT</t>
    <phoneticPr fontId="2" type="noConversion"/>
  </si>
  <si>
    <t>F바디 FLANGE 2개 울산 BMW 모터스로 퀵 발송 완료
배송문자 받음 12:20 분 울산 도착</t>
    <phoneticPr fontId="2" type="noConversion"/>
  </si>
  <si>
    <t>FLANGE 퀵</t>
    <phoneticPr fontId="2" type="noConversion"/>
  </si>
  <si>
    <t>DSM 은 ISM 에서 업그레이드 버전</t>
    <phoneticPr fontId="2" type="noConversion"/>
  </si>
  <si>
    <t>A0002701852</t>
    <phoneticPr fontId="2" type="noConversion"/>
  </si>
  <si>
    <t>ISM</t>
    <phoneticPr fontId="2" type="noConversion"/>
  </si>
  <si>
    <t>34265KIT</t>
  </si>
  <si>
    <t>OB5_DISC</t>
  </si>
  <si>
    <t>B&amp;M 모터스 ECU  1개 주고 가심
CLONE 작업완료해서 사장님이 직접 배달가심
ECU문제가 아닌걸로 밝혀져서 clone비만 받음</t>
    <phoneticPr fontId="2" type="noConversion"/>
  </si>
  <si>
    <t>OBH 신형은 전진불가</t>
    <phoneticPr fontId="2" type="noConversion"/>
  </si>
  <si>
    <t>OBH 구형은 1,2 의도와 달리 열림</t>
    <phoneticPr fontId="2" type="noConversion"/>
  </si>
  <si>
    <t>대륙오토_250321_150433.xlsx</t>
  </si>
  <si>
    <t>B24117624192</t>
  </si>
  <si>
    <t>8HP_OILPAN</t>
  </si>
  <si>
    <t>FDCT</t>
  </si>
  <si>
    <t>FDCT</t>
    <phoneticPr fontId="2" type="noConversion"/>
  </si>
  <si>
    <t>신일모터스(경주)</t>
    <phoneticPr fontId="2" type="noConversion"/>
  </si>
  <si>
    <t>010-9220-4599</t>
    <phoneticPr fontId="2" type="noConversion"/>
  </si>
  <si>
    <t>경북 경주시 용황로11길 26-11</t>
    <phoneticPr fontId="2" type="noConversion"/>
  </si>
  <si>
    <t>신일오토(부산)</t>
    <phoneticPr fontId="2" type="noConversion"/>
  </si>
  <si>
    <t>010-5851-3115</t>
    <phoneticPr fontId="2" type="noConversion"/>
  </si>
  <si>
    <t>부산광역시 남구 유엔로 212</t>
    <phoneticPr fontId="2" type="noConversion"/>
  </si>
  <si>
    <t>AZ제일오토미션(순천)</t>
    <phoneticPr fontId="2" type="noConversion"/>
  </si>
  <si>
    <t>D&amp;N모터스(전주)</t>
    <phoneticPr fontId="2" type="noConversion"/>
  </si>
  <si>
    <t>SJ모터스(부산)</t>
    <phoneticPr fontId="2" type="noConversion"/>
  </si>
  <si>
    <t>YG모터스(대구)</t>
    <phoneticPr fontId="2" type="noConversion"/>
  </si>
  <si>
    <t>건영자동차공업사(제주)</t>
    <phoneticPr fontId="2" type="noConversion"/>
  </si>
  <si>
    <t>경남오토미션(창원)</t>
    <phoneticPr fontId="2" type="noConversion"/>
  </si>
  <si>
    <t>경상남도 창원시 의창구 사화로 286</t>
    <phoneticPr fontId="2" type="noConversion"/>
  </si>
  <si>
    <t>그린오토매틱(제주)</t>
    <phoneticPr fontId="2" type="noConversion"/>
  </si>
  <si>
    <t>근모터스(김해)</t>
    <phoneticPr fontId="2" type="noConversion"/>
  </si>
  <si>
    <t>금성오토(광주)</t>
    <phoneticPr fontId="2" type="noConversion"/>
  </si>
  <si>
    <t>김해오토(김해)</t>
    <phoneticPr fontId="2" type="noConversion"/>
  </si>
  <si>
    <t>뉴아트(대구)</t>
    <phoneticPr fontId="2" type="noConversion"/>
  </si>
  <si>
    <t>대경카마스터(대구)</t>
    <phoneticPr fontId="2" type="noConversion"/>
  </si>
  <si>
    <t>대구오토(대구)</t>
    <phoneticPr fontId="2" type="noConversion"/>
  </si>
  <si>
    <t>대덕오토(대전)</t>
    <phoneticPr fontId="2" type="noConversion"/>
  </si>
  <si>
    <t>대륙오토(대구)</t>
    <phoneticPr fontId="2" type="noConversion"/>
  </si>
  <si>
    <t>대명오토(서울서초)</t>
    <phoneticPr fontId="2" type="noConversion"/>
  </si>
  <si>
    <t>가든모터스(서울도봉)</t>
    <phoneticPr fontId="2" type="noConversion"/>
  </si>
  <si>
    <t>댐스(대구)</t>
    <phoneticPr fontId="2" type="noConversion"/>
  </si>
  <si>
    <t>디에이치모터스(서울동대문)</t>
    <phoneticPr fontId="2" type="noConversion"/>
  </si>
  <si>
    <t>디유모터스(울산)</t>
    <phoneticPr fontId="2" type="noConversion"/>
  </si>
  <si>
    <t>로얄오토(대구)</t>
    <phoneticPr fontId="2" type="noConversion"/>
  </si>
  <si>
    <t>마이스터(대구)</t>
    <phoneticPr fontId="2" type="noConversion"/>
  </si>
  <si>
    <t>마이오토(전북완주)</t>
    <phoneticPr fontId="2" type="noConversion"/>
  </si>
  <si>
    <t>매드모터스(광주)</t>
    <phoneticPr fontId="2" type="noConversion"/>
  </si>
  <si>
    <t>메이븐오토미션(서울중랑구)</t>
    <phoneticPr fontId="2" type="noConversion"/>
  </si>
  <si>
    <t>명종모터스(대구)</t>
    <phoneticPr fontId="2" type="noConversion"/>
  </si>
  <si>
    <t>명차(대구)</t>
    <phoneticPr fontId="2" type="noConversion"/>
  </si>
  <si>
    <t>미르오토(대구)</t>
    <phoneticPr fontId="2" type="noConversion"/>
  </si>
  <si>
    <t>삼호미션(전주)</t>
    <phoneticPr fontId="2" type="noConversion"/>
  </si>
  <si>
    <t>상상오토컴퍼니(부산)</t>
    <phoneticPr fontId="2" type="noConversion"/>
  </si>
  <si>
    <t>서기사오토(대구)</t>
    <phoneticPr fontId="2" type="noConversion"/>
  </si>
  <si>
    <t>성민오토(대전)</t>
  </si>
  <si>
    <t>성민오토(대전)</t>
    <phoneticPr fontId="2" type="noConversion"/>
  </si>
  <si>
    <t>성실자동차(인천)</t>
    <phoneticPr fontId="2" type="noConversion"/>
  </si>
  <si>
    <t>세계오토(대구)</t>
    <phoneticPr fontId="2" type="noConversion"/>
  </si>
  <si>
    <t>세기자동차공업사(인천)</t>
    <phoneticPr fontId="2" type="noConversion"/>
  </si>
  <si>
    <t>세븐모터스(대구)</t>
    <phoneticPr fontId="2" type="noConversion"/>
  </si>
  <si>
    <t>수레카모터스(인천)</t>
    <phoneticPr fontId="2" type="noConversion"/>
  </si>
  <si>
    <t>스카이오토미션(천안)</t>
    <phoneticPr fontId="2" type="noConversion"/>
  </si>
  <si>
    <t>아이디모터스(부산)</t>
    <phoneticPr fontId="2" type="noConversion"/>
  </si>
  <si>
    <t>알씨모터스(대구)</t>
    <phoneticPr fontId="2" type="noConversion"/>
  </si>
  <si>
    <t>엠팩토리(대구)</t>
    <phoneticPr fontId="2" type="noConversion"/>
  </si>
  <si>
    <t>연화오토(대구)</t>
    <phoneticPr fontId="2" type="noConversion"/>
  </si>
  <si>
    <t>영성모터스(경산)</t>
    <phoneticPr fontId="2" type="noConversion"/>
  </si>
  <si>
    <t>오거리카(대구)</t>
    <phoneticPr fontId="2" type="noConversion"/>
  </si>
  <si>
    <t>오토맥스(대구)</t>
    <phoneticPr fontId="2" type="noConversion"/>
  </si>
  <si>
    <t>오토서비스(평택)</t>
    <phoneticPr fontId="2" type="noConversion"/>
  </si>
  <si>
    <t>오토세븐(대구)</t>
    <phoneticPr fontId="2" type="noConversion"/>
  </si>
  <si>
    <t>오토월드(대구)</t>
    <phoneticPr fontId="2" type="noConversion"/>
  </si>
  <si>
    <t>오토젠(남양주)</t>
    <phoneticPr fontId="2" type="noConversion"/>
  </si>
  <si>
    <t>우본정비공장(대구)</t>
    <phoneticPr fontId="2" type="noConversion"/>
  </si>
  <si>
    <t>웨스트모터스(대구)</t>
    <phoneticPr fontId="2" type="noConversion"/>
  </si>
  <si>
    <t>윤마스터(포항)</t>
    <phoneticPr fontId="2" type="noConversion"/>
  </si>
  <si>
    <t>윤중오토미션(대전)</t>
    <phoneticPr fontId="2" type="noConversion"/>
  </si>
  <si>
    <t>은현자동차공업소(용인)</t>
    <phoneticPr fontId="2" type="noConversion"/>
  </si>
  <si>
    <t>이시아오토(대구)</t>
    <phoneticPr fontId="2" type="noConversion"/>
  </si>
  <si>
    <t>제이씨오토(충남예산)</t>
    <phoneticPr fontId="2" type="noConversion"/>
  </si>
  <si>
    <t>충청남도 예산군 예산읍 발연로 60-5</t>
    <phoneticPr fontId="2" type="noConversion"/>
  </si>
  <si>
    <t>제이오토(대구)</t>
    <phoneticPr fontId="2" type="noConversion"/>
  </si>
  <si>
    <t>제일오토(대구)</t>
    <phoneticPr fontId="2" type="noConversion"/>
  </si>
  <si>
    <t>젠오토(구미)</t>
    <phoneticPr fontId="2" type="noConversion"/>
  </si>
  <si>
    <t>조이오토(대구)</t>
    <phoneticPr fontId="2" type="noConversion"/>
  </si>
  <si>
    <t>준오토미션(부산)</t>
    <phoneticPr fontId="2" type="noConversion"/>
  </si>
  <si>
    <t>지성모터스(대전)</t>
    <phoneticPr fontId="2" type="noConversion"/>
  </si>
  <si>
    <t>지오모터스(창원)</t>
    <phoneticPr fontId="2" type="noConversion"/>
  </si>
  <si>
    <t>지원오토미션(창원)</t>
    <phoneticPr fontId="2" type="noConversion"/>
  </si>
  <si>
    <t>진영오토(남양주)</t>
    <phoneticPr fontId="2" type="noConversion"/>
  </si>
  <si>
    <t>진홍오토(대구)</t>
    <phoneticPr fontId="2" type="noConversion"/>
  </si>
  <si>
    <t>차닥터남모터스(인천)</t>
    <phoneticPr fontId="2" type="noConversion"/>
  </si>
  <si>
    <t>최고윤우오토샵(부산)</t>
    <phoneticPr fontId="2" type="noConversion"/>
  </si>
  <si>
    <t>카이드모터스(인천)</t>
    <phoneticPr fontId="2" type="noConversion"/>
  </si>
  <si>
    <t>코리아탑오토샵(대전)</t>
    <phoneticPr fontId="2" type="noConversion"/>
  </si>
  <si>
    <t>태경오토(경기도고양)</t>
    <phoneticPr fontId="2" type="noConversion"/>
  </si>
  <si>
    <t>태양모터스(대구)</t>
    <phoneticPr fontId="2" type="noConversion"/>
  </si>
  <si>
    <t>프로오토미션(광주)</t>
    <phoneticPr fontId="2" type="noConversion"/>
  </si>
  <si>
    <t>하나로카(부산)</t>
    <phoneticPr fontId="2" type="noConversion"/>
  </si>
  <si>
    <t>하오르모터스(부산)</t>
    <phoneticPr fontId="2" type="noConversion"/>
  </si>
  <si>
    <t>하이웨이(구미)</t>
    <phoneticPr fontId="2" type="noConversion"/>
  </si>
  <si>
    <t>하정오토(광주)</t>
    <phoneticPr fontId="2" type="noConversion"/>
  </si>
  <si>
    <t>한결카오토미션(대전)</t>
    <phoneticPr fontId="2" type="noConversion"/>
  </si>
  <si>
    <t>한국오토정비공업사(울산)</t>
    <phoneticPr fontId="2" type="noConversion"/>
  </si>
  <si>
    <t>한독오토(대구)</t>
    <phoneticPr fontId="2" type="noConversion"/>
  </si>
  <si>
    <t>한신오토미션(서울 송파)</t>
    <phoneticPr fontId="2" type="noConversion"/>
  </si>
  <si>
    <t>형제카정비(현풍)</t>
    <phoneticPr fontId="2" type="noConversion"/>
  </si>
  <si>
    <t>비앤비모터스(창원)</t>
    <phoneticPr fontId="2" type="noConversion"/>
  </si>
  <si>
    <t>제이피오토미션(부산)</t>
    <phoneticPr fontId="2" type="noConversion"/>
  </si>
  <si>
    <t>A7252709011</t>
  </si>
  <si>
    <t>후진기어 삽입</t>
  </si>
  <si>
    <t>스타모터스(대구)_250324_113224.xlsx</t>
  </si>
  <si>
    <t>010-6261-2920</t>
    <phoneticPr fontId="2" type="noConversion"/>
  </si>
  <si>
    <t>대전 대덕구 비래동로15번길 76</t>
    <phoneticPr fontId="2" type="noConversion"/>
  </si>
  <si>
    <t>VGS2-FDCT</t>
    <phoneticPr fontId="2" type="noConversion"/>
  </si>
  <si>
    <t>A0054463710</t>
    <phoneticPr fontId="2" type="noConversion"/>
  </si>
  <si>
    <t>오일온도센서 경고등</t>
  </si>
  <si>
    <t>성민오토(대전)_250324_114653.xlsx</t>
  </si>
  <si>
    <t>스타모터스 9단 Clone &gt; 퀵 발송완료</t>
    <phoneticPr fontId="2" type="noConversion"/>
  </si>
  <si>
    <t>대전 성민 오토 FDCT 입수
고품/번호판/신품 놓고 사진찍어서 전달</t>
    <phoneticPr fontId="2" type="noConversion"/>
  </si>
  <si>
    <t>9단</t>
    <phoneticPr fontId="2" type="noConversion"/>
  </si>
  <si>
    <t>정인호오토샵(김천)</t>
  </si>
  <si>
    <t>정인호오토샵(김천)</t>
    <phoneticPr fontId="2" type="noConversion"/>
  </si>
  <si>
    <t>010-3543-0211</t>
    <phoneticPr fontId="2" type="noConversion"/>
  </si>
  <si>
    <t>경북 김천시 다삼로 30</t>
    <phoneticPr fontId="2" type="noConversion"/>
  </si>
  <si>
    <t>경동(화물)</t>
    <phoneticPr fontId="2" type="noConversion"/>
  </si>
  <si>
    <t>정인호오토샵(김천)_250324_122810.xlsx</t>
  </si>
  <si>
    <t>매드모터스(광주)</t>
  </si>
  <si>
    <t>매드모터스(광주)_250324_133232.xlsx</t>
  </si>
  <si>
    <t>Differential</t>
    <phoneticPr fontId="2" type="noConversion"/>
  </si>
  <si>
    <t>9단</t>
    <phoneticPr fontId="2" type="noConversion"/>
  </si>
  <si>
    <t>하나오토(진주) 16:20분 서부정류장</t>
    <phoneticPr fontId="2" type="noConversion"/>
  </si>
  <si>
    <t>현진미션(칠곡)_250324_143231.xlsx</t>
  </si>
  <si>
    <t>8HP50</t>
    <phoneticPr fontId="2" type="noConversion"/>
  </si>
  <si>
    <t>칠곡 현진미션 사장님 직접 가심</t>
    <phoneticPr fontId="2" type="noConversion"/>
  </si>
  <si>
    <t>삼호미션</t>
    <phoneticPr fontId="2" type="noConversion"/>
  </si>
  <si>
    <t>9단 Clone 작업</t>
    <phoneticPr fontId="2" type="noConversion"/>
  </si>
  <si>
    <t>아이디모터스</t>
    <phoneticPr fontId="2" type="noConversion"/>
  </si>
  <si>
    <t>OGC 센서 1번수리 P1735</t>
    <phoneticPr fontId="2" type="noConversion"/>
  </si>
  <si>
    <t>OGC</t>
    <phoneticPr fontId="2" type="noConversion"/>
  </si>
  <si>
    <t>삼호미션(전주)</t>
  </si>
  <si>
    <t>010-7472-7003</t>
    <phoneticPr fontId="2" type="noConversion"/>
  </si>
  <si>
    <t>전주시 덕진구 신복로 18-11</t>
    <phoneticPr fontId="2" type="noConversion"/>
  </si>
  <si>
    <t>전주덕진팔복1가 283</t>
  </si>
  <si>
    <t>아이디모터스(부산)</t>
  </si>
  <si>
    <t>010-6670-5324</t>
    <phoneticPr fontId="2" type="noConversion"/>
  </si>
  <si>
    <t>부산시 수영구 광남로 219</t>
    <phoneticPr fontId="2" type="noConversion"/>
  </si>
  <si>
    <t>부산수영망미392</t>
  </si>
  <si>
    <t>미르오토(대구)</t>
  </si>
  <si>
    <t>제품구분</t>
    <phoneticPr fontId="2" type="noConversion"/>
  </si>
  <si>
    <t>FORD</t>
    <phoneticPr fontId="2" type="noConversion"/>
  </si>
  <si>
    <t>TCU</t>
    <phoneticPr fontId="2" type="noConversion"/>
  </si>
  <si>
    <t>VGS</t>
    <phoneticPr fontId="2" type="noConversion"/>
  </si>
  <si>
    <t>EGS</t>
    <phoneticPr fontId="2" type="noConversion"/>
  </si>
  <si>
    <t>Valvebody</t>
    <phoneticPr fontId="2" type="noConversion"/>
  </si>
  <si>
    <t>Mechatronics</t>
    <phoneticPr fontId="2" type="noConversion"/>
  </si>
  <si>
    <t>Wire Kit</t>
    <phoneticPr fontId="2" type="noConversion"/>
  </si>
  <si>
    <t>Solenoid</t>
  </si>
  <si>
    <t>Solenoid</t>
    <phoneticPr fontId="2" type="noConversion"/>
  </si>
  <si>
    <t>Flange</t>
    <phoneticPr fontId="2" type="noConversion"/>
  </si>
  <si>
    <t>Parkpawl</t>
    <phoneticPr fontId="2" type="noConversion"/>
  </si>
  <si>
    <t>TC</t>
    <phoneticPr fontId="2" type="noConversion"/>
  </si>
  <si>
    <t>Clutch</t>
    <phoneticPr fontId="2" type="noConversion"/>
  </si>
  <si>
    <t>Oilpan</t>
    <phoneticPr fontId="2" type="noConversion"/>
  </si>
  <si>
    <t>Gearbox</t>
    <phoneticPr fontId="2" type="noConversion"/>
  </si>
  <si>
    <t>Filter</t>
    <phoneticPr fontId="2" type="noConversion"/>
  </si>
  <si>
    <t>OHK</t>
    <phoneticPr fontId="2" type="noConversion"/>
  </si>
  <si>
    <t>OB5</t>
    <phoneticPr fontId="2" type="noConversion"/>
  </si>
  <si>
    <t>OAM</t>
    <phoneticPr fontId="2" type="noConversion"/>
  </si>
  <si>
    <t>OAM_E</t>
    <phoneticPr fontId="2" type="noConversion"/>
  </si>
  <si>
    <t>OAW</t>
    <phoneticPr fontId="2" type="noConversion"/>
  </si>
  <si>
    <t>O2E</t>
    <phoneticPr fontId="2" type="noConversion"/>
  </si>
  <si>
    <t>OBH</t>
    <phoneticPr fontId="2" type="noConversion"/>
  </si>
  <si>
    <t>OCK</t>
    <phoneticPr fontId="2" type="noConversion"/>
  </si>
  <si>
    <t>CVT</t>
    <phoneticPr fontId="2" type="noConversion"/>
  </si>
  <si>
    <t>VGSNAG2</t>
    <phoneticPr fontId="2" type="noConversion"/>
  </si>
  <si>
    <t>8HP55</t>
    <phoneticPr fontId="2" type="noConversion"/>
  </si>
  <si>
    <t>6GT</t>
    <phoneticPr fontId="2" type="noConversion"/>
  </si>
  <si>
    <t>8HP65</t>
    <phoneticPr fontId="2" type="noConversion"/>
  </si>
  <si>
    <t>G-Body</t>
    <phoneticPr fontId="2" type="noConversion"/>
  </si>
  <si>
    <t>F-Body</t>
    <phoneticPr fontId="2" type="noConversion"/>
  </si>
  <si>
    <t>8단</t>
    <phoneticPr fontId="2" type="noConversion"/>
  </si>
  <si>
    <t>6단</t>
    <phoneticPr fontId="2" type="noConversion"/>
  </si>
  <si>
    <t>7단</t>
    <phoneticPr fontId="2" type="noConversion"/>
  </si>
  <si>
    <t>No</t>
    <phoneticPr fontId="2" type="noConversion"/>
  </si>
  <si>
    <t>미르오토(대구)_250326_161744.xlsx</t>
  </si>
  <si>
    <t>119모터스(화성)</t>
  </si>
  <si>
    <t>119모터스(화성)_250326_180440.xlsx</t>
  </si>
  <si>
    <t>삼호미션(전주)_250326_180708.xlsx</t>
  </si>
  <si>
    <t>미르오토(대구)_250326_180953.xlsx</t>
  </si>
  <si>
    <t>엠모터스(구미)_250326_181053.xlsx</t>
  </si>
  <si>
    <t>D&amp;N모터스(전주)</t>
  </si>
  <si>
    <t>D&amp;N모터스(전주)_250326_181146.xlsx</t>
  </si>
  <si>
    <t>대륙오토(대구)</t>
  </si>
  <si>
    <t>대륙오토(대구)_250326_181247.xlsx</t>
  </si>
  <si>
    <t>미르오토(대구)_250326_181328.xlsx</t>
  </si>
  <si>
    <t>대륙오토(대구)_250326_182322.xlsx</t>
  </si>
  <si>
    <t>엠모터스(구미)_250326_182522.xlsx</t>
  </si>
  <si>
    <t>제일오토(대구)</t>
  </si>
  <si>
    <t>제일오토(대구)_250326_182617.xlsx</t>
  </si>
  <si>
    <t>미르오토(대구)_250326_182714.xlsx</t>
  </si>
  <si>
    <t>대덕오토(대전)</t>
  </si>
  <si>
    <t>대덕오토(대전)_250326_182800.xlsx</t>
  </si>
  <si>
    <t>비앤비모터스(창원)</t>
  </si>
  <si>
    <t>비앤비모터스(창원)_250326_182902.xlsx</t>
  </si>
  <si>
    <t>태양모터스(대구)</t>
  </si>
  <si>
    <t>태양모터스(대구)_250326_183004.xlsx</t>
  </si>
  <si>
    <t>한독오토(대구)</t>
  </si>
  <si>
    <t>한독오토(대구)_250326_183106.xlsx</t>
  </si>
  <si>
    <t>미르오토(대구)_250326_183153.xlsx</t>
  </si>
  <si>
    <t>대륙오토(대구)_250326_183227.xlsx</t>
  </si>
  <si>
    <t>혜광오토(부산)_250326_183304.xlsx</t>
  </si>
  <si>
    <t>혜광오토(김해)_250326_183428.xlsx</t>
  </si>
  <si>
    <t>02E927770AL</t>
  </si>
  <si>
    <t>미르오토(대구)_250326_183527.xlsx</t>
  </si>
  <si>
    <t>MEISTER-K(부산)_250326_183602.xlsx</t>
  </si>
  <si>
    <t>대명오토(서울서초)</t>
  </si>
  <si>
    <t>대명오토(서울서초)_250326_183748.xlsx</t>
  </si>
  <si>
    <t>이시아오토(대구)</t>
  </si>
  <si>
    <t>GASKET</t>
  </si>
  <si>
    <t>이시아오토(대구)_250326_183908.xlsx</t>
  </si>
  <si>
    <t>현진미션(칠곡)_250326_183950.xlsx</t>
  </si>
  <si>
    <t>진영오토(남양주)</t>
  </si>
  <si>
    <t>진영오토(남양주)_250326_184142.xlsx</t>
  </si>
  <si>
    <t>만놀 오일</t>
  </si>
  <si>
    <t>오일팬</t>
  </si>
  <si>
    <t>미르오토(대구)_250326_184253.xlsx</t>
  </si>
  <si>
    <t>하나오토(진주)_250326_184403.xlsx</t>
  </si>
  <si>
    <t>연화오토(대구)</t>
  </si>
  <si>
    <t>ZF Oilpan Hybrid</t>
  </si>
  <si>
    <t>연화오토(대구)_250326_184514.xlsx</t>
  </si>
  <si>
    <t>6HP Repair</t>
  </si>
  <si>
    <t>현대오토(영천)_250326_184607.xlsx</t>
  </si>
  <si>
    <t>엠모터스(구미)_250326_184655.xlsx</t>
  </si>
  <si>
    <t>오토티엠(광명)</t>
  </si>
  <si>
    <t>8G45 Valvebody</t>
  </si>
  <si>
    <t>오토티엠(광명)_250326_184826.xlsx</t>
  </si>
  <si>
    <t>전주오토(전주)</t>
    <phoneticPr fontId="2" type="noConversion"/>
  </si>
  <si>
    <t>010-6665-7115</t>
    <phoneticPr fontId="2" type="noConversion"/>
  </si>
  <si>
    <t>OC8_Transfer_Case</t>
  </si>
  <si>
    <t>전주오토(전주)_250326_185135.xlsx</t>
  </si>
  <si>
    <t>OB5_TCU_CLONE</t>
  </si>
  <si>
    <t>이시아오토(대구)_250326_185242.xlsx</t>
  </si>
  <si>
    <t>웨스트모터스(대구)</t>
  </si>
  <si>
    <t>VGSNAG3 Repair</t>
  </si>
  <si>
    <t>PARK_PAWL</t>
  </si>
  <si>
    <t>웨스트모터스(대구)_250326_185411.xlsx</t>
  </si>
  <si>
    <t>지오모터스(창원)</t>
  </si>
  <si>
    <t>지오모터스(창원)_250326_185501.xlsx</t>
  </si>
  <si>
    <t>미르오토(대구)_250326_185545.xlsx</t>
  </si>
  <si>
    <t>BENZ VGS 작업</t>
  </si>
  <si>
    <t>미르오토(대구)_250326_185622.xlsx</t>
  </si>
  <si>
    <t>OD9 Mechatronics</t>
  </si>
  <si>
    <t>혜광오토(부산)_250326_185747.xlsx</t>
  </si>
  <si>
    <t>Differential</t>
  </si>
  <si>
    <t>UPS진행</t>
  </si>
  <si>
    <t>매드모터스(광주)_250326_185849.xlsx</t>
  </si>
  <si>
    <t>Golf 작업비</t>
  </si>
  <si>
    <t>OB5 Clutch</t>
  </si>
  <si>
    <t>OB5 Valvebody</t>
  </si>
  <si>
    <t>대륙오토(대구)_250326_190010.xlsx</t>
  </si>
  <si>
    <t>스타모터스(대구)_250326_190151.xlsx</t>
  </si>
  <si>
    <t>이시아오토(대구)_250326_190222.xlsx</t>
  </si>
  <si>
    <t>혜광오토(양산)_250326_190310.xlsx</t>
  </si>
  <si>
    <t>영성모터스(경산)</t>
  </si>
  <si>
    <t>영성모터스(경산)_250326_190448.xlsx</t>
  </si>
  <si>
    <t>BMW모터스(울산)</t>
  </si>
  <si>
    <t>BMW Flang</t>
  </si>
  <si>
    <t>퀵버스</t>
  </si>
  <si>
    <t>BMW모터스(울산)_250326_190617.xlsx</t>
  </si>
  <si>
    <t>B&amp;M모터스</t>
  </si>
  <si>
    <t>010-2191-0884</t>
  </si>
  <si>
    <t>대구 북구 성북로 3-1</t>
  </si>
  <si>
    <t>MSD80 DME</t>
  </si>
  <si>
    <t>B&amp;M모터스_250326_190928.xlsx</t>
  </si>
  <si>
    <t>대륙오토(대구)_250326_191026.xlsx</t>
  </si>
  <si>
    <t>성민오토(대전)_250326_191421.xlsx</t>
  </si>
  <si>
    <t>스타모터스(대구)_250326_191536.xlsx</t>
  </si>
  <si>
    <t>정인호오토샵(김천)_250326_191650.xlsx</t>
  </si>
  <si>
    <t>하나오토(진주)_250326_191722.xlsx</t>
  </si>
  <si>
    <t>현진미션(칠곡)_250326_191805.xlsx</t>
  </si>
  <si>
    <t>신일모터스(경주)</t>
  </si>
  <si>
    <t>오일압력 무압력</t>
  </si>
  <si>
    <t>신일모터스(경주)_250326_191920.xlsx</t>
  </si>
  <si>
    <t>6HP_Repair</t>
  </si>
  <si>
    <t>제일오토(대구)_250326_192016.xlsx</t>
  </si>
  <si>
    <t>엠모터스(구미)_250326_192050.xlsx</t>
  </si>
  <si>
    <t>OC8 Pump + Valvebody</t>
  </si>
  <si>
    <t>현진미션(남대구)_250326_192209.xlsx</t>
  </si>
  <si>
    <t>대륙오토(대구)_250326_192257.xlsx</t>
  </si>
  <si>
    <t>제이오토(대구)</t>
  </si>
  <si>
    <t>VGS3_Oilpan</t>
  </si>
  <si>
    <t>제이오토(대구)_250326_192414.xlsx</t>
  </si>
  <si>
    <t>동명오토(인천)</t>
  </si>
  <si>
    <t>동명오토(인천)_250326_192515.xlsx</t>
  </si>
  <si>
    <t>현진미션(남대구)_250326_192604.xlsx</t>
  </si>
  <si>
    <t>삼호미션(전주)_250326_192635.xlsx</t>
  </si>
  <si>
    <t>아이디모터스(부산)_250326_192726.xlsx</t>
  </si>
  <si>
    <t>6HP_Oilpan</t>
  </si>
  <si>
    <t>현진미션(칠곡)_250326_192838.xlsx</t>
  </si>
  <si>
    <t>모토매니아(화성)</t>
  </si>
  <si>
    <t>010-9900-6293</t>
    <phoneticPr fontId="2" type="noConversion"/>
  </si>
  <si>
    <t>경기도 화성시 양감면 장승백이길4</t>
    <phoneticPr fontId="2" type="noConversion"/>
  </si>
  <si>
    <t>부산비엔비(부산)</t>
  </si>
  <si>
    <t>GSM</t>
  </si>
  <si>
    <t>변속기 범위 셀렉터 룩 컨트롤 에러</t>
  </si>
  <si>
    <t>부산비엔비(부산)_250327_110518.xlsx</t>
  </si>
  <si>
    <t>사용자 로그인</t>
    <phoneticPr fontId="2" type="noConversion"/>
  </si>
  <si>
    <t>비밀번호를 입력하세요</t>
  </si>
  <si>
    <t>부산비엔비(부산)_250329_120401.xlsx</t>
  </si>
  <si>
    <t>VGS2-FDCT</t>
  </si>
  <si>
    <t>마일레오토(마포)_250329_120454.xlsx</t>
  </si>
  <si>
    <t>A0002703500</t>
  </si>
  <si>
    <t>부산사상학장246</t>
    <phoneticPr fontId="2" type="noConversion"/>
  </si>
  <si>
    <t>폭스바겐(천안)</t>
  </si>
  <si>
    <t>010-4886-7701</t>
  </si>
  <si>
    <t>충남 천안시 서북구 성정동 36-9</t>
  </si>
  <si>
    <t>모토매니아(화성)</t>
    <phoneticPr fontId="2" type="noConversion"/>
  </si>
  <si>
    <t>모토매니아(화성)_250327_110240.xlsx</t>
    <phoneticPr fontId="2" type="noConversion"/>
  </si>
  <si>
    <t/>
  </si>
  <si>
    <t>제품코드</t>
    <phoneticPr fontId="2" type="noConversion"/>
  </si>
  <si>
    <t>모터매니아(화성)</t>
    <phoneticPr fontId="2" type="noConversion"/>
  </si>
  <si>
    <t>경동(화물)</t>
    <phoneticPr fontId="2" type="noConversion"/>
  </si>
  <si>
    <t>화성양감요당580</t>
    <phoneticPr fontId="2" type="noConversion"/>
  </si>
  <si>
    <t>후진기어 삽입 되지 않음</t>
  </si>
  <si>
    <t>제이오토(대구)_250331_115707.xlsx</t>
  </si>
  <si>
    <t>혜광오토(김해)_250331_120042.xlsx</t>
  </si>
  <si>
    <t>OCK_Filter</t>
  </si>
  <si>
    <t>마일레오토(군포)_250331_180447.xlsx</t>
  </si>
  <si>
    <t>AZ제일오토미션(순천)</t>
  </si>
  <si>
    <t>OAW</t>
  </si>
  <si>
    <t>AZ제일오토미션(순천)_250331_184852.xlsx</t>
  </si>
  <si>
    <t>대구오토(대구)</t>
  </si>
  <si>
    <t>VGS2-FCVT</t>
  </si>
  <si>
    <t>대구오토(대구)_250331_185011.xlsx</t>
  </si>
  <si>
    <t>대구오토(대구)_250331_185119.xlsx</t>
  </si>
  <si>
    <t>대구오토(대구)_250331_185158.xlsx</t>
  </si>
  <si>
    <t>하나오토(청주)_250331_185310.xlsx</t>
  </si>
  <si>
    <t>한국오토(일산)</t>
  </si>
  <si>
    <t>OAM_Valvebody</t>
  </si>
  <si>
    <t>602000700 클러치</t>
  </si>
  <si>
    <t>410013910 니들베어링</t>
  </si>
  <si>
    <t>한국오토(일산)_250331_185624.xlsx</t>
  </si>
  <si>
    <t>한국오토(일산)_250331_185723.xlsx</t>
  </si>
  <si>
    <t>OB5105317R</t>
  </si>
  <si>
    <t>대명오토(서울서초)_250331_185829.xlsx</t>
  </si>
  <si>
    <t>한국오토(안양)_250331_190111.xlsx</t>
  </si>
  <si>
    <t>한국오토(안양)_250331_190227.xlsx</t>
  </si>
  <si>
    <t>금성오토(광주)</t>
  </si>
  <si>
    <t>금성오토(광주)_250331_190310.xlsx</t>
  </si>
  <si>
    <t>스카이오토미션(천안)</t>
  </si>
  <si>
    <t>스카이오토미션(천안)_250331_190355.xlsx</t>
  </si>
  <si>
    <t>OB5 ORING + GASKET</t>
  </si>
  <si>
    <t>대덕오토(대전)_250331_190541.xlsx</t>
  </si>
  <si>
    <t>고홍석</t>
  </si>
  <si>
    <t>자동차 점검/정비견적서</t>
  </si>
  <si>
    <t>고홍석_250331_190752.xlsx</t>
  </si>
  <si>
    <t>_250331_190947.xlsx</t>
  </si>
  <si>
    <t>자동차 점검/정비 견적서</t>
  </si>
  <si>
    <t>_250331_191055.xlsx</t>
  </si>
  <si>
    <t>원가</t>
    <phoneticPr fontId="2" type="noConversion"/>
  </si>
  <si>
    <t>8HP70 VALBEBODY</t>
    <phoneticPr fontId="2" type="noConversion"/>
  </si>
  <si>
    <t>75W140</t>
    <phoneticPr fontId="2" type="noConversion"/>
  </si>
  <si>
    <t>B&amp;M모터스_250401_094517.xlsx</t>
  </si>
  <si>
    <t>마일레오토(군포)</t>
    <phoneticPr fontId="2" type="noConversion"/>
  </si>
  <si>
    <t>010-8779-3722</t>
    <phoneticPr fontId="2" type="noConversion"/>
  </si>
  <si>
    <t>경기도 군포시 군포로 121</t>
    <phoneticPr fontId="2" type="noConversion"/>
  </si>
  <si>
    <t>경동(화물)</t>
    <phoneticPr fontId="2" type="noConversion"/>
  </si>
  <si>
    <t>010-3693-1600</t>
    <phoneticPr fontId="2" type="noConversion"/>
  </si>
  <si>
    <t>제주시 연미2길 16-3(오라3동)</t>
    <phoneticPr fontId="2" type="noConversion"/>
  </si>
  <si>
    <t>제주화북４７０１</t>
  </si>
  <si>
    <t>혜광오토(김해)</t>
    <phoneticPr fontId="2" type="noConversion"/>
  </si>
  <si>
    <t>010-4541-6869</t>
    <phoneticPr fontId="2" type="noConversion"/>
  </si>
  <si>
    <t>김해시 해반천로 50-1</t>
    <phoneticPr fontId="2" type="noConversion"/>
  </si>
  <si>
    <t>김해삼계1278</t>
  </si>
  <si>
    <t>BMW모터스(울산)_250401_100448.xlsx</t>
  </si>
  <si>
    <t>대구광역시 달서구 대명천로 26</t>
    <phoneticPr fontId="2" type="noConversion"/>
  </si>
  <si>
    <t>구마고속주유소</t>
  </si>
  <si>
    <t>사용처</t>
    <phoneticPr fontId="2" type="noConversion"/>
  </si>
  <si>
    <t>금액</t>
    <phoneticPr fontId="2" type="noConversion"/>
  </si>
  <si>
    <t>ODN321371B</t>
  </si>
  <si>
    <t>ODN321371B(가스켓)</t>
  </si>
  <si>
    <t>AZ제일오토미션(순천)_250401_143934.xlsx</t>
  </si>
  <si>
    <t>커넥터</t>
  </si>
  <si>
    <t>AZ제일오토미션(순천)_250401_161958.xlsx</t>
  </si>
  <si>
    <t>010-6235-6470</t>
    <phoneticPr fontId="2" type="noConversion"/>
  </si>
  <si>
    <t>GS</t>
    <phoneticPr fontId="2" type="noConversion"/>
  </si>
  <si>
    <t>전남 순천시 우석로81</t>
    <phoneticPr fontId="2" type="noConversion"/>
  </si>
  <si>
    <t>경동(화물)</t>
    <phoneticPr fontId="2" type="noConversion"/>
  </si>
  <si>
    <t>순천남정81</t>
  </si>
  <si>
    <t>퀵비</t>
  </si>
  <si>
    <t>8HP75_EGS</t>
  </si>
  <si>
    <t>제일오토(대구)_250402_115830.xlsx</t>
  </si>
  <si>
    <t>나들이김밥</t>
  </si>
  <si>
    <t>OILPAN_9G</t>
  </si>
  <si>
    <t>OILPAN_9G</t>
    <phoneticPr fontId="2" type="noConversion"/>
  </si>
  <si>
    <t>602000700(OAM클러치)</t>
    <phoneticPr fontId="2" type="noConversion"/>
  </si>
  <si>
    <t>OB5 FILTER SET</t>
    <phoneticPr fontId="2" type="noConversion"/>
  </si>
  <si>
    <t>415054509(플라이휠)</t>
    <phoneticPr fontId="2" type="noConversion"/>
  </si>
  <si>
    <t>0b5 sol</t>
    <phoneticPr fontId="2" type="noConversion"/>
  </si>
  <si>
    <t>OB5_Solenoid</t>
  </si>
  <si>
    <t>OAM_TCU</t>
    <phoneticPr fontId="2" type="noConversion"/>
  </si>
  <si>
    <t>OB5_TCU</t>
  </si>
  <si>
    <t>OB5_TCU</t>
    <phoneticPr fontId="2" type="noConversion"/>
  </si>
  <si>
    <t>OCK_TCU</t>
  </si>
  <si>
    <t>OCK_TCU</t>
    <phoneticPr fontId="2" type="noConversion"/>
  </si>
  <si>
    <t>OCJ_TCU</t>
    <phoneticPr fontId="2" type="noConversion"/>
  </si>
  <si>
    <t>OBH_TCU</t>
    <phoneticPr fontId="2" type="noConversion"/>
  </si>
  <si>
    <t>0HK927156B</t>
    <phoneticPr fontId="2" type="noConversion"/>
  </si>
  <si>
    <t>OHK_TCU</t>
    <phoneticPr fontId="2" type="noConversion"/>
  </si>
  <si>
    <t>OAW_TCU</t>
    <phoneticPr fontId="2" type="noConversion"/>
  </si>
  <si>
    <t>VGS2-FDCT</t>
    <phoneticPr fontId="2" type="noConversion"/>
  </si>
  <si>
    <t>A0054463310</t>
    <phoneticPr fontId="2" type="noConversion"/>
  </si>
  <si>
    <t>A2302707000</t>
    <phoneticPr fontId="2" type="noConversion"/>
  </si>
  <si>
    <t>Valvebody_7G</t>
    <phoneticPr fontId="2" type="noConversion"/>
  </si>
  <si>
    <t>VAS6154</t>
    <phoneticPr fontId="2" type="noConversion"/>
  </si>
  <si>
    <t>OB5_Valvebody</t>
    <phoneticPr fontId="2" type="noConversion"/>
  </si>
  <si>
    <t>CLONE</t>
  </si>
  <si>
    <t>8HP50_Valvebody</t>
    <phoneticPr fontId="2" type="noConversion"/>
  </si>
  <si>
    <t>제이오토(대구)_250402_145943.xlsx</t>
  </si>
  <si>
    <t>미르오토(대구)_250402_150104.xlsx</t>
  </si>
  <si>
    <t>현진미션(남대구)_250402_163804.xlsx</t>
  </si>
  <si>
    <t>그린카서비스(대전)</t>
  </si>
  <si>
    <t>010-5849-8711</t>
  </si>
  <si>
    <t>대전 동구 효동 287-1</t>
  </si>
  <si>
    <t>VW온라인 작업</t>
  </si>
  <si>
    <t>그린카서비스(대전)_250402_170704.xlsx</t>
  </si>
  <si>
    <t>54나 5426</t>
  </si>
  <si>
    <t>자동차점검/정비견적서</t>
  </si>
  <si>
    <t>54나 5426_250402_170927.xlsx</t>
  </si>
  <si>
    <t>Landrover GSM</t>
  </si>
  <si>
    <t>제이오토(대구)_250402_175836.xlsx</t>
  </si>
  <si>
    <t>8HP Gen.3</t>
  </si>
  <si>
    <t>제일오토(대구)_250402_180001.xlsx</t>
  </si>
  <si>
    <t>02E927770AS</t>
  </si>
  <si>
    <t>O2E_AS</t>
  </si>
  <si>
    <t>결재</t>
    <phoneticPr fontId="2" type="noConversion"/>
  </si>
  <si>
    <t>제욱오토(부산)</t>
  </si>
  <si>
    <t>010-5542-9240</t>
  </si>
  <si>
    <t>부산 사상구 학장로 309(주례동)</t>
  </si>
  <si>
    <t>8HP70 Mechartronics</t>
  </si>
  <si>
    <t>제욱오토(부산)_250403_103601.xlsx</t>
  </si>
  <si>
    <t>최고윤우오토샵(부산)</t>
  </si>
  <si>
    <t>최고윤우오토샵(부산)_250403_103712.xlsx</t>
  </si>
  <si>
    <t>34265KIT</t>
    <phoneticPr fontId="2" type="noConversion"/>
  </si>
  <si>
    <t>OB5_DISC</t>
    <phoneticPr fontId="2" type="noConversion"/>
  </si>
  <si>
    <t>0AM311665A</t>
    <phoneticPr fontId="2" type="noConversion"/>
  </si>
  <si>
    <t>OAM_시프트포크_베어링</t>
    <phoneticPr fontId="2" type="noConversion"/>
  </si>
  <si>
    <t>OAM_Wire_kit</t>
  </si>
  <si>
    <t>OAM_Shift_Fork_Repair_kit</t>
  </si>
  <si>
    <t>6HP_8HP_출력_리데나</t>
    <phoneticPr fontId="2" type="noConversion"/>
  </si>
  <si>
    <t>MINI_Wirekit</t>
    <phoneticPr fontId="2" type="noConversion"/>
  </si>
  <si>
    <t>TF72,TG81</t>
  </si>
  <si>
    <t>결재</t>
    <phoneticPr fontId="2" type="noConversion"/>
  </si>
  <si>
    <t>파이프 작업</t>
  </si>
  <si>
    <t>8HP_펌프_실링킷</t>
  </si>
  <si>
    <t>대륙오토(대구)_250404_090757.xlsx</t>
  </si>
  <si>
    <t>8HP_Pump_Seal_kit</t>
    <phoneticPr fontId="2" type="noConversion"/>
  </si>
  <si>
    <t>부산OB5 작업비</t>
  </si>
  <si>
    <t>Clutch Rebuild</t>
  </si>
  <si>
    <t>Valvebody Rebuild</t>
  </si>
  <si>
    <t>ATC35/45L_Disc</t>
  </si>
  <si>
    <t>매드모터스(광주)_250404_115031.xlsx</t>
  </si>
  <si>
    <t>01035174B</t>
    <phoneticPr fontId="2" type="noConversion"/>
  </si>
  <si>
    <t>김천돼지국밥</t>
  </si>
  <si>
    <t>CLONE_DDE</t>
  </si>
  <si>
    <t>이시아오토(대구)_250404_131131.xlsx</t>
  </si>
  <si>
    <t>8HP45, 8HP55, 53x71x7</t>
  </si>
  <si>
    <t>Oilseal</t>
    <phoneticPr fontId="2" type="noConversion"/>
  </si>
  <si>
    <t>Filter</t>
    <phoneticPr fontId="2" type="noConversion"/>
  </si>
  <si>
    <t>Sensor</t>
    <phoneticPr fontId="2" type="noConversion"/>
  </si>
  <si>
    <t>6HP_Seal</t>
    <phoneticPr fontId="2" type="noConversion"/>
  </si>
  <si>
    <t>39*72*8</t>
  </si>
  <si>
    <t>ZF_Oilpan_9G</t>
  </si>
  <si>
    <t>ZF_Oilpan_9G</t>
    <phoneticPr fontId="2" type="noConversion"/>
  </si>
  <si>
    <t>B7252703707</t>
  </si>
  <si>
    <t>BMTSR_Oilpan_9G</t>
  </si>
  <si>
    <t>Shaft_Seal_2WD</t>
    <phoneticPr fontId="2" type="noConversion"/>
  </si>
  <si>
    <t>44x72x8</t>
    <phoneticPr fontId="2" type="noConversion"/>
  </si>
  <si>
    <t>Shaft_Seal_4WD</t>
    <phoneticPr fontId="2" type="noConversion"/>
  </si>
  <si>
    <t>39x72x8</t>
    <phoneticPr fontId="2" type="noConversion"/>
  </si>
  <si>
    <t>컴포즈</t>
  </si>
  <si>
    <t>조이사장님</t>
  </si>
  <si>
    <t>010-4420-6528</t>
    <phoneticPr fontId="2" type="noConversion"/>
  </si>
  <si>
    <t>광주광역시 북구 설죽로142</t>
    <phoneticPr fontId="2" type="noConversion"/>
  </si>
  <si>
    <t>광주북구용봉1420</t>
  </si>
  <si>
    <t>B2222772000</t>
  </si>
  <si>
    <t>BMTSR_Filter&amp;Gasket_7G</t>
  </si>
  <si>
    <t>Flange_F</t>
  </si>
  <si>
    <t>0CK927263E</t>
    <phoneticPr fontId="2" type="noConversion"/>
  </si>
  <si>
    <t>OCK_Sensor</t>
    <phoneticPr fontId="2" type="noConversion"/>
  </si>
  <si>
    <t>0CK927413E</t>
  </si>
  <si>
    <t>OCK_Element_Wire</t>
  </si>
  <si>
    <t>조이오토(대구)</t>
  </si>
  <si>
    <t>Flange_F</t>
    <phoneticPr fontId="2" type="noConversion"/>
  </si>
  <si>
    <t>Flange_G</t>
    <phoneticPr fontId="2" type="noConversion"/>
  </si>
  <si>
    <t>조이오토(대구)_250404_181310.xlsx</t>
  </si>
  <si>
    <t>조이오토(대구)_250404_181414.xlsx</t>
  </si>
  <si>
    <t>B24117624192</t>
    <phoneticPr fontId="2" type="noConversion"/>
  </si>
  <si>
    <t>8HP_OILPAN</t>
    <phoneticPr fontId="2" type="noConversion"/>
  </si>
  <si>
    <t>조이오토(대구)_250404_181602.xlsx</t>
  </si>
  <si>
    <t>PDK_Bearing</t>
  </si>
  <si>
    <t>VW</t>
    <phoneticPr fontId="2" type="noConversion"/>
  </si>
  <si>
    <t>0B5325330A</t>
    <phoneticPr fontId="2" type="noConversion"/>
  </si>
  <si>
    <t>OB5_Filter</t>
    <phoneticPr fontId="2" type="noConversion"/>
  </si>
  <si>
    <t>19037052B</t>
    <phoneticPr fontId="2" type="noConversion"/>
  </si>
  <si>
    <t>1988216B-06</t>
    <phoneticPr fontId="2" type="noConversion"/>
  </si>
  <si>
    <t>0B5_Oilpan_Gasket</t>
    <phoneticPr fontId="2" type="noConversion"/>
  </si>
  <si>
    <t>10R80_Solenoid</t>
  </si>
  <si>
    <t>724_Solenoid</t>
  </si>
  <si>
    <t>09G_Solenoid</t>
  </si>
  <si>
    <t>Mini</t>
  </si>
  <si>
    <t>Screenfilter</t>
    <phoneticPr fontId="2" type="noConversion"/>
  </si>
  <si>
    <t>0B5_Screen_Filter_1</t>
  </si>
  <si>
    <t>가로</t>
  </si>
  <si>
    <t>세로</t>
  </si>
  <si>
    <t>0GC_Repair</t>
  </si>
  <si>
    <t>8HP45_Mechatronics</t>
  </si>
  <si>
    <t>제이오토(대구)_250405_111705.xlsx</t>
  </si>
  <si>
    <t>입금</t>
  </si>
  <si>
    <t>하정오토(광주)</t>
  </si>
  <si>
    <t>OGC Repair</t>
  </si>
  <si>
    <t>미르오토(대구)_250407_091010.xlsx</t>
  </si>
  <si>
    <t>하정오토(광주)_250407_093848.xlsx</t>
  </si>
  <si>
    <t>서부 &gt; 광주 하정오토</t>
  </si>
  <si>
    <t>A7252709011-1</t>
  </si>
  <si>
    <t>Bulk</t>
  </si>
  <si>
    <t>Motor</t>
    <phoneticPr fontId="2" type="noConversion"/>
  </si>
  <si>
    <t>0DN325421</t>
    <phoneticPr fontId="2" type="noConversion"/>
  </si>
  <si>
    <t>OCK_Filter</t>
    <phoneticPr fontId="2" type="noConversion"/>
  </si>
  <si>
    <t>TCU있을때 50000 없으면 70000</t>
    <phoneticPr fontId="2" type="noConversion"/>
  </si>
  <si>
    <t>A2302707000</t>
    <phoneticPr fontId="2" type="noConversion"/>
  </si>
  <si>
    <t>Valvebody와 같이 나가면 0원</t>
    <phoneticPr fontId="2" type="noConversion"/>
  </si>
  <si>
    <t>Oil_HIS</t>
    <phoneticPr fontId="2" type="noConversion"/>
  </si>
  <si>
    <t>9HP48_Wire</t>
  </si>
  <si>
    <t>0B5398048D</t>
    <phoneticPr fontId="2" type="noConversion"/>
  </si>
  <si>
    <t>OB5_Repair_Kit</t>
    <phoneticPr fontId="2" type="noConversion"/>
  </si>
  <si>
    <t>엠모터스(구미)_250407_133302.xlsx</t>
  </si>
  <si>
    <t>PORSCHE</t>
  </si>
  <si>
    <t>9G232136100</t>
  </si>
  <si>
    <t>PDK_EndCap</t>
  </si>
  <si>
    <t>위쪽</t>
  </si>
  <si>
    <t>9P1301125</t>
  </si>
  <si>
    <t>아래쪽</t>
  </si>
  <si>
    <t>A0054463710-1</t>
  </si>
  <si>
    <t>TG81_Sensor</t>
    <phoneticPr fontId="2" type="noConversion"/>
  </si>
  <si>
    <t>압력센서</t>
  </si>
  <si>
    <t>TF72_Sensor</t>
    <phoneticPr fontId="2" type="noConversion"/>
  </si>
  <si>
    <t>415090409(플라이휠)</t>
    <phoneticPr fontId="2" type="noConversion"/>
  </si>
  <si>
    <t>조이오토(대구)_250407_144435.xlsx</t>
  </si>
  <si>
    <t>VOLVO</t>
  </si>
  <si>
    <t>압력센서</t>
    <phoneticPr fontId="2" type="noConversion"/>
  </si>
  <si>
    <t>BTS</t>
    <phoneticPr fontId="2" type="noConversion"/>
  </si>
  <si>
    <t>ETC</t>
    <phoneticPr fontId="2" type="noConversion"/>
  </si>
  <si>
    <t>LUK</t>
    <phoneticPr fontId="2" type="noConversion"/>
  </si>
  <si>
    <t>PORSCHE</t>
    <phoneticPr fontId="2" type="noConversion"/>
  </si>
  <si>
    <t>VOLVO</t>
    <phoneticPr fontId="2" type="noConversion"/>
  </si>
  <si>
    <t>BMW_MINI</t>
    <phoneticPr fontId="2" type="noConversion"/>
  </si>
  <si>
    <t>OB5_Shaft_Seal</t>
    <phoneticPr fontId="2" type="noConversion"/>
  </si>
  <si>
    <t>54,5*72*7</t>
    <phoneticPr fontId="2" type="noConversion"/>
  </si>
  <si>
    <t>0B5323525B</t>
    <phoneticPr fontId="2" type="noConversion"/>
  </si>
  <si>
    <t>OB5_Clutch_Cover_Oring</t>
    <phoneticPr fontId="2" type="noConversion"/>
  </si>
  <si>
    <t>택배</t>
  </si>
  <si>
    <t>혜광오토(부산)</t>
    <phoneticPr fontId="2" type="noConversion"/>
  </si>
  <si>
    <t>010-4341-6869</t>
    <phoneticPr fontId="2" type="noConversion"/>
  </si>
  <si>
    <t>부산시 금정구 중앙대로 1793번길 46</t>
    <phoneticPr fontId="2" type="noConversion"/>
  </si>
  <si>
    <t>경동(화물)</t>
    <phoneticPr fontId="2" type="noConversion"/>
  </si>
  <si>
    <t>부산금정회동94</t>
    <phoneticPr fontId="2" type="noConversion"/>
  </si>
  <si>
    <t>010-5698-1136</t>
    <phoneticPr fontId="2" type="noConversion"/>
  </si>
  <si>
    <t>경남오토미션(창원)</t>
  </si>
  <si>
    <t>010-2441-4994</t>
    <phoneticPr fontId="2" type="noConversion"/>
  </si>
  <si>
    <t>창원의창팔용40</t>
  </si>
  <si>
    <t>혜광오토(부산)_250407_183822.xlsx</t>
  </si>
  <si>
    <t>OB5 Clutch Rebuild</t>
  </si>
  <si>
    <t>0B5325330A</t>
  </si>
  <si>
    <t>OB5_Filter</t>
  </si>
  <si>
    <t>경남오토미션(창원)_250407_184031.xlsx</t>
  </si>
  <si>
    <t>조이오토(대구)_250407_184221.xlsx</t>
  </si>
  <si>
    <t>미르오토(대구)_250407_184338.xlsx</t>
  </si>
  <si>
    <t>결제</t>
  </si>
  <si>
    <t>대륙사장님</t>
  </si>
  <si>
    <t>OCJ_TCU</t>
  </si>
  <si>
    <t>0DN325421</t>
  </si>
  <si>
    <t>제일오토(대구)_250408_120724.xlsx</t>
  </si>
  <si>
    <t>프로오토미션(광주)</t>
  </si>
  <si>
    <t>P177500 유압센서1, 어뎁테이션 한계도달</t>
  </si>
  <si>
    <t>프로오토미션(광주)_250408_121138.xlsx</t>
  </si>
  <si>
    <t>현진미션(남대구)_250408_131805.xlsx</t>
  </si>
  <si>
    <t>김해오토(김해)</t>
  </si>
  <si>
    <t>김해오토(김해)_250408_160742.xlsx</t>
  </si>
  <si>
    <t>대구오토(대구)_250408_163508.xlsx</t>
  </si>
  <si>
    <t>하오르모터스(부산)</t>
  </si>
  <si>
    <t>010-3687-3573</t>
    <phoneticPr fontId="2" type="noConversion"/>
  </si>
  <si>
    <t>부산 수영구 반포로 32</t>
    <phoneticPr fontId="2" type="noConversion"/>
  </si>
  <si>
    <t>수영 망리지점</t>
  </si>
  <si>
    <t>하오르모터스(부산)_250408_184659.xlsx</t>
  </si>
  <si>
    <t>ZF_8HP_Solenoid</t>
    <phoneticPr fontId="2" type="noConversion"/>
  </si>
  <si>
    <t>ZF_6HP_Solenoid</t>
    <phoneticPr fontId="2" type="noConversion"/>
  </si>
  <si>
    <t>6HP21 6HP26 6HP28</t>
    <phoneticPr fontId="2" type="noConversion"/>
  </si>
  <si>
    <t>6HP_Oilpan</t>
    <phoneticPr fontId="2" type="noConversion"/>
  </si>
  <si>
    <t>X5,X6,E60,E64, E63,E66,F02,E70, E71</t>
  </si>
  <si>
    <t>6HP19</t>
  </si>
  <si>
    <t>6HP19</t>
    <phoneticPr fontId="2" type="noConversion"/>
  </si>
  <si>
    <t>전주오토</t>
  </si>
  <si>
    <t>19037052B</t>
  </si>
  <si>
    <t>OB5_Shaft_Seal</t>
  </si>
  <si>
    <t>조이오토(대구)_250409_111759.xlsx</t>
  </si>
  <si>
    <t>우체국특송</t>
  </si>
  <si>
    <t>한독오토(대구)_250410_145542.xlsx</t>
  </si>
  <si>
    <t>8HP45_Mechatronics</t>
    <phoneticPr fontId="2" type="noConversion"/>
  </si>
  <si>
    <t>제이오토(대구)_250410_145635.xlsx</t>
  </si>
  <si>
    <t>제이오토(대구)</t>
    <phoneticPr fontId="2" type="noConversion"/>
  </si>
  <si>
    <t>8HP55</t>
  </si>
  <si>
    <t>개수</t>
    <phoneticPr fontId="2" type="noConversion"/>
  </si>
  <si>
    <t>제이오토(대구)_250410_175203.xlsx</t>
  </si>
  <si>
    <t>한독오토(대구)_250410_175247.xlsx</t>
  </si>
  <si>
    <t>프로오토미션(광주)_250410_175356.xlsx</t>
  </si>
  <si>
    <t>010-7473-7271</t>
    <phoneticPr fontId="2" type="noConversion"/>
  </si>
  <si>
    <t>GA</t>
    <phoneticPr fontId="2" type="noConversion"/>
  </si>
  <si>
    <t>광주광역시 서구 월드컵4강로237</t>
    <phoneticPr fontId="2" type="noConversion"/>
  </si>
  <si>
    <t>경동(화물)</t>
    <phoneticPr fontId="2" type="noConversion"/>
  </si>
  <si>
    <t>광주서구광천69</t>
  </si>
  <si>
    <t>A7252709011-1</t>
    <phoneticPr fontId="2" type="noConversion"/>
  </si>
  <si>
    <t>제일오토(부산)</t>
  </si>
  <si>
    <t>010-2841-0984</t>
  </si>
  <si>
    <t>부산 북구 덕천로 381번길 29</t>
  </si>
  <si>
    <t>사직점</t>
  </si>
  <si>
    <t>ISM Renew</t>
  </si>
  <si>
    <t>이시아오토(대구)_250411_145622.xlsx</t>
  </si>
  <si>
    <t>MPS6 Clone</t>
  </si>
  <si>
    <t>제일오토(부산)_250411_150429.xlsx</t>
  </si>
  <si>
    <t>현진미션(남대구)_250412_095351.xlsx</t>
  </si>
  <si>
    <t>후진기어 삽입 안됨</t>
  </si>
  <si>
    <t>AZ제일오토미션(순천)_250412_105604.xlsx</t>
  </si>
  <si>
    <t>현진미션(남대구)_250412_120746.xlsx</t>
  </si>
  <si>
    <t>로얄오토(대구)</t>
  </si>
  <si>
    <t>현진미션(남대구)_250414_111640.xlsx</t>
  </si>
  <si>
    <t>A7252703114</t>
  </si>
  <si>
    <t>Oilpan_9G</t>
  </si>
  <si>
    <t>A7252703114</t>
    <phoneticPr fontId="2" type="noConversion"/>
  </si>
  <si>
    <t>Oilpan_9G</t>
    <phoneticPr fontId="2" type="noConversion"/>
  </si>
  <si>
    <t>로얄오토(대구)_250414_112608.xlsx</t>
  </si>
  <si>
    <t>정품</t>
    <phoneticPr fontId="2" type="noConversion"/>
  </si>
  <si>
    <t>Flange_G</t>
  </si>
  <si>
    <t>엠모터스(구미)_250414_124148.xlsx</t>
  </si>
  <si>
    <t>혜광오토(부산)_250414_131719.xlsx</t>
  </si>
  <si>
    <t>현진미션(남대구)_250414_150438.xlsx</t>
  </si>
  <si>
    <t>8HP50_Valvebody</t>
  </si>
  <si>
    <t>김해오토(김해)_250414_150611.xlsx</t>
  </si>
  <si>
    <t>신일오토(부산)</t>
  </si>
  <si>
    <t>PDK_Sensor</t>
  </si>
  <si>
    <t>신일오토(부산)_250414_150732.xlsx</t>
  </si>
  <si>
    <t>부산남구대연1동895</t>
  </si>
  <si>
    <t>조이오토(대구)_250414_171330.xlsx</t>
  </si>
  <si>
    <t>조이오토(대구)_250414_171550.xlsx</t>
  </si>
  <si>
    <t>알씨모터스(대구)</t>
  </si>
  <si>
    <t>알씨모터스(대구)_250414_205610.xlsx</t>
  </si>
  <si>
    <t>OAM결재</t>
  </si>
  <si>
    <t>MEISTER-K(울산)</t>
  </si>
  <si>
    <t>MEISTER-K(울산)_250414_205835.xlsx</t>
  </si>
  <si>
    <t>OAM 결재</t>
  </si>
  <si>
    <t>01035174B-1</t>
  </si>
  <si>
    <t>Shaft_Seal_4WD</t>
  </si>
  <si>
    <t>39x72x8</t>
  </si>
  <si>
    <t>한결카오토미션(대전)</t>
  </si>
  <si>
    <t>한결카오토미션(대전)_250415_122919.xlsx</t>
  </si>
  <si>
    <t>조이오토(대구)_250415_123054.xlsx</t>
  </si>
  <si>
    <t>전주오토(전주)_250415_123215.xlsx</t>
  </si>
  <si>
    <t>전주오토(전주)_250415_123533.xlsx</t>
  </si>
  <si>
    <t>세차</t>
  </si>
  <si>
    <t>대한짬뽕</t>
  </si>
  <si>
    <t>010-6488-3631</t>
    <phoneticPr fontId="2" type="noConversion"/>
  </si>
  <si>
    <t>대전 중구 대전천서로 263</t>
    <phoneticPr fontId="2" type="noConversion"/>
  </si>
  <si>
    <t>대전동구인동25</t>
  </si>
  <si>
    <t>D&amp;N모터스(전주)_250415_172940.xlsx</t>
  </si>
  <si>
    <t>제욱오토(부산)_250415_194542.xlsx</t>
  </si>
  <si>
    <t>김해오토(김해)_250415_194722.xlsx</t>
  </si>
  <si>
    <t>KTA</t>
  </si>
  <si>
    <t>와우모터스</t>
  </si>
  <si>
    <t>010-3075-2979</t>
  </si>
  <si>
    <t>대구 서구 중리동 1119-6</t>
  </si>
  <si>
    <t>ECU_Clone</t>
  </si>
  <si>
    <t>마이스터(대구)</t>
  </si>
  <si>
    <t>마이스터(대구)_250416_150028.xlsx</t>
  </si>
  <si>
    <t>마일레오토(마포)_250416_150129.xlsx</t>
  </si>
  <si>
    <t>후진기어삽입안됨</t>
  </si>
  <si>
    <t>마일레오토(마포)_250416_150210.xlsx</t>
  </si>
  <si>
    <t>경동(화물)</t>
    <phoneticPr fontId="2" type="noConversion"/>
  </si>
  <si>
    <t>스카이오토미션(천안)_250416_150329.xlsx</t>
  </si>
  <si>
    <t>1988216B-06</t>
  </si>
  <si>
    <t>0B5_Oilpan_Gasket</t>
  </si>
  <si>
    <t>대구오토(대구)_250416_150727.xlsx</t>
  </si>
  <si>
    <t>마일레오토(마포)</t>
    <phoneticPr fontId="2" type="noConversion"/>
  </si>
  <si>
    <t>010-8232-7418</t>
    <phoneticPr fontId="2" type="noConversion"/>
  </si>
  <si>
    <t>서울시 마포구 서강로 70</t>
    <phoneticPr fontId="2" type="noConversion"/>
  </si>
  <si>
    <t>서울마포용강122</t>
  </si>
  <si>
    <t>010-6447-3759</t>
    <phoneticPr fontId="2" type="noConversion"/>
  </si>
  <si>
    <t>대전 서구 내동 8-57번지</t>
    <phoneticPr fontId="2" type="noConversion"/>
  </si>
  <si>
    <t>대전서구가장21</t>
  </si>
  <si>
    <t>6HP26/28</t>
    <phoneticPr fontId="2" type="noConversion"/>
  </si>
  <si>
    <t>6HP19/21</t>
    <phoneticPr fontId="2" type="noConversion"/>
  </si>
  <si>
    <t>6HP_8_Adapter</t>
    <phoneticPr fontId="2" type="noConversion"/>
  </si>
  <si>
    <t>LANDROVER</t>
    <phoneticPr fontId="2" type="noConversion"/>
  </si>
  <si>
    <t>8HP GEN3</t>
    <phoneticPr fontId="2" type="noConversion"/>
  </si>
  <si>
    <t>OGC_TCU</t>
  </si>
  <si>
    <t>미르오토(대구)_250417_145701.xlsx</t>
  </si>
  <si>
    <t>Landrover</t>
  </si>
  <si>
    <t>JLR_8HP_Gen3</t>
  </si>
  <si>
    <t>제이오토(대구)_250417_145901.xlsx</t>
  </si>
  <si>
    <t>통신불량</t>
  </si>
  <si>
    <t>D&amp;N모터스(전주)_250417_181825.xlsx</t>
  </si>
  <si>
    <t>A0034462410</t>
  </si>
  <si>
    <t>Pump</t>
    <phoneticPr fontId="2" type="noConversion"/>
  </si>
  <si>
    <t>제욱오토(부산)_250418_135807.xlsx</t>
  </si>
  <si>
    <t>VOLVO_6DCT450_CLUCH</t>
  </si>
  <si>
    <t>조이오토(대구)_250418_140125.xlsx</t>
  </si>
  <si>
    <t>스카이오토미션(천안)_250418_140243.xlsx</t>
  </si>
  <si>
    <t>대명오토(서울서초)_250418_193755.xlsx</t>
  </si>
  <si>
    <t>대명오토(서울서초)_250421_093359.xlsx</t>
  </si>
  <si>
    <t>하이웨이(구미)</t>
  </si>
  <si>
    <t>하이웨이(구미)_250421_095853.xlsx</t>
  </si>
  <si>
    <t>0C8325039A</t>
  </si>
  <si>
    <t>0C8_Valvebody</t>
  </si>
  <si>
    <t>0C8_Oil_Pump</t>
  </si>
  <si>
    <t>0C8300036C</t>
  </si>
  <si>
    <t>0C8300036C</t>
    <phoneticPr fontId="2" type="noConversion"/>
  </si>
  <si>
    <t>0C8_Oil_Pump</t>
    <phoneticPr fontId="2" type="noConversion"/>
  </si>
  <si>
    <t>0C8325039A</t>
    <phoneticPr fontId="2" type="noConversion"/>
  </si>
  <si>
    <t>0C8_Valvebody</t>
    <phoneticPr fontId="2" type="noConversion"/>
  </si>
  <si>
    <t>Audi VW Porshe</t>
    <phoneticPr fontId="2" type="noConversion"/>
  </si>
  <si>
    <t>모터매니아(화성)</t>
  </si>
  <si>
    <t>모터매니아(화성)_250421_131331.xlsx</t>
  </si>
  <si>
    <t>모터매니아(화성)_250421_162119.xlsx</t>
  </si>
  <si>
    <t>중립위치 의도치 않은 동력 전달</t>
  </si>
  <si>
    <t>미르오토(대구)_250421_162228.xlsx</t>
  </si>
  <si>
    <t>대구오토(대구)_250421_162319.xlsx</t>
  </si>
  <si>
    <t>AZ제일오토미션(순천)_250421_162714.xlsx</t>
  </si>
  <si>
    <t>0CK_Gear_Oil_Pump</t>
    <phoneticPr fontId="2" type="noConversion"/>
  </si>
  <si>
    <t>0CK321281N</t>
    <phoneticPr fontId="2" type="noConversion"/>
  </si>
  <si>
    <t>6F35_Solenoid_Pack</t>
    <phoneticPr fontId="2" type="noConversion"/>
  </si>
  <si>
    <t>CV6Z-7G391-A</t>
  </si>
  <si>
    <t>MPS6_Clone</t>
  </si>
  <si>
    <t>조이오토(대구)_250421_183710.xlsx</t>
  </si>
  <si>
    <t>제욱오토</t>
  </si>
  <si>
    <t>0HK927156B</t>
  </si>
  <si>
    <t>OHK_TCU</t>
  </si>
  <si>
    <t>제일오토(대구)_250422_135137.xlsx</t>
  </si>
  <si>
    <t>0D9_Mechatronics</t>
  </si>
  <si>
    <t>스카이오토미션(천안)_250423_143719.xlsx</t>
  </si>
  <si>
    <t>카이드모터스(인천)</t>
  </si>
  <si>
    <t>인천 서구 석남동 223-936</t>
    <phoneticPr fontId="2" type="noConversion"/>
  </si>
  <si>
    <t>010-6240-6260</t>
    <phoneticPr fontId="2" type="noConversion"/>
  </si>
  <si>
    <t>카이드모터스(인천)_250423_143828.xlsx</t>
  </si>
  <si>
    <t>OB5_Valvebody</t>
  </si>
  <si>
    <t>OB5_Clutch_Rebuild</t>
  </si>
  <si>
    <t>카이드모터스(인천)_250423_144156.xlsx</t>
  </si>
  <si>
    <t>인천미추홀주안A</t>
  </si>
  <si>
    <t>부산비엔비(부산)_250424_113813.xlsx</t>
  </si>
  <si>
    <t>0HK_TCU</t>
    <phoneticPr fontId="2" type="noConversion"/>
  </si>
  <si>
    <t>구마구속주유소</t>
  </si>
  <si>
    <t>대륙오토(대구)_250424_153829.xlsx</t>
  </si>
  <si>
    <t>0B5 Clutch</t>
  </si>
  <si>
    <t>0B5 Valvebody Rebuild</t>
  </si>
  <si>
    <t>전라북도 전주시 완산구 쑥고개로 303</t>
    <phoneticPr fontId="2" type="noConversion"/>
  </si>
  <si>
    <t>구매</t>
    <phoneticPr fontId="2" type="noConversion"/>
  </si>
  <si>
    <t>삼호미션(전주)_250425_105918.xlsx</t>
  </si>
  <si>
    <t>SJ모터스(부산)</t>
  </si>
  <si>
    <t>OAM_TCU</t>
  </si>
  <si>
    <t>SJ모터스(부산)_250425_113205.xlsx</t>
  </si>
  <si>
    <t>코리아탑오토샵(대전)</t>
  </si>
  <si>
    <t>코리아탑오토샵(대전)_250425_140147.xlsx</t>
  </si>
  <si>
    <t>경남오토미션(창원)_250425_140924.xlsx</t>
  </si>
  <si>
    <t>MSD80</t>
    <phoneticPr fontId="2" type="noConversion"/>
  </si>
  <si>
    <t>경남오토미션(창원)_250425_161154.xlsx</t>
  </si>
  <si>
    <t>6HP_Switch</t>
  </si>
  <si>
    <t>대륙오토(대구)_250425_161258.xlsx</t>
  </si>
  <si>
    <t>김해오토(김해)_250425_183022.xlsx</t>
  </si>
  <si>
    <t>0AM 마이스터K(울산)</t>
  </si>
  <si>
    <t>B&amp;M모터스_250428_112124.xlsx</t>
  </si>
  <si>
    <t>대륙오토(대구)_250428_134443.xlsx</t>
  </si>
  <si>
    <t>엠모터스(구미)_250428_134525.xlsx</t>
  </si>
  <si>
    <t>A0002703300</t>
  </si>
  <si>
    <t>혜광오토(부산)_250428_134805.xlsx</t>
  </si>
  <si>
    <t>0CJ927156</t>
  </si>
  <si>
    <t>신일모터스(경주)_250428_145452.xlsx</t>
  </si>
  <si>
    <t>성화식당</t>
  </si>
  <si>
    <t>코리아탑오토샵(대전)_250428_170127.xlsx</t>
  </si>
  <si>
    <t>결재(0B5 Clutch rebuild)</t>
  </si>
  <si>
    <t>택배</t>
    <phoneticPr fontId="2" type="noConversion"/>
  </si>
  <si>
    <t>식비</t>
  </si>
  <si>
    <t>식비</t>
    <phoneticPr fontId="2" type="noConversion"/>
  </si>
  <si>
    <t>기타</t>
    <phoneticPr fontId="2" type="noConversion"/>
  </si>
  <si>
    <t>퀵비</t>
    <phoneticPr fontId="2" type="noConversion"/>
  </si>
  <si>
    <t>주유소</t>
  </si>
  <si>
    <t>주유소</t>
    <phoneticPr fontId="2" type="noConversion"/>
  </si>
  <si>
    <t>태경청진동해장국</t>
    <phoneticPr fontId="2" type="noConversion"/>
  </si>
  <si>
    <t>구마고속주유소</t>
    <phoneticPr fontId="2" type="noConversion"/>
  </si>
  <si>
    <t>스카이오토 동대구 퀵</t>
    <phoneticPr fontId="2" type="noConversion"/>
  </si>
  <si>
    <t>제이오토</t>
    <phoneticPr fontId="2" type="noConversion"/>
  </si>
  <si>
    <t>ZF8HP_Gen3</t>
  </si>
  <si>
    <t>제이오토(대구)_250429_103200.xlsx</t>
  </si>
  <si>
    <t>0B5323525B</t>
  </si>
  <si>
    <t>OB5_Clutch_Cover_Oring</t>
  </si>
  <si>
    <t>OB5_Clutch</t>
  </si>
  <si>
    <t>대한오토(포항)</t>
  </si>
  <si>
    <t>대한오토(포항)_250429_150145.xlsx</t>
  </si>
  <si>
    <t>대한오토(포항)</t>
    <phoneticPr fontId="2" type="noConversion"/>
  </si>
  <si>
    <t>010-2708-7122</t>
    <phoneticPr fontId="2" type="noConversion"/>
  </si>
  <si>
    <t>경상북도 포항시 북구 새천년대로 631번길 29</t>
    <phoneticPr fontId="2" type="noConversion"/>
  </si>
  <si>
    <t>포항 북구 여남지점</t>
  </si>
  <si>
    <t>조이오토(대구)_250429_192449.xlsx</t>
  </si>
  <si>
    <t>68214115AA</t>
  </si>
  <si>
    <t>9HP48_Solenoid</t>
  </si>
  <si>
    <t>KTAMG(김천덕곡)</t>
  </si>
  <si>
    <t>KTAMG(김천덕곡)_250429_200444.xlsx</t>
  </si>
  <si>
    <t>코리아탑오토샵(대전)_250429_201615.xlsx</t>
  </si>
  <si>
    <t>OBH_TCU</t>
  </si>
  <si>
    <t>하정오토(광주)_250429_203149.xlsx</t>
  </si>
  <si>
    <t>ZF Oilpan 8HP</t>
  </si>
  <si>
    <t>코리아탑오토샵(대전)_250429_211720.xlsx</t>
  </si>
  <si>
    <t>현진미션(칠곡)_250430_163229.xlsx</t>
  </si>
  <si>
    <t>8HP45_Inner_Gear_4WD</t>
  </si>
  <si>
    <t>대륙오토(대구)_250430_163321.xlsx</t>
  </si>
  <si>
    <t>현대오토(대구)</t>
  </si>
  <si>
    <t>010-8850-1818</t>
  </si>
  <si>
    <t>대구북구 노원로 1</t>
  </si>
  <si>
    <t>8HP75_Valvebody</t>
  </si>
  <si>
    <t>현대오토(대구)_250430_163453.xlsx</t>
  </si>
  <si>
    <t>하늘모터스</t>
  </si>
  <si>
    <t>010-4646-9061</t>
  </si>
  <si>
    <t>제주 서귀포시 대정읍 상모대서로 66번길 23</t>
  </si>
  <si>
    <t>하늘모터스_250430_163716.xlsx</t>
  </si>
  <si>
    <t>8HP45_EGS</t>
  </si>
  <si>
    <t>전주오토(전주)_250430_163819.xlsx</t>
  </si>
  <si>
    <t>AZ제일오토미션(순천)_250430_164156.xlsx</t>
  </si>
  <si>
    <t>오토티엠(용인)</t>
  </si>
  <si>
    <t>경동(화물)</t>
    <phoneticPr fontId="2" type="noConversion"/>
  </si>
  <si>
    <t>용인 처인 모현 매산지점</t>
    <phoneticPr fontId="2" type="noConversion"/>
  </si>
  <si>
    <t>09G_Valvebody</t>
  </si>
  <si>
    <t>오토티엠(용인)_250430_175536.xlsx</t>
  </si>
  <si>
    <t>부산비엔비(부산)_250430_175723.xlsx</t>
  </si>
  <si>
    <t>코리아탑오토샵(대전)_250430_212551.xlsx</t>
  </si>
  <si>
    <t>부산비엔비(부산)</t>
    <phoneticPr fontId="2" type="noConversion"/>
  </si>
  <si>
    <t>결재</t>
    <phoneticPr fontId="2" type="noConversion"/>
  </si>
  <si>
    <t>KTAMG(김천덕곡)</t>
    <phoneticPr fontId="2" type="noConversion"/>
  </si>
  <si>
    <t>0GC927711H</t>
  </si>
  <si>
    <t>OGC_TCU</t>
    <phoneticPr fontId="2" type="noConversion"/>
  </si>
  <si>
    <t>카드결재</t>
  </si>
  <si>
    <t>결재</t>
    <phoneticPr fontId="2" type="noConversion"/>
  </si>
  <si>
    <t>경동택배</t>
  </si>
  <si>
    <t>카이드모터스</t>
  </si>
  <si>
    <t>오토티엠(용인)</t>
    <phoneticPr fontId="2" type="noConversion"/>
  </si>
  <si>
    <t>물회</t>
  </si>
  <si>
    <t>6HP_Plug_set_19/21</t>
  </si>
  <si>
    <t>대구오토(대구)_250501_190446.xlsx</t>
  </si>
  <si>
    <t>마이스터케이</t>
  </si>
  <si>
    <t>조이오토(대구)_250502_164511.xlsx</t>
  </si>
  <si>
    <t>대구오토(대구)_250502_164559.xlsx</t>
  </si>
  <si>
    <t>SJ모터스(부산)_250502_164654.xlsx</t>
  </si>
  <si>
    <t>미르오토(대구)_250502_164737.xlsx</t>
  </si>
  <si>
    <t>미르오토(대구)_250502_164807.xlsx</t>
  </si>
  <si>
    <t>KTAMG(김천덕곡)</t>
    <phoneticPr fontId="2" type="noConversion"/>
  </si>
  <si>
    <t>010-8847-1379</t>
    <phoneticPr fontId="2" type="noConversion"/>
  </si>
  <si>
    <t>김천시 덕곡동 영남대로 2014</t>
    <phoneticPr fontId="2" type="noConversion"/>
  </si>
  <si>
    <t>경동택배</t>
    <phoneticPr fontId="2" type="noConversion"/>
  </si>
  <si>
    <t>대한오토</t>
    <phoneticPr fontId="2" type="noConversion"/>
  </si>
  <si>
    <t>우체국</t>
    <phoneticPr fontId="2" type="noConversion"/>
  </si>
  <si>
    <t>반품배송</t>
  </si>
  <si>
    <t>8HP50_Rebuild</t>
  </si>
  <si>
    <t>카이드모터스(인천)_250505_085542.xlsx</t>
  </si>
  <si>
    <t>결재</t>
    <phoneticPr fontId="2" type="noConversion"/>
  </si>
  <si>
    <t>결재(현금)</t>
    <phoneticPr fontId="2" type="noConversion"/>
  </si>
  <si>
    <t>오토세븐(대구)</t>
  </si>
  <si>
    <t>오토세븐(대구)_250505_115324.xlsx</t>
  </si>
  <si>
    <t>현진미션(칠곡)_250505_140311.xlsx</t>
  </si>
  <si>
    <t>제이오토(대구)_250506_140955.xlsx</t>
  </si>
  <si>
    <t>미르오토(대구)_250506_141027.xlsx</t>
  </si>
  <si>
    <t>이시아오토(대구)_250506_151130.xlsx</t>
  </si>
  <si>
    <t>VGSNAG3 수리</t>
  </si>
  <si>
    <t>미르오토(대구)_250507_102248.xlsx</t>
  </si>
  <si>
    <t>성민오토(대전)_250507_112231.xlsx</t>
  </si>
  <si>
    <t>9HP48_Solenoid</t>
    <phoneticPr fontId="2" type="noConversion"/>
  </si>
  <si>
    <t>9HP48_Wire</t>
    <phoneticPr fontId="2" type="noConversion"/>
  </si>
  <si>
    <t>루모터스</t>
  </si>
  <si>
    <t>010-3551-2366</t>
  </si>
  <si>
    <t>부산시 사하구 하신중앙로 110-1</t>
  </si>
  <si>
    <t>하신중앙로 110-1 루모터스 신평점</t>
  </si>
  <si>
    <t>루모터스_250507_141345.xlsx</t>
  </si>
  <si>
    <t>ZF_6HP_Solenoid</t>
  </si>
  <si>
    <t>루모터스_250507_150105.xlsx</t>
  </si>
  <si>
    <t>루모터스_250507_151750.xlsx</t>
  </si>
  <si>
    <t>미르오토(대구)_250507_164845.xlsx</t>
  </si>
  <si>
    <t>대명오토(김해)</t>
  </si>
  <si>
    <t>010-5549-8785</t>
  </si>
  <si>
    <t>경남 김해시 금관대로 1073번길 21-7</t>
  </si>
  <si>
    <t>김해 외동</t>
  </si>
  <si>
    <t>루모터스_250507_175410.xlsx</t>
  </si>
  <si>
    <t>대명오토(김해)_250507_175517.xlsx</t>
  </si>
  <si>
    <t>윤중오토미션(대전)</t>
  </si>
  <si>
    <t>010-5421-9978</t>
    <phoneticPr fontId="2" type="noConversion"/>
  </si>
  <si>
    <t>대전 서구 변동로 84</t>
    <phoneticPr fontId="2" type="noConversion"/>
  </si>
  <si>
    <t>8HP45_Valvebody</t>
  </si>
  <si>
    <t>윤중오토미션(대전)_250508_144304.xlsx</t>
  </si>
  <si>
    <t>조이오토(대구)_250508_160545.xlsx</t>
  </si>
  <si>
    <t>전주</t>
    <phoneticPr fontId="2" type="noConversion"/>
  </si>
  <si>
    <t>6DCT450_Clutch</t>
  </si>
  <si>
    <t>6DCT450_Clutch</t>
    <phoneticPr fontId="2" type="noConversion"/>
  </si>
  <si>
    <t>0B5325031</t>
  </si>
  <si>
    <t>성민오토(대전)_250509_134037.xlsx</t>
  </si>
  <si>
    <t>대한오토(포항)_250509_134232.xlsx</t>
  </si>
  <si>
    <t>948TE_Pressure</t>
  </si>
  <si>
    <t>그린오토매틱(제주)</t>
  </si>
  <si>
    <t>그린오토매틱(제주)_250509_154108.xlsx</t>
  </si>
  <si>
    <t>그린오토매틱(제주)_250509_160048.xlsx</t>
  </si>
  <si>
    <t>고령촌돼지찌개</t>
  </si>
  <si>
    <t>와우모터스_250416_145953.xlsx</t>
    <phoneticPr fontId="2" type="noConversion"/>
  </si>
  <si>
    <t>SJ모터스 9단</t>
  </si>
  <si>
    <t>유명차(수성점)</t>
  </si>
  <si>
    <t>010-6731-9570</t>
  </si>
  <si>
    <t>대구 수성구 희망로 177</t>
  </si>
  <si>
    <t>유명차(수성점)_250512_135839.xlsx</t>
  </si>
  <si>
    <t>대륙오토(대구)_250512_141753.xlsx</t>
  </si>
  <si>
    <t>SJ모터스(부산)_250512_141831.xlsx</t>
  </si>
  <si>
    <t>스카이오토미션(천안)_250512_151405.xlsx</t>
  </si>
  <si>
    <t>DDE Clone(F)</t>
  </si>
  <si>
    <t>DDE Clone(G)</t>
  </si>
  <si>
    <t>비앤비모터스(창원)_250512_152641.xlsx</t>
  </si>
  <si>
    <t>8HP45_Inner_Gear_2WD</t>
  </si>
  <si>
    <t>엠모터스(구미)_250512_152948.xlsx</t>
  </si>
  <si>
    <t>010-8520-0940</t>
    <phoneticPr fontId="2" type="noConversion"/>
  </si>
  <si>
    <t>경상남도 김해시 관동동 1122</t>
    <phoneticPr fontId="2" type="noConversion"/>
  </si>
  <si>
    <t>진영오토(김해)</t>
  </si>
  <si>
    <t>010-8514-0057</t>
  </si>
  <si>
    <t>경남 김해시 진산대로 201번길 48</t>
  </si>
  <si>
    <t>진영오토(김해)_250512_172252.xlsx</t>
  </si>
  <si>
    <t>8HP50_Mechatronics</t>
  </si>
  <si>
    <t>미르오토(대구)_250513_092226.xlsx</t>
  </si>
  <si>
    <t>이시아오토(대구)_250513_092310.xlsx</t>
  </si>
  <si>
    <t>미르오토(대구)</t>
    <phoneticPr fontId="2" type="noConversion"/>
  </si>
  <si>
    <t>OB5_FILTER_</t>
    <phoneticPr fontId="2" type="noConversion"/>
  </si>
  <si>
    <t>6HP_Plug_set_26/28</t>
    <phoneticPr fontId="2" type="noConversion"/>
  </si>
  <si>
    <t>제일오토(대구)_250513_142905.xlsx</t>
  </si>
  <si>
    <t>하이웨이(구미)_250513_143025.xlsx</t>
  </si>
  <si>
    <t>이시아오토(대구)_250513_143109.xlsx</t>
  </si>
  <si>
    <t>경남오토미션(창원)_250513_143143.xlsx</t>
  </si>
  <si>
    <t>진홍오토(대구)</t>
  </si>
  <si>
    <t>진홍오토(대구)_250513_143221.xlsx</t>
  </si>
  <si>
    <t>한결카오토미션(대전)_250513_143300.xlsx</t>
  </si>
  <si>
    <t>한결부품</t>
  </si>
  <si>
    <t>한결부품</t>
    <phoneticPr fontId="2" type="noConversion"/>
  </si>
  <si>
    <t>010-7591-3333</t>
  </si>
  <si>
    <t>empty</t>
  </si>
  <si>
    <t>8HP70_Mechatronics</t>
  </si>
  <si>
    <t>ZEEP</t>
    <phoneticPr fontId="2" type="noConversion"/>
  </si>
  <si>
    <t>미르오토(대구)_250513_155803.xlsx</t>
  </si>
  <si>
    <t>02E398029B</t>
  </si>
  <si>
    <t>02E398029B</t>
    <phoneticPr fontId="2" type="noConversion"/>
  </si>
  <si>
    <t>성민오토(대전)_250513_160004.xlsx</t>
  </si>
  <si>
    <t>0CK_Clutch</t>
  </si>
  <si>
    <t>제욱오토(부산)_250513_173255.xlsx</t>
  </si>
  <si>
    <t>Rear_Diff</t>
  </si>
  <si>
    <t>매드모터스(광주)_250513_173416.xlsx</t>
  </si>
  <si>
    <t>이시아오토(대구)</t>
    <phoneticPr fontId="2" type="noConversion"/>
  </si>
  <si>
    <t>A7252709011-1</t>
    <phoneticPr fontId="2" type="noConversion"/>
  </si>
  <si>
    <t>VGSNAG3_Clone</t>
    <phoneticPr fontId="2" type="noConversion"/>
  </si>
  <si>
    <t>02E AJ To AL Programming</t>
  </si>
  <si>
    <t>조이오토(대구)_250514_091636.xlsx</t>
  </si>
  <si>
    <t>경남오토(창원)</t>
  </si>
  <si>
    <t>대신택배</t>
  </si>
  <si>
    <t>성민오토</t>
  </si>
  <si>
    <t>퀵버스</t>
    <phoneticPr fontId="2" type="noConversion"/>
  </si>
  <si>
    <t>경남오토(창원)</t>
    <phoneticPr fontId="2" type="noConversion"/>
  </si>
  <si>
    <t>오토솔루션</t>
  </si>
  <si>
    <t>윤중오토</t>
  </si>
  <si>
    <t>오토솔루션_250514_120715.xlsx</t>
  </si>
  <si>
    <t>현진미션(남대구)_250514_120817.xlsx</t>
  </si>
  <si>
    <t>해원주유소</t>
  </si>
  <si>
    <t>경남오토미션(창원)_250514_183748.xlsx</t>
  </si>
  <si>
    <t>스카이오토미션(천안)_250514_183910.xlsx</t>
  </si>
  <si>
    <t>02E_AL</t>
  </si>
  <si>
    <t>02E_AQ_NEW</t>
  </si>
  <si>
    <t>0CK_TCU</t>
  </si>
  <si>
    <t>0CK_Filter</t>
  </si>
  <si>
    <t>0CK_Sensor</t>
  </si>
  <si>
    <t>0CK_Element_Wire</t>
  </si>
  <si>
    <t>0B5 FILTER SET</t>
  </si>
  <si>
    <t>0B5_Valvebody</t>
  </si>
  <si>
    <t>0B5_TCU</t>
  </si>
  <si>
    <t>0B5_Repair_Kit</t>
  </si>
  <si>
    <t>0B5_DISC</t>
  </si>
  <si>
    <t>0B5_TCU_CLONE</t>
  </si>
  <si>
    <t>0B5_Solenoid</t>
  </si>
  <si>
    <t>0B5_Filter</t>
  </si>
  <si>
    <t>0B5_Shaft_Seal</t>
  </si>
  <si>
    <t>0B5_Clutch_Cover_Oring</t>
  </si>
  <si>
    <t>0B5_Clutch_Rebuild</t>
  </si>
  <si>
    <t>0AM REPAIR KIT</t>
  </si>
  <si>
    <t>602000700(0AM클러치)</t>
  </si>
  <si>
    <t>0AM_Mechatronics</t>
  </si>
  <si>
    <t>0AM_TCU</t>
  </si>
  <si>
    <t>0AM_Valvebody</t>
  </si>
  <si>
    <t>0AM_시프트포크_베어링</t>
  </si>
  <si>
    <t>0AM_Wire_kit</t>
  </si>
  <si>
    <t>0AM_Shift_Fork_Repair_kit</t>
  </si>
  <si>
    <t>0HK_4번_ONLINE</t>
  </si>
  <si>
    <t>0HK_TCU</t>
  </si>
  <si>
    <t>0HL_ONLINE_SERVICE</t>
  </si>
  <si>
    <t>0C8_Transfer_Case</t>
  </si>
  <si>
    <t>0D9 Mechatronics</t>
  </si>
  <si>
    <t>0AW_TCU</t>
    <phoneticPr fontId="2" type="noConversion"/>
  </si>
  <si>
    <t>김성조(SJ모터스)</t>
  </si>
  <si>
    <t>대구오토(대구)_250515_145913.xlsx</t>
  </si>
  <si>
    <t>루모터스_250515_150007.xlsx</t>
  </si>
  <si>
    <t>제이오토(대구)_250515_150441.xlsx</t>
  </si>
  <si>
    <t>윤중오토미션(대전)</t>
    <phoneticPr fontId="2" type="noConversion"/>
  </si>
  <si>
    <t>8HP45_Valvebody</t>
    <phoneticPr fontId="2" type="noConversion"/>
  </si>
  <si>
    <t>하정오토(광주)_250515_164918.xlsx</t>
  </si>
  <si>
    <t>948TE_Solenoid</t>
  </si>
  <si>
    <t>하정오토(광주)_250515_165338.xlsx</t>
  </si>
  <si>
    <t>하나오토(청주)</t>
    <phoneticPr fontId="2" type="noConversion"/>
  </si>
  <si>
    <t>0B5_Repair_Kit</t>
    <phoneticPr fontId="2" type="noConversion"/>
  </si>
  <si>
    <t>0CK927263E</t>
  </si>
  <si>
    <t>MEISTER-K(울산)_250515_180946.xlsx</t>
  </si>
  <si>
    <t>하나오토(청주)</t>
    <phoneticPr fontId="2" type="noConversion"/>
  </si>
  <si>
    <t>010-9977-2169</t>
    <phoneticPr fontId="2" type="noConversion"/>
  </si>
  <si>
    <t>충북 청주시 서원구 사북로30</t>
    <phoneticPr fontId="2" type="noConversion"/>
  </si>
  <si>
    <t>대신(화물)</t>
    <phoneticPr fontId="2" type="noConversion"/>
  </si>
  <si>
    <t>카카오뱅크 3333181865047</t>
    <phoneticPr fontId="2" type="noConversion"/>
  </si>
  <si>
    <t>0CK_Sensor</t>
    <phoneticPr fontId="2" type="noConversion"/>
  </si>
  <si>
    <t>클러치압력센서</t>
  </si>
  <si>
    <t>대명오토(김해)_250516_103413.xlsx</t>
  </si>
  <si>
    <t>하정오토(광주)_250516_172057.xlsx</t>
  </si>
  <si>
    <t>0B5_Clone</t>
  </si>
  <si>
    <t>MEISTER-K(울산)_250516_172207.xlsx</t>
  </si>
  <si>
    <t>PDK4000_TCU_Clone</t>
  </si>
  <si>
    <t>로얄오토(대구)_250517_111021.xlsx</t>
  </si>
  <si>
    <t>하정오토(광주)_250517_111152.xlsx</t>
  </si>
  <si>
    <t>혜광오토(부산)_250517_112006.xlsx</t>
  </si>
  <si>
    <t>서부정류장</t>
  </si>
  <si>
    <t>하정오토 버스</t>
  </si>
  <si>
    <t>8HP45 8HP70 8HP75 8HP90</t>
    <phoneticPr fontId="2" type="noConversion"/>
  </si>
  <si>
    <t>대륙오토(대구)_250517_112254.xlsx</t>
  </si>
  <si>
    <t>ZF_8HP45_Solenoid</t>
    <phoneticPr fontId="2" type="noConversion"/>
  </si>
  <si>
    <t>뉴아트(대구)</t>
  </si>
  <si>
    <t>뉴아트(대구)_250517_124934.xlsx</t>
  </si>
  <si>
    <t>6F35_Valvebody</t>
  </si>
  <si>
    <t>조이오토(대구)_250519_154156.xlsx</t>
  </si>
  <si>
    <t>삼호미션(전주)_250519_154315.xlsx</t>
  </si>
  <si>
    <t>대륙오토(대구)</t>
    <phoneticPr fontId="2" type="noConversion"/>
  </si>
  <si>
    <t>ZF_8HP_Solenoid</t>
    <phoneticPr fontId="2" type="noConversion"/>
  </si>
  <si>
    <t>구미건결재</t>
  </si>
  <si>
    <t>JEEP_850RE_Repair</t>
  </si>
  <si>
    <t>엠모터스(구미)_250519_174742.xlsx</t>
  </si>
  <si>
    <t>아이스크림</t>
  </si>
  <si>
    <t>P073E 후진기어</t>
  </si>
  <si>
    <t>혜광오토(부산)_250519_175344.xlsx</t>
  </si>
  <si>
    <t>하나오토(청주)_250520_175316.xlsx</t>
  </si>
  <si>
    <t>대구오토(대구)_250520_175401.xlsx</t>
  </si>
  <si>
    <t>신일오토(부산)_250520_175437.xlsx</t>
  </si>
  <si>
    <t>뉴아트(대구)</t>
    <phoneticPr fontId="2" type="noConversion"/>
  </si>
  <si>
    <t>927156AA</t>
    <phoneticPr fontId="2" type="noConversion"/>
  </si>
  <si>
    <t>0CK_TCU</t>
    <phoneticPr fontId="2" type="noConversion"/>
  </si>
  <si>
    <t>Rear_Differential_Clutch</t>
  </si>
  <si>
    <t>부산비엔비(부산)_250521_132435.xlsx</t>
  </si>
  <si>
    <t>오토솔루션(천안)</t>
  </si>
  <si>
    <t>오토솔루션(천안)_250521_132551.xlsx</t>
  </si>
  <si>
    <t>제욱오토(부산)_250521_132844.xlsx</t>
  </si>
  <si>
    <t>JAMAICAR</t>
  </si>
  <si>
    <t>010-3060-0376</t>
  </si>
  <si>
    <t>경기도 고양시 일산동구 성석로 184</t>
  </si>
  <si>
    <t>JAMAICAR_250521_170126.xlsx</t>
  </si>
  <si>
    <t>신일오토(부산)_250521_170241.xlsx</t>
  </si>
  <si>
    <t>O</t>
    <phoneticPr fontId="2" type="noConversion"/>
  </si>
  <si>
    <t>미르오토(대구)_250522_163548.xlsx</t>
  </si>
  <si>
    <t>혜광오토(부산)_250522_164014.xlsx</t>
  </si>
  <si>
    <t>부산비엔비(부산)_250522_164053.xlsx</t>
  </si>
  <si>
    <t>0AM_TCU_Clone</t>
  </si>
  <si>
    <t>제일오토(대구)_250522_164208.xlsx</t>
  </si>
  <si>
    <t>연화오토(대구)_250522_170349.xlsx</t>
  </si>
  <si>
    <t>8HP_Plate</t>
    <phoneticPr fontId="2" type="noConversion"/>
  </si>
  <si>
    <t>B048</t>
    <phoneticPr fontId="2" type="noConversion"/>
  </si>
  <si>
    <t>6HP_Plate</t>
    <phoneticPr fontId="2" type="noConversion"/>
  </si>
  <si>
    <t>VW0CK335076D</t>
    <phoneticPr fontId="2" type="noConversion"/>
  </si>
  <si>
    <t>0CK_Solenoid_kit</t>
    <phoneticPr fontId="2" type="noConversion"/>
  </si>
  <si>
    <t>혜광오토(부산)_250523_151135.xlsx</t>
  </si>
  <si>
    <t>삼성모터스</t>
  </si>
  <si>
    <t>삼성모터스</t>
    <phoneticPr fontId="2" type="noConversion"/>
  </si>
  <si>
    <t>010-2366-6659</t>
    <phoneticPr fontId="2" type="noConversion"/>
  </si>
  <si>
    <t>대구 달성군 현풍읍 비슬로 676</t>
    <phoneticPr fontId="2" type="noConversion"/>
  </si>
  <si>
    <t>삼성모터스_250523_162836.xlsx</t>
  </si>
  <si>
    <t>혜광오토(부산)_250523_162909.xlsx</t>
  </si>
  <si>
    <t>조이오토(대구)_250523_164017.xlsx</t>
  </si>
  <si>
    <t>동명오토(인천)</t>
    <phoneticPr fontId="2" type="noConversion"/>
  </si>
  <si>
    <t>010-6269-9723</t>
    <phoneticPr fontId="2" type="noConversion"/>
  </si>
  <si>
    <t>인천 서구 사월로 93</t>
    <phoneticPr fontId="2" type="noConversion"/>
  </si>
  <si>
    <t>경동(화물)</t>
    <phoneticPr fontId="2" type="noConversion"/>
  </si>
  <si>
    <t>인천서구왕길305</t>
  </si>
  <si>
    <t>대덕오토(대전)_250524_110332.xlsx</t>
  </si>
  <si>
    <t>현진미션(남대구)_250524_110901.xlsx</t>
  </si>
  <si>
    <t>0CW_Mechatronics</t>
  </si>
  <si>
    <t>동명오토(인천)_250524_111102.xlsx</t>
  </si>
  <si>
    <t>한신오토미션(서울 송파)</t>
  </si>
  <si>
    <t>010-5260-3253</t>
    <phoneticPr fontId="2" type="noConversion"/>
  </si>
  <si>
    <t>GS</t>
    <phoneticPr fontId="2" type="noConversion"/>
  </si>
  <si>
    <t>서울시 송파구 송파대로 24길5</t>
    <phoneticPr fontId="2" type="noConversion"/>
  </si>
  <si>
    <t>경동(택배)</t>
    <phoneticPr fontId="2" type="noConversion"/>
  </si>
  <si>
    <t>한신오토미션(서울 송파)_250526_125124.xlsx</t>
  </si>
  <si>
    <t>미르오토(대구)_250526_125237.xlsx</t>
  </si>
  <si>
    <t>AZ제일오토미션(순천)_250526_153036.xlsx</t>
  </si>
  <si>
    <t>VGSNAG3_Repair</t>
  </si>
  <si>
    <t>유명차(수성점)_250526_153143.xlsx</t>
  </si>
  <si>
    <t>현진미션(남대구)_250526_153225.xlsx</t>
  </si>
  <si>
    <t>제욱오토(부산)_250526_153257.xlsx</t>
  </si>
  <si>
    <t>나들이김밥</t>
    <phoneticPr fontId="2" type="noConversion"/>
  </si>
  <si>
    <t>CU</t>
  </si>
  <si>
    <t>o</t>
    <phoneticPr fontId="2" type="noConversion"/>
  </si>
  <si>
    <t>한국오토(일산)_250527_094501.xlsx</t>
  </si>
  <si>
    <t>뉴명차(수성점)</t>
  </si>
  <si>
    <t>뉴명차(수성점)</t>
    <phoneticPr fontId="2" type="noConversion"/>
  </si>
  <si>
    <t>연화오토(대구)_250527_095951.xlsx</t>
  </si>
  <si>
    <t>조이오토(대구)_250527_131421.xlsx</t>
  </si>
  <si>
    <t>AZ제일오토미션(순천)_250527_131514.xlsx</t>
  </si>
  <si>
    <t>정인호오토샵(김천)_250527_163936.xlsx</t>
  </si>
  <si>
    <t>대구광역시 서구 가르뱅이로 53</t>
    <phoneticPr fontId="2" type="noConversion"/>
  </si>
  <si>
    <t>010-5102-8176</t>
    <phoneticPr fontId="2" type="noConversion"/>
  </si>
  <si>
    <t>제이오토(대구)_250527_164014.xlsx</t>
  </si>
  <si>
    <t>제이오토(대구)_250527_164014.xlsx</t>
    <phoneticPr fontId="2" type="noConversion"/>
  </si>
  <si>
    <t>할인</t>
  </si>
  <si>
    <t>Note</t>
    <phoneticPr fontId="2" type="noConversion"/>
  </si>
  <si>
    <t>ATC35L</t>
  </si>
  <si>
    <t>청주오토(청주)</t>
  </si>
  <si>
    <t>VGSNAG3_CLONE</t>
  </si>
  <si>
    <t>YG모터스(대구)</t>
  </si>
  <si>
    <t>날짜</t>
    <phoneticPr fontId="2" type="noConversion"/>
  </si>
  <si>
    <t>제이오토(대구)_250529_134901.xlsx</t>
  </si>
  <si>
    <t>제이오토(대구)_250529_160119.xlsx</t>
  </si>
  <si>
    <t>제이오토(대구)_250529_182923.xlsx</t>
  </si>
  <si>
    <t>제이오토(대구)_250530_091256.xlsx</t>
  </si>
  <si>
    <t>A221250030180</t>
  </si>
  <si>
    <t>AMG630_Clutch</t>
  </si>
  <si>
    <t>9HP48</t>
    <phoneticPr fontId="2" type="noConversion"/>
  </si>
  <si>
    <t>948TE_Valvebody</t>
  </si>
  <si>
    <t>경동화물</t>
  </si>
  <si>
    <t>제이오토(대구)_250530_115838.xlsx</t>
  </si>
  <si>
    <t>모토렌</t>
  </si>
  <si>
    <t>제이오토(대구)_250530_115945.xlsx</t>
  </si>
  <si>
    <t>제이오토(대구)_250530_120011.xlsx</t>
  </si>
  <si>
    <t>제이오토(대구)_250530_120100.xlsx</t>
  </si>
  <si>
    <t>제이오토(대구)_250530_121203.xlsx</t>
  </si>
  <si>
    <t>PARK_PAWL</t>
    <phoneticPr fontId="2" type="noConversion"/>
  </si>
  <si>
    <t>제이오토(대구)_250530_121457.xlsx</t>
  </si>
  <si>
    <t>ZF_8HP_Oilpan</t>
  </si>
  <si>
    <t>그린오토매틱(제주)</t>
    <phoneticPr fontId="2" type="noConversion"/>
  </si>
  <si>
    <t>948TE_Pressure</t>
    <phoneticPr fontId="2" type="noConversion"/>
  </si>
  <si>
    <t>68214115AA</t>
    <phoneticPr fontId="2" type="noConversion"/>
  </si>
  <si>
    <t>9HP48_Solenoid</t>
    <phoneticPr fontId="2" type="noConversion"/>
  </si>
  <si>
    <t>ME9.7 DME Renew</t>
  </si>
  <si>
    <t>제이오토(대구)_250531_090358.xlsx</t>
  </si>
  <si>
    <t>제이오토(대구)_250531_114141.xlsx</t>
  </si>
  <si>
    <t>GM</t>
  </si>
  <si>
    <t>8L45_WIRE</t>
    <phoneticPr fontId="2" type="noConversion"/>
  </si>
  <si>
    <t>대구오토(대구)</t>
    <phoneticPr fontId="2" type="noConversion"/>
  </si>
  <si>
    <t>0BH927711C</t>
    <phoneticPr fontId="2" type="noConversion"/>
  </si>
  <si>
    <t>OBH_TCU</t>
    <phoneticPr fontId="2" type="noConversion"/>
  </si>
  <si>
    <t>대신(화물)</t>
    <phoneticPr fontId="2" type="noConversion"/>
  </si>
  <si>
    <t>대전 용정</t>
  </si>
  <si>
    <t>제이오토(대구)_250531_140248.xlsx</t>
  </si>
  <si>
    <t>조이오토(대구)</t>
    <phoneticPr fontId="2" type="noConversion"/>
  </si>
  <si>
    <t>ZF_6HP_Solenoid</t>
    <phoneticPr fontId="2" type="noConversion"/>
  </si>
  <si>
    <t>모토렌</t>
    <phoneticPr fontId="2" type="noConversion"/>
  </si>
  <si>
    <t>Flange_F</t>
    <phoneticPr fontId="2" type="noConversion"/>
  </si>
  <si>
    <t>제이오토(대구)_250602_123732.xlsx</t>
  </si>
  <si>
    <t>제이오토(대구)_250602_123809.xlsx</t>
  </si>
  <si>
    <t>제이오토(대구)_250602_123911.xlsx</t>
  </si>
  <si>
    <t>제이오토(대구)_250602_135325.xlsx</t>
  </si>
  <si>
    <t>제이오토(대구)_250602_192550.xlsx</t>
  </si>
  <si>
    <t>010-4728-6701</t>
  </si>
  <si>
    <t>천안시 서북구 천안대로 1220번지</t>
  </si>
  <si>
    <t>제이오토(대구)_250602_192725.xlsx</t>
  </si>
  <si>
    <t>한국오토(안양)</t>
    <phoneticPr fontId="2" type="noConversion"/>
  </si>
  <si>
    <t>VGSNAG3</t>
    <phoneticPr fontId="2" type="noConversion"/>
  </si>
  <si>
    <t>A7252709011-1</t>
    <phoneticPr fontId="2" type="noConversion"/>
  </si>
  <si>
    <t>경동(화물)</t>
    <phoneticPr fontId="2" type="noConversion"/>
  </si>
  <si>
    <t>광주광산우산220</t>
  </si>
  <si>
    <t>제이오토(대구)_250603_105945.xlsx</t>
  </si>
  <si>
    <t>8HP45</t>
  </si>
  <si>
    <t>제이오토(대구)_250603_110045.xlsx</t>
  </si>
  <si>
    <t>삼육오모터스</t>
  </si>
  <si>
    <t>010-6169-7263</t>
  </si>
  <si>
    <t>개인거래</t>
  </si>
  <si>
    <t>제이오토(대구)_250603_152318.xlsx</t>
  </si>
  <si>
    <t>제이오토(대구)_250603_153529.xlsx</t>
  </si>
  <si>
    <t xml:space="preserve"> </t>
    <phoneticPr fontId="2" type="noConversion"/>
  </si>
  <si>
    <t>365모터스</t>
  </si>
  <si>
    <t>010-7437-0365</t>
  </si>
  <si>
    <t>경상북도 안동시 서동문로 18-2(태화동)</t>
  </si>
  <si>
    <t>6HP_Repair</t>
    <phoneticPr fontId="2" type="noConversion"/>
  </si>
  <si>
    <t>365모터스(안동)</t>
    <phoneticPr fontId="2" type="noConversion"/>
  </si>
  <si>
    <t>010-7437-0365</t>
    <phoneticPr fontId="2" type="noConversion"/>
  </si>
  <si>
    <t>경상북도 안동시 서동문로 18-2(태화동)</t>
    <phoneticPr fontId="2" type="noConversion"/>
  </si>
  <si>
    <t>365모터스(안동)</t>
    <phoneticPr fontId="2" type="noConversion"/>
  </si>
  <si>
    <t>제이오토(대구)_250604_112003.xlsx</t>
  </si>
  <si>
    <t>제이오토(대구)_250604_121856.xlsx</t>
  </si>
  <si>
    <t>대성오토(서울양천)</t>
  </si>
  <si>
    <t>대성오토(서울양천)</t>
    <phoneticPr fontId="2" type="noConversion"/>
  </si>
  <si>
    <t>010-5234-8502</t>
    <phoneticPr fontId="2" type="noConversion"/>
  </si>
  <si>
    <t>서울시 양천구 중앙로 32길 75</t>
    <phoneticPr fontId="2" type="noConversion"/>
  </si>
  <si>
    <t>ISM</t>
  </si>
  <si>
    <t>제이오토(대구)_250604_122150.xlsx</t>
  </si>
  <si>
    <t>ISM</t>
    <phoneticPr fontId="2" type="noConversion"/>
  </si>
  <si>
    <t>A0002701852</t>
    <phoneticPr fontId="2" type="noConversion"/>
  </si>
  <si>
    <t>365모터스(안동)</t>
  </si>
  <si>
    <t>o</t>
    <phoneticPr fontId="2" type="noConversion"/>
  </si>
  <si>
    <t>금성오토(광주)</t>
    <phoneticPr fontId="2" type="noConversion"/>
  </si>
  <si>
    <t>0B5_TCU_Rebuild</t>
    <phoneticPr fontId="2" type="noConversion"/>
  </si>
  <si>
    <t>제이오토(대구)_250604_154857.xlsx</t>
  </si>
  <si>
    <t>부가세발행비용</t>
  </si>
  <si>
    <t>010-2586-5588</t>
    <phoneticPr fontId="2" type="noConversion"/>
  </si>
  <si>
    <t>대구광역시 남구 대봉로 164</t>
    <phoneticPr fontId="2" type="noConversion"/>
  </si>
  <si>
    <t>대구</t>
    <phoneticPr fontId="2" type="noConversion"/>
  </si>
  <si>
    <t>제이오토(대구)_250605_102823.xlsx</t>
  </si>
  <si>
    <t>제이오토(대구)_250605_103022.xlsx</t>
  </si>
  <si>
    <t>제이오토(대구)_250605_105204.xlsx</t>
  </si>
  <si>
    <t>0B5_Gear_Sensor</t>
  </si>
  <si>
    <t>공임비</t>
  </si>
  <si>
    <t>제이오토(대구)_250605_115601.xlsx</t>
  </si>
  <si>
    <t>A1763503100</t>
  </si>
  <si>
    <t>724_Differ_disc</t>
  </si>
  <si>
    <t>CAR</t>
    <phoneticPr fontId="2" type="noConversion"/>
  </si>
  <si>
    <t>PARTS NAME</t>
    <phoneticPr fontId="2" type="noConversion"/>
  </si>
  <si>
    <t>PARTS INFO</t>
    <phoneticPr fontId="2" type="noConversion"/>
  </si>
  <si>
    <t>DME_Clone</t>
  </si>
  <si>
    <t>세기자동차공업사(인천)</t>
  </si>
  <si>
    <t>제이오토(대구)_250605_165003.xlsx</t>
  </si>
  <si>
    <t>제이오토(대구)_250606_132011.xlsx</t>
  </si>
  <si>
    <t>조이오토(대구)_250607_091949.xlsx</t>
  </si>
  <si>
    <t>신일오토</t>
  </si>
  <si>
    <t>한국오토(노원)</t>
  </si>
  <si>
    <t>한국오토(노원)_250609_105751.xlsx</t>
  </si>
  <si>
    <t>한국오토(안양)_250609_110127.xlsx</t>
  </si>
  <si>
    <t>8HP_Pump_Seal_kit</t>
  </si>
  <si>
    <t>01035174B</t>
  </si>
  <si>
    <t>엠모터스(구미)_250609_110223.xlsx</t>
  </si>
  <si>
    <t>조이오토(대구)_250609_112802.xlsx</t>
  </si>
  <si>
    <t>A0002701852-1</t>
  </si>
  <si>
    <t>0AW_TCU</t>
  </si>
  <si>
    <t>현진미션(남대구)_250609_163157.xlsx</t>
  </si>
  <si>
    <t>대륙오토(대구)_250609_163230.xlsx</t>
  </si>
  <si>
    <t>미르오토(대구)_250609_163308.xlsx</t>
  </si>
  <si>
    <t>대구오토(대구)_250609_163406.xlsx</t>
  </si>
  <si>
    <t>0B5 Oil Cooler(직배송건)</t>
  </si>
  <si>
    <t>4G0317021AF</t>
  </si>
  <si>
    <t>0B5_Oil_Cooler</t>
  </si>
  <si>
    <t>4H0121671B</t>
  </si>
  <si>
    <t>0B5_Cooler_Valve</t>
  </si>
  <si>
    <t>AZ제일오토미션(순천)_250609_164139.xlsx</t>
  </si>
  <si>
    <t>한국오토(노원)</t>
    <phoneticPr fontId="2" type="noConversion"/>
  </si>
  <si>
    <t>02E_AQ_NEW</t>
    <phoneticPr fontId="2" type="noConversion"/>
  </si>
  <si>
    <t>02E927770AQN</t>
    <phoneticPr fontId="2" type="noConversion"/>
  </si>
  <si>
    <t>결재(0B5_센서수리)</t>
  </si>
  <si>
    <t>결재(0B5 클러치[구미건])</t>
  </si>
  <si>
    <t>결재(0B5 클러치[제일순천])</t>
  </si>
  <si>
    <t>결재(G20 디퍼누유수리)</t>
  </si>
  <si>
    <t>한국오토(안양)</t>
    <phoneticPr fontId="2" type="noConversion"/>
  </si>
  <si>
    <t>0CK_TCU</t>
    <phoneticPr fontId="2" type="noConversion"/>
  </si>
  <si>
    <t>927156AA</t>
    <phoneticPr fontId="2" type="noConversion"/>
  </si>
  <si>
    <t>OGC_TCU</t>
    <phoneticPr fontId="2" type="noConversion"/>
  </si>
  <si>
    <t>0GC927711H</t>
    <phoneticPr fontId="2" type="noConversion"/>
  </si>
  <si>
    <t>AZ제일오토미션(순천)</t>
    <phoneticPr fontId="2" type="noConversion"/>
  </si>
  <si>
    <t>0B5_Clutch_Rebuild</t>
    <phoneticPr fontId="2" type="noConversion"/>
  </si>
  <si>
    <t>조이오토(대구)_250609_165912.xlsx</t>
  </si>
  <si>
    <t>삼성모터스</t>
    <phoneticPr fontId="2" type="noConversion"/>
  </si>
  <si>
    <t>미르오토(대구)_250609_181008.xlsx</t>
  </si>
  <si>
    <t>한국오토(안양)</t>
    <phoneticPr fontId="2" type="noConversion"/>
  </si>
  <si>
    <t>010-9220-4828</t>
    <phoneticPr fontId="2" type="noConversion"/>
  </si>
  <si>
    <t>경기도 군포시 금정동 1-40</t>
    <phoneticPr fontId="2" type="noConversion"/>
  </si>
  <si>
    <t>경동(화물)</t>
    <phoneticPr fontId="2" type="noConversion"/>
  </si>
  <si>
    <t>서울 노원구 공릉로 62길 15</t>
  </si>
  <si>
    <t>010-9155-7581</t>
    <phoneticPr fontId="2" type="noConversion"/>
  </si>
  <si>
    <t>인천 미추홀구 숭의동 309-10</t>
  </si>
  <si>
    <t>인천 미추홀구 숭의동 309-10</t>
    <phoneticPr fontId="2" type="noConversion"/>
  </si>
  <si>
    <t>대전서구변동70</t>
    <phoneticPr fontId="2" type="noConversion"/>
  </si>
  <si>
    <t>안양한국오토 선불</t>
  </si>
  <si>
    <t>노원 한국오토 선불</t>
  </si>
  <si>
    <t>AZ제일오토</t>
  </si>
  <si>
    <t>AZ제일오토 퀵</t>
  </si>
  <si>
    <t>TG81</t>
    <phoneticPr fontId="2" type="noConversion"/>
  </si>
  <si>
    <t>Grand Cherokee</t>
  </si>
  <si>
    <t>삼육오모터스_250610_153541.xlsx</t>
  </si>
  <si>
    <t>하정오토(광주)_250610_153642.xlsx</t>
  </si>
  <si>
    <t>미르오토(대구)_250610_153726.xlsx</t>
  </si>
  <si>
    <t>TG81_Valvebody</t>
  </si>
  <si>
    <t>성민오토(대전)_250610_153850.xlsx</t>
  </si>
  <si>
    <t>AZ제일오토미션(순천)_250610_153933.xlsx</t>
  </si>
  <si>
    <t>0B5 156F to 156K</t>
  </si>
  <si>
    <t>대륙오토(대구)_250610_154016.xlsx</t>
  </si>
  <si>
    <t>010-5420-2735</t>
  </si>
  <si>
    <t>충북 청주시 청원구 사천동 194</t>
  </si>
  <si>
    <t>0AM_TCU Clone</t>
  </si>
  <si>
    <t>청주오토(청주)_250610_154141.xlsx</t>
  </si>
  <si>
    <t>마이스터(대구)_250610_154224.xlsx</t>
  </si>
  <si>
    <t>체로키 작업비</t>
  </si>
  <si>
    <t>o</t>
    <phoneticPr fontId="2" type="noConversion"/>
  </si>
  <si>
    <t>하나오토(청주)</t>
    <phoneticPr fontId="2" type="noConversion"/>
  </si>
  <si>
    <t>제일오토(대구)_250611_092310.xlsx</t>
  </si>
  <si>
    <t>한국오토(일산)_반품</t>
    <phoneticPr fontId="2" type="noConversion"/>
  </si>
  <si>
    <t>02E_AL</t>
    <phoneticPr fontId="2" type="noConversion"/>
  </si>
  <si>
    <t>02E927770AL</t>
    <phoneticPr fontId="2" type="noConversion"/>
  </si>
  <si>
    <t>모토렌(경산)</t>
  </si>
  <si>
    <t>모토렌(경산)</t>
    <phoneticPr fontId="2" type="noConversion"/>
  </si>
  <si>
    <t>010-2044-7301</t>
    <phoneticPr fontId="2" type="noConversion"/>
  </si>
  <si>
    <t>대구</t>
    <phoneticPr fontId="2" type="noConversion"/>
  </si>
  <si>
    <t xml:space="preserve">경북 경산시 삼성현로 37길 7  </t>
    <phoneticPr fontId="2" type="noConversion"/>
  </si>
  <si>
    <t>청주오토(청주)</t>
    <phoneticPr fontId="2" type="noConversion"/>
  </si>
  <si>
    <t>225740A-QX</t>
  </si>
  <si>
    <t>VGSNAG3_Solenoid</t>
    <phoneticPr fontId="2" type="noConversion"/>
  </si>
  <si>
    <t>365모터스_250611_144735.xlsx</t>
  </si>
  <si>
    <t>서기사오토(대구)</t>
  </si>
  <si>
    <t>서기사오토(대구)_250611_151710.xlsx</t>
  </si>
  <si>
    <t>대덕미션</t>
  </si>
  <si>
    <t>대덕오토(대전)_250611_174151.xlsx</t>
  </si>
  <si>
    <t>정인호오토샵(김천)_250611_174227.xlsx</t>
  </si>
  <si>
    <t>모토렌(경산)_250611_174257.xlsx</t>
  </si>
  <si>
    <t>제일오토(대구)_250611_174335.xlsx</t>
  </si>
  <si>
    <t>진영오토(남양주)_250612_172338.xlsx</t>
  </si>
  <si>
    <t>전주오토(전주)</t>
    <phoneticPr fontId="2" type="noConversion"/>
  </si>
  <si>
    <t>진영오토(남양주)_250612_172518.xlsx</t>
  </si>
  <si>
    <t>연화오토(대구)_250612_172549.xlsx</t>
  </si>
  <si>
    <t>이박사자동차정비(구미)</t>
  </si>
  <si>
    <t>이박사자동차정비(구미)</t>
    <phoneticPr fontId="2" type="noConversion"/>
  </si>
  <si>
    <t>010-9273-5364</t>
    <phoneticPr fontId="2" type="noConversion"/>
  </si>
  <si>
    <t>경북 구미시 인동46길 37-32</t>
    <phoneticPr fontId="2" type="noConversion"/>
  </si>
  <si>
    <t>임수493</t>
  </si>
  <si>
    <t>B&amp;M모터스</t>
    <phoneticPr fontId="2" type="noConversion"/>
  </si>
  <si>
    <t>이박사자동차정비(구미)_250613_114011.xlsx</t>
  </si>
  <si>
    <t>현진미션(남대구)_250613_144746.xlsx</t>
  </si>
  <si>
    <t>김해오토(김해)_250613_144844.xlsx</t>
  </si>
  <si>
    <t>코리아탑오토샵(대전)_250613_145131.xlsx</t>
  </si>
  <si>
    <t>은현자동차공업소(용인)</t>
  </si>
  <si>
    <t>은현자동차공업소(용인)_250613_145206.xlsx</t>
  </si>
  <si>
    <t>724_Solenoid</t>
    <phoneticPr fontId="2" type="noConversion"/>
  </si>
  <si>
    <t>725_Solenoid</t>
  </si>
  <si>
    <t>FRM Repair</t>
  </si>
  <si>
    <t>이시아오토(대구)_250613_155408.xlsx</t>
  </si>
  <si>
    <t>부산오토(부산)</t>
  </si>
  <si>
    <t>010-6571-4560</t>
    <phoneticPr fontId="2" type="noConversion"/>
  </si>
  <si>
    <t>경남 김해시 홍동로 183</t>
    <phoneticPr fontId="2" type="noConversion"/>
  </si>
  <si>
    <t>김해화목 1055</t>
  </si>
  <si>
    <t>010-5227-9921</t>
    <phoneticPr fontId="2" type="noConversion"/>
  </si>
  <si>
    <t>경기도 용인시 수지구 죽전동 푸른솔로 77</t>
    <phoneticPr fontId="2" type="noConversion"/>
  </si>
  <si>
    <t>웨스트모터스(대구)_250613_175235.xlsx</t>
  </si>
  <si>
    <t>미르오토(대구)_250614_110517.xlsx</t>
  </si>
  <si>
    <t>제이오토(대구)_250614_115928.xlsx</t>
  </si>
  <si>
    <t>비앤비모터스(창원)_250616_162202.xlsx</t>
  </si>
  <si>
    <t>한국오토 선불</t>
  </si>
  <si>
    <t>MB246_Filter</t>
  </si>
  <si>
    <t>246_Double_Clutch</t>
  </si>
  <si>
    <t>MB246_Filter</t>
    <phoneticPr fontId="2" type="noConversion"/>
  </si>
  <si>
    <t>현진미션(남대구)_250616_183609.xlsx</t>
  </si>
  <si>
    <t>미르오토(대구)_250616_183801.xlsx</t>
  </si>
  <si>
    <t>매드모터스(광주)_250617_101014.xlsx</t>
  </si>
  <si>
    <t>매드모터스</t>
  </si>
  <si>
    <t>8HP70_Mechatronics</t>
    <phoneticPr fontId="2" type="noConversion"/>
  </si>
  <si>
    <t>8HP70_VALBEBODY</t>
    <phoneticPr fontId="2" type="noConversion"/>
  </si>
  <si>
    <t>Schaeffler 결재</t>
    <phoneticPr fontId="2" type="noConversion"/>
  </si>
  <si>
    <t>Schaeffler 이익</t>
    <phoneticPr fontId="2" type="noConversion"/>
  </si>
  <si>
    <t>플라이휠(Schaeffler)</t>
    <phoneticPr fontId="2" type="noConversion"/>
  </si>
  <si>
    <t>0B5</t>
    <phoneticPr fontId="2" type="noConversion"/>
  </si>
  <si>
    <t>플라이휠(Schaeffler)</t>
    <phoneticPr fontId="2" type="noConversion"/>
  </si>
  <si>
    <t>공급자
(구입자)</t>
    <phoneticPr fontId="29" type="noConversion"/>
  </si>
  <si>
    <t>수량</t>
    <phoneticPr fontId="29" type="noConversion"/>
  </si>
  <si>
    <t>단가</t>
    <phoneticPr fontId="29" type="noConversion"/>
  </si>
  <si>
    <t>금액</t>
    <phoneticPr fontId="29" type="noConversion"/>
  </si>
  <si>
    <t>세액</t>
    <phoneticPr fontId="29" type="noConversion"/>
  </si>
  <si>
    <t>피카몰</t>
    <phoneticPr fontId="29" type="noConversion"/>
  </si>
  <si>
    <t>오일</t>
    <phoneticPr fontId="29" type="noConversion"/>
  </si>
  <si>
    <t>매입</t>
  </si>
  <si>
    <t>대구비닐</t>
    <phoneticPr fontId="29" type="noConversion"/>
  </si>
  <si>
    <t>에어캡</t>
    <phoneticPr fontId="29" type="noConversion"/>
  </si>
  <si>
    <t>매입</t>
    <phoneticPr fontId="29" type="noConversion"/>
  </si>
  <si>
    <t>합동상사</t>
    <phoneticPr fontId="29" type="noConversion"/>
  </si>
  <si>
    <t>배터리</t>
    <phoneticPr fontId="29" type="noConversion"/>
  </si>
  <si>
    <t>준걸</t>
    <phoneticPr fontId="29" type="noConversion"/>
  </si>
  <si>
    <t>선물셋트</t>
    <phoneticPr fontId="29" type="noConversion"/>
  </si>
  <si>
    <t>대왕</t>
    <phoneticPr fontId="29" type="noConversion"/>
  </si>
  <si>
    <t>삼성쉘</t>
    <phoneticPr fontId="29" type="noConversion"/>
  </si>
  <si>
    <t>파츠맨</t>
    <phoneticPr fontId="29" type="noConversion"/>
  </si>
  <si>
    <t>필터</t>
    <phoneticPr fontId="29" type="noConversion"/>
  </si>
  <si>
    <t>상원상사</t>
    <phoneticPr fontId="29" type="noConversion"/>
  </si>
  <si>
    <t>훅스오일</t>
    <phoneticPr fontId="29" type="noConversion"/>
  </si>
  <si>
    <t>기국</t>
    <phoneticPr fontId="29" type="noConversion"/>
  </si>
  <si>
    <t>남영판지</t>
    <phoneticPr fontId="29" type="noConversion"/>
  </si>
  <si>
    <t>박스</t>
    <phoneticPr fontId="29" type="noConversion"/>
  </si>
  <si>
    <t>세종파츠</t>
    <phoneticPr fontId="29" type="noConversion"/>
  </si>
  <si>
    <t>부품</t>
    <phoneticPr fontId="29" type="noConversion"/>
  </si>
  <si>
    <t>검아웃</t>
    <phoneticPr fontId="29" type="noConversion"/>
  </si>
  <si>
    <t>뉴그린</t>
    <phoneticPr fontId="29" type="noConversion"/>
  </si>
  <si>
    <t>합   계</t>
    <phoneticPr fontId="29" type="noConversion"/>
  </si>
  <si>
    <t>품명</t>
    <phoneticPr fontId="2" type="noConversion"/>
  </si>
  <si>
    <t>세액</t>
    <phoneticPr fontId="2" type="noConversion"/>
  </si>
  <si>
    <t>0CK_USED_GEAR_BOX</t>
  </si>
  <si>
    <t>제이오토(대구)_250617_144742.xlsx</t>
  </si>
  <si>
    <t>거래처에바로입금</t>
  </si>
  <si>
    <t>새흰돌오토미션(전남순천)</t>
  </si>
  <si>
    <t>미르오토(대구)_250617_163707.xlsx</t>
  </si>
  <si>
    <t>새흰돌오토미션(전남순천)_250617_163807.xlsx</t>
  </si>
  <si>
    <t>새흰돌오토미션(전남순천)</t>
    <phoneticPr fontId="2" type="noConversion"/>
  </si>
  <si>
    <t>010-3646-3677</t>
    <phoneticPr fontId="2" type="noConversion"/>
  </si>
  <si>
    <t>전남 순천시 역전장1길 16</t>
    <phoneticPr fontId="2" type="noConversion"/>
  </si>
  <si>
    <t>순천남정점</t>
  </si>
  <si>
    <t>제일오토(순천)</t>
  </si>
  <si>
    <t>현진미션(남대구)_250618_151246.xlsx</t>
  </si>
  <si>
    <t>01J927156JG</t>
  </si>
  <si>
    <t>01J_TCU</t>
  </si>
  <si>
    <t>01J927156HT</t>
  </si>
  <si>
    <t>01J_TCU_HT</t>
  </si>
  <si>
    <t>미르오토(대구)_250618_151810.xlsx</t>
  </si>
  <si>
    <t>ZF_8HP45_Solenoid</t>
  </si>
  <si>
    <t>서기사오토(대구)_250618_152004.xlsx</t>
  </si>
  <si>
    <t>SJ모터스(부산)_250618_152141.xlsx</t>
  </si>
  <si>
    <t>한신오토미션(서울 송파)_250618_155513.xlsx</t>
  </si>
  <si>
    <t>조이오토(대구)_250618_180056.xlsx</t>
  </si>
  <si>
    <t>미르오토(대구)_250618_180143.xlsx</t>
  </si>
  <si>
    <t>SJ모터스</t>
  </si>
  <si>
    <t>SJ모터스(부산)_250619_101631.xlsx</t>
  </si>
  <si>
    <t>제일오토(대구)_250619_101808.xlsx</t>
  </si>
  <si>
    <t>02E927770AQ</t>
    <phoneticPr fontId="2" type="noConversion"/>
  </si>
  <si>
    <t>0D9_AQ</t>
    <phoneticPr fontId="2" type="noConversion"/>
  </si>
  <si>
    <t>02E927770AS</t>
    <phoneticPr fontId="2" type="noConversion"/>
  </si>
  <si>
    <t>0D9_AS</t>
    <phoneticPr fontId="2" type="noConversion"/>
  </si>
  <si>
    <t>새흰돌오토미션(전남순천)_250619_102526.xlsx</t>
  </si>
  <si>
    <t>948TE_Solenoid</t>
    <phoneticPr fontId="2" type="noConversion"/>
  </si>
  <si>
    <t>04752889AA</t>
  </si>
  <si>
    <t>미르오토(대구)_250619_163902.xlsx</t>
  </si>
  <si>
    <t>대륙오토(대구)_250619_164019.xlsx</t>
  </si>
  <si>
    <t>조이오토(대구)_250619_164103.xlsx</t>
  </si>
  <si>
    <t>한국오토(노원)_250619_164223.xlsx</t>
  </si>
  <si>
    <t>ZF6HP_Switch repair</t>
  </si>
  <si>
    <t>AZ제일오토미션(순천)_250619_164323.xlsx</t>
  </si>
  <si>
    <t>Dog Clutch Filter</t>
  </si>
  <si>
    <t>AZ제일오토미션(순천)_250619_164639.xlsx</t>
  </si>
  <si>
    <t>SJ모터스 선불</t>
  </si>
  <si>
    <t>o</t>
    <phoneticPr fontId="2" type="noConversion"/>
  </si>
  <si>
    <t>BMW모터스_착한정비(울산)</t>
    <phoneticPr fontId="2" type="noConversion"/>
  </si>
  <si>
    <t>010-8582-4285</t>
    <phoneticPr fontId="2" type="noConversion"/>
  </si>
  <si>
    <t>울산 남구 달동 569-6</t>
    <phoneticPr fontId="2" type="noConversion"/>
  </si>
  <si>
    <t>010-5883-6482</t>
    <phoneticPr fontId="2" type="noConversion"/>
  </si>
  <si>
    <t>부산 금정구 범어천로 7-8</t>
    <phoneticPr fontId="2" type="noConversion"/>
  </si>
  <si>
    <t>오토서비스(평택)</t>
  </si>
  <si>
    <t>오토서비스(평택)_250620_125354.xlsx</t>
  </si>
  <si>
    <t>대구오토(대구)_250620_142059.xlsx</t>
  </si>
  <si>
    <t>하나오토(청주)_250620_142242.xlsx</t>
  </si>
  <si>
    <t>제이오토(대구)_250620_143230.xlsx</t>
  </si>
  <si>
    <t>BMW모터스_착한정비(울산)</t>
  </si>
  <si>
    <t>BMW모터스_착한정비(울산)_250620_143304.xlsx</t>
  </si>
  <si>
    <t>대구오토(대구)_250620_160802.xlsx</t>
  </si>
  <si>
    <t>010-4131-2070</t>
    <phoneticPr fontId="2" type="noConversion"/>
  </si>
  <si>
    <t>GS</t>
    <phoneticPr fontId="2" type="noConversion"/>
  </si>
  <si>
    <t>경기도 평택시 평남로 374</t>
    <phoneticPr fontId="2" type="noConversion"/>
  </si>
  <si>
    <t>대신(화물)</t>
    <phoneticPr fontId="2" type="noConversion"/>
  </si>
  <si>
    <t>평택신대동지점</t>
  </si>
  <si>
    <t>마이스터 선불</t>
  </si>
  <si>
    <t>o</t>
    <phoneticPr fontId="2" type="noConversion"/>
  </si>
  <si>
    <t>오거리카(대구)</t>
  </si>
  <si>
    <t>오거리카(대구)_250620_221254.xlsx</t>
  </si>
  <si>
    <t>오토서비스(평택)</t>
    <phoneticPr fontId="2" type="noConversion"/>
  </si>
  <si>
    <t>0CK_TCU</t>
    <phoneticPr fontId="2" type="noConversion"/>
  </si>
  <si>
    <t>927156AA</t>
    <phoneticPr fontId="2" type="noConversion"/>
  </si>
  <si>
    <t>0CK_Filter</t>
    <phoneticPr fontId="2" type="noConversion"/>
  </si>
  <si>
    <t>0DN325421</t>
    <phoneticPr fontId="2" type="noConversion"/>
  </si>
  <si>
    <t>한국오토(일산)_250621_110246.xlsx</t>
  </si>
  <si>
    <t>부산오토(부산)_250621_110419.xlsx</t>
  </si>
  <si>
    <t>한국오토(일산)_반품</t>
  </si>
  <si>
    <t>0B5_TCU_Rebuild</t>
  </si>
  <si>
    <t>0501.218.962</t>
  </si>
  <si>
    <t>PDK_Sensor(4WD)</t>
  </si>
  <si>
    <t>조이오토(대구)_250621_112721.xlsx</t>
  </si>
  <si>
    <t>오토젠(남양주)</t>
  </si>
  <si>
    <t>오토젠(남양주)_250623_151417.xlsx</t>
  </si>
  <si>
    <t>010-7728-7330</t>
    <phoneticPr fontId="2" type="noConversion"/>
  </si>
  <si>
    <t>경기도 남양주시 별내면 송산로 519-8</t>
    <phoneticPr fontId="2" type="noConversion"/>
  </si>
  <si>
    <t>대신(화물)</t>
    <phoneticPr fontId="2" type="noConversion"/>
  </si>
  <si>
    <t>남양주별내지점</t>
  </si>
  <si>
    <t>8HP70_Inner_Gear</t>
  </si>
  <si>
    <t>메르카바(고양)</t>
  </si>
  <si>
    <t>메르카바(고양)_250623_171251.xlsx</t>
  </si>
  <si>
    <t>Clutch 작업비</t>
  </si>
  <si>
    <t>경북구미시 고아읍 송평로1길 20</t>
    <phoneticPr fontId="2" type="noConversion"/>
  </si>
  <si>
    <t>구미원평1051</t>
    <phoneticPr fontId="2" type="noConversion"/>
  </si>
  <si>
    <t>엠모터스</t>
    <phoneticPr fontId="2" type="noConversion"/>
  </si>
  <si>
    <t>VGSNAG3 Clone</t>
  </si>
  <si>
    <t>엠모터스(구미)_250624_110046.xlsx</t>
  </si>
  <si>
    <t>대구오토(대구)_250624_151531.xlsx</t>
  </si>
  <si>
    <t>효성오토</t>
  </si>
  <si>
    <t>효성오토</t>
    <phoneticPr fontId="2" type="noConversion"/>
  </si>
  <si>
    <t>010-3253-0000</t>
    <phoneticPr fontId="2" type="noConversion"/>
  </si>
  <si>
    <t>262-02-00432</t>
  </si>
  <si>
    <t>경북 구미시 선산대로 245 1동 지하1층</t>
    <phoneticPr fontId="2" type="noConversion"/>
  </si>
  <si>
    <t>경동(화물)</t>
    <phoneticPr fontId="2" type="noConversion"/>
  </si>
  <si>
    <t>구미 원평점</t>
    <phoneticPr fontId="2" type="noConversion"/>
  </si>
  <si>
    <t>서기사오토(대구)_250624_173313.xlsx</t>
  </si>
  <si>
    <t>효성오토_250624_173344.xlsx</t>
  </si>
  <si>
    <t>조이오토(대구)_250624_173516.xlsx</t>
  </si>
  <si>
    <t>제이오토(대구)_250624_185310.xlsx</t>
  </si>
  <si>
    <t>8HP51</t>
    <phoneticPr fontId="2" type="noConversion"/>
  </si>
  <si>
    <t>성실자동차(인천)</t>
  </si>
  <si>
    <t>010-8969-4658</t>
    <phoneticPr fontId="2" type="noConversion"/>
  </si>
  <si>
    <t>인천광역시 서구 원석로 196번길 24</t>
    <phoneticPr fontId="2" type="noConversion"/>
  </si>
  <si>
    <t>인천서구원창424</t>
  </si>
  <si>
    <t>메르카바(고양점)</t>
  </si>
  <si>
    <t>전주오토(전주)_250625_115108.xlsx</t>
  </si>
  <si>
    <t>마일레오토(군포)_250625_115148.xlsx</t>
  </si>
  <si>
    <t>마이스터(대구)_250625_115235.xlsx</t>
  </si>
  <si>
    <t>8HP51_Mechatronics</t>
  </si>
  <si>
    <t>스카이오토미션(천안)_250625_122403.xlsx</t>
  </si>
  <si>
    <t>성실자동차(인천)_250625_122539.xlsx</t>
  </si>
  <si>
    <t>스카이오토미션(천안)</t>
    <phoneticPr fontId="2" type="noConversion"/>
  </si>
  <si>
    <t>8HP51_Mechatronics</t>
    <phoneticPr fontId="2" type="noConversion"/>
  </si>
  <si>
    <t>메르카바(고양)</t>
    <phoneticPr fontId="2" type="noConversion"/>
  </si>
  <si>
    <t>8HP_Pump_Seal_kit</t>
    <phoneticPr fontId="2" type="noConversion"/>
  </si>
  <si>
    <t>이시아오토(대구)</t>
    <phoneticPr fontId="2" type="noConversion"/>
  </si>
  <si>
    <t>0B5_DISC</t>
    <phoneticPr fontId="2" type="noConversion"/>
  </si>
  <si>
    <t>혜광오토(부산)_250625_145137.xlsx</t>
  </si>
  <si>
    <t>한국오토(일산)_250625_145244.xlsx</t>
  </si>
  <si>
    <t>o</t>
    <phoneticPr fontId="2" type="noConversion"/>
  </si>
  <si>
    <t>조이오토(대구)</t>
    <phoneticPr fontId="2" type="noConversion"/>
  </si>
  <si>
    <t>0GC_Repair</t>
    <phoneticPr fontId="2" type="noConversion"/>
  </si>
  <si>
    <t>마트</t>
  </si>
  <si>
    <t>기타</t>
  </si>
  <si>
    <t>쓰봉</t>
  </si>
  <si>
    <t>연화오토(대구)_250625_190518.xlsx</t>
  </si>
  <si>
    <t>2025-06-26</t>
  </si>
  <si>
    <t>이시아오토(대구)_250626_103641.xlsx</t>
  </si>
  <si>
    <t>이시아오토(대구)</t>
    <phoneticPr fontId="2" type="noConversion"/>
  </si>
  <si>
    <t>0B5_Shaft_Seal</t>
    <phoneticPr fontId="2" type="noConversion"/>
  </si>
  <si>
    <t>19037052B</t>
    <phoneticPr fontId="2" type="noConversion"/>
  </si>
  <si>
    <t>0B5_Filter(Inner)</t>
  </si>
  <si>
    <t>조이오토(대구)_250626_104513.xlsx</t>
  </si>
  <si>
    <t>미르오토(대구)_250626_104555.xlsx</t>
  </si>
  <si>
    <t>연화오토(대구)</t>
    <phoneticPr fontId="2" type="noConversion"/>
  </si>
  <si>
    <t>ZF_8HP_Oilpan(Schaeffler)</t>
  </si>
  <si>
    <t>ZF_8HP_Oilpan(Schaeffler)</t>
    <phoneticPr fontId="2" type="noConversion"/>
  </si>
  <si>
    <t>미르오토(대구)_250626_111703.xlsx</t>
  </si>
  <si>
    <t>미르오토(대구)</t>
    <phoneticPr fontId="2" type="noConversion"/>
  </si>
  <si>
    <t>라베놀 디퍼오일(Schaeffler)</t>
  </si>
  <si>
    <t>라베놀 디퍼오일(Schaeffler)</t>
    <phoneticPr fontId="2" type="noConversion"/>
  </si>
  <si>
    <t>하나오토(청주)</t>
    <phoneticPr fontId="2" type="noConversion"/>
  </si>
  <si>
    <t>VGSNAG3</t>
    <phoneticPr fontId="2" type="noConversion"/>
  </si>
  <si>
    <t>A7252709011-1</t>
    <phoneticPr fontId="2" type="noConversion"/>
  </si>
  <si>
    <t>PARK_PAWL</t>
    <phoneticPr fontId="2" type="noConversion"/>
  </si>
  <si>
    <t>서기사오토(대구)</t>
    <phoneticPr fontId="2" type="noConversion"/>
  </si>
  <si>
    <t>ZF_Oilpan_9G</t>
    <phoneticPr fontId="2" type="noConversion"/>
  </si>
  <si>
    <t>결재(5만원할인)</t>
  </si>
  <si>
    <t>부산오토(부산)</t>
    <phoneticPr fontId="2" type="noConversion"/>
  </si>
  <si>
    <t>0CW_Mechatronics</t>
    <phoneticPr fontId="2" type="noConversion"/>
  </si>
  <si>
    <t>거래불가(X)</t>
    <phoneticPr fontId="2" type="noConversion"/>
  </si>
  <si>
    <t>010-2799-0034</t>
    <phoneticPr fontId="2" type="noConversion"/>
  </si>
  <si>
    <t>부산 연제구 좌수영로 311(연산동 469-2)</t>
    <phoneticPr fontId="2" type="noConversion"/>
  </si>
  <si>
    <t>부산오토(부산)_X</t>
    <phoneticPr fontId="2" type="noConversion"/>
  </si>
  <si>
    <t>불가(X)</t>
    <phoneticPr fontId="2" type="noConversion"/>
  </si>
  <si>
    <t>ZF_8HP45_Solenoid</t>
    <phoneticPr fontId="2" type="noConversion"/>
  </si>
  <si>
    <t>미르오토(대구)_250626_145821.xlsx</t>
  </si>
  <si>
    <t>A7259820003</t>
  </si>
  <si>
    <t>0HK_ONLINE</t>
  </si>
  <si>
    <t>WUZZZF28MN020366</t>
  </si>
  <si>
    <t xml:space="preserve">Brand New_x000D_
Programming_x000D_
</t>
  </si>
  <si>
    <t>혜광오토(부산)_250626_171306.xlsx</t>
  </si>
  <si>
    <t>혜광오토(부산)_250626_171306.xlsx</t>
    <phoneticPr fontId="2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</si>
</sst>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1">
    <numFmt numFmtId="176" formatCode="_(* #,##0_);_(* \(#,##0\);_(* &quot;-&quot;_);_(@_)"/>
    <numFmt numFmtId="177" formatCode="&quot;₩&quot;#,##0_);[Red]\(&quot;₩&quot;#,##0\)"/>
    <numFmt numFmtId="178" formatCode="_(&quot;₩&quot;* #,##0_);_(&quot;₩&quot;* \(#,##0\);_(&quot;₩&quot;* &quot;-&quot;_);_(@_)"/>
    <numFmt numFmtId="179" formatCode="_-#,##0_-;_-@_-"/>
    <numFmt numFmtId="180" formatCode="_-@"/>
    <numFmt numFmtId="181" formatCode="#,##0;\-#,##0;\-;@"/>
    <numFmt numFmtId="182" formatCode="#"/>
    <numFmt numFmtId="183" formatCode="&quot;₩&quot;\ #,##0"/>
    <numFmt numFmtId="184" formatCode="0&quot;월&quot;"/>
    <numFmt numFmtId="185" formatCode="#,###"/>
    <numFmt numFmtId="186" formatCode="dd&quot;일&quot;"/>
  </numFmts>
  <fonts count="32">
    <font>
      <sz val="11"/>
      <color theme="1"/>
      <name val="맑은 고딕"/>
      <family val="2"/>
      <charset val="129"/>
    </font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</font>
    <font>
      <b/>
      <sz val="11"/>
      <color theme="1"/>
      <name val="맑은 고딕"/>
      <family val="3"/>
      <charset val="129"/>
    </font>
    <font>
      <b/>
      <sz val="9"/>
      <color theme="0"/>
      <name val="맑은 고딕"/>
      <family val="3"/>
      <charset val="129"/>
    </font>
    <font>
      <sz val="9"/>
      <color theme="1"/>
      <name val="맑은 고딕"/>
      <family val="3"/>
      <charset val="129"/>
    </font>
    <font>
      <b/>
      <sz val="9"/>
      <color theme="1"/>
      <name val="맑은 고딕"/>
      <family val="3"/>
      <charset val="129"/>
    </font>
    <font>
      <sz val="9"/>
      <color rgb="FF808080"/>
      <name val="맑은 고딕"/>
      <family val="3"/>
      <charset val="129"/>
    </font>
    <font>
      <sz val="9"/>
      <color rgb="FF000000"/>
      <name val="맑은 고딕"/>
      <family val="3"/>
      <charset val="129"/>
    </font>
    <font>
      <sz val="9"/>
      <name val="맑은 고딕"/>
      <family val="3"/>
      <charset val="129"/>
    </font>
    <font>
      <sz val="9"/>
      <color theme="0"/>
      <name val="맑은 고딕"/>
      <family val="3"/>
      <charset val="129"/>
    </font>
    <font>
      <sz val="11"/>
      <color theme="1"/>
      <name val="맑은 고딕"/>
      <family val="2"/>
      <charset val="129"/>
    </font>
    <font>
      <sz val="10"/>
      <color theme="1"/>
      <name val="맑은 고딕"/>
      <family val="3"/>
      <charset val="129"/>
    </font>
    <font>
      <b/>
      <u/>
      <sz val="18"/>
      <color theme="1"/>
      <name val="맑은 고딕"/>
      <family val="3"/>
      <charset val="129"/>
    </font>
    <font>
      <b/>
      <sz val="10"/>
      <color theme="1"/>
      <name val="맑은 고딕"/>
      <family val="3"/>
      <charset val="129"/>
    </font>
    <font>
      <b/>
      <sz val="10.3"/>
      <color rgb="FF666666"/>
      <name val="Arial"/>
      <family val="2"/>
    </font>
    <font>
      <sz val="72"/>
      <color theme="1"/>
      <name val="code128"/>
    </font>
    <font>
      <b/>
      <sz val="10"/>
      <color theme="0"/>
      <name val="맑은 고딕"/>
      <family val="3"/>
      <charset val="129"/>
    </font>
    <font>
      <sz val="10"/>
      <color rgb="FF000000"/>
      <name val="맑은 고딕"/>
      <family val="3"/>
      <charset val="129"/>
    </font>
    <font>
      <u/>
      <sz val="11"/>
      <color theme="10"/>
      <name val="맑은 고딕"/>
      <family val="2"/>
      <charset val="129"/>
    </font>
    <font>
      <sz val="11"/>
      <color theme="0"/>
      <name val="맑은 고딕"/>
      <family val="2"/>
      <charset val="129"/>
    </font>
    <font>
      <b/>
      <sz val="11"/>
      <color theme="0"/>
      <name val="맑은 고딕"/>
      <family val="3"/>
      <charset val="129"/>
    </font>
    <font>
      <u/>
      <sz val="11"/>
      <color theme="0"/>
      <name val="맑은 고딕"/>
      <family val="2"/>
      <charset val="129"/>
    </font>
    <font>
      <b/>
      <u/>
      <sz val="10"/>
      <color theme="1"/>
      <name val="맑은 고딕"/>
      <family val="3"/>
      <charset val="129"/>
    </font>
    <font>
      <b/>
      <sz val="48"/>
      <name val="맑은 고딕"/>
      <family val="3"/>
      <charset val="129"/>
    </font>
    <font>
      <sz val="11"/>
      <color rgb="FF808080"/>
      <name val="맑은 고딕"/>
      <family val="2"/>
      <charset val="129"/>
    </font>
    <font>
      <b/>
      <sz val="16"/>
      <color theme="1"/>
      <name val="맑은 고딕"/>
      <family val="3"/>
      <charset val="129"/>
    </font>
    <font>
      <b/>
      <sz val="16"/>
      <color rgb="FFFF0000"/>
      <name val="맑은 고딕"/>
      <family val="3"/>
      <charset val="129"/>
    </font>
    <font>
      <b/>
      <sz val="10"/>
      <name val="맑은 고딕"/>
      <family val="3"/>
      <charset val="129"/>
    </font>
    <font>
      <sz val="8"/>
      <name val="돋움"/>
      <family val="3"/>
      <charset val="129"/>
    </font>
    <font>
      <sz val="10"/>
      <name val="굴림"/>
      <family val="3"/>
      <charset val="129"/>
    </font>
    <font>
      <b/>
      <sz val="11"/>
      <name val="돋움"/>
      <family val="3"/>
      <charset val="129"/>
    </font>
  </fonts>
  <fills count="14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DCDDDD"/>
        <bgColor indexed="64"/>
      </patternFill>
    </fill>
    <fill>
      <patternFill patternType="solid">
        <fgColor rgb="FFF0F0F0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FFFF00"/>
        <bgColor indexed="64"/>
      </patternFill>
    </fill>
  </fills>
  <borders count="124">
    <border>
      <left/>
      <right/>
      <top/>
      <bottom/>
      <diagonal/>
    </border>
    <border>
      <left/>
      <right/>
      <top/>
      <bottom style="medium">
        <color auto="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/>
      <right/>
      <top style="hair">
        <color auto="1"/>
      </top>
      <bottom/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theme="0"/>
      </bottom>
      <diagonal/>
    </border>
    <border>
      <left/>
      <right/>
      <top style="medium">
        <color indexed="64"/>
      </top>
      <bottom style="medium">
        <color theme="0"/>
      </bottom>
      <diagonal/>
    </border>
    <border>
      <left style="medium">
        <color indexed="64"/>
      </left>
      <right/>
      <top style="medium">
        <color theme="0"/>
      </top>
      <bottom style="thin">
        <color indexed="64"/>
      </bottom>
      <diagonal/>
    </border>
    <border>
      <left/>
      <right/>
      <top style="medium">
        <color theme="0"/>
      </top>
      <bottom style="thin">
        <color indexed="64"/>
      </bottom>
      <diagonal/>
    </border>
    <border>
      <left/>
      <right style="medium">
        <color indexed="64"/>
      </right>
      <top style="medium">
        <color theme="0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theme="0"/>
      </bottom>
      <diagonal/>
    </border>
    <border>
      <left style="medium">
        <color rgb="FFE6E6E6"/>
      </left>
      <right style="thin">
        <color rgb="FF000000"/>
      </right>
      <top style="medium">
        <color rgb="FFE6E6E6"/>
      </top>
      <bottom style="thin">
        <color rgb="FF000000"/>
      </bottom>
      <diagonal/>
    </border>
    <border>
      <left style="medium">
        <color rgb="FFE6E6E6"/>
      </left>
      <right style="medium">
        <color rgb="FFE6E6E6"/>
      </right>
      <top style="medium">
        <color rgb="FFE6E6E6"/>
      </top>
      <bottom style="thin">
        <color rgb="FF000000"/>
      </bottom>
      <diagonal/>
    </border>
    <border>
      <left style="medium">
        <color rgb="FFE6E6E6"/>
      </left>
      <right style="thin">
        <color rgb="FF000000"/>
      </right>
      <top style="medium">
        <color rgb="FFE6E6E6"/>
      </top>
      <bottom style="medium">
        <color rgb="FFE6E6E6"/>
      </bottom>
      <diagonal/>
    </border>
    <border>
      <left style="medium">
        <color rgb="FFE6E6E6"/>
      </left>
      <right style="medium">
        <color rgb="FFE6E6E6"/>
      </right>
      <top style="medium">
        <color rgb="FFE6E6E6"/>
      </top>
      <bottom style="medium">
        <color rgb="FFE6E6E6"/>
      </bottom>
      <diagonal/>
    </border>
    <border>
      <left style="thin">
        <color theme="0"/>
      </left>
      <right/>
      <top style="medium">
        <color theme="0"/>
      </top>
      <bottom style="thin">
        <color indexed="64"/>
      </bottom>
      <diagonal/>
    </border>
    <border>
      <left/>
      <right style="thin">
        <color theme="0"/>
      </right>
      <top style="medium">
        <color theme="0"/>
      </top>
      <bottom style="thin">
        <color indexed="64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/>
      <bottom style="thin">
        <color theme="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auto="1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/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/>
      <top style="hair">
        <color indexed="64"/>
      </top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 style="thin">
        <color indexed="64"/>
      </bottom>
      <diagonal/>
    </border>
    <border>
      <left/>
      <right style="medium">
        <color indexed="64"/>
      </right>
      <top style="hair">
        <color indexed="64"/>
      </top>
      <bottom style="thin">
        <color indexed="64"/>
      </bottom>
      <diagonal/>
    </border>
    <border>
      <left/>
      <right/>
      <top style="hair">
        <color indexed="64"/>
      </top>
      <bottom style="thin">
        <color indexed="64"/>
      </bottom>
      <diagonal/>
    </border>
    <border>
      <left/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/>
      <top style="hair">
        <color indexed="64"/>
      </top>
      <bottom style="thin">
        <color indexed="64"/>
      </bottom>
      <diagonal/>
    </border>
    <border>
      <left style="hair">
        <color indexed="64"/>
      </left>
      <right/>
      <top style="thin">
        <color indexed="64"/>
      </top>
      <bottom style="hair">
        <color indexed="64"/>
      </bottom>
      <diagonal/>
    </border>
    <border>
      <left/>
      <right/>
      <top style="thin">
        <color indexed="64"/>
      </top>
      <bottom style="hair">
        <color indexed="64"/>
      </bottom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/>
      <top style="thin">
        <color indexed="64"/>
      </top>
      <bottom style="hair">
        <color indexed="64"/>
      </bottom>
      <diagonal/>
    </border>
    <border>
      <left/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  <border>
      <left style="thin">
        <color theme="1" tint="0.34998626667073579"/>
      </left>
      <right style="hair">
        <color theme="1" tint="0.34998626667073579"/>
      </right>
      <top style="thin">
        <color theme="1" tint="0.34998626667073579"/>
      </top>
      <bottom style="hair">
        <color theme="1" tint="0.34998626667073579"/>
      </bottom>
      <diagonal/>
    </border>
    <border>
      <left style="hair">
        <color theme="1" tint="0.34998626667073579"/>
      </left>
      <right style="hair">
        <color theme="1" tint="0.34998626667073579"/>
      </right>
      <top style="thin">
        <color theme="1" tint="0.34998626667073579"/>
      </top>
      <bottom style="hair">
        <color theme="1" tint="0.34998626667073579"/>
      </bottom>
      <diagonal/>
    </border>
    <border>
      <left style="hair">
        <color theme="1" tint="0.34998626667073579"/>
      </left>
      <right style="thin">
        <color theme="1" tint="0.34998626667073579"/>
      </right>
      <top style="thin">
        <color theme="1" tint="0.34998626667073579"/>
      </top>
      <bottom style="hair">
        <color theme="1" tint="0.34998626667073579"/>
      </bottom>
      <diagonal/>
    </border>
    <border>
      <left style="thin">
        <color theme="1" tint="0.34998626667073579"/>
      </left>
      <right style="hair">
        <color theme="1" tint="0.34998626667073579"/>
      </right>
      <top style="hair">
        <color theme="1" tint="0.34998626667073579"/>
      </top>
      <bottom style="hair">
        <color theme="1" tint="0.34998626667073579"/>
      </bottom>
      <diagonal/>
    </border>
    <border>
      <left style="hair">
        <color theme="1" tint="0.34998626667073579"/>
      </left>
      <right style="hair">
        <color theme="1" tint="0.34998626667073579"/>
      </right>
      <top style="hair">
        <color theme="1" tint="0.34998626667073579"/>
      </top>
      <bottom style="hair">
        <color theme="1" tint="0.34998626667073579"/>
      </bottom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 style="medium">
        <color auto="1"/>
      </left>
      <right style="medium">
        <color theme="0"/>
      </right>
      <top style="medium">
        <color auto="1"/>
      </top>
      <bottom style="medium">
        <color theme="0"/>
      </bottom>
      <diagonal/>
    </border>
    <border>
      <left style="medium">
        <color theme="0"/>
      </left>
      <right style="medium">
        <color theme="0"/>
      </right>
      <top style="medium">
        <color auto="1"/>
      </top>
      <bottom style="medium">
        <color theme="0"/>
      </bottom>
      <diagonal/>
    </border>
    <border>
      <left style="medium">
        <color theme="0"/>
      </left>
      <right style="medium">
        <color auto="1"/>
      </right>
      <top style="medium">
        <color auto="1"/>
      </top>
      <bottom style="medium">
        <color theme="0"/>
      </bottom>
      <diagonal/>
    </border>
    <border>
      <left style="hair">
        <color theme="0" tint="-0.34998626667073579"/>
      </left>
      <right style="hair">
        <color theme="0" tint="-0.34998626667073579"/>
      </right>
      <top style="hair">
        <color theme="0" tint="-0.34998626667073579"/>
      </top>
      <bottom style="hair">
        <color theme="0" tint="-0.34998626667073579"/>
      </bottom>
      <diagonal/>
    </border>
    <border>
      <left style="hair">
        <color theme="0" tint="-0.34998626667073579"/>
      </left>
      <right style="hair">
        <color theme="0" tint="-0.34998626667073579"/>
      </right>
      <top/>
      <bottom style="hair">
        <color theme="0" tint="-0.34998626667073579"/>
      </bottom>
      <diagonal/>
    </border>
    <border>
      <left style="medium">
        <color theme="0" tint="-0.499984740745262"/>
      </left>
      <right style="hair">
        <color theme="0" tint="-0.34998626667073579"/>
      </right>
      <top/>
      <bottom style="hair">
        <color theme="0" tint="-0.34998626667073579"/>
      </bottom>
      <diagonal/>
    </border>
    <border>
      <left style="hair">
        <color theme="0" tint="-0.34998626667073579"/>
      </left>
      <right style="medium">
        <color theme="0" tint="-0.499984740745262"/>
      </right>
      <top/>
      <bottom style="hair">
        <color theme="0" tint="-0.34998626667073579"/>
      </bottom>
      <diagonal/>
    </border>
    <border>
      <left style="medium">
        <color theme="0" tint="-0.499984740745262"/>
      </left>
      <right style="hair">
        <color theme="0" tint="-0.34998626667073579"/>
      </right>
      <top style="hair">
        <color theme="0" tint="-0.34998626667073579"/>
      </top>
      <bottom style="hair">
        <color theme="0" tint="-0.34998626667073579"/>
      </bottom>
      <diagonal/>
    </border>
    <border>
      <left style="hair">
        <color theme="0" tint="-0.34998626667073579"/>
      </left>
      <right style="medium">
        <color theme="0" tint="-0.499984740745262"/>
      </right>
      <top style="hair">
        <color theme="0" tint="-0.34998626667073579"/>
      </top>
      <bottom style="hair">
        <color theme="0" tint="-0.34998626667073579"/>
      </bottom>
      <diagonal/>
    </border>
    <border>
      <left style="medium">
        <color theme="0" tint="-0.499984740745262"/>
      </left>
      <right style="hair">
        <color theme="0" tint="-0.34998626667073579"/>
      </right>
      <top style="medium">
        <color theme="0" tint="-0.499984740745262"/>
      </top>
      <bottom style="medium">
        <color theme="0" tint="-0.499984740745262"/>
      </bottom>
      <diagonal/>
    </border>
    <border>
      <left style="hair">
        <color theme="0" tint="-0.34998626667073579"/>
      </left>
      <right style="hair">
        <color theme="0" tint="-0.34998626667073579"/>
      </right>
      <top style="medium">
        <color theme="0" tint="-0.499984740745262"/>
      </top>
      <bottom style="medium">
        <color theme="0" tint="-0.499984740745262"/>
      </bottom>
      <diagonal/>
    </border>
    <border>
      <left style="hair">
        <color theme="0" tint="-0.34998626667073579"/>
      </left>
      <right style="medium">
        <color theme="0" tint="-0.499984740745262"/>
      </right>
      <top style="medium">
        <color theme="0" tint="-0.499984740745262"/>
      </top>
      <bottom style="medium">
        <color theme="0" tint="-0.499984740745262"/>
      </bottom>
      <diagonal/>
    </border>
    <border>
      <left style="hair">
        <color theme="0" tint="-0.34998626667073579"/>
      </left>
      <right/>
      <top style="medium">
        <color theme="0" tint="-0.499984740745262"/>
      </top>
      <bottom style="medium">
        <color theme="0" tint="-0.499984740745262"/>
      </bottom>
      <diagonal/>
    </border>
    <border>
      <left style="hair">
        <color theme="1" tint="0.499984740745262"/>
      </left>
      <right style="hair">
        <color theme="1" tint="0.499984740745262"/>
      </right>
      <top style="hair">
        <color theme="1" tint="0.499984740745262"/>
      </top>
      <bottom style="hair">
        <color theme="1" tint="0.499984740745262"/>
      </bottom>
      <diagonal/>
    </border>
    <border>
      <left style="thin">
        <color theme="0"/>
      </left>
      <right/>
      <top style="thin">
        <color theme="0"/>
      </top>
      <bottom style="thin">
        <color theme="0"/>
      </bottom>
      <diagonal/>
    </border>
    <border>
      <left style="thin">
        <color theme="1" tint="0.499984740745262"/>
      </left>
      <right style="hair">
        <color theme="1" tint="0.499984740745262"/>
      </right>
      <top style="thin">
        <color theme="1" tint="0.499984740745262"/>
      </top>
      <bottom style="hair">
        <color theme="1" tint="0.499984740745262"/>
      </bottom>
      <diagonal/>
    </border>
    <border>
      <left style="hair">
        <color theme="1" tint="0.499984740745262"/>
      </left>
      <right style="hair">
        <color theme="1" tint="0.499984740745262"/>
      </right>
      <top style="thin">
        <color theme="1" tint="0.499984740745262"/>
      </top>
      <bottom style="hair">
        <color theme="1" tint="0.499984740745262"/>
      </bottom>
      <diagonal/>
    </border>
    <border>
      <left style="hair">
        <color theme="1" tint="0.499984740745262"/>
      </left>
      <right style="thin">
        <color theme="1" tint="0.499984740745262"/>
      </right>
      <top style="thin">
        <color theme="1" tint="0.499984740745262"/>
      </top>
      <bottom style="hair">
        <color theme="1" tint="0.499984740745262"/>
      </bottom>
      <diagonal/>
    </border>
    <border>
      <left style="thin">
        <color theme="1" tint="0.499984740745262"/>
      </left>
      <right style="hair">
        <color theme="1" tint="0.499984740745262"/>
      </right>
      <top style="hair">
        <color theme="1" tint="0.499984740745262"/>
      </top>
      <bottom style="hair">
        <color theme="1" tint="0.499984740745262"/>
      </bottom>
      <diagonal/>
    </border>
    <border>
      <left style="hair">
        <color theme="1" tint="0.499984740745262"/>
      </left>
      <right style="thin">
        <color theme="1" tint="0.499984740745262"/>
      </right>
      <top style="hair">
        <color theme="1" tint="0.499984740745262"/>
      </top>
      <bottom style="hair">
        <color theme="1" tint="0.499984740745262"/>
      </bottom>
      <diagonal/>
    </border>
    <border>
      <left style="thin">
        <color theme="1" tint="0.499984740745262"/>
      </left>
      <right style="hair">
        <color theme="1" tint="0.499984740745262"/>
      </right>
      <top style="hair">
        <color theme="1" tint="0.499984740745262"/>
      </top>
      <bottom style="thin">
        <color theme="1" tint="0.499984740745262"/>
      </bottom>
      <diagonal/>
    </border>
    <border>
      <left style="hair">
        <color theme="1" tint="0.499984740745262"/>
      </left>
      <right style="thin">
        <color theme="1" tint="0.499984740745262"/>
      </right>
      <top style="hair">
        <color theme="1" tint="0.499984740745262"/>
      </top>
      <bottom style="thin">
        <color theme="1" tint="0.499984740745262"/>
      </bottom>
      <diagonal/>
    </border>
    <border>
      <left style="thin">
        <color theme="0"/>
      </left>
      <right/>
      <top/>
      <bottom style="thin">
        <color theme="0"/>
      </bottom>
      <diagonal/>
    </border>
    <border>
      <left style="thin">
        <color theme="0"/>
      </left>
      <right style="thin">
        <color theme="0"/>
      </right>
      <top/>
      <bottom/>
      <diagonal/>
    </border>
    <border>
      <left style="thin">
        <color theme="1" tint="0.499984740745262"/>
      </left>
      <right style="hair">
        <color theme="1" tint="0.499984740745262"/>
      </right>
      <top style="hair">
        <color theme="1" tint="0.499984740745262"/>
      </top>
      <bottom/>
      <diagonal/>
    </border>
    <border>
      <left style="hair">
        <color theme="1" tint="0.499984740745262"/>
      </left>
      <right style="hair">
        <color theme="1" tint="0.499984740745262"/>
      </right>
      <top style="hair">
        <color theme="1" tint="0.499984740745262"/>
      </top>
      <bottom/>
      <diagonal/>
    </border>
    <border>
      <left style="hair">
        <color theme="1" tint="0.499984740745262"/>
      </left>
      <right style="thin">
        <color theme="1" tint="0.499984740745262"/>
      </right>
      <top style="hair">
        <color theme="1" tint="0.499984740745262"/>
      </top>
      <bottom/>
      <diagonal/>
    </border>
    <border>
      <left style="thin">
        <color theme="1" tint="0.499984740745262"/>
      </left>
      <right style="hair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 style="hair">
        <color theme="1" tint="0.499984740745262"/>
      </left>
      <right style="hair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 style="hair">
        <color theme="1" tint="0.499984740745262"/>
      </left>
      <right style="thin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 style="hair">
        <color auto="1"/>
      </left>
      <right/>
      <top/>
      <bottom/>
      <diagonal/>
    </border>
    <border>
      <left/>
      <right style="hair">
        <color auto="1"/>
      </right>
      <top/>
      <bottom/>
      <diagonal/>
    </border>
    <border>
      <left style="hair">
        <color auto="1"/>
      </left>
      <right/>
      <top style="hair">
        <color auto="1"/>
      </top>
      <bottom/>
      <diagonal/>
    </border>
    <border>
      <left/>
      <right style="hair">
        <color auto="1"/>
      </right>
      <top style="hair">
        <color auto="1"/>
      </top>
      <bottom/>
      <diagonal/>
    </border>
    <border>
      <left style="thin">
        <color theme="0" tint="-0.34998626667073579"/>
      </left>
      <right/>
      <top style="thin">
        <color theme="0" tint="-0.34998626667073579"/>
      </top>
      <bottom style="thin">
        <color theme="0" tint="-0.34998626667073579"/>
      </bottom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/>
      <top style="hair">
        <color indexed="64"/>
      </top>
      <bottom/>
      <diagonal/>
    </border>
    <border>
      <left style="hair">
        <color indexed="64"/>
      </left>
      <right style="hair">
        <color indexed="64"/>
      </right>
      <top style="hair">
        <color indexed="64"/>
      </top>
      <bottom/>
      <diagonal/>
    </border>
    <border>
      <left/>
      <right style="medium">
        <color indexed="64"/>
      </right>
      <top style="hair">
        <color indexed="64"/>
      </top>
      <bottom/>
      <diagonal/>
    </border>
    <border>
      <left style="medium">
        <color indexed="64"/>
      </left>
      <right/>
      <top style="double">
        <color indexed="64"/>
      </top>
      <bottom/>
      <diagonal/>
    </border>
    <border>
      <left/>
      <right/>
      <top style="double">
        <color indexed="64"/>
      </top>
      <bottom/>
      <diagonal/>
    </border>
    <border>
      <left/>
      <right style="hair">
        <color auto="1"/>
      </right>
      <top style="double">
        <color indexed="64"/>
      </top>
      <bottom/>
      <diagonal/>
    </border>
    <border>
      <left style="hair">
        <color auto="1"/>
      </left>
      <right/>
      <top style="double">
        <color indexed="64"/>
      </top>
      <bottom/>
      <diagonal/>
    </border>
    <border>
      <left/>
      <right style="medium">
        <color indexed="64"/>
      </right>
      <top style="double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hair">
        <color indexed="64"/>
      </right>
      <top/>
      <bottom style="thin">
        <color indexed="64"/>
      </bottom>
      <diagonal/>
    </border>
    <border>
      <left style="hair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double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double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double">
        <color indexed="64"/>
      </bottom>
      <diagonal/>
    </border>
    <border>
      <left/>
      <right style="hair">
        <color theme="0" tint="-0.34998626667073579"/>
      </right>
      <top style="medium">
        <color theme="0" tint="-0.499984740745262"/>
      </top>
      <bottom style="medium">
        <color theme="0" tint="-0.499984740745262"/>
      </bottom>
      <diagonal/>
    </border>
  </borders>
  <cellStyleXfs count="4">
    <xf numFmtId="0" fontId="0" fillId="0" borderId="0">
      <alignment vertical="center"/>
    </xf>
    <xf numFmtId="176" fontId="11" fillId="0" borderId="0" applyFont="0" applyFill="0" applyBorder="0" applyAlignment="0" applyProtection="0">
      <alignment vertical="center"/>
    </xf>
    <xf numFmtId="0" fontId="19" fillId="0" borderId="0" applyNumberFormat="0" applyFill="0" applyBorder="0" applyAlignment="0" applyProtection="0">
      <alignment vertical="center"/>
    </xf>
    <xf numFmtId="0" fontId="1" fillId="0" borderId="0">
      <alignment vertical="center"/>
    </xf>
  </cellStyleXfs>
  <cellXfs count="503">
    <xf numFmtId="0" fontId="0" fillId="0" borderId="0" xfId="0">
      <alignment vertical="center"/>
    </xf>
    <xf numFmtId="0" fontId="5" fillId="0" borderId="0" xfId="0" applyFont="1">
      <alignment vertical="center"/>
    </xf>
    <xf numFmtId="0" fontId="5" fillId="0" borderId="0" xfId="0" applyFont="1" applyAlignment="1">
      <alignment horizontal="center" vertical="center"/>
    </xf>
    <xf numFmtId="0" fontId="5" fillId="0" borderId="0" xfId="0" applyFont="1" applyAlignment="1">
      <alignment horizontal="left" vertical="center" indent="1"/>
    </xf>
    <xf numFmtId="0" fontId="5" fillId="0" borderId="0" xfId="0" applyFont="1" applyAlignment="1">
      <alignment horizontal="left" vertical="center"/>
    </xf>
    <xf numFmtId="0" fontId="4" fillId="3" borderId="2" xfId="0" applyFont="1" applyFill="1" applyBorder="1" applyAlignment="1">
      <alignment horizontal="center" vertical="center"/>
    </xf>
    <xf numFmtId="0" fontId="7" fillId="0" borderId="0" xfId="0" applyFont="1" applyAlignment="1">
      <alignment horizontal="center" vertical="center"/>
    </xf>
    <xf numFmtId="0" fontId="3" fillId="0" borderId="1" xfId="0" applyFont="1" applyBorder="1">
      <alignment vertical="center"/>
    </xf>
    <xf numFmtId="0" fontId="3" fillId="2" borderId="0" xfId="0" applyFont="1" applyFill="1">
      <alignment vertical="center"/>
    </xf>
    <xf numFmtId="0" fontId="6" fillId="0" borderId="0" xfId="0" applyFont="1">
      <alignment vertical="center"/>
    </xf>
    <xf numFmtId="0" fontId="6" fillId="0" borderId="0" xfId="0" applyFont="1" applyAlignment="1">
      <alignment horizontal="left" vertical="center"/>
    </xf>
    <xf numFmtId="0" fontId="6" fillId="0" borderId="0" xfId="0" applyFont="1" applyAlignment="1">
      <alignment horizontal="left" vertical="center" indent="1"/>
    </xf>
    <xf numFmtId="0" fontId="8" fillId="5" borderId="0" xfId="0" applyFont="1" applyFill="1">
      <alignment vertical="center"/>
    </xf>
    <xf numFmtId="14" fontId="0" fillId="0" borderId="0" xfId="0" applyNumberFormat="1">
      <alignment vertical="center"/>
    </xf>
    <xf numFmtId="0" fontId="9" fillId="5" borderId="0" xfId="0" applyFont="1" applyFill="1">
      <alignment vertical="center"/>
    </xf>
    <xf numFmtId="0" fontId="9" fillId="5" borderId="0" xfId="0" applyFont="1" applyFill="1" applyAlignment="1">
      <alignment horizontal="center" vertical="center"/>
    </xf>
    <xf numFmtId="0" fontId="5" fillId="0" borderId="0" xfId="0" applyFont="1" applyAlignment="1">
      <alignment horizontal="center" vertical="center" shrinkToFit="1"/>
    </xf>
    <xf numFmtId="0" fontId="5" fillId="0" borderId="2" xfId="0" applyFont="1" applyBorder="1" applyAlignment="1">
      <alignment horizontal="center" vertical="center" shrinkToFit="1"/>
    </xf>
    <xf numFmtId="14" fontId="5" fillId="0" borderId="2" xfId="0" applyNumberFormat="1" applyFont="1" applyBorder="1" applyAlignment="1">
      <alignment horizontal="center" vertical="center" shrinkToFit="1"/>
    </xf>
    <xf numFmtId="0" fontId="5" fillId="0" borderId="2" xfId="0" applyFont="1" applyBorder="1" applyAlignment="1">
      <alignment vertical="center" shrinkToFit="1"/>
    </xf>
    <xf numFmtId="3" fontId="5" fillId="0" borderId="0" xfId="0" applyNumberFormat="1" applyFont="1" applyAlignment="1">
      <alignment horizontal="center" vertical="center" shrinkToFit="1"/>
    </xf>
    <xf numFmtId="3" fontId="4" fillId="3" borderId="2" xfId="0" applyNumberFormat="1" applyFont="1" applyFill="1" applyBorder="1" applyAlignment="1">
      <alignment horizontal="center" vertical="center"/>
    </xf>
    <xf numFmtId="3" fontId="5" fillId="0" borderId="2" xfId="0" applyNumberFormat="1" applyFont="1" applyBorder="1" applyAlignment="1">
      <alignment horizontal="center" vertical="center" shrinkToFit="1"/>
    </xf>
    <xf numFmtId="181" fontId="5" fillId="0" borderId="0" xfId="0" applyNumberFormat="1" applyFont="1" applyAlignment="1">
      <alignment horizontal="center" vertical="center" shrinkToFit="1"/>
    </xf>
    <xf numFmtId="181" fontId="4" fillId="3" borderId="2" xfId="0" applyNumberFormat="1" applyFont="1" applyFill="1" applyBorder="1" applyAlignment="1">
      <alignment horizontal="center" vertical="center"/>
    </xf>
    <xf numFmtId="181" fontId="5" fillId="0" borderId="2" xfId="0" applyNumberFormat="1" applyFont="1" applyBorder="1" applyAlignment="1">
      <alignment vertical="center" shrinkToFit="1"/>
    </xf>
    <xf numFmtId="0" fontId="10" fillId="6" borderId="0" xfId="0" applyFont="1" applyFill="1">
      <alignment vertical="center"/>
    </xf>
    <xf numFmtId="0" fontId="5" fillId="0" borderId="5" xfId="0" applyFont="1" applyBorder="1" applyAlignment="1">
      <alignment horizontal="left" vertical="center"/>
    </xf>
    <xf numFmtId="0" fontId="5" fillId="0" borderId="5" xfId="0" applyFont="1" applyBorder="1" applyAlignment="1">
      <alignment horizontal="left" vertical="center" indent="1"/>
    </xf>
    <xf numFmtId="0" fontId="4" fillId="3" borderId="0" xfId="0" applyFont="1" applyFill="1" applyAlignment="1">
      <alignment horizontal="left" vertical="center"/>
    </xf>
    <xf numFmtId="0" fontId="4" fillId="3" borderId="0" xfId="0" applyFont="1" applyFill="1" applyAlignment="1">
      <alignment horizontal="left" vertical="center" indent="1"/>
    </xf>
    <xf numFmtId="0" fontId="3" fillId="0" borderId="1" xfId="0" applyFont="1" applyBorder="1" applyAlignment="1">
      <alignment horizontal="center" vertical="center"/>
    </xf>
    <xf numFmtId="179" fontId="6" fillId="0" borderId="2" xfId="0" applyNumberFormat="1" applyFont="1" applyBorder="1" applyAlignment="1">
      <alignment horizontal="left" vertical="center"/>
    </xf>
    <xf numFmtId="0" fontId="6" fillId="6" borderId="2" xfId="0" applyFont="1" applyFill="1" applyBorder="1" applyAlignment="1">
      <alignment horizontal="center" vertical="center"/>
    </xf>
    <xf numFmtId="0" fontId="6" fillId="4" borderId="2" xfId="0" applyFont="1" applyFill="1" applyBorder="1" applyAlignment="1">
      <alignment horizontal="center" vertical="center"/>
    </xf>
    <xf numFmtId="176" fontId="6" fillId="4" borderId="2" xfId="1" applyFont="1" applyFill="1" applyBorder="1" applyAlignment="1">
      <alignment horizontal="center" vertical="center"/>
    </xf>
    <xf numFmtId="3" fontId="6" fillId="6" borderId="2" xfId="0" applyNumberFormat="1" applyFont="1" applyFill="1" applyBorder="1" applyAlignment="1">
      <alignment horizontal="center" vertical="center"/>
    </xf>
    <xf numFmtId="0" fontId="14" fillId="7" borderId="5" xfId="0" applyFont="1" applyFill="1" applyBorder="1" applyAlignment="1">
      <alignment horizontal="center" vertical="center" wrapText="1"/>
    </xf>
    <xf numFmtId="0" fontId="14" fillId="7" borderId="5" xfId="0" applyFont="1" applyFill="1" applyBorder="1" applyAlignment="1">
      <alignment horizontal="center" vertical="center"/>
    </xf>
    <xf numFmtId="0" fontId="15" fillId="0" borderId="32" xfId="0" applyFont="1" applyBorder="1" applyAlignment="1">
      <alignment horizontal="center" vertical="center" wrapText="1"/>
    </xf>
    <xf numFmtId="0" fontId="15" fillId="0" borderId="33" xfId="0" applyFont="1" applyBorder="1" applyAlignment="1">
      <alignment horizontal="center" vertical="center" wrapText="1"/>
    </xf>
    <xf numFmtId="0" fontId="15" fillId="8" borderId="32" xfId="0" applyFont="1" applyFill="1" applyBorder="1" applyAlignment="1">
      <alignment horizontal="center" vertical="center" wrapText="1"/>
    </xf>
    <xf numFmtId="0" fontId="15" fillId="9" borderId="32" xfId="0" applyFont="1" applyFill="1" applyBorder="1" applyAlignment="1">
      <alignment horizontal="center" vertical="center" wrapText="1"/>
    </xf>
    <xf numFmtId="0" fontId="15" fillId="9" borderId="33" xfId="0" applyFont="1" applyFill="1" applyBorder="1" applyAlignment="1">
      <alignment horizontal="center" vertical="center" wrapText="1"/>
    </xf>
    <xf numFmtId="0" fontId="15" fillId="8" borderId="34" xfId="0" applyFont="1" applyFill="1" applyBorder="1" applyAlignment="1">
      <alignment horizontal="center" vertical="center" wrapText="1"/>
    </xf>
    <xf numFmtId="0" fontId="15" fillId="0" borderId="34" xfId="0" applyFont="1" applyBorder="1" applyAlignment="1">
      <alignment horizontal="center" vertical="center" wrapText="1"/>
    </xf>
    <xf numFmtId="0" fontId="15" fillId="0" borderId="35" xfId="0" applyFont="1" applyBorder="1" applyAlignment="1">
      <alignment horizontal="center" vertical="center" wrapText="1"/>
    </xf>
    <xf numFmtId="0" fontId="0" fillId="0" borderId="0" xfId="0" applyAlignment="1">
      <alignment horizontal="center" vertical="center"/>
    </xf>
    <xf numFmtId="22" fontId="0" fillId="0" borderId="0" xfId="0" applyNumberFormat="1">
      <alignment vertical="center"/>
    </xf>
    <xf numFmtId="1" fontId="0" fillId="0" borderId="0" xfId="0" applyNumberFormat="1">
      <alignment vertical="center"/>
    </xf>
    <xf numFmtId="1" fontId="3" fillId="0" borderId="1" xfId="0" applyNumberFormat="1" applyFont="1" applyBorder="1" applyAlignment="1">
      <alignment horizontal="center" vertical="center"/>
    </xf>
    <xf numFmtId="176" fontId="3" fillId="0" borderId="1" xfId="1" applyFont="1" applyBorder="1" applyAlignment="1">
      <alignment horizontal="center" vertical="center"/>
    </xf>
    <xf numFmtId="176" fontId="0" fillId="0" borderId="0" xfId="1" applyFont="1">
      <alignment vertical="center"/>
    </xf>
    <xf numFmtId="1" fontId="5" fillId="0" borderId="2" xfId="0" applyNumberFormat="1" applyFont="1" applyBorder="1" applyAlignment="1">
      <alignment horizontal="center" vertical="center" shrinkToFit="1"/>
    </xf>
    <xf numFmtId="0" fontId="0" fillId="0" borderId="38" xfId="0" applyBorder="1">
      <alignment vertical="center"/>
    </xf>
    <xf numFmtId="1" fontId="6" fillId="4" borderId="2" xfId="0" applyNumberFormat="1" applyFont="1" applyFill="1" applyBorder="1" applyAlignment="1">
      <alignment horizontal="center" vertical="center"/>
    </xf>
    <xf numFmtId="1" fontId="5" fillId="0" borderId="0" xfId="0" applyNumberFormat="1" applyFont="1" applyAlignment="1">
      <alignment horizontal="center" vertical="center" shrinkToFit="1"/>
    </xf>
    <xf numFmtId="1" fontId="4" fillId="3" borderId="2" xfId="0" applyNumberFormat="1" applyFont="1" applyFill="1" applyBorder="1" applyAlignment="1">
      <alignment horizontal="center" vertical="center"/>
    </xf>
    <xf numFmtId="1" fontId="3" fillId="0" borderId="1" xfId="0" applyNumberFormat="1" applyFont="1" applyBorder="1">
      <alignment vertical="center"/>
    </xf>
    <xf numFmtId="9" fontId="16" fillId="0" borderId="38" xfId="0" applyNumberFormat="1" applyFont="1" applyBorder="1">
      <alignment vertical="center"/>
    </xf>
    <xf numFmtId="9" fontId="0" fillId="0" borderId="38" xfId="0" applyNumberFormat="1" applyBorder="1">
      <alignment vertical="center"/>
    </xf>
    <xf numFmtId="0" fontId="0" fillId="0" borderId="5" xfId="0" applyBorder="1" applyAlignment="1">
      <alignment horizontal="center" vertical="center"/>
    </xf>
    <xf numFmtId="14" fontId="3" fillId="0" borderId="1" xfId="0" applyNumberFormat="1" applyFont="1" applyBorder="1" applyAlignment="1">
      <alignment horizontal="center" vertical="center"/>
    </xf>
    <xf numFmtId="0" fontId="3" fillId="0" borderId="0" xfId="0" applyFont="1">
      <alignment vertical="center"/>
    </xf>
    <xf numFmtId="49" fontId="3" fillId="0" borderId="1" xfId="1" applyNumberFormat="1" applyFont="1" applyBorder="1" applyAlignment="1">
      <alignment horizontal="center" vertical="center"/>
    </xf>
    <xf numFmtId="49" fontId="3" fillId="0" borderId="40" xfId="0" applyNumberFormat="1" applyFont="1" applyBorder="1" applyAlignment="1">
      <alignment horizontal="center" vertical="center"/>
    </xf>
    <xf numFmtId="0" fontId="3" fillId="10" borderId="1" xfId="0" applyFont="1" applyFill="1" applyBorder="1" applyAlignment="1">
      <alignment horizontal="center" vertical="center"/>
    </xf>
    <xf numFmtId="14" fontId="5" fillId="0" borderId="2" xfId="0" applyNumberFormat="1" applyFont="1" applyBorder="1" applyAlignment="1">
      <alignment vertical="center" shrinkToFit="1"/>
    </xf>
    <xf numFmtId="1" fontId="5" fillId="0" borderId="2" xfId="0" applyNumberFormat="1" applyFont="1" applyBorder="1" applyAlignment="1">
      <alignment vertical="center" shrinkToFit="1"/>
    </xf>
    <xf numFmtId="3" fontId="12" fillId="0" borderId="38" xfId="0" applyNumberFormat="1" applyFont="1" applyBorder="1" applyAlignment="1">
      <alignment horizontal="center" vertical="center" shrinkToFit="1"/>
    </xf>
    <xf numFmtId="0" fontId="12" fillId="0" borderId="38" xfId="0" applyFont="1" applyBorder="1" applyAlignment="1">
      <alignment horizontal="center" vertical="center" shrinkToFit="1"/>
    </xf>
    <xf numFmtId="181" fontId="12" fillId="0" borderId="38" xfId="0" applyNumberFormat="1" applyFont="1" applyBorder="1" applyAlignment="1">
      <alignment horizontal="center" vertical="center" shrinkToFit="1"/>
    </xf>
    <xf numFmtId="0" fontId="12" fillId="0" borderId="38" xfId="0" applyFont="1" applyBorder="1" applyAlignment="1">
      <alignment horizontal="center" vertical="center"/>
    </xf>
    <xf numFmtId="0" fontId="12" fillId="0" borderId="38" xfId="0" applyFont="1" applyBorder="1">
      <alignment vertical="center"/>
    </xf>
    <xf numFmtId="0" fontId="18" fillId="5" borderId="38" xfId="0" applyFont="1" applyFill="1" applyBorder="1">
      <alignment vertical="center"/>
    </xf>
    <xf numFmtId="0" fontId="12" fillId="0" borderId="62" xfId="0" applyFont="1" applyBorder="1">
      <alignment vertical="center"/>
    </xf>
    <xf numFmtId="3" fontId="12" fillId="0" borderId="63" xfId="0" applyNumberFormat="1" applyFont="1" applyBorder="1" applyAlignment="1">
      <alignment horizontal="center" vertical="center" shrinkToFit="1"/>
    </xf>
    <xf numFmtId="0" fontId="12" fillId="0" borderId="63" xfId="0" applyFont="1" applyBorder="1" applyAlignment="1">
      <alignment horizontal="center" vertical="center" shrinkToFit="1"/>
    </xf>
    <xf numFmtId="181" fontId="12" fillId="0" borderId="63" xfId="0" applyNumberFormat="1" applyFont="1" applyBorder="1" applyAlignment="1">
      <alignment horizontal="center" vertical="center" shrinkToFit="1"/>
    </xf>
    <xf numFmtId="0" fontId="12" fillId="0" borderId="63" xfId="0" applyFont="1" applyBorder="1" applyAlignment="1">
      <alignment horizontal="center" vertical="center"/>
    </xf>
    <xf numFmtId="0" fontId="12" fillId="0" borderId="63" xfId="0" applyFont="1" applyBorder="1">
      <alignment vertical="center"/>
    </xf>
    <xf numFmtId="0" fontId="0" fillId="0" borderId="63" xfId="0" applyBorder="1">
      <alignment vertical="center"/>
    </xf>
    <xf numFmtId="3" fontId="17" fillId="3" borderId="64" xfId="0" applyNumberFormat="1" applyFont="1" applyFill="1" applyBorder="1" applyAlignment="1">
      <alignment horizontal="center" vertical="center"/>
    </xf>
    <xf numFmtId="14" fontId="17" fillId="3" borderId="65" xfId="0" applyNumberFormat="1" applyFont="1" applyFill="1" applyBorder="1" applyAlignment="1">
      <alignment horizontal="center" vertical="center"/>
    </xf>
    <xf numFmtId="181" fontId="17" fillId="3" borderId="65" xfId="0" applyNumberFormat="1" applyFont="1" applyFill="1" applyBorder="1" applyAlignment="1">
      <alignment horizontal="center" vertical="center"/>
    </xf>
    <xf numFmtId="181" fontId="17" fillId="3" borderId="66" xfId="0" applyNumberFormat="1" applyFont="1" applyFill="1" applyBorder="1" applyAlignment="1">
      <alignment horizontal="center" vertical="center"/>
    </xf>
    <xf numFmtId="0" fontId="12" fillId="0" borderId="68" xfId="0" applyFont="1" applyBorder="1">
      <alignment vertical="center"/>
    </xf>
    <xf numFmtId="176" fontId="12" fillId="0" borderId="68" xfId="1" applyFont="1" applyBorder="1">
      <alignment vertical="center"/>
    </xf>
    <xf numFmtId="37" fontId="12" fillId="0" borderId="68" xfId="0" applyNumberFormat="1" applyFont="1" applyBorder="1">
      <alignment vertical="center"/>
    </xf>
    <xf numFmtId="176" fontId="12" fillId="0" borderId="68" xfId="0" applyNumberFormat="1" applyFont="1" applyBorder="1">
      <alignment vertical="center"/>
    </xf>
    <xf numFmtId="3" fontId="12" fillId="0" borderId="67" xfId="0" applyNumberFormat="1" applyFont="1" applyBorder="1" applyAlignment="1">
      <alignment horizontal="center" vertical="center" shrinkToFit="1"/>
    </xf>
    <xf numFmtId="0" fontId="12" fillId="0" borderId="68" xfId="0" applyFont="1" applyBorder="1" applyAlignment="1">
      <alignment horizontal="center" vertical="center" shrinkToFit="1"/>
    </xf>
    <xf numFmtId="181" fontId="12" fillId="0" borderId="68" xfId="0" applyNumberFormat="1" applyFont="1" applyBorder="1" applyAlignment="1">
      <alignment vertical="center" shrinkToFit="1"/>
    </xf>
    <xf numFmtId="0" fontId="12" fillId="0" borderId="68" xfId="0" applyFont="1" applyBorder="1" applyAlignment="1">
      <alignment horizontal="center" vertical="center"/>
    </xf>
    <xf numFmtId="3" fontId="12" fillId="0" borderId="39" xfId="0" applyNumberFormat="1" applyFont="1" applyBorder="1" applyAlignment="1">
      <alignment horizontal="center" vertical="center" shrinkToFit="1"/>
    </xf>
    <xf numFmtId="0" fontId="12" fillId="0" borderId="39" xfId="0" applyFont="1" applyBorder="1" applyAlignment="1">
      <alignment horizontal="center" vertical="center" shrinkToFit="1"/>
    </xf>
    <xf numFmtId="181" fontId="12" fillId="0" borderId="39" xfId="0" applyNumberFormat="1" applyFont="1" applyBorder="1" applyAlignment="1">
      <alignment horizontal="center" vertical="center" shrinkToFit="1"/>
    </xf>
    <xf numFmtId="185" fontId="0" fillId="0" borderId="0" xfId="1" applyNumberFormat="1" applyFont="1">
      <alignment vertical="center"/>
    </xf>
    <xf numFmtId="0" fontId="12" fillId="0" borderId="67" xfId="0" applyFont="1" applyBorder="1" applyAlignment="1">
      <alignment horizontal="center" vertical="center"/>
    </xf>
    <xf numFmtId="14" fontId="12" fillId="0" borderId="38" xfId="0" applyNumberFormat="1" applyFont="1" applyBorder="1" applyAlignment="1">
      <alignment horizontal="center" vertical="center" shrinkToFit="1"/>
    </xf>
    <xf numFmtId="14" fontId="12" fillId="0" borderId="63" xfId="0" applyNumberFormat="1" applyFont="1" applyBorder="1" applyAlignment="1">
      <alignment horizontal="center" vertical="center" shrinkToFit="1"/>
    </xf>
    <xf numFmtId="14" fontId="12" fillId="0" borderId="39" xfId="0" applyNumberFormat="1" applyFont="1" applyBorder="1" applyAlignment="1">
      <alignment horizontal="center" vertical="center" shrinkToFit="1"/>
    </xf>
    <xf numFmtId="14" fontId="12" fillId="0" borderId="68" xfId="0" applyNumberFormat="1" applyFont="1" applyBorder="1" applyAlignment="1">
      <alignment horizontal="center" vertical="center" shrinkToFit="1"/>
    </xf>
    <xf numFmtId="14" fontId="12" fillId="0" borderId="68" xfId="0" applyNumberFormat="1" applyFont="1" applyBorder="1" applyAlignment="1">
      <alignment horizontal="center" vertical="center"/>
    </xf>
    <xf numFmtId="0" fontId="0" fillId="10" borderId="69" xfId="0" applyFill="1" applyBorder="1">
      <alignment vertical="center"/>
    </xf>
    <xf numFmtId="0" fontId="20" fillId="0" borderId="0" xfId="0" applyFont="1">
      <alignment vertical="center"/>
    </xf>
    <xf numFmtId="0" fontId="21" fillId="0" borderId="0" xfId="0" applyFont="1">
      <alignment vertical="center"/>
    </xf>
    <xf numFmtId="0" fontId="13" fillId="0" borderId="71" xfId="0" applyFont="1" applyBorder="1">
      <alignment vertical="center"/>
    </xf>
    <xf numFmtId="14" fontId="0" fillId="0" borderId="73" xfId="0" applyNumberFormat="1" applyBorder="1">
      <alignment vertical="center"/>
    </xf>
    <xf numFmtId="0" fontId="0" fillId="0" borderId="73" xfId="0" applyBorder="1">
      <alignment vertical="center"/>
    </xf>
    <xf numFmtId="14" fontId="0" fillId="0" borderId="74" xfId="0" applyNumberFormat="1" applyBorder="1">
      <alignment vertical="center"/>
    </xf>
    <xf numFmtId="0" fontId="0" fillId="0" borderId="75" xfId="0" applyBorder="1">
      <alignment vertical="center"/>
    </xf>
    <xf numFmtId="0" fontId="0" fillId="0" borderId="76" xfId="0" applyBorder="1">
      <alignment vertical="center"/>
    </xf>
    <xf numFmtId="0" fontId="0" fillId="0" borderId="77" xfId="0" applyBorder="1">
      <alignment vertical="center"/>
    </xf>
    <xf numFmtId="0" fontId="0" fillId="0" borderId="78" xfId="0" applyBorder="1">
      <alignment vertical="center"/>
    </xf>
    <xf numFmtId="0" fontId="3" fillId="10" borderId="79" xfId="0" applyFont="1" applyFill="1" applyBorder="1" applyAlignment="1">
      <alignment horizontal="center" vertical="center"/>
    </xf>
    <xf numFmtId="0" fontId="3" fillId="10" borderId="80" xfId="0" applyFont="1" applyFill="1" applyBorder="1" applyAlignment="1">
      <alignment horizontal="center" vertical="center"/>
    </xf>
    <xf numFmtId="0" fontId="3" fillId="10" borderId="81" xfId="0" applyFont="1" applyFill="1" applyBorder="1" applyAlignment="1">
      <alignment horizontal="center" vertical="center"/>
    </xf>
    <xf numFmtId="0" fontId="0" fillId="0" borderId="73" xfId="0" applyBorder="1" applyAlignment="1">
      <alignment vertical="center" wrapText="1"/>
    </xf>
    <xf numFmtId="0" fontId="0" fillId="0" borderId="74" xfId="0" applyBorder="1" applyAlignment="1">
      <alignment vertical="center" wrapText="1"/>
    </xf>
    <xf numFmtId="0" fontId="3" fillId="10" borderId="82" xfId="0" applyFont="1" applyFill="1" applyBorder="1" applyAlignment="1">
      <alignment horizontal="center" vertical="center"/>
    </xf>
    <xf numFmtId="176" fontId="3" fillId="10" borderId="81" xfId="1" applyFont="1" applyFill="1" applyBorder="1" applyAlignment="1">
      <alignment horizontal="center" vertical="center"/>
    </xf>
    <xf numFmtId="14" fontId="0" fillId="0" borderId="0" xfId="1" applyNumberFormat="1" applyFont="1">
      <alignment vertical="center"/>
    </xf>
    <xf numFmtId="0" fontId="0" fillId="0" borderId="0" xfId="1" applyNumberFormat="1" applyFont="1" applyAlignment="1">
      <alignment horizontal="left" vertical="center"/>
    </xf>
    <xf numFmtId="0" fontId="12" fillId="0" borderId="68" xfId="0" applyFont="1" applyBorder="1" applyAlignment="1">
      <alignment horizontal="left" vertical="center"/>
    </xf>
    <xf numFmtId="0" fontId="12" fillId="0" borderId="68" xfId="0" applyFont="1" applyBorder="1" applyAlignment="1">
      <alignment horizontal="left" vertical="center" shrinkToFit="1"/>
    </xf>
    <xf numFmtId="0" fontId="12" fillId="0" borderId="38" xfId="0" applyFont="1" applyBorder="1" applyAlignment="1">
      <alignment horizontal="left" vertical="center" shrinkToFit="1"/>
    </xf>
    <xf numFmtId="0" fontId="12" fillId="0" borderId="63" xfId="0" applyFont="1" applyBorder="1" applyAlignment="1">
      <alignment horizontal="left" vertical="center" shrinkToFit="1"/>
    </xf>
    <xf numFmtId="181" fontId="12" fillId="0" borderId="39" xfId="0" applyNumberFormat="1" applyFont="1" applyBorder="1" applyAlignment="1">
      <alignment horizontal="left" vertical="center" shrinkToFit="1"/>
    </xf>
    <xf numFmtId="0" fontId="0" fillId="6" borderId="0" xfId="0" applyFill="1" applyAlignment="1">
      <alignment horizontal="center" vertical="center"/>
    </xf>
    <xf numFmtId="0" fontId="0" fillId="6" borderId="0" xfId="0" applyFill="1">
      <alignment vertical="center"/>
    </xf>
    <xf numFmtId="37" fontId="17" fillId="3" borderId="65" xfId="0" applyNumberFormat="1" applyFont="1" applyFill="1" applyBorder="1" applyAlignment="1">
      <alignment horizontal="center" vertical="center"/>
    </xf>
    <xf numFmtId="37" fontId="12" fillId="0" borderId="68" xfId="0" applyNumberFormat="1" applyFont="1" applyBorder="1" applyAlignment="1">
      <alignment vertical="center" shrinkToFit="1"/>
    </xf>
    <xf numFmtId="37" fontId="12" fillId="0" borderId="38" xfId="0" applyNumberFormat="1" applyFont="1" applyBorder="1" applyAlignment="1">
      <alignment horizontal="center" vertical="center"/>
    </xf>
    <xf numFmtId="37" fontId="12" fillId="0" borderId="63" xfId="0" applyNumberFormat="1" applyFont="1" applyBorder="1" applyAlignment="1">
      <alignment horizontal="center" vertical="center"/>
    </xf>
    <xf numFmtId="37" fontId="12" fillId="0" borderId="39" xfId="0" applyNumberFormat="1" applyFont="1" applyBorder="1" applyAlignment="1">
      <alignment horizontal="center" vertical="center"/>
    </xf>
    <xf numFmtId="37" fontId="12" fillId="0" borderId="38" xfId="0" applyNumberFormat="1" applyFont="1" applyBorder="1" applyAlignment="1">
      <alignment horizontal="right" vertical="center"/>
    </xf>
    <xf numFmtId="37" fontId="12" fillId="0" borderId="63" xfId="0" applyNumberFormat="1" applyFont="1" applyBorder="1" applyAlignment="1">
      <alignment horizontal="right" vertical="center"/>
    </xf>
    <xf numFmtId="37" fontId="12" fillId="0" borderId="68" xfId="0" applyNumberFormat="1" applyFont="1" applyBorder="1" applyAlignment="1">
      <alignment horizontal="right" vertical="center"/>
    </xf>
    <xf numFmtId="37" fontId="12" fillId="0" borderId="39" xfId="0" applyNumberFormat="1" applyFont="1" applyBorder="1" applyAlignment="1">
      <alignment horizontal="right" vertical="center"/>
    </xf>
    <xf numFmtId="37" fontId="12" fillId="0" borderId="68" xfId="1" applyNumberFormat="1" applyFont="1" applyBorder="1" applyAlignment="1">
      <alignment horizontal="right" vertical="center"/>
    </xf>
    <xf numFmtId="0" fontId="4" fillId="0" borderId="38" xfId="0" applyFont="1" applyBorder="1">
      <alignment vertical="center"/>
    </xf>
    <xf numFmtId="0" fontId="6" fillId="0" borderId="38" xfId="0" applyFont="1" applyBorder="1" applyAlignment="1">
      <alignment horizontal="left" vertical="center"/>
    </xf>
    <xf numFmtId="0" fontId="6" fillId="0" borderId="38" xfId="0" applyFont="1" applyBorder="1" applyAlignment="1">
      <alignment horizontal="left" vertical="center" indent="1"/>
    </xf>
    <xf numFmtId="0" fontId="5" fillId="0" borderId="38" xfId="0" applyFont="1" applyBorder="1" applyAlignment="1">
      <alignment horizontal="center" vertical="center"/>
    </xf>
    <xf numFmtId="0" fontId="5" fillId="0" borderId="38" xfId="0" applyFont="1" applyBorder="1" applyAlignment="1">
      <alignment horizontal="center" vertical="center" shrinkToFit="1"/>
    </xf>
    <xf numFmtId="181" fontId="5" fillId="0" borderId="38" xfId="0" applyNumberFormat="1" applyFont="1" applyBorder="1" applyAlignment="1">
      <alignment horizontal="center" vertical="center" shrinkToFit="1"/>
    </xf>
    <xf numFmtId="0" fontId="5" fillId="0" borderId="38" xfId="0" applyFont="1" applyBorder="1">
      <alignment vertical="center"/>
    </xf>
    <xf numFmtId="0" fontId="10" fillId="0" borderId="38" xfId="0" applyFont="1" applyBorder="1">
      <alignment vertical="center"/>
    </xf>
    <xf numFmtId="0" fontId="5" fillId="0" borderId="38" xfId="0" applyFont="1" applyBorder="1" applyAlignment="1">
      <alignment horizontal="left" vertical="center"/>
    </xf>
    <xf numFmtId="0" fontId="5" fillId="0" borderId="38" xfId="0" applyFont="1" applyBorder="1" applyAlignment="1">
      <alignment horizontal="left" vertical="center" indent="1"/>
    </xf>
    <xf numFmtId="0" fontId="8" fillId="5" borderId="38" xfId="0" applyFont="1" applyFill="1" applyBorder="1">
      <alignment vertical="center"/>
    </xf>
    <xf numFmtId="14" fontId="5" fillId="0" borderId="83" xfId="0" applyNumberFormat="1" applyFont="1" applyBorder="1" applyAlignment="1">
      <alignment horizontal="center" vertical="center" shrinkToFit="1"/>
    </xf>
    <xf numFmtId="0" fontId="5" fillId="0" borderId="83" xfId="0" applyFont="1" applyBorder="1" applyAlignment="1">
      <alignment horizontal="center" vertical="center" shrinkToFit="1"/>
    </xf>
    <xf numFmtId="176" fontId="5" fillId="0" borderId="83" xfId="1" applyFont="1" applyBorder="1" applyAlignment="1">
      <alignment horizontal="center" vertical="center" shrinkToFit="1"/>
    </xf>
    <xf numFmtId="181" fontId="5" fillId="0" borderId="83" xfId="1" applyNumberFormat="1" applyFont="1" applyBorder="1" applyAlignment="1">
      <alignment horizontal="center" vertical="center" shrinkToFit="1"/>
    </xf>
    <xf numFmtId="181" fontId="5" fillId="0" borderId="83" xfId="1" applyNumberFormat="1" applyFont="1" applyBorder="1" applyAlignment="1">
      <alignment vertical="center" shrinkToFit="1"/>
    </xf>
    <xf numFmtId="14" fontId="5" fillId="0" borderId="83" xfId="0" applyNumberFormat="1" applyFont="1" applyBorder="1" applyAlignment="1">
      <alignment vertical="center" shrinkToFit="1"/>
    </xf>
    <xf numFmtId="1" fontId="5" fillId="0" borderId="83" xfId="0" applyNumberFormat="1" applyFont="1" applyBorder="1" applyAlignment="1">
      <alignment horizontal="center" vertical="center" shrinkToFit="1"/>
    </xf>
    <xf numFmtId="176" fontId="5" fillId="0" borderId="83" xfId="1" applyFont="1" applyBorder="1" applyAlignment="1">
      <alignment vertical="center" shrinkToFit="1"/>
    </xf>
    <xf numFmtId="0" fontId="4" fillId="0" borderId="84" xfId="0" applyFont="1" applyBorder="1" applyAlignment="1">
      <alignment horizontal="center" vertical="center"/>
    </xf>
    <xf numFmtId="0" fontId="10" fillId="0" borderId="84" xfId="0" applyFont="1" applyBorder="1" applyAlignment="1">
      <alignment horizontal="center" vertical="center" shrinkToFit="1"/>
    </xf>
    <xf numFmtId="0" fontId="10" fillId="0" borderId="84" xfId="0" applyFont="1" applyBorder="1">
      <alignment vertical="center"/>
    </xf>
    <xf numFmtId="0" fontId="5" fillId="0" borderId="62" xfId="0" applyFont="1" applyBorder="1">
      <alignment vertical="center"/>
    </xf>
    <xf numFmtId="0" fontId="8" fillId="5" borderId="63" xfId="0" applyFont="1" applyFill="1" applyBorder="1">
      <alignment vertical="center"/>
    </xf>
    <xf numFmtId="0" fontId="5" fillId="0" borderId="39" xfId="0" applyFont="1" applyBorder="1" applyAlignment="1">
      <alignment horizontal="left" vertical="center"/>
    </xf>
    <xf numFmtId="0" fontId="4" fillId="3" borderId="85" xfId="0" applyFont="1" applyFill="1" applyBorder="1" applyAlignment="1">
      <alignment horizontal="center" vertical="center"/>
    </xf>
    <xf numFmtId="0" fontId="4" fillId="3" borderId="86" xfId="0" applyFont="1" applyFill="1" applyBorder="1" applyAlignment="1">
      <alignment horizontal="center" vertical="center"/>
    </xf>
    <xf numFmtId="181" fontId="4" fillId="3" borderId="86" xfId="0" applyNumberFormat="1" applyFont="1" applyFill="1" applyBorder="1" applyAlignment="1">
      <alignment horizontal="center" vertical="center"/>
    </xf>
    <xf numFmtId="181" fontId="4" fillId="3" borderId="87" xfId="0" applyNumberFormat="1" applyFont="1" applyFill="1" applyBorder="1" applyAlignment="1">
      <alignment horizontal="center" vertical="center"/>
    </xf>
    <xf numFmtId="14" fontId="5" fillId="0" borderId="88" xfId="0" applyNumberFormat="1" applyFont="1" applyBorder="1" applyAlignment="1">
      <alignment horizontal="center" vertical="center" shrinkToFit="1"/>
    </xf>
    <xf numFmtId="181" fontId="5" fillId="0" borderId="89" xfId="1" applyNumberFormat="1" applyFont="1" applyBorder="1" applyAlignment="1">
      <alignment horizontal="center" vertical="center" shrinkToFit="1"/>
    </xf>
    <xf numFmtId="181" fontId="5" fillId="0" borderId="89" xfId="1" applyNumberFormat="1" applyFont="1" applyBorder="1" applyAlignment="1">
      <alignment vertical="center" shrinkToFit="1"/>
    </xf>
    <xf numFmtId="0" fontId="22" fillId="0" borderId="84" xfId="2" applyFont="1" applyBorder="1">
      <alignment vertical="center"/>
    </xf>
    <xf numFmtId="14" fontId="10" fillId="0" borderId="84" xfId="0" applyNumberFormat="1" applyFont="1" applyBorder="1">
      <alignment vertical="center"/>
    </xf>
    <xf numFmtId="0" fontId="5" fillId="0" borderId="84" xfId="0" applyFont="1" applyBorder="1">
      <alignment vertical="center"/>
    </xf>
    <xf numFmtId="0" fontId="5" fillId="0" borderId="63" xfId="0" applyFont="1" applyBorder="1" applyAlignment="1">
      <alignment horizontal="left" vertical="center"/>
    </xf>
    <xf numFmtId="0" fontId="5" fillId="0" borderId="63" xfId="0" applyFont="1" applyBorder="1" applyAlignment="1">
      <alignment horizontal="left" vertical="center" indent="1"/>
    </xf>
    <xf numFmtId="0" fontId="5" fillId="0" borderId="63" xfId="0" applyFont="1" applyBorder="1" applyAlignment="1">
      <alignment horizontal="center" vertical="center"/>
    </xf>
    <xf numFmtId="0" fontId="9" fillId="5" borderId="93" xfId="0" applyFont="1" applyFill="1" applyBorder="1" applyAlignment="1">
      <alignment horizontal="center" vertical="center"/>
    </xf>
    <xf numFmtId="180" fontId="4" fillId="3" borderId="85" xfId="0" applyNumberFormat="1" applyFont="1" applyFill="1" applyBorder="1" applyAlignment="1">
      <alignment horizontal="left" vertical="center"/>
    </xf>
    <xf numFmtId="179" fontId="6" fillId="0" borderId="88" xfId="0" applyNumberFormat="1" applyFont="1" applyBorder="1" applyAlignment="1">
      <alignment horizontal="left" vertical="center"/>
    </xf>
    <xf numFmtId="14" fontId="6" fillId="4" borderId="89" xfId="0" applyNumberFormat="1" applyFont="1" applyFill="1" applyBorder="1">
      <alignment vertical="center"/>
    </xf>
    <xf numFmtId="0" fontId="6" fillId="4" borderId="89" xfId="0" applyFont="1" applyFill="1" applyBorder="1">
      <alignment vertical="center"/>
    </xf>
    <xf numFmtId="179" fontId="6" fillId="0" borderId="90" xfId="0" applyNumberFormat="1" applyFont="1" applyBorder="1" applyAlignment="1">
      <alignment horizontal="left" vertical="center"/>
    </xf>
    <xf numFmtId="0" fontId="5" fillId="0" borderId="84" xfId="0" applyFont="1" applyBorder="1" applyAlignment="1">
      <alignment horizontal="center" vertical="center"/>
    </xf>
    <xf numFmtId="0" fontId="5" fillId="0" borderId="63" xfId="0" applyFont="1" applyBorder="1">
      <alignment vertical="center"/>
    </xf>
    <xf numFmtId="0" fontId="5" fillId="0" borderId="39" xfId="0" applyFont="1" applyBorder="1">
      <alignment vertical="center"/>
    </xf>
    <xf numFmtId="180" fontId="4" fillId="3" borderId="88" xfId="0" applyNumberFormat="1" applyFont="1" applyFill="1" applyBorder="1" applyAlignment="1">
      <alignment horizontal="left" vertical="center"/>
    </xf>
    <xf numFmtId="180" fontId="4" fillId="3" borderId="90" xfId="0" applyNumberFormat="1" applyFont="1" applyFill="1" applyBorder="1" applyAlignment="1">
      <alignment horizontal="left" vertical="center"/>
    </xf>
    <xf numFmtId="177" fontId="5" fillId="0" borderId="89" xfId="1" applyNumberFormat="1" applyFont="1" applyBorder="1" applyAlignment="1">
      <alignment horizontal="right" vertical="center" shrinkToFit="1"/>
    </xf>
    <xf numFmtId="183" fontId="5" fillId="0" borderId="91" xfId="0" applyNumberFormat="1" applyFont="1" applyBorder="1" applyAlignment="1">
      <alignment horizontal="right" vertical="center" shrinkToFit="1"/>
    </xf>
    <xf numFmtId="0" fontId="3" fillId="12" borderId="0" xfId="0" applyFont="1" applyFill="1" applyAlignment="1">
      <alignment horizontal="center" vertical="center"/>
    </xf>
    <xf numFmtId="182" fontId="5" fillId="0" borderId="83" xfId="0" applyNumberFormat="1" applyFont="1" applyBorder="1" applyAlignment="1">
      <alignment horizontal="center" vertical="center" shrinkToFit="1"/>
    </xf>
    <xf numFmtId="14" fontId="5" fillId="0" borderId="94" xfId="0" applyNumberFormat="1" applyFont="1" applyBorder="1" applyAlignment="1">
      <alignment horizontal="center" vertical="center" shrinkToFit="1"/>
    </xf>
    <xf numFmtId="1" fontId="5" fillId="0" borderId="95" xfId="0" applyNumberFormat="1" applyFont="1" applyBorder="1" applyAlignment="1">
      <alignment horizontal="center" vertical="center" shrinkToFit="1"/>
    </xf>
    <xf numFmtId="0" fontId="5" fillId="0" borderId="95" xfId="0" applyFont="1" applyBorder="1" applyAlignment="1">
      <alignment horizontal="center" vertical="center" shrinkToFit="1"/>
    </xf>
    <xf numFmtId="176" fontId="5" fillId="0" borderId="95" xfId="1" applyFont="1" applyBorder="1" applyAlignment="1">
      <alignment vertical="center" shrinkToFit="1"/>
    </xf>
    <xf numFmtId="181" fontId="5" fillId="0" borderId="95" xfId="1" applyNumberFormat="1" applyFont="1" applyBorder="1" applyAlignment="1">
      <alignment vertical="center" shrinkToFit="1"/>
    </xf>
    <xf numFmtId="181" fontId="5" fillId="0" borderId="96" xfId="1" applyNumberFormat="1" applyFont="1" applyBorder="1" applyAlignment="1">
      <alignment vertical="center" shrinkToFit="1"/>
    </xf>
    <xf numFmtId="181" fontId="5" fillId="0" borderId="98" xfId="0" applyNumberFormat="1" applyFont="1" applyBorder="1">
      <alignment vertical="center"/>
    </xf>
    <xf numFmtId="181" fontId="5" fillId="0" borderId="99" xfId="0" applyNumberFormat="1" applyFont="1" applyBorder="1">
      <alignment vertical="center"/>
    </xf>
    <xf numFmtId="0" fontId="0" fillId="0" borderId="0" xfId="0" applyAlignment="1">
      <alignment horizontal="right" vertical="center"/>
    </xf>
    <xf numFmtId="1" fontId="0" fillId="0" borderId="0" xfId="0" applyNumberFormat="1" applyAlignment="1">
      <alignment horizontal="right" vertical="center"/>
    </xf>
    <xf numFmtId="0" fontId="5" fillId="0" borderId="92" xfId="0" applyFont="1" applyBorder="1">
      <alignment vertical="center"/>
    </xf>
    <xf numFmtId="0" fontId="6" fillId="6" borderId="91" xfId="0" applyFont="1" applyFill="1" applyBorder="1">
      <alignment vertical="center"/>
    </xf>
    <xf numFmtId="181" fontId="0" fillId="0" borderId="0" xfId="1" applyNumberFormat="1" applyFont="1">
      <alignment vertical="center"/>
    </xf>
    <xf numFmtId="0" fontId="5" fillId="0" borderId="83" xfId="1" applyNumberFormat="1" applyFont="1" applyBorder="1" applyAlignment="1">
      <alignment horizontal="right" vertical="center" shrinkToFit="1"/>
    </xf>
    <xf numFmtId="176" fontId="5" fillId="0" borderId="83" xfId="1" applyFont="1" applyBorder="1" applyAlignment="1">
      <alignment horizontal="right" vertical="center" shrinkToFit="1"/>
    </xf>
    <xf numFmtId="0" fontId="5" fillId="0" borderId="83" xfId="0" applyFont="1" applyBorder="1" applyAlignment="1">
      <alignment vertical="center" shrinkToFit="1"/>
    </xf>
    <xf numFmtId="181" fontId="3" fillId="10" borderId="1" xfId="1" applyNumberFormat="1" applyFont="1" applyFill="1" applyBorder="1" applyAlignment="1">
      <alignment horizontal="center" vertical="center"/>
    </xf>
    <xf numFmtId="0" fontId="5" fillId="0" borderId="39" xfId="0" applyFont="1" applyBorder="1" applyAlignment="1">
      <alignment horizontal="center" vertical="center"/>
    </xf>
    <xf numFmtId="176" fontId="5" fillId="0" borderId="95" xfId="1" applyFont="1" applyBorder="1" applyAlignment="1">
      <alignment horizontal="right" vertical="center" shrinkToFit="1"/>
    </xf>
    <xf numFmtId="0" fontId="5" fillId="0" borderId="39" xfId="0" applyFont="1" applyBorder="1" applyAlignment="1">
      <alignment horizontal="right" vertical="center"/>
    </xf>
    <xf numFmtId="0" fontId="5" fillId="0" borderId="38" xfId="0" applyFont="1" applyBorder="1" applyAlignment="1">
      <alignment horizontal="right" vertical="center"/>
    </xf>
    <xf numFmtId="0" fontId="5" fillId="0" borderId="38" xfId="0" applyFont="1" applyBorder="1" applyAlignment="1">
      <alignment horizontal="right" vertical="center" shrinkToFit="1"/>
    </xf>
    <xf numFmtId="0" fontId="5" fillId="0" borderId="63" xfId="0" applyFont="1" applyBorder="1" applyAlignment="1">
      <alignment horizontal="right" vertical="center" shrinkToFit="1"/>
    </xf>
    <xf numFmtId="0" fontId="4" fillId="3" borderId="87" xfId="0" applyFont="1" applyFill="1" applyBorder="1" applyAlignment="1">
      <alignment horizontal="right" vertical="center"/>
    </xf>
    <xf numFmtId="1" fontId="6" fillId="4" borderId="89" xfId="0" applyNumberFormat="1" applyFont="1" applyFill="1" applyBorder="1" applyAlignment="1">
      <alignment horizontal="right" vertical="center"/>
    </xf>
    <xf numFmtId="0" fontId="6" fillId="4" borderId="89" xfId="0" quotePrefix="1" applyFont="1" applyFill="1" applyBorder="1" applyAlignment="1">
      <alignment horizontal="right" vertical="center"/>
    </xf>
    <xf numFmtId="0" fontId="6" fillId="4" borderId="89" xfId="0" applyFont="1" applyFill="1" applyBorder="1" applyAlignment="1">
      <alignment horizontal="right" vertical="center"/>
    </xf>
    <xf numFmtId="181" fontId="6" fillId="4" borderId="89" xfId="1" applyNumberFormat="1" applyFont="1" applyFill="1" applyBorder="1" applyAlignment="1">
      <alignment horizontal="right" vertical="center"/>
    </xf>
    <xf numFmtId="176" fontId="6" fillId="4" borderId="89" xfId="1" applyFont="1" applyFill="1" applyBorder="1" applyAlignment="1">
      <alignment horizontal="right" vertical="center"/>
    </xf>
    <xf numFmtId="0" fontId="6" fillId="4" borderId="91" xfId="0" applyFont="1" applyFill="1" applyBorder="1" applyAlignment="1">
      <alignment horizontal="right" vertical="center"/>
    </xf>
    <xf numFmtId="0" fontId="8" fillId="5" borderId="93" xfId="0" applyFont="1" applyFill="1" applyBorder="1" applyAlignment="1">
      <alignment horizontal="right" vertical="center"/>
    </xf>
    <xf numFmtId="0" fontId="5" fillId="0" borderId="62" xfId="0" applyFont="1" applyBorder="1" applyAlignment="1">
      <alignment horizontal="center" vertical="center"/>
    </xf>
    <xf numFmtId="0" fontId="8" fillId="5" borderId="63" xfId="0" applyFont="1" applyFill="1" applyBorder="1" applyAlignment="1">
      <alignment horizontal="center" vertical="center"/>
    </xf>
    <xf numFmtId="181" fontId="5" fillId="0" borderId="95" xfId="1" applyNumberFormat="1" applyFont="1" applyBorder="1" applyAlignment="1">
      <alignment horizontal="center" vertical="center" shrinkToFit="1"/>
    </xf>
    <xf numFmtId="0" fontId="8" fillId="5" borderId="63" xfId="0" applyFont="1" applyFill="1" applyBorder="1" applyAlignment="1">
      <alignment horizontal="right" vertical="center"/>
    </xf>
    <xf numFmtId="181" fontId="5" fillId="0" borderId="83" xfId="1" applyNumberFormat="1" applyFont="1" applyBorder="1" applyAlignment="1">
      <alignment horizontal="right" vertical="center" shrinkToFit="1"/>
    </xf>
    <xf numFmtId="181" fontId="5" fillId="0" borderId="95" xfId="1" applyNumberFormat="1" applyFont="1" applyBorder="1" applyAlignment="1">
      <alignment horizontal="right" vertical="center" shrinkToFit="1"/>
    </xf>
    <xf numFmtId="0" fontId="5" fillId="0" borderId="83" xfId="1" applyNumberFormat="1" applyFont="1" applyBorder="1" applyAlignment="1">
      <alignment horizontal="center" vertical="center" shrinkToFit="1"/>
    </xf>
    <xf numFmtId="178" fontId="5" fillId="0" borderId="87" xfId="0" applyNumberFormat="1" applyFont="1" applyBorder="1" applyAlignment="1">
      <alignment horizontal="right" vertical="center" shrinkToFit="1"/>
    </xf>
    <xf numFmtId="37" fontId="12" fillId="0" borderId="38" xfId="0" applyNumberFormat="1" applyFont="1" applyBorder="1" applyAlignment="1">
      <alignment vertical="center" shrinkToFit="1"/>
    </xf>
    <xf numFmtId="37" fontId="12" fillId="0" borderId="63" xfId="0" applyNumberFormat="1" applyFont="1" applyBorder="1" applyAlignment="1">
      <alignment vertical="center" shrinkToFit="1"/>
    </xf>
    <xf numFmtId="37" fontId="12" fillId="0" borderId="39" xfId="0" applyNumberFormat="1" applyFont="1" applyBorder="1" applyAlignment="1">
      <alignment vertical="center" shrinkToFit="1"/>
    </xf>
    <xf numFmtId="37" fontId="12" fillId="0" borderId="68" xfId="1" applyNumberFormat="1" applyFont="1" applyBorder="1" applyAlignment="1">
      <alignment vertical="center"/>
    </xf>
    <xf numFmtId="14" fontId="6" fillId="6" borderId="2" xfId="0" applyNumberFormat="1" applyFont="1" applyFill="1" applyBorder="1" applyAlignment="1">
      <alignment horizontal="center" vertical="center"/>
    </xf>
    <xf numFmtId="3" fontId="0" fillId="0" borderId="0" xfId="0" applyNumberFormat="1">
      <alignment vertical="center"/>
    </xf>
    <xf numFmtId="0" fontId="0" fillId="10" borderId="104" xfId="0" applyFill="1" applyBorder="1">
      <alignment vertical="center"/>
    </xf>
    <xf numFmtId="0" fontId="3" fillId="10" borderId="123" xfId="0" applyFont="1" applyFill="1" applyBorder="1" applyAlignment="1">
      <alignment horizontal="center" vertical="center"/>
    </xf>
    <xf numFmtId="181" fontId="0" fillId="0" borderId="0" xfId="0" applyNumberFormat="1">
      <alignment vertical="center"/>
    </xf>
    <xf numFmtId="0" fontId="27" fillId="0" borderId="0" xfId="0" applyFont="1">
      <alignment vertical="center"/>
    </xf>
    <xf numFmtId="0" fontId="26" fillId="0" borderId="0" xfId="0" applyFont="1">
      <alignment vertical="center"/>
    </xf>
    <xf numFmtId="0" fontId="28" fillId="0" borderId="0" xfId="0" applyFont="1">
      <alignment vertical="center"/>
    </xf>
    <xf numFmtId="177" fontId="28" fillId="0" borderId="0" xfId="0" applyNumberFormat="1" applyFont="1">
      <alignment vertical="center"/>
    </xf>
    <xf numFmtId="176" fontId="21" fillId="0" borderId="0" xfId="1" applyFont="1" applyFill="1">
      <alignment vertical="center"/>
    </xf>
    <xf numFmtId="186" fontId="12" fillId="0" borderId="5" xfId="0" quotePrefix="1" applyNumberFormat="1" applyFont="1" applyBorder="1" applyAlignment="1">
      <alignment horizontal="center" vertical="center" shrinkToFit="1"/>
    </xf>
    <xf numFmtId="14" fontId="17" fillId="11" borderId="5" xfId="0" applyNumberFormat="1" applyFont="1" applyFill="1" applyBorder="1" applyAlignment="1">
      <alignment horizontal="center" vertical="center" shrinkToFit="1"/>
    </xf>
    <xf numFmtId="176" fontId="12" fillId="0" borderId="5" xfId="1" applyFont="1" applyBorder="1" applyAlignment="1">
      <alignment horizontal="center" vertical="center" shrinkToFit="1"/>
    </xf>
    <xf numFmtId="0" fontId="17" fillId="11" borderId="5" xfId="0" applyFont="1" applyFill="1" applyBorder="1" applyAlignment="1">
      <alignment horizontal="center" vertical="center" shrinkToFit="1"/>
    </xf>
    <xf numFmtId="0" fontId="12" fillId="0" borderId="5" xfId="0" applyFont="1" applyBorder="1" applyAlignment="1">
      <alignment horizontal="left" vertical="center" shrinkToFit="1"/>
    </xf>
    <xf numFmtId="37" fontId="17" fillId="11" borderId="5" xfId="0" applyNumberFormat="1" applyFont="1" applyFill="1" applyBorder="1" applyAlignment="1">
      <alignment horizontal="center" vertical="center"/>
    </xf>
    <xf numFmtId="37" fontId="12" fillId="0" borderId="5" xfId="0" applyNumberFormat="1" applyFont="1" applyBorder="1" applyAlignment="1">
      <alignment horizontal="center" vertical="center"/>
    </xf>
    <xf numFmtId="184" fontId="12" fillId="0" borderId="5" xfId="0" applyNumberFormat="1" applyFont="1" applyBorder="1" applyAlignment="1">
      <alignment horizontal="center" vertical="center" shrinkToFit="1"/>
    </xf>
    <xf numFmtId="181" fontId="12" fillId="0" borderId="5" xfId="0" applyNumberFormat="1" applyFont="1" applyBorder="1" applyAlignment="1">
      <alignment horizontal="center" vertical="center" shrinkToFit="1"/>
    </xf>
    <xf numFmtId="37" fontId="12" fillId="0" borderId="5" xfId="0" applyNumberFormat="1" applyFont="1" applyBorder="1" applyAlignment="1">
      <alignment vertical="center" shrinkToFit="1"/>
    </xf>
    <xf numFmtId="37" fontId="12" fillId="0" borderId="5" xfId="0" applyNumberFormat="1" applyFont="1" applyBorder="1" applyAlignment="1">
      <alignment horizontal="right" vertical="center"/>
    </xf>
    <xf numFmtId="181" fontId="12" fillId="0" borderId="5" xfId="0" applyNumberFormat="1" applyFont="1" applyBorder="1" applyAlignment="1">
      <alignment horizontal="left" vertical="center" shrinkToFit="1"/>
    </xf>
    <xf numFmtId="19" fontId="6" fillId="4" borderId="89" xfId="0" applyNumberFormat="1" applyFont="1" applyFill="1" applyBorder="1" applyAlignment="1">
      <alignment horizontal="left" vertical="center"/>
    </xf>
    <xf numFmtId="37" fontId="17" fillId="11" borderId="5" xfId="0" applyNumberFormat="1" applyFont="1" applyFill="1" applyBorder="1" applyAlignment="1">
      <alignment horizontal="center" vertical="center" shrinkToFit="1"/>
    </xf>
    <xf numFmtId="0" fontId="12" fillId="0" borderId="5" xfId="0" quotePrefix="1" applyFont="1" applyBorder="1" applyAlignment="1">
      <alignment horizontal="center" vertical="center" shrinkToFit="1"/>
    </xf>
    <xf numFmtId="0" fontId="0" fillId="0" borderId="0" xfId="0" applyProtection="1">
      <alignment vertical="center"/>
      <protection locked="0"/>
    </xf>
    <xf numFmtId="0" fontId="0" fillId="0" borderId="0" xfId="0" applyAlignment="1" applyProtection="1">
      <alignment horizontal="center" vertical="center"/>
      <protection locked="0"/>
    </xf>
    <xf numFmtId="0" fontId="0" fillId="0" borderId="5" xfId="0" applyBorder="1" applyAlignment="1" applyProtection="1">
      <alignment horizontal="center" vertical="center"/>
      <protection locked="0"/>
    </xf>
    <xf numFmtId="0" fontId="30" fillId="0" borderId="5" xfId="0" applyFont="1" applyBorder="1" applyAlignment="1" applyProtection="1">
      <alignment horizontal="center" vertical="center"/>
      <protection locked="0"/>
    </xf>
    <xf numFmtId="176" fontId="30" fillId="0" borderId="5" xfId="1" applyFont="1" applyBorder="1" applyAlignment="1" applyProtection="1">
      <alignment horizontal="center" vertical="center"/>
      <protection locked="0"/>
    </xf>
    <xf numFmtId="176" fontId="30" fillId="0" borderId="5" xfId="1" applyFont="1" applyBorder="1" applyAlignment="1" applyProtection="1">
      <alignment horizontal="center" vertical="center"/>
    </xf>
    <xf numFmtId="176" fontId="0" fillId="0" borderId="5" xfId="0" applyNumberFormat="1" applyBorder="1" applyProtection="1">
      <alignment vertical="center"/>
      <protection locked="0"/>
    </xf>
    <xf numFmtId="176" fontId="30" fillId="0" borderId="5" xfId="1" applyFont="1" applyBorder="1" applyProtection="1">
      <alignment vertical="center"/>
    </xf>
    <xf numFmtId="14" fontId="30" fillId="0" borderId="5" xfId="0" applyNumberFormat="1" applyFont="1" applyBorder="1" applyAlignment="1" applyProtection="1">
      <alignment horizontal="center" vertical="center"/>
      <protection locked="0"/>
    </xf>
    <xf numFmtId="14" fontId="0" fillId="0" borderId="0" xfId="0" applyNumberFormat="1" applyProtection="1">
      <alignment vertical="center"/>
      <protection locked="0"/>
    </xf>
    <xf numFmtId="0" fontId="3" fillId="0" borderId="5" xfId="0" applyFont="1" applyBorder="1" applyAlignment="1">
      <alignment horizontal="center" vertical="center"/>
    </xf>
    <xf numFmtId="14" fontId="3" fillId="0" borderId="5" xfId="0" applyNumberFormat="1" applyFont="1" applyBorder="1" applyAlignment="1">
      <alignment horizontal="center" vertical="center"/>
    </xf>
    <xf numFmtId="1" fontId="3" fillId="0" borderId="5" xfId="0" applyNumberFormat="1" applyFont="1" applyBorder="1" applyAlignment="1">
      <alignment horizontal="center" vertical="center"/>
    </xf>
    <xf numFmtId="181" fontId="3" fillId="0" borderId="5" xfId="1" applyNumberFormat="1" applyFont="1" applyBorder="1" applyAlignment="1">
      <alignment horizontal="center" vertical="center"/>
    </xf>
    <xf numFmtId="185" fontId="3" fillId="0" borderId="5" xfId="1" applyNumberFormat="1" applyFont="1" applyBorder="1" applyAlignment="1">
      <alignment horizontal="center" vertical="center"/>
    </xf>
    <xf numFmtId="1" fontId="0" fillId="0" borderId="5" xfId="0" applyNumberFormat="1" applyBorder="1">
      <alignment vertical="center"/>
    </xf>
    <xf numFmtId="14" fontId="0" fillId="0" borderId="5" xfId="0" applyNumberFormat="1" applyBorder="1">
      <alignment vertical="center"/>
    </xf>
    <xf numFmtId="1" fontId="0" fillId="0" borderId="5" xfId="0" applyNumberFormat="1" applyBorder="1" applyAlignment="1">
      <alignment horizontal="right" vertical="center"/>
    </xf>
    <xf numFmtId="181" fontId="0" fillId="0" borderId="5" xfId="1" applyNumberFormat="1" applyFont="1" applyBorder="1">
      <alignment vertical="center"/>
    </xf>
    <xf numFmtId="185" fontId="0" fillId="0" borderId="5" xfId="1" applyNumberFormat="1" applyFont="1" applyBorder="1">
      <alignment vertical="center"/>
    </xf>
    <xf numFmtId="14" fontId="0" fillId="0" borderId="5" xfId="1" applyNumberFormat="1" applyFont="1" applyBorder="1">
      <alignment vertical="center"/>
    </xf>
    <xf numFmtId="176" fontId="0" fillId="0" borderId="5" xfId="1" applyFont="1" applyBorder="1">
      <alignment vertical="center"/>
    </xf>
    <xf numFmtId="176" fontId="0" fillId="0" borderId="5" xfId="1" applyFont="1" applyBorder="1" applyAlignment="1">
      <alignment horizontal="right" vertical="center"/>
    </xf>
    <xf numFmtId="0" fontId="0" fillId="0" borderId="5" xfId="0" applyBorder="1">
      <alignment vertical="center"/>
    </xf>
    <xf numFmtId="0" fontId="0" fillId="13" borderId="5" xfId="0" applyFill="1" applyBorder="1">
      <alignment vertical="center"/>
    </xf>
    <xf numFmtId="3" fontId="0" fillId="0" borderId="5" xfId="0" applyNumberFormat="1" applyBorder="1">
      <alignment vertical="center"/>
    </xf>
    <xf numFmtId="1" fontId="0" fillId="0" borderId="5" xfId="0" applyNumberFormat="1" applyBorder="1" applyAlignment="1">
      <alignment horizontal="center" vertical="center"/>
    </xf>
    <xf numFmtId="14" fontId="0" fillId="0" borderId="58" xfId="0" applyNumberFormat="1" applyBorder="1" applyAlignment="1" applyProtection="1">
      <alignment horizontal="center" vertical="center"/>
      <protection locked="0"/>
    </xf>
    <xf numFmtId="0" fontId="0" fillId="0" borderId="58" xfId="0" applyBorder="1" applyAlignment="1" applyProtection="1">
      <alignment horizontal="center" vertical="center" wrapText="1"/>
      <protection locked="0"/>
    </xf>
    <xf numFmtId="0" fontId="0" fillId="0" borderId="58" xfId="0" applyBorder="1" applyAlignment="1" applyProtection="1">
      <alignment horizontal="center" vertical="center"/>
      <protection locked="0"/>
    </xf>
    <xf numFmtId="0" fontId="0" fillId="0" borderId="0" xfId="0" applyAlignment="1">
      <alignment vertical="center" wrapText="1"/>
    </xf>
    <xf numFmtId="0" fontId="20" fillId="0" borderId="0" xfId="0" applyFont="1" applyAlignment="1">
      <alignment horizontal="center" vertical="center"/>
    </xf>
    <xf numFmtId="0" fontId="3" fillId="0" borderId="12" xfId="0" applyFont="1" applyBorder="1" applyAlignment="1">
      <alignment horizontal="center" vertical="center"/>
    </xf>
    <xf numFmtId="0" fontId="12" fillId="0" borderId="28" xfId="0" applyFont="1" applyBorder="1" applyAlignment="1">
      <alignment horizontal="right" vertical="center"/>
    </xf>
    <xf numFmtId="0" fontId="12" fillId="0" borderId="37" xfId="0" applyFont="1" applyBorder="1" applyAlignment="1">
      <alignment horizontal="right" vertical="center"/>
    </xf>
    <xf numFmtId="0" fontId="12" fillId="0" borderId="36" xfId="0" applyFont="1" applyBorder="1" applyAlignment="1">
      <alignment horizontal="center" vertical="center"/>
    </xf>
    <xf numFmtId="0" fontId="12" fillId="0" borderId="29" xfId="0" applyFont="1" applyBorder="1" applyAlignment="1">
      <alignment horizontal="center" vertical="center"/>
    </xf>
    <xf numFmtId="0" fontId="12" fillId="0" borderId="37" xfId="0" applyFont="1" applyBorder="1" applyAlignment="1">
      <alignment horizontal="center" vertical="center"/>
    </xf>
    <xf numFmtId="0" fontId="12" fillId="0" borderId="36" xfId="0" applyFont="1" applyBorder="1" applyAlignment="1">
      <alignment horizontal="right" vertical="center"/>
    </xf>
    <xf numFmtId="0" fontId="12" fillId="0" borderId="29" xfId="0" applyFont="1" applyBorder="1" applyAlignment="1">
      <alignment horizontal="right" vertical="center"/>
    </xf>
    <xf numFmtId="14" fontId="12" fillId="0" borderId="36" xfId="0" applyNumberFormat="1" applyFont="1" applyBorder="1" applyAlignment="1">
      <alignment horizontal="center" vertical="center"/>
    </xf>
    <xf numFmtId="14" fontId="12" fillId="0" borderId="30" xfId="0" applyNumberFormat="1" applyFont="1" applyBorder="1" applyAlignment="1">
      <alignment horizontal="center" vertical="center"/>
    </xf>
    <xf numFmtId="0" fontId="14" fillId="7" borderId="20" xfId="0" applyFont="1" applyFill="1" applyBorder="1" applyAlignment="1">
      <alignment horizontal="center" vertical="center"/>
    </xf>
    <xf numFmtId="0" fontId="14" fillId="7" borderId="7" xfId="0" applyFont="1" applyFill="1" applyBorder="1" applyAlignment="1">
      <alignment horizontal="center" vertical="center"/>
    </xf>
    <xf numFmtId="181" fontId="14" fillId="0" borderId="7" xfId="0" applyNumberFormat="1" applyFont="1" applyBorder="1" applyAlignment="1">
      <alignment horizontal="center" vertical="center"/>
    </xf>
    <xf numFmtId="181" fontId="14" fillId="0" borderId="8" xfId="0" applyNumberFormat="1" applyFont="1" applyBorder="1" applyAlignment="1">
      <alignment horizontal="center" vertical="center"/>
    </xf>
    <xf numFmtId="181" fontId="14" fillId="0" borderId="5" xfId="0" applyNumberFormat="1" applyFont="1" applyBorder="1" applyAlignment="1">
      <alignment horizontal="center" vertical="center"/>
    </xf>
    <xf numFmtId="0" fontId="14" fillId="7" borderId="21" xfId="0" applyFont="1" applyFill="1" applyBorder="1" applyAlignment="1">
      <alignment horizontal="center" vertical="center"/>
    </xf>
    <xf numFmtId="0" fontId="14" fillId="7" borderId="22" xfId="0" applyFont="1" applyFill="1" applyBorder="1" applyAlignment="1">
      <alignment horizontal="center" vertical="center"/>
    </xf>
    <xf numFmtId="181" fontId="14" fillId="0" borderId="22" xfId="0" applyNumberFormat="1" applyFont="1" applyBorder="1" applyAlignment="1">
      <alignment horizontal="center" vertical="center"/>
    </xf>
    <xf numFmtId="181" fontId="14" fillId="0" borderId="23" xfId="0" applyNumberFormat="1" applyFont="1" applyBorder="1" applyAlignment="1">
      <alignment horizontal="center" vertical="center"/>
    </xf>
    <xf numFmtId="0" fontId="14" fillId="7" borderId="24" xfId="0" applyFont="1" applyFill="1" applyBorder="1" applyAlignment="1">
      <alignment horizontal="center" vertical="center"/>
    </xf>
    <xf numFmtId="0" fontId="12" fillId="0" borderId="22" xfId="0" applyFont="1" applyBorder="1" applyAlignment="1">
      <alignment horizontal="center" vertical="center"/>
    </xf>
    <xf numFmtId="0" fontId="0" fillId="0" borderId="70" xfId="0" applyBorder="1" applyAlignment="1">
      <alignment horizontal="center" vertical="center"/>
    </xf>
    <xf numFmtId="0" fontId="0" fillId="0" borderId="71" xfId="0" applyBorder="1" applyAlignment="1">
      <alignment horizontal="center" vertical="center"/>
    </xf>
    <xf numFmtId="0" fontId="5" fillId="0" borderId="71" xfId="0" applyFont="1" applyBorder="1" applyAlignment="1">
      <alignment horizontal="right"/>
    </xf>
    <xf numFmtId="0" fontId="23" fillId="0" borderId="71" xfId="0" applyFont="1" applyBorder="1" applyAlignment="1">
      <alignment horizontal="center"/>
    </xf>
    <xf numFmtId="0" fontId="23" fillId="0" borderId="72" xfId="0" applyFont="1" applyBorder="1" applyAlignment="1">
      <alignment horizontal="center"/>
    </xf>
    <xf numFmtId="182" fontId="14" fillId="0" borderId="109" xfId="0" applyNumberFormat="1" applyFont="1" applyBorder="1" applyAlignment="1">
      <alignment horizontal="center" vertical="center"/>
    </xf>
    <xf numFmtId="182" fontId="14" fillId="0" borderId="110" xfId="0" applyNumberFormat="1" applyFont="1" applyBorder="1" applyAlignment="1">
      <alignment horizontal="center" vertical="center"/>
    </xf>
    <xf numFmtId="182" fontId="14" fillId="0" borderId="111" xfId="0" applyNumberFormat="1" applyFont="1" applyBorder="1" applyAlignment="1">
      <alignment horizontal="center" vertical="center"/>
    </xf>
    <xf numFmtId="182" fontId="14" fillId="0" borderId="114" xfId="0" applyNumberFormat="1" applyFont="1" applyBorder="1" applyAlignment="1">
      <alignment horizontal="center" vertical="center"/>
    </xf>
    <xf numFmtId="182" fontId="14" fillId="0" borderId="0" xfId="0" applyNumberFormat="1" applyFont="1" applyAlignment="1">
      <alignment horizontal="center" vertical="center"/>
    </xf>
    <xf numFmtId="182" fontId="14" fillId="0" borderId="101" xfId="0" applyNumberFormat="1" applyFont="1" applyBorder="1" applyAlignment="1">
      <alignment horizontal="center" vertical="center"/>
    </xf>
    <xf numFmtId="182" fontId="14" fillId="0" borderId="116" xfId="0" applyNumberFormat="1" applyFont="1" applyBorder="1" applyAlignment="1">
      <alignment horizontal="center" vertical="center"/>
    </xf>
    <xf numFmtId="182" fontId="14" fillId="0" borderId="105" xfId="0" applyNumberFormat="1" applyFont="1" applyBorder="1" applyAlignment="1">
      <alignment horizontal="center" vertical="center"/>
    </xf>
    <xf numFmtId="182" fontId="14" fillId="0" borderId="117" xfId="0" applyNumberFormat="1" applyFont="1" applyBorder="1" applyAlignment="1">
      <alignment horizontal="center" vertical="center"/>
    </xf>
    <xf numFmtId="182" fontId="5" fillId="0" borderId="112" xfId="0" applyNumberFormat="1" applyFont="1" applyBorder="1" applyAlignment="1">
      <alignment vertical="top" wrapText="1"/>
    </xf>
    <xf numFmtId="182" fontId="5" fillId="0" borderId="110" xfId="0" applyNumberFormat="1" applyFont="1" applyBorder="1" applyAlignment="1">
      <alignment vertical="top" wrapText="1"/>
    </xf>
    <xf numFmtId="182" fontId="5" fillId="0" borderId="113" xfId="0" applyNumberFormat="1" applyFont="1" applyBorder="1" applyAlignment="1">
      <alignment vertical="top" wrapText="1"/>
    </xf>
    <xf numFmtId="182" fontId="5" fillId="0" borderId="100" xfId="0" applyNumberFormat="1" applyFont="1" applyBorder="1" applyAlignment="1">
      <alignment vertical="top" wrapText="1"/>
    </xf>
    <xf numFmtId="182" fontId="5" fillId="0" borderId="0" xfId="0" applyNumberFormat="1" applyFont="1" applyAlignment="1">
      <alignment vertical="top" wrapText="1"/>
    </xf>
    <xf numFmtId="182" fontId="5" fillId="0" borderId="115" xfId="0" applyNumberFormat="1" applyFont="1" applyBorder="1" applyAlignment="1">
      <alignment vertical="top" wrapText="1"/>
    </xf>
    <xf numFmtId="182" fontId="5" fillId="0" borderId="118" xfId="0" applyNumberFormat="1" applyFont="1" applyBorder="1" applyAlignment="1">
      <alignment vertical="top" wrapText="1"/>
    </xf>
    <xf numFmtId="182" fontId="5" fillId="0" borderId="105" xfId="0" applyNumberFormat="1" applyFont="1" applyBorder="1" applyAlignment="1">
      <alignment vertical="top" wrapText="1"/>
    </xf>
    <xf numFmtId="182" fontId="5" fillId="0" borderId="119" xfId="0" applyNumberFormat="1" applyFont="1" applyBorder="1" applyAlignment="1">
      <alignment vertical="top" wrapText="1"/>
    </xf>
    <xf numFmtId="0" fontId="14" fillId="0" borderId="22" xfId="0" applyFont="1" applyBorder="1" applyAlignment="1">
      <alignment horizontal="center" vertical="center"/>
    </xf>
    <xf numFmtId="0" fontId="14" fillId="7" borderId="23" xfId="0" applyFont="1" applyFill="1" applyBorder="1" applyAlignment="1">
      <alignment horizontal="center" vertical="center"/>
    </xf>
    <xf numFmtId="14" fontId="14" fillId="0" borderId="24" xfId="0" applyNumberFormat="1" applyFont="1" applyBorder="1" applyAlignment="1">
      <alignment horizontal="center" vertical="center"/>
    </xf>
    <xf numFmtId="14" fontId="14" fillId="0" borderId="22" xfId="0" applyNumberFormat="1" applyFont="1" applyBorder="1" applyAlignment="1">
      <alignment horizontal="center" vertical="center"/>
    </xf>
    <xf numFmtId="14" fontId="14" fillId="0" borderId="25" xfId="0" applyNumberFormat="1" applyFont="1" applyBorder="1" applyAlignment="1">
      <alignment horizontal="center" vertical="center"/>
    </xf>
    <xf numFmtId="176" fontId="14" fillId="0" borderId="6" xfId="0" applyNumberFormat="1" applyFont="1" applyBorder="1" applyAlignment="1">
      <alignment horizontal="center" vertical="center"/>
    </xf>
    <xf numFmtId="176" fontId="14" fillId="0" borderId="7" xfId="0" applyNumberFormat="1" applyFont="1" applyBorder="1" applyAlignment="1">
      <alignment horizontal="center" vertical="center"/>
    </xf>
    <xf numFmtId="176" fontId="14" fillId="0" borderId="8" xfId="0" applyNumberFormat="1" applyFont="1" applyBorder="1" applyAlignment="1">
      <alignment horizontal="center" vertical="center"/>
    </xf>
    <xf numFmtId="181" fontId="14" fillId="0" borderId="6" xfId="0" applyNumberFormat="1" applyFont="1" applyBorder="1" applyAlignment="1">
      <alignment horizontal="center" vertical="center"/>
    </xf>
    <xf numFmtId="181" fontId="14" fillId="0" borderId="13" xfId="0" applyNumberFormat="1" applyFont="1" applyBorder="1" applyAlignment="1">
      <alignment horizontal="center" vertical="center"/>
    </xf>
    <xf numFmtId="182" fontId="12" fillId="0" borderId="120" xfId="0" applyNumberFormat="1" applyFont="1" applyBorder="1" applyAlignment="1">
      <alignment horizontal="center" vertical="center"/>
    </xf>
    <xf numFmtId="182" fontId="12" fillId="0" borderId="121" xfId="0" applyNumberFormat="1" applyFont="1" applyBorder="1" applyAlignment="1">
      <alignment horizontal="center" vertical="center"/>
    </xf>
    <xf numFmtId="185" fontId="12" fillId="0" borderId="121" xfId="1" applyNumberFormat="1" applyFont="1" applyBorder="1" applyAlignment="1">
      <alignment vertical="center"/>
    </xf>
    <xf numFmtId="185" fontId="12" fillId="0" borderId="121" xfId="0" applyNumberFormat="1" applyFont="1" applyBorder="1" applyAlignment="1">
      <alignment horizontal="center" vertical="center"/>
    </xf>
    <xf numFmtId="185" fontId="12" fillId="0" borderId="122" xfId="0" applyNumberFormat="1" applyFont="1" applyBorder="1" applyAlignment="1">
      <alignment horizontal="center" vertical="center"/>
    </xf>
    <xf numFmtId="182" fontId="12" fillId="0" borderId="16" xfId="0" applyNumberFormat="1" applyFont="1" applyBorder="1" applyAlignment="1">
      <alignment horizontal="center" vertical="center"/>
    </xf>
    <xf numFmtId="182" fontId="12" fillId="0" borderId="10" xfId="0" applyNumberFormat="1" applyFont="1" applyBorder="1" applyAlignment="1">
      <alignment horizontal="center" vertical="center"/>
    </xf>
    <xf numFmtId="185" fontId="12" fillId="0" borderId="10" xfId="1" applyNumberFormat="1" applyFont="1" applyBorder="1" applyAlignment="1">
      <alignment vertical="center"/>
    </xf>
    <xf numFmtId="185" fontId="12" fillId="0" borderId="10" xfId="0" applyNumberFormat="1" applyFont="1" applyBorder="1" applyAlignment="1">
      <alignment horizontal="center" vertical="center"/>
    </xf>
    <xf numFmtId="185" fontId="12" fillId="0" borderId="17" xfId="0" applyNumberFormat="1" applyFont="1" applyBorder="1" applyAlignment="1">
      <alignment horizontal="center" vertical="center"/>
    </xf>
    <xf numFmtId="185" fontId="12" fillId="0" borderId="10" xfId="1" applyNumberFormat="1" applyFont="1" applyBorder="1" applyAlignment="1">
      <alignment horizontal="center" vertical="center"/>
    </xf>
    <xf numFmtId="185" fontId="12" fillId="0" borderId="121" xfId="1" applyNumberFormat="1" applyFont="1" applyBorder="1" applyAlignment="1">
      <alignment horizontal="center" vertical="center"/>
    </xf>
    <xf numFmtId="182" fontId="12" fillId="0" borderId="14" xfId="0" applyNumberFormat="1" applyFont="1" applyBorder="1" applyAlignment="1">
      <alignment horizontal="center" vertical="center"/>
    </xf>
    <xf numFmtId="182" fontId="12" fillId="0" borderId="9" xfId="0" applyNumberFormat="1" applyFont="1" applyBorder="1" applyAlignment="1">
      <alignment horizontal="center" vertical="center"/>
    </xf>
    <xf numFmtId="185" fontId="12" fillId="0" borderId="9" xfId="1" applyNumberFormat="1" applyFont="1" applyBorder="1" applyAlignment="1">
      <alignment vertical="center"/>
    </xf>
    <xf numFmtId="185" fontId="12" fillId="0" borderId="9" xfId="0" applyNumberFormat="1" applyFont="1" applyBorder="1" applyAlignment="1">
      <alignment horizontal="center" vertical="center"/>
    </xf>
    <xf numFmtId="185" fontId="12" fillId="0" borderId="15" xfId="0" applyNumberFormat="1" applyFont="1" applyBorder="1" applyAlignment="1">
      <alignment horizontal="center" vertical="center"/>
    </xf>
    <xf numFmtId="185" fontId="12" fillId="0" borderId="9" xfId="1" applyNumberFormat="1" applyFont="1" applyBorder="1" applyAlignment="1">
      <alignment horizontal="center" vertical="center"/>
    </xf>
    <xf numFmtId="0" fontId="12" fillId="0" borderId="25" xfId="0" applyFont="1" applyBorder="1" applyAlignment="1">
      <alignment horizontal="center" vertical="center"/>
    </xf>
    <xf numFmtId="0" fontId="14" fillId="7" borderId="8" xfId="0" applyFont="1" applyFill="1" applyBorder="1" applyAlignment="1">
      <alignment horizontal="center" vertical="center"/>
    </xf>
    <xf numFmtId="0" fontId="14" fillId="7" borderId="6" xfId="0" applyFont="1" applyFill="1" applyBorder="1" applyAlignment="1">
      <alignment horizontal="center" vertical="center"/>
    </xf>
    <xf numFmtId="0" fontId="14" fillId="7" borderId="13" xfId="0" applyFont="1" applyFill="1" applyBorder="1" applyAlignment="1">
      <alignment horizontal="center" vertical="center"/>
    </xf>
    <xf numFmtId="0" fontId="14" fillId="7" borderId="59" xfId="0" applyFont="1" applyFill="1" applyBorder="1" applyAlignment="1">
      <alignment horizontal="center" vertical="center" wrapText="1"/>
    </xf>
    <xf numFmtId="0" fontId="14" fillId="7" borderId="60" xfId="0" applyFont="1" applyFill="1" applyBorder="1" applyAlignment="1">
      <alignment horizontal="center" vertical="center" wrapText="1"/>
    </xf>
    <xf numFmtId="0" fontId="14" fillId="7" borderId="61" xfId="0" applyFont="1" applyFill="1" applyBorder="1" applyAlignment="1">
      <alignment horizontal="center" vertical="center" wrapText="1"/>
    </xf>
    <xf numFmtId="0" fontId="3" fillId="0" borderId="6" xfId="0" applyFont="1" applyBorder="1" applyAlignment="1">
      <alignment horizontal="center" vertical="center"/>
    </xf>
    <xf numFmtId="0" fontId="3" fillId="0" borderId="7" xfId="0" applyFont="1" applyBorder="1" applyAlignment="1">
      <alignment horizontal="center" vertical="center"/>
    </xf>
    <xf numFmtId="0" fontId="3" fillId="0" borderId="8" xfId="0" applyFont="1" applyBorder="1" applyAlignment="1">
      <alignment horizontal="center" vertical="center"/>
    </xf>
    <xf numFmtId="0" fontId="14" fillId="7" borderId="56" xfId="0" applyFont="1" applyFill="1" applyBorder="1" applyAlignment="1">
      <alignment horizontal="center" vertical="center" wrapText="1"/>
    </xf>
    <xf numFmtId="0" fontId="14" fillId="7" borderId="57" xfId="0" applyFont="1" applyFill="1" applyBorder="1" applyAlignment="1">
      <alignment horizontal="center" vertical="center" wrapText="1"/>
    </xf>
    <xf numFmtId="0" fontId="14" fillId="7" borderId="58" xfId="0" applyFont="1" applyFill="1" applyBorder="1" applyAlignment="1">
      <alignment horizontal="center" vertical="center" wrapText="1"/>
    </xf>
    <xf numFmtId="0" fontId="3" fillId="0" borderId="6" xfId="0" applyFont="1" applyBorder="1" applyAlignment="1">
      <alignment horizontal="center" vertical="center" wrapText="1"/>
    </xf>
    <xf numFmtId="0" fontId="3" fillId="0" borderId="7" xfId="0" applyFont="1" applyBorder="1" applyAlignment="1">
      <alignment horizontal="center" vertical="center" wrapText="1"/>
    </xf>
    <xf numFmtId="0" fontId="3" fillId="0" borderId="13" xfId="0" applyFont="1" applyBorder="1" applyAlignment="1">
      <alignment horizontal="center" vertical="center" wrapText="1"/>
    </xf>
    <xf numFmtId="1" fontId="12" fillId="0" borderId="6" xfId="0" applyNumberFormat="1" applyFont="1" applyBorder="1" applyAlignment="1">
      <alignment horizontal="center" vertical="center"/>
    </xf>
    <xf numFmtId="1" fontId="12" fillId="0" borderId="7" xfId="0" applyNumberFormat="1" applyFont="1" applyBorder="1" applyAlignment="1">
      <alignment horizontal="center" vertical="center"/>
    </xf>
    <xf numFmtId="1" fontId="12" fillId="0" borderId="8" xfId="0" applyNumberFormat="1" applyFont="1" applyBorder="1" applyAlignment="1">
      <alignment horizontal="center" vertical="center"/>
    </xf>
    <xf numFmtId="0" fontId="12" fillId="0" borderId="6" xfId="0" applyFont="1" applyBorder="1" applyAlignment="1">
      <alignment horizontal="center" vertical="center"/>
    </xf>
    <xf numFmtId="0" fontId="12" fillId="0" borderId="7" xfId="0" applyFont="1" applyBorder="1" applyAlignment="1">
      <alignment horizontal="center" vertical="center"/>
    </xf>
    <xf numFmtId="0" fontId="12" fillId="0" borderId="8" xfId="0" applyFont="1" applyBorder="1" applyAlignment="1">
      <alignment horizontal="center" vertical="center"/>
    </xf>
    <xf numFmtId="0" fontId="12" fillId="0" borderId="13" xfId="0" applyFont="1" applyBorder="1" applyAlignment="1">
      <alignment horizontal="center" vertical="center"/>
    </xf>
    <xf numFmtId="182" fontId="12" fillId="0" borderId="106" xfId="0" applyNumberFormat="1" applyFont="1" applyBorder="1" applyAlignment="1">
      <alignment horizontal="center" vertical="center"/>
    </xf>
    <xf numFmtId="182" fontId="12" fillId="0" borderId="12" xfId="0" applyNumberFormat="1" applyFont="1" applyBorder="1" applyAlignment="1">
      <alignment horizontal="center" vertical="center"/>
    </xf>
    <xf numFmtId="182" fontId="12" fillId="0" borderId="103" xfId="0" applyNumberFormat="1" applyFont="1" applyBorder="1" applyAlignment="1">
      <alignment horizontal="center" vertical="center"/>
    </xf>
    <xf numFmtId="182" fontId="12" fillId="0" borderId="102" xfId="0" applyNumberFormat="1" applyFont="1" applyBorder="1" applyAlignment="1">
      <alignment horizontal="center" vertical="center"/>
    </xf>
    <xf numFmtId="176" fontId="12" fillId="0" borderId="102" xfId="1" applyFont="1" applyBorder="1" applyAlignment="1">
      <alignment horizontal="center" vertical="center"/>
    </xf>
    <xf numFmtId="176" fontId="12" fillId="0" borderId="12" xfId="1" applyFont="1" applyBorder="1" applyAlignment="1">
      <alignment horizontal="center" vertical="center"/>
    </xf>
    <xf numFmtId="176" fontId="12" fillId="0" borderId="103" xfId="1" applyFont="1" applyBorder="1" applyAlignment="1">
      <alignment horizontal="center" vertical="center"/>
    </xf>
    <xf numFmtId="176" fontId="12" fillId="0" borderId="102" xfId="0" applyNumberFormat="1" applyFont="1" applyBorder="1" applyAlignment="1">
      <alignment horizontal="center" vertical="center"/>
    </xf>
    <xf numFmtId="176" fontId="12" fillId="0" borderId="108" xfId="0" applyNumberFormat="1" applyFont="1" applyBorder="1" applyAlignment="1">
      <alignment horizontal="center" vertical="center"/>
    </xf>
    <xf numFmtId="176" fontId="12" fillId="0" borderId="107" xfId="0" applyNumberFormat="1" applyFont="1" applyBorder="1" applyAlignment="1">
      <alignment horizontal="center" vertical="center"/>
    </xf>
    <xf numFmtId="181" fontId="12" fillId="0" borderId="107" xfId="1" applyNumberFormat="1" applyFont="1" applyBorder="1" applyAlignment="1">
      <alignment horizontal="center" vertical="center"/>
    </xf>
    <xf numFmtId="182" fontId="12" fillId="0" borderId="45" xfId="0" applyNumberFormat="1" applyFont="1" applyBorder="1" applyAlignment="1">
      <alignment horizontal="center" vertical="center"/>
    </xf>
    <xf numFmtId="182" fontId="12" fillId="0" borderId="42" xfId="0" applyNumberFormat="1" applyFont="1" applyBorder="1" applyAlignment="1">
      <alignment horizontal="center" vertical="center"/>
    </xf>
    <xf numFmtId="182" fontId="12" fillId="0" borderId="43" xfId="0" applyNumberFormat="1" applyFont="1" applyBorder="1" applyAlignment="1">
      <alignment horizontal="center" vertical="center"/>
    </xf>
    <xf numFmtId="182" fontId="12" fillId="0" borderId="41" xfId="0" applyNumberFormat="1" applyFont="1" applyBorder="1" applyAlignment="1">
      <alignment horizontal="center" vertical="center"/>
    </xf>
    <xf numFmtId="176" fontId="12" fillId="0" borderId="41" xfId="1" applyFont="1" applyBorder="1" applyAlignment="1">
      <alignment vertical="center"/>
    </xf>
    <xf numFmtId="176" fontId="12" fillId="0" borderId="42" xfId="1" applyFont="1" applyBorder="1" applyAlignment="1">
      <alignment vertical="center"/>
    </xf>
    <xf numFmtId="176" fontId="12" fillId="0" borderId="43" xfId="1" applyFont="1" applyBorder="1" applyAlignment="1">
      <alignment vertical="center"/>
    </xf>
    <xf numFmtId="176" fontId="12" fillId="0" borderId="41" xfId="0" applyNumberFormat="1" applyFont="1" applyBorder="1" applyAlignment="1">
      <alignment horizontal="center" vertical="center"/>
    </xf>
    <xf numFmtId="176" fontId="12" fillId="0" borderId="44" xfId="0" applyNumberFormat="1" applyFont="1" applyBorder="1" applyAlignment="1">
      <alignment horizontal="center" vertical="center"/>
    </xf>
    <xf numFmtId="176" fontId="12" fillId="0" borderId="10" xfId="0" applyNumberFormat="1" applyFont="1" applyBorder="1" applyAlignment="1">
      <alignment horizontal="center" vertical="center"/>
    </xf>
    <xf numFmtId="181" fontId="12" fillId="0" borderId="10" xfId="1" applyNumberFormat="1" applyFont="1" applyBorder="1" applyAlignment="1">
      <alignment horizontal="center" vertical="center"/>
    </xf>
    <xf numFmtId="0" fontId="12" fillId="0" borderId="54" xfId="0" applyFont="1" applyBorder="1" applyAlignment="1">
      <alignment horizontal="center" vertical="center"/>
    </xf>
    <xf numFmtId="0" fontId="12" fillId="0" borderId="52" xfId="0" applyFont="1" applyBorder="1" applyAlignment="1">
      <alignment horizontal="center" vertical="center"/>
    </xf>
    <xf numFmtId="0" fontId="12" fillId="0" borderId="53" xfId="0" applyFont="1" applyBorder="1" applyAlignment="1">
      <alignment horizontal="center" vertical="center"/>
    </xf>
    <xf numFmtId="0" fontId="12" fillId="0" borderId="51" xfId="0" applyFont="1" applyBorder="1" applyAlignment="1">
      <alignment horizontal="center" vertical="center"/>
    </xf>
    <xf numFmtId="176" fontId="12" fillId="0" borderId="51" xfId="1" applyFont="1" applyBorder="1" applyAlignment="1">
      <alignment vertical="center"/>
    </xf>
    <xf numFmtId="176" fontId="12" fillId="0" borderId="52" xfId="1" applyFont="1" applyBorder="1" applyAlignment="1">
      <alignment vertical="center"/>
    </xf>
    <xf numFmtId="176" fontId="12" fillId="0" borderId="53" xfId="1" applyFont="1" applyBorder="1" applyAlignment="1">
      <alignment vertical="center"/>
    </xf>
    <xf numFmtId="176" fontId="12" fillId="0" borderId="51" xfId="0" applyNumberFormat="1" applyFont="1" applyBorder="1" applyAlignment="1">
      <alignment horizontal="center" vertical="center"/>
    </xf>
    <xf numFmtId="176" fontId="12" fillId="0" borderId="55" xfId="0" applyNumberFormat="1" applyFont="1" applyBorder="1" applyAlignment="1">
      <alignment horizontal="center" vertical="center"/>
    </xf>
    <xf numFmtId="176" fontId="12" fillId="0" borderId="9" xfId="1" applyFont="1" applyBorder="1" applyAlignment="1">
      <alignment horizontal="center" vertical="center"/>
    </xf>
    <xf numFmtId="181" fontId="12" fillId="0" borderId="9" xfId="1" applyNumberFormat="1" applyFont="1" applyBorder="1" applyAlignment="1">
      <alignment horizontal="center" vertical="center"/>
    </xf>
    <xf numFmtId="180" fontId="4" fillId="3" borderId="85" xfId="0" applyNumberFormat="1" applyFont="1" applyFill="1" applyBorder="1" applyAlignment="1">
      <alignment horizontal="left" vertical="center"/>
    </xf>
    <xf numFmtId="180" fontId="4" fillId="3" borderId="87" xfId="0" applyNumberFormat="1" applyFont="1" applyFill="1" applyBorder="1" applyAlignment="1">
      <alignment horizontal="left" vertical="center"/>
    </xf>
    <xf numFmtId="14" fontId="5" fillId="0" borderId="97" xfId="0" applyNumberFormat="1" applyFont="1" applyBorder="1" applyAlignment="1">
      <alignment horizontal="center" vertical="center"/>
    </xf>
    <xf numFmtId="14" fontId="5" fillId="0" borderId="98" xfId="0" applyNumberFormat="1" applyFont="1" applyBorder="1" applyAlignment="1">
      <alignment horizontal="center" vertical="center"/>
    </xf>
    <xf numFmtId="14" fontId="5" fillId="0" borderId="98" xfId="0" applyNumberFormat="1" applyFont="1" applyBorder="1" applyAlignment="1">
      <alignment horizontal="right" vertical="center"/>
    </xf>
    <xf numFmtId="0" fontId="0" fillId="0" borderId="0" xfId="0" applyAlignment="1">
      <alignment horizontal="center" vertical="center"/>
    </xf>
    <xf numFmtId="0" fontId="25" fillId="6" borderId="0" xfId="0" applyFont="1" applyFill="1" applyAlignment="1">
      <alignment horizontal="center" vertical="center"/>
    </xf>
    <xf numFmtId="0" fontId="0" fillId="6" borderId="0" xfId="0" applyFill="1" applyAlignment="1">
      <alignment horizontal="center" vertical="center"/>
    </xf>
    <xf numFmtId="0" fontId="24" fillId="6" borderId="0" xfId="0" applyFont="1" applyFill="1" applyAlignment="1">
      <alignment horizontal="center" vertical="center"/>
    </xf>
    <xf numFmtId="0" fontId="31" fillId="0" borderId="5" xfId="0" applyFont="1" applyBorder="1" applyAlignment="1" applyProtection="1">
      <alignment horizontal="center" vertical="center"/>
      <protection locked="0"/>
    </xf>
    <xf numFmtId="182" fontId="12" fillId="0" borderId="50" xfId="0" applyNumberFormat="1" applyFont="1" applyBorder="1" applyAlignment="1">
      <alignment horizontal="center" vertical="center"/>
    </xf>
    <xf numFmtId="182" fontId="12" fillId="0" borderId="48" xfId="0" applyNumberFormat="1" applyFont="1" applyBorder="1" applyAlignment="1">
      <alignment horizontal="center" vertical="center"/>
    </xf>
    <xf numFmtId="182" fontId="12" fillId="0" borderId="49" xfId="0" applyNumberFormat="1" applyFont="1" applyBorder="1" applyAlignment="1">
      <alignment horizontal="center" vertical="center"/>
    </xf>
    <xf numFmtId="182" fontId="12" fillId="0" borderId="46" xfId="0" applyNumberFormat="1" applyFont="1" applyBorder="1" applyAlignment="1">
      <alignment horizontal="center" vertical="center"/>
    </xf>
    <xf numFmtId="176" fontId="12" fillId="0" borderId="10" xfId="0" applyNumberFormat="1" applyFont="1" applyBorder="1">
      <alignment vertical="center"/>
    </xf>
    <xf numFmtId="176" fontId="12" fillId="0" borderId="17" xfId="0" applyNumberFormat="1" applyFont="1" applyBorder="1">
      <alignment vertical="center"/>
    </xf>
    <xf numFmtId="181" fontId="12" fillId="0" borderId="10" xfId="1" applyNumberFormat="1" applyFont="1" applyBorder="1" applyAlignment="1">
      <alignment vertical="center"/>
    </xf>
    <xf numFmtId="176" fontId="12" fillId="0" borderId="16" xfId="0" applyNumberFormat="1" applyFont="1" applyBorder="1">
      <alignment vertical="center"/>
    </xf>
    <xf numFmtId="176" fontId="12" fillId="0" borderId="5" xfId="0" applyNumberFormat="1" applyFont="1" applyBorder="1">
      <alignment vertical="center"/>
    </xf>
    <xf numFmtId="14" fontId="12" fillId="0" borderId="24" xfId="0" applyNumberFormat="1" applyFont="1" applyBorder="1" applyAlignment="1">
      <alignment horizontal="center" vertical="center"/>
    </xf>
    <xf numFmtId="14" fontId="12" fillId="0" borderId="22" xfId="0" applyNumberFormat="1" applyFont="1" applyBorder="1" applyAlignment="1">
      <alignment horizontal="center" vertical="center"/>
    </xf>
    <xf numFmtId="14" fontId="12" fillId="0" borderId="25" xfId="0" applyNumberFormat="1" applyFont="1" applyBorder="1" applyAlignment="1">
      <alignment horizontal="center" vertical="center"/>
    </xf>
    <xf numFmtId="0" fontId="13" fillId="0" borderId="26" xfId="0" applyFont="1" applyBorder="1" applyAlignment="1">
      <alignment horizontal="center" vertical="center"/>
    </xf>
    <xf numFmtId="0" fontId="13" fillId="0" borderId="27" xfId="0" applyFont="1" applyBorder="1" applyAlignment="1">
      <alignment horizontal="center" vertical="center"/>
    </xf>
    <xf numFmtId="0" fontId="13" fillId="0" borderId="31" xfId="0" applyFont="1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0" borderId="13" xfId="0" applyBorder="1" applyAlignment="1">
      <alignment horizontal="center" vertical="center"/>
    </xf>
    <xf numFmtId="181" fontId="12" fillId="0" borderId="46" xfId="1" applyNumberFormat="1" applyFont="1" applyBorder="1" applyAlignment="1">
      <alignment horizontal="center" vertical="center"/>
    </xf>
    <xf numFmtId="181" fontId="12" fillId="0" borderId="48" xfId="1" applyNumberFormat="1" applyFont="1" applyBorder="1" applyAlignment="1">
      <alignment horizontal="center" vertical="center"/>
    </xf>
    <xf numFmtId="181" fontId="12" fillId="0" borderId="49" xfId="1" applyNumberFormat="1" applyFont="1" applyBorder="1" applyAlignment="1">
      <alignment horizontal="center" vertical="center"/>
    </xf>
    <xf numFmtId="176" fontId="12" fillId="0" borderId="46" xfId="0" applyNumberFormat="1" applyFont="1" applyBorder="1" applyAlignment="1">
      <alignment horizontal="center" vertical="center"/>
    </xf>
    <xf numFmtId="176" fontId="12" fillId="0" borderId="47" xfId="0" applyNumberFormat="1" applyFont="1" applyBorder="1" applyAlignment="1">
      <alignment horizontal="center" vertical="center"/>
    </xf>
    <xf numFmtId="176" fontId="12" fillId="0" borderId="18" xfId="0" applyNumberFormat="1" applyFont="1" applyBorder="1">
      <alignment vertical="center"/>
    </xf>
    <xf numFmtId="176" fontId="12" fillId="0" borderId="11" xfId="0" applyNumberFormat="1" applyFont="1" applyBorder="1">
      <alignment vertical="center"/>
    </xf>
    <xf numFmtId="181" fontId="12" fillId="0" borderId="11" xfId="1" applyNumberFormat="1" applyFont="1" applyBorder="1" applyAlignment="1">
      <alignment vertical="center"/>
    </xf>
    <xf numFmtId="176" fontId="12" fillId="0" borderId="19" xfId="0" applyNumberFormat="1" applyFont="1" applyBorder="1">
      <alignment vertical="center"/>
    </xf>
    <xf numFmtId="176" fontId="12" fillId="0" borderId="14" xfId="0" applyNumberFormat="1" applyFont="1" applyBorder="1">
      <alignment vertical="center"/>
    </xf>
    <xf numFmtId="176" fontId="12" fillId="0" borderId="9" xfId="0" applyNumberFormat="1" applyFont="1" applyBorder="1">
      <alignment vertical="center"/>
    </xf>
    <xf numFmtId="181" fontId="12" fillId="0" borderId="9" xfId="1" applyNumberFormat="1" applyFont="1" applyBorder="1" applyAlignment="1">
      <alignment vertical="center"/>
    </xf>
    <xf numFmtId="181" fontId="12" fillId="0" borderId="41" xfId="1" applyNumberFormat="1" applyFont="1" applyBorder="1" applyAlignment="1">
      <alignment horizontal="center" vertical="center"/>
    </xf>
    <xf numFmtId="181" fontId="12" fillId="0" borderId="42" xfId="1" applyNumberFormat="1" applyFont="1" applyBorder="1" applyAlignment="1">
      <alignment horizontal="center" vertical="center"/>
    </xf>
    <xf numFmtId="181" fontId="12" fillId="0" borderId="43" xfId="1" applyNumberFormat="1" applyFont="1" applyBorder="1" applyAlignment="1">
      <alignment horizontal="center" vertical="center"/>
    </xf>
    <xf numFmtId="14" fontId="14" fillId="0" borderId="6" xfId="0" applyNumberFormat="1" applyFont="1" applyBorder="1" applyAlignment="1">
      <alignment horizontal="center" vertical="center"/>
    </xf>
    <xf numFmtId="14" fontId="14" fillId="0" borderId="7" xfId="0" applyNumberFormat="1" applyFont="1" applyBorder="1" applyAlignment="1">
      <alignment horizontal="center" vertical="center"/>
    </xf>
    <xf numFmtId="14" fontId="14" fillId="0" borderId="8" xfId="0" applyNumberFormat="1" applyFont="1" applyBorder="1" applyAlignment="1">
      <alignment horizontal="center" vertical="center"/>
    </xf>
    <xf numFmtId="0" fontId="14" fillId="0" borderId="6" xfId="0" applyFont="1" applyBorder="1" applyAlignment="1">
      <alignment horizontal="center" vertical="center" wrapText="1"/>
    </xf>
    <xf numFmtId="0" fontId="14" fillId="0" borderId="7" xfId="0" applyFont="1" applyBorder="1" applyAlignment="1">
      <alignment horizontal="center" vertical="center" wrapText="1"/>
    </xf>
    <xf numFmtId="0" fontId="14" fillId="0" borderId="13" xfId="0" applyFont="1" applyBorder="1" applyAlignment="1">
      <alignment horizontal="center" vertical="center" wrapText="1"/>
    </xf>
    <xf numFmtId="176" fontId="12" fillId="0" borderId="15" xfId="0" applyNumberFormat="1" applyFont="1" applyBorder="1">
      <alignment vertical="center"/>
    </xf>
    <xf numFmtId="181" fontId="12" fillId="0" borderId="41" xfId="1" applyNumberFormat="1" applyFont="1" applyBorder="1" applyAlignment="1">
      <alignment vertical="center"/>
    </xf>
    <xf numFmtId="181" fontId="12" fillId="0" borderId="42" xfId="1" applyNumberFormat="1" applyFont="1" applyBorder="1" applyAlignment="1">
      <alignment vertical="center"/>
    </xf>
    <xf numFmtId="181" fontId="12" fillId="0" borderId="43" xfId="1" applyNumberFormat="1" applyFont="1" applyBorder="1" applyAlignment="1">
      <alignment vertical="center"/>
    </xf>
    <xf numFmtId="182" fontId="12" fillId="0" borderId="45" xfId="0" applyNumberFormat="1" applyFont="1" applyBorder="1">
      <alignment vertical="center"/>
    </xf>
    <xf numFmtId="182" fontId="12" fillId="0" borderId="42" xfId="0" applyNumberFormat="1" applyFont="1" applyBorder="1">
      <alignment vertical="center"/>
    </xf>
    <xf numFmtId="182" fontId="12" fillId="0" borderId="43" xfId="0" applyNumberFormat="1" applyFont="1" applyBorder="1">
      <alignment vertical="center"/>
    </xf>
    <xf numFmtId="182" fontId="12" fillId="0" borderId="41" xfId="0" applyNumberFormat="1" applyFont="1" applyBorder="1">
      <alignment vertical="center"/>
    </xf>
    <xf numFmtId="182" fontId="12" fillId="0" borderId="41" xfId="0" applyNumberFormat="1" applyFont="1" applyBorder="1" applyAlignment="1">
      <alignment horizontal="left" vertical="center"/>
    </xf>
    <xf numFmtId="182" fontId="12" fillId="0" borderId="42" xfId="0" applyNumberFormat="1" applyFont="1" applyBorder="1" applyAlignment="1">
      <alignment horizontal="left" vertical="center"/>
    </xf>
    <xf numFmtId="182" fontId="12" fillId="0" borderId="43" xfId="0" applyNumberFormat="1" applyFont="1" applyBorder="1" applyAlignment="1">
      <alignment horizontal="left" vertical="center"/>
    </xf>
    <xf numFmtId="0" fontId="14" fillId="0" borderId="6" xfId="0" applyFont="1" applyBorder="1" applyAlignment="1">
      <alignment horizontal="center" vertical="center"/>
    </xf>
    <xf numFmtId="0" fontId="14" fillId="0" borderId="7" xfId="0" applyFont="1" applyBorder="1" applyAlignment="1">
      <alignment horizontal="center" vertical="center"/>
    </xf>
    <xf numFmtId="0" fontId="14" fillId="0" borderId="8" xfId="0" applyFont="1" applyBorder="1" applyAlignment="1">
      <alignment horizontal="center" vertical="center"/>
    </xf>
    <xf numFmtId="0" fontId="12" fillId="0" borderId="54" xfId="0" applyFont="1" applyBorder="1">
      <alignment vertical="center"/>
    </xf>
    <xf numFmtId="0" fontId="12" fillId="0" borderId="52" xfId="0" applyFont="1" applyBorder="1">
      <alignment vertical="center"/>
    </xf>
    <xf numFmtId="0" fontId="12" fillId="0" borderId="53" xfId="0" applyFont="1" applyBorder="1">
      <alignment vertical="center"/>
    </xf>
    <xf numFmtId="0" fontId="12" fillId="0" borderId="51" xfId="0" applyFont="1" applyBorder="1">
      <alignment vertical="center"/>
    </xf>
    <xf numFmtId="181" fontId="12" fillId="0" borderId="51" xfId="1" applyNumberFormat="1" applyFont="1" applyBorder="1" applyAlignment="1">
      <alignment vertical="center"/>
    </xf>
    <xf numFmtId="181" fontId="12" fillId="0" borderId="52" xfId="1" applyNumberFormat="1" applyFont="1" applyBorder="1" applyAlignment="1">
      <alignment vertical="center"/>
    </xf>
    <xf numFmtId="181" fontId="12" fillId="0" borderId="53" xfId="1" applyNumberFormat="1" applyFont="1" applyBorder="1" applyAlignment="1">
      <alignment vertical="center"/>
    </xf>
    <xf numFmtId="176" fontId="12" fillId="0" borderId="6" xfId="0" applyNumberFormat="1" applyFont="1" applyBorder="1" applyAlignment="1">
      <alignment horizontal="center" vertical="center"/>
    </xf>
    <xf numFmtId="176" fontId="12" fillId="0" borderId="7" xfId="0" applyNumberFormat="1" applyFont="1" applyBorder="1" applyAlignment="1">
      <alignment horizontal="center" vertical="center"/>
    </xf>
    <xf numFmtId="176" fontId="12" fillId="0" borderId="8" xfId="0" applyNumberFormat="1" applyFont="1" applyBorder="1" applyAlignment="1">
      <alignment horizontal="center" vertical="center"/>
    </xf>
    <xf numFmtId="176" fontId="14" fillId="0" borderId="6" xfId="0" applyNumberFormat="1" applyFont="1" applyBorder="1" applyAlignment="1">
      <alignment horizontal="right" vertical="center"/>
    </xf>
    <xf numFmtId="176" fontId="14" fillId="0" borderId="7" xfId="0" applyNumberFormat="1" applyFont="1" applyBorder="1" applyAlignment="1">
      <alignment horizontal="right" vertical="center"/>
    </xf>
    <xf numFmtId="176" fontId="14" fillId="0" borderId="8" xfId="0" applyNumberFormat="1" applyFont="1" applyBorder="1" applyAlignment="1">
      <alignment horizontal="right" vertical="center"/>
    </xf>
    <xf numFmtId="181" fontId="12" fillId="0" borderId="6" xfId="0" applyNumberFormat="1" applyFont="1" applyBorder="1" applyAlignment="1">
      <alignment horizontal="center" vertical="center"/>
    </xf>
    <xf numFmtId="181" fontId="12" fillId="0" borderId="7" xfId="0" applyNumberFormat="1" applyFont="1" applyBorder="1" applyAlignment="1">
      <alignment horizontal="center" vertical="center"/>
    </xf>
    <xf numFmtId="181" fontId="12" fillId="0" borderId="13" xfId="0" applyNumberFormat="1" applyFont="1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180" fontId="4" fillId="3" borderId="3" xfId="0" applyNumberFormat="1" applyFont="1" applyFill="1" applyBorder="1" applyAlignment="1">
      <alignment horizontal="left" vertical="center"/>
    </xf>
    <xf numFmtId="180" fontId="4" fillId="3" borderId="4" xfId="0" applyNumberFormat="1" applyFont="1" applyFill="1" applyBorder="1" applyAlignment="1">
      <alignment horizontal="left" vertical="center"/>
    </xf>
  </cellXfs>
  <cellStyles count="4">
    <cellStyle name="쉼표 [0]" xfId="1" builtinId="6"/>
    <cellStyle name="표준" xfId="0" builtinId="0"/>
    <cellStyle name="표준 2" xfId="3" xr:uid="{93610B7F-A677-4762-8102-7E6D6EF28710}"/>
    <cellStyle name="하이퍼링크" xfId="2" builtinId="8"/>
  </cellStyles>
  <dxfs count="1">
    <dxf>
      <font>
        <condense val="0"/>
        <extend val="0"/>
        <color indexed="9"/>
      </font>
    </dxf>
  </dxfs>
  <tableStyles count="0" defaultTableStyle="TableStyleMedium2" defaultPivotStyle="PivotStyleLight16"/>
  <colors>
    <mruColors>
      <color rgb="FF1D6F42"/>
      <color rgb="FF0000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21" Type="http://schemas.openxmlformats.org/officeDocument/2006/relationships/worksheet" Target="worksheets/sheet21.xml"/><Relationship Id="rId34" Type="http://schemas.openxmlformats.org/officeDocument/2006/relationships/theme" Target="theme/theme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styles" Target="styles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title>
    <c:autoTitleDeleted val="0"/>
    <c:plotArea>
      <c:layout/>
      <c:barChart>
        <c:barDir val="bar"/>
        <c:grouping val="clustered"/>
        <c:varyColors val="0"/>
        <c:ser>
          <c:idx val="1"/>
          <c:order val="1"/>
          <c:tx>
            <c:strRef>
              <c:f>주문_리스트!$B$1</c:f>
              <c:strCache>
                <c:ptCount val="1"/>
                <c:pt idx="0">
                  <c:v>일자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val>
            <c:numRef>
              <c:f>주문_리스트!$B$2:$B$756</c:f>
              <c:numCache>
                <c:formatCode>m/d/yyyy</c:formatCode>
                <c:ptCount val="755"/>
                <c:pt idx="0">
                  <c:v>45723</c:v>
                </c:pt>
                <c:pt idx="1">
                  <c:v>45723</c:v>
                </c:pt>
                <c:pt idx="2">
                  <c:v>45723</c:v>
                </c:pt>
                <c:pt idx="3">
                  <c:v>45723</c:v>
                </c:pt>
                <c:pt idx="4">
                  <c:v>45722</c:v>
                </c:pt>
                <c:pt idx="5">
                  <c:v>45722</c:v>
                </c:pt>
                <c:pt idx="6">
                  <c:v>45722</c:v>
                </c:pt>
                <c:pt idx="7">
                  <c:v>45722</c:v>
                </c:pt>
                <c:pt idx="8">
                  <c:v>45722</c:v>
                </c:pt>
                <c:pt idx="9">
                  <c:v>45721</c:v>
                </c:pt>
                <c:pt idx="10">
                  <c:v>45720</c:v>
                </c:pt>
                <c:pt idx="11">
                  <c:v>45720</c:v>
                </c:pt>
                <c:pt idx="12">
                  <c:v>45720</c:v>
                </c:pt>
                <c:pt idx="13">
                  <c:v>45720</c:v>
                </c:pt>
                <c:pt idx="14">
                  <c:v>45720</c:v>
                </c:pt>
                <c:pt idx="15">
                  <c:v>45720</c:v>
                </c:pt>
                <c:pt idx="16">
                  <c:v>45720</c:v>
                </c:pt>
                <c:pt idx="17">
                  <c:v>45717</c:v>
                </c:pt>
                <c:pt idx="18">
                  <c:v>45717</c:v>
                </c:pt>
                <c:pt idx="19">
                  <c:v>45723</c:v>
                </c:pt>
                <c:pt idx="20">
                  <c:v>45723</c:v>
                </c:pt>
                <c:pt idx="21">
                  <c:v>45723</c:v>
                </c:pt>
                <c:pt idx="22">
                  <c:v>45724</c:v>
                </c:pt>
                <c:pt idx="23">
                  <c:v>45724</c:v>
                </c:pt>
                <c:pt idx="24">
                  <c:v>45726</c:v>
                </c:pt>
                <c:pt idx="25">
                  <c:v>45726</c:v>
                </c:pt>
                <c:pt idx="26">
                  <c:v>45727</c:v>
                </c:pt>
                <c:pt idx="27">
                  <c:v>45727</c:v>
                </c:pt>
                <c:pt idx="28">
                  <c:v>45727</c:v>
                </c:pt>
                <c:pt idx="29">
                  <c:v>45727</c:v>
                </c:pt>
                <c:pt idx="30">
                  <c:v>45727</c:v>
                </c:pt>
                <c:pt idx="31">
                  <c:v>45727</c:v>
                </c:pt>
                <c:pt idx="32">
                  <c:v>45727</c:v>
                </c:pt>
                <c:pt idx="33">
                  <c:v>45727</c:v>
                </c:pt>
                <c:pt idx="34">
                  <c:v>45729</c:v>
                </c:pt>
                <c:pt idx="35">
                  <c:v>45729</c:v>
                </c:pt>
                <c:pt idx="36">
                  <c:v>45729</c:v>
                </c:pt>
                <c:pt idx="37">
                  <c:v>45730</c:v>
                </c:pt>
                <c:pt idx="38">
                  <c:v>45730</c:v>
                </c:pt>
                <c:pt idx="39">
                  <c:v>45730</c:v>
                </c:pt>
                <c:pt idx="40">
                  <c:v>45731</c:v>
                </c:pt>
                <c:pt idx="41">
                  <c:v>45731</c:v>
                </c:pt>
                <c:pt idx="42">
                  <c:v>45731</c:v>
                </c:pt>
                <c:pt idx="43">
                  <c:v>45733</c:v>
                </c:pt>
                <c:pt idx="44">
                  <c:v>45733</c:v>
                </c:pt>
                <c:pt idx="45">
                  <c:v>45733</c:v>
                </c:pt>
                <c:pt idx="46">
                  <c:v>45733</c:v>
                </c:pt>
                <c:pt idx="47">
                  <c:v>45733</c:v>
                </c:pt>
                <c:pt idx="48">
                  <c:v>45733</c:v>
                </c:pt>
                <c:pt idx="49">
                  <c:v>45734</c:v>
                </c:pt>
                <c:pt idx="50">
                  <c:v>45735</c:v>
                </c:pt>
                <c:pt idx="51">
                  <c:v>45735</c:v>
                </c:pt>
                <c:pt idx="52">
                  <c:v>45735</c:v>
                </c:pt>
                <c:pt idx="53">
                  <c:v>45735</c:v>
                </c:pt>
                <c:pt idx="54">
                  <c:v>45735</c:v>
                </c:pt>
                <c:pt idx="55">
                  <c:v>45736</c:v>
                </c:pt>
                <c:pt idx="56">
                  <c:v>45736</c:v>
                </c:pt>
                <c:pt idx="57">
                  <c:v>45736</c:v>
                </c:pt>
                <c:pt idx="58">
                  <c:v>45736</c:v>
                </c:pt>
                <c:pt idx="59">
                  <c:v>45736</c:v>
                </c:pt>
                <c:pt idx="60">
                  <c:v>45736</c:v>
                </c:pt>
                <c:pt idx="61">
                  <c:v>45736</c:v>
                </c:pt>
                <c:pt idx="62">
                  <c:v>45741</c:v>
                </c:pt>
                <c:pt idx="63">
                  <c:v>45741</c:v>
                </c:pt>
                <c:pt idx="64">
                  <c:v>45737</c:v>
                </c:pt>
                <c:pt idx="65">
                  <c:v>45737</c:v>
                </c:pt>
                <c:pt idx="66">
                  <c:v>45737</c:v>
                </c:pt>
                <c:pt idx="67">
                  <c:v>45740</c:v>
                </c:pt>
                <c:pt idx="68">
                  <c:v>45740</c:v>
                </c:pt>
                <c:pt idx="69">
                  <c:v>45740</c:v>
                </c:pt>
                <c:pt idx="70">
                  <c:v>45740</c:v>
                </c:pt>
                <c:pt idx="71">
                  <c:v>45740</c:v>
                </c:pt>
                <c:pt idx="72">
                  <c:v>45740</c:v>
                </c:pt>
                <c:pt idx="73">
                  <c:v>45741</c:v>
                </c:pt>
                <c:pt idx="74">
                  <c:v>45741</c:v>
                </c:pt>
                <c:pt idx="75">
                  <c:v>45741</c:v>
                </c:pt>
                <c:pt idx="76">
                  <c:v>45741</c:v>
                </c:pt>
                <c:pt idx="77">
                  <c:v>45741</c:v>
                </c:pt>
                <c:pt idx="78">
                  <c:v>45741</c:v>
                </c:pt>
                <c:pt idx="79">
                  <c:v>45741</c:v>
                </c:pt>
                <c:pt idx="80">
                  <c:v>45742</c:v>
                </c:pt>
                <c:pt idx="81">
                  <c:v>45742</c:v>
                </c:pt>
                <c:pt idx="82">
                  <c:v>45742</c:v>
                </c:pt>
                <c:pt idx="83">
                  <c:v>45742</c:v>
                </c:pt>
                <c:pt idx="84">
                  <c:v>45742</c:v>
                </c:pt>
                <c:pt idx="85">
                  <c:v>45743</c:v>
                </c:pt>
                <c:pt idx="86">
                  <c:v>45743</c:v>
                </c:pt>
                <c:pt idx="87">
                  <c:v>45743</c:v>
                </c:pt>
                <c:pt idx="88">
                  <c:v>45744</c:v>
                </c:pt>
                <c:pt idx="89">
                  <c:v>45745</c:v>
                </c:pt>
                <c:pt idx="90">
                  <c:v>45747</c:v>
                </c:pt>
                <c:pt idx="91">
                  <c:v>45747</c:v>
                </c:pt>
                <c:pt idx="92">
                  <c:v>45747</c:v>
                </c:pt>
                <c:pt idx="93">
                  <c:v>45747</c:v>
                </c:pt>
                <c:pt idx="94">
                  <c:v>45734</c:v>
                </c:pt>
                <c:pt idx="95">
                  <c:v>45734</c:v>
                </c:pt>
                <c:pt idx="96">
                  <c:v>45723</c:v>
                </c:pt>
                <c:pt idx="97">
                  <c:v>45723</c:v>
                </c:pt>
                <c:pt idx="98">
                  <c:v>45723</c:v>
                </c:pt>
                <c:pt idx="99">
                  <c:v>45718</c:v>
                </c:pt>
                <c:pt idx="100">
                  <c:v>45729</c:v>
                </c:pt>
                <c:pt idx="101">
                  <c:v>45729</c:v>
                </c:pt>
                <c:pt idx="102">
                  <c:v>45729</c:v>
                </c:pt>
                <c:pt idx="103">
                  <c:v>45729</c:v>
                </c:pt>
                <c:pt idx="104">
                  <c:v>45716</c:v>
                </c:pt>
                <c:pt idx="105">
                  <c:v>45722</c:v>
                </c:pt>
                <c:pt idx="106">
                  <c:v>45722</c:v>
                </c:pt>
                <c:pt idx="107">
                  <c:v>45722</c:v>
                </c:pt>
                <c:pt idx="108">
                  <c:v>45722</c:v>
                </c:pt>
                <c:pt idx="109">
                  <c:v>45726</c:v>
                </c:pt>
                <c:pt idx="110">
                  <c:v>45735</c:v>
                </c:pt>
                <c:pt idx="111">
                  <c:v>45736</c:v>
                </c:pt>
                <c:pt idx="112">
                  <c:v>45721</c:v>
                </c:pt>
                <c:pt idx="113">
                  <c:v>45721</c:v>
                </c:pt>
                <c:pt idx="114">
                  <c:v>45721</c:v>
                </c:pt>
                <c:pt idx="115">
                  <c:v>45721</c:v>
                </c:pt>
                <c:pt idx="116">
                  <c:v>45736</c:v>
                </c:pt>
                <c:pt idx="117">
                  <c:v>45735</c:v>
                </c:pt>
                <c:pt idx="118">
                  <c:v>45744</c:v>
                </c:pt>
                <c:pt idx="119">
                  <c:v>45748</c:v>
                </c:pt>
                <c:pt idx="120">
                  <c:v>45748</c:v>
                </c:pt>
                <c:pt idx="121">
                  <c:v>45748</c:v>
                </c:pt>
                <c:pt idx="122">
                  <c:v>45748</c:v>
                </c:pt>
                <c:pt idx="123">
                  <c:v>45748</c:v>
                </c:pt>
                <c:pt idx="124">
                  <c:v>45749</c:v>
                </c:pt>
                <c:pt idx="125">
                  <c:v>45749</c:v>
                </c:pt>
                <c:pt idx="126">
                  <c:v>45749</c:v>
                </c:pt>
                <c:pt idx="127">
                  <c:v>45749</c:v>
                </c:pt>
                <c:pt idx="128">
                  <c:v>45749</c:v>
                </c:pt>
                <c:pt idx="129">
                  <c:v>45749</c:v>
                </c:pt>
                <c:pt idx="130">
                  <c:v>45749</c:v>
                </c:pt>
                <c:pt idx="131">
                  <c:v>45749</c:v>
                </c:pt>
                <c:pt idx="132">
                  <c:v>45749</c:v>
                </c:pt>
                <c:pt idx="133">
                  <c:v>45749</c:v>
                </c:pt>
                <c:pt idx="134">
                  <c:v>45750</c:v>
                </c:pt>
                <c:pt idx="135">
                  <c:v>45750</c:v>
                </c:pt>
                <c:pt idx="136">
                  <c:v>45750</c:v>
                </c:pt>
                <c:pt idx="137">
                  <c:v>45751</c:v>
                </c:pt>
                <c:pt idx="138">
                  <c:v>45751</c:v>
                </c:pt>
                <c:pt idx="139">
                  <c:v>45750</c:v>
                </c:pt>
                <c:pt idx="140">
                  <c:v>45751</c:v>
                </c:pt>
                <c:pt idx="141">
                  <c:v>45751</c:v>
                </c:pt>
                <c:pt idx="142">
                  <c:v>45751</c:v>
                </c:pt>
                <c:pt idx="143">
                  <c:v>45757</c:v>
                </c:pt>
                <c:pt idx="144">
                  <c:v>45751</c:v>
                </c:pt>
                <c:pt idx="145">
                  <c:v>45751</c:v>
                </c:pt>
                <c:pt idx="146">
                  <c:v>45751</c:v>
                </c:pt>
                <c:pt idx="147">
                  <c:v>45751</c:v>
                </c:pt>
                <c:pt idx="148">
                  <c:v>45751</c:v>
                </c:pt>
                <c:pt idx="149">
                  <c:v>45751</c:v>
                </c:pt>
                <c:pt idx="150">
                  <c:v>45752</c:v>
                </c:pt>
                <c:pt idx="151">
                  <c:v>45752</c:v>
                </c:pt>
                <c:pt idx="152">
                  <c:v>45752</c:v>
                </c:pt>
                <c:pt idx="153">
                  <c:v>45752</c:v>
                </c:pt>
                <c:pt idx="154">
                  <c:v>45754</c:v>
                </c:pt>
                <c:pt idx="155">
                  <c:v>45754</c:v>
                </c:pt>
                <c:pt idx="156">
                  <c:v>45754</c:v>
                </c:pt>
                <c:pt idx="157">
                  <c:v>45754</c:v>
                </c:pt>
                <c:pt idx="158">
                  <c:v>45754</c:v>
                </c:pt>
                <c:pt idx="159">
                  <c:v>45754</c:v>
                </c:pt>
                <c:pt idx="160">
                  <c:v>45754</c:v>
                </c:pt>
                <c:pt idx="161">
                  <c:v>45754</c:v>
                </c:pt>
                <c:pt idx="162">
                  <c:v>45754</c:v>
                </c:pt>
                <c:pt idx="163">
                  <c:v>45754</c:v>
                </c:pt>
                <c:pt idx="164">
                  <c:v>45754</c:v>
                </c:pt>
                <c:pt idx="165">
                  <c:v>45754</c:v>
                </c:pt>
                <c:pt idx="166">
                  <c:v>45755</c:v>
                </c:pt>
                <c:pt idx="167">
                  <c:v>45755</c:v>
                </c:pt>
                <c:pt idx="168">
                  <c:v>45755</c:v>
                </c:pt>
                <c:pt idx="169">
                  <c:v>45755</c:v>
                </c:pt>
                <c:pt idx="170">
                  <c:v>45755</c:v>
                </c:pt>
                <c:pt idx="171">
                  <c:v>45755</c:v>
                </c:pt>
                <c:pt idx="172">
                  <c:v>45755</c:v>
                </c:pt>
                <c:pt idx="173">
                  <c:v>45755</c:v>
                </c:pt>
                <c:pt idx="174">
                  <c:v>45756</c:v>
                </c:pt>
                <c:pt idx="175">
                  <c:v>45756</c:v>
                </c:pt>
                <c:pt idx="176">
                  <c:v>45756</c:v>
                </c:pt>
                <c:pt idx="177">
                  <c:v>45757</c:v>
                </c:pt>
                <c:pt idx="178">
                  <c:v>45757</c:v>
                </c:pt>
                <c:pt idx="179">
                  <c:v>45757</c:v>
                </c:pt>
                <c:pt idx="180">
                  <c:v>45758</c:v>
                </c:pt>
                <c:pt idx="181">
                  <c:v>45758</c:v>
                </c:pt>
                <c:pt idx="182">
                  <c:v>45759</c:v>
                </c:pt>
                <c:pt idx="183">
                  <c:v>45759</c:v>
                </c:pt>
                <c:pt idx="184">
                  <c:v>45759</c:v>
                </c:pt>
                <c:pt idx="185">
                  <c:v>45759</c:v>
                </c:pt>
                <c:pt idx="186">
                  <c:v>45761</c:v>
                </c:pt>
                <c:pt idx="187">
                  <c:v>45761</c:v>
                </c:pt>
                <c:pt idx="188">
                  <c:v>45761</c:v>
                </c:pt>
                <c:pt idx="189">
                  <c:v>45759</c:v>
                </c:pt>
                <c:pt idx="190">
                  <c:v>45761</c:v>
                </c:pt>
                <c:pt idx="191">
                  <c:v>45761</c:v>
                </c:pt>
                <c:pt idx="192">
                  <c:v>45761</c:v>
                </c:pt>
                <c:pt idx="193">
                  <c:v>45761</c:v>
                </c:pt>
                <c:pt idx="194">
                  <c:v>45761</c:v>
                </c:pt>
                <c:pt idx="195">
                  <c:v>45761</c:v>
                </c:pt>
                <c:pt idx="196">
                  <c:v>45761</c:v>
                </c:pt>
                <c:pt idx="197">
                  <c:v>45761</c:v>
                </c:pt>
                <c:pt idx="198">
                  <c:v>45761</c:v>
                </c:pt>
                <c:pt idx="199">
                  <c:v>45761</c:v>
                </c:pt>
                <c:pt idx="200">
                  <c:v>45762</c:v>
                </c:pt>
                <c:pt idx="201">
                  <c:v>45762</c:v>
                </c:pt>
                <c:pt idx="202">
                  <c:v>45762</c:v>
                </c:pt>
                <c:pt idx="203">
                  <c:v>45762</c:v>
                </c:pt>
                <c:pt idx="204">
                  <c:v>45762</c:v>
                </c:pt>
                <c:pt idx="205">
                  <c:v>45763</c:v>
                </c:pt>
                <c:pt idx="206">
                  <c:v>45763</c:v>
                </c:pt>
                <c:pt idx="207">
                  <c:v>45763</c:v>
                </c:pt>
                <c:pt idx="208">
                  <c:v>45763</c:v>
                </c:pt>
                <c:pt idx="209">
                  <c:v>45763</c:v>
                </c:pt>
                <c:pt idx="210">
                  <c:v>45763</c:v>
                </c:pt>
                <c:pt idx="211">
                  <c:v>45764</c:v>
                </c:pt>
                <c:pt idx="212">
                  <c:v>45764</c:v>
                </c:pt>
                <c:pt idx="213">
                  <c:v>45764</c:v>
                </c:pt>
                <c:pt idx="214">
                  <c:v>45765</c:v>
                </c:pt>
                <c:pt idx="215">
                  <c:v>45765</c:v>
                </c:pt>
                <c:pt idx="216">
                  <c:v>45765</c:v>
                </c:pt>
                <c:pt idx="217">
                  <c:v>45765</c:v>
                </c:pt>
                <c:pt idx="218">
                  <c:v>45765</c:v>
                </c:pt>
                <c:pt idx="219">
                  <c:v>45768</c:v>
                </c:pt>
                <c:pt idx="220">
                  <c:v>45768</c:v>
                </c:pt>
                <c:pt idx="221">
                  <c:v>45768</c:v>
                </c:pt>
                <c:pt idx="222">
                  <c:v>45768</c:v>
                </c:pt>
                <c:pt idx="223">
                  <c:v>45768</c:v>
                </c:pt>
                <c:pt idx="224">
                  <c:v>45768</c:v>
                </c:pt>
                <c:pt idx="225">
                  <c:v>45768</c:v>
                </c:pt>
                <c:pt idx="226">
                  <c:v>45768</c:v>
                </c:pt>
                <c:pt idx="227">
                  <c:v>45768</c:v>
                </c:pt>
                <c:pt idx="228">
                  <c:v>45768</c:v>
                </c:pt>
                <c:pt idx="229">
                  <c:v>45768</c:v>
                </c:pt>
                <c:pt idx="230">
                  <c:v>45768</c:v>
                </c:pt>
                <c:pt idx="231">
                  <c:v>45769</c:v>
                </c:pt>
                <c:pt idx="232">
                  <c:v>45769</c:v>
                </c:pt>
                <c:pt idx="233">
                  <c:v>45770</c:v>
                </c:pt>
                <c:pt idx="234">
                  <c:v>45770</c:v>
                </c:pt>
                <c:pt idx="235">
                  <c:v>45770</c:v>
                </c:pt>
                <c:pt idx="236">
                  <c:v>45770</c:v>
                </c:pt>
                <c:pt idx="237">
                  <c:v>45770</c:v>
                </c:pt>
                <c:pt idx="238">
                  <c:v>45770</c:v>
                </c:pt>
                <c:pt idx="239">
                  <c:v>45770</c:v>
                </c:pt>
                <c:pt idx="240">
                  <c:v>45771</c:v>
                </c:pt>
                <c:pt idx="241">
                  <c:v>45771</c:v>
                </c:pt>
                <c:pt idx="242">
                  <c:v>45771</c:v>
                </c:pt>
                <c:pt idx="243">
                  <c:v>45771</c:v>
                </c:pt>
                <c:pt idx="244">
                  <c:v>45772</c:v>
                </c:pt>
                <c:pt idx="245">
                  <c:v>45772</c:v>
                </c:pt>
                <c:pt idx="246">
                  <c:v>45772</c:v>
                </c:pt>
                <c:pt idx="247">
                  <c:v>45772</c:v>
                </c:pt>
                <c:pt idx="248">
                  <c:v>45772</c:v>
                </c:pt>
                <c:pt idx="249">
                  <c:v>45772</c:v>
                </c:pt>
                <c:pt idx="250">
                  <c:v>45772</c:v>
                </c:pt>
                <c:pt idx="251">
                  <c:v>45772</c:v>
                </c:pt>
                <c:pt idx="252">
                  <c:v>45772</c:v>
                </c:pt>
                <c:pt idx="253">
                  <c:v>45772</c:v>
                </c:pt>
                <c:pt idx="254">
                  <c:v>45775</c:v>
                </c:pt>
                <c:pt idx="255">
                  <c:v>45773</c:v>
                </c:pt>
                <c:pt idx="256">
                  <c:v>45775</c:v>
                </c:pt>
                <c:pt idx="257">
                  <c:v>45775</c:v>
                </c:pt>
                <c:pt idx="258">
                  <c:v>45775</c:v>
                </c:pt>
                <c:pt idx="259">
                  <c:v>45775</c:v>
                </c:pt>
                <c:pt idx="260">
                  <c:v>45775</c:v>
                </c:pt>
                <c:pt idx="261">
                  <c:v>45775</c:v>
                </c:pt>
                <c:pt idx="262">
                  <c:v>45775</c:v>
                </c:pt>
                <c:pt idx="263">
                  <c:v>45775</c:v>
                </c:pt>
                <c:pt idx="264">
                  <c:v>45776</c:v>
                </c:pt>
                <c:pt idx="265">
                  <c:v>45776</c:v>
                </c:pt>
                <c:pt idx="266">
                  <c:v>45776</c:v>
                </c:pt>
                <c:pt idx="267">
                  <c:v>45776</c:v>
                </c:pt>
                <c:pt idx="268">
                  <c:v>45776</c:v>
                </c:pt>
                <c:pt idx="269">
                  <c:v>45776</c:v>
                </c:pt>
                <c:pt idx="270">
                  <c:v>45776</c:v>
                </c:pt>
                <c:pt idx="271">
                  <c:v>45776</c:v>
                </c:pt>
                <c:pt idx="272">
                  <c:v>45776</c:v>
                </c:pt>
                <c:pt idx="273">
                  <c:v>45776</c:v>
                </c:pt>
                <c:pt idx="274">
                  <c:v>45776</c:v>
                </c:pt>
                <c:pt idx="275">
                  <c:v>45776</c:v>
                </c:pt>
                <c:pt idx="276">
                  <c:v>45776</c:v>
                </c:pt>
                <c:pt idx="277">
                  <c:v>45776</c:v>
                </c:pt>
                <c:pt idx="278">
                  <c:v>45776</c:v>
                </c:pt>
                <c:pt idx="279">
                  <c:v>45776</c:v>
                </c:pt>
                <c:pt idx="280">
                  <c:v>45776</c:v>
                </c:pt>
                <c:pt idx="281">
                  <c:v>45777</c:v>
                </c:pt>
                <c:pt idx="282">
                  <c:v>45777</c:v>
                </c:pt>
                <c:pt idx="283">
                  <c:v>45777</c:v>
                </c:pt>
                <c:pt idx="284">
                  <c:v>45777</c:v>
                </c:pt>
                <c:pt idx="285">
                  <c:v>45777</c:v>
                </c:pt>
                <c:pt idx="286">
                  <c:v>45777</c:v>
                </c:pt>
                <c:pt idx="287">
                  <c:v>45777</c:v>
                </c:pt>
                <c:pt idx="288">
                  <c:v>45777</c:v>
                </c:pt>
                <c:pt idx="289">
                  <c:v>45777</c:v>
                </c:pt>
                <c:pt idx="290">
                  <c:v>45777</c:v>
                </c:pt>
                <c:pt idx="291">
                  <c:v>45747</c:v>
                </c:pt>
                <c:pt idx="292">
                  <c:v>45776</c:v>
                </c:pt>
                <c:pt idx="293">
                  <c:v>45777</c:v>
                </c:pt>
                <c:pt idx="294">
                  <c:v>45777</c:v>
                </c:pt>
                <c:pt idx="295">
                  <c:v>45777</c:v>
                </c:pt>
                <c:pt idx="296">
                  <c:v>45775</c:v>
                </c:pt>
                <c:pt idx="297">
                  <c:v>45777</c:v>
                </c:pt>
                <c:pt idx="298">
                  <c:v>45777</c:v>
                </c:pt>
                <c:pt idx="299">
                  <c:v>45778</c:v>
                </c:pt>
                <c:pt idx="300">
                  <c:v>45772</c:v>
                </c:pt>
                <c:pt idx="301">
                  <c:v>45778</c:v>
                </c:pt>
                <c:pt idx="302">
                  <c:v>45778</c:v>
                </c:pt>
                <c:pt idx="303">
                  <c:v>45777</c:v>
                </c:pt>
                <c:pt idx="304">
                  <c:v>45778</c:v>
                </c:pt>
                <c:pt idx="305">
                  <c:v>45778</c:v>
                </c:pt>
                <c:pt idx="306">
                  <c:v>45778</c:v>
                </c:pt>
                <c:pt idx="307">
                  <c:v>45778</c:v>
                </c:pt>
                <c:pt idx="308">
                  <c:v>45779</c:v>
                </c:pt>
                <c:pt idx="309">
                  <c:v>45779</c:v>
                </c:pt>
                <c:pt idx="310">
                  <c:v>45777</c:v>
                </c:pt>
                <c:pt idx="311">
                  <c:v>45779</c:v>
                </c:pt>
                <c:pt idx="312">
                  <c:v>45779</c:v>
                </c:pt>
                <c:pt idx="313">
                  <c:v>45779</c:v>
                </c:pt>
                <c:pt idx="314">
                  <c:v>45779</c:v>
                </c:pt>
                <c:pt idx="315">
                  <c:v>45780</c:v>
                </c:pt>
                <c:pt idx="316">
                  <c:v>45780</c:v>
                </c:pt>
                <c:pt idx="317">
                  <c:v>45780</c:v>
                </c:pt>
                <c:pt idx="318">
                  <c:v>45782</c:v>
                </c:pt>
                <c:pt idx="319">
                  <c:v>45782</c:v>
                </c:pt>
                <c:pt idx="320">
                  <c:v>45783</c:v>
                </c:pt>
                <c:pt idx="321">
                  <c:v>45783</c:v>
                </c:pt>
                <c:pt idx="322">
                  <c:v>45783</c:v>
                </c:pt>
                <c:pt idx="323">
                  <c:v>45783</c:v>
                </c:pt>
                <c:pt idx="324">
                  <c:v>45784</c:v>
                </c:pt>
                <c:pt idx="325">
                  <c:v>45784</c:v>
                </c:pt>
                <c:pt idx="326">
                  <c:v>45784</c:v>
                </c:pt>
                <c:pt idx="327">
                  <c:v>45784</c:v>
                </c:pt>
                <c:pt idx="328">
                  <c:v>45784</c:v>
                </c:pt>
                <c:pt idx="329">
                  <c:v>45784</c:v>
                </c:pt>
                <c:pt idx="330">
                  <c:v>45784</c:v>
                </c:pt>
                <c:pt idx="331">
                  <c:v>45784</c:v>
                </c:pt>
                <c:pt idx="332">
                  <c:v>45784</c:v>
                </c:pt>
                <c:pt idx="333">
                  <c:v>45784</c:v>
                </c:pt>
                <c:pt idx="334">
                  <c:v>45784</c:v>
                </c:pt>
                <c:pt idx="335">
                  <c:v>45784</c:v>
                </c:pt>
                <c:pt idx="336">
                  <c:v>45784</c:v>
                </c:pt>
                <c:pt idx="337">
                  <c:v>45784</c:v>
                </c:pt>
                <c:pt idx="338">
                  <c:v>45784</c:v>
                </c:pt>
                <c:pt idx="339">
                  <c:v>45784</c:v>
                </c:pt>
                <c:pt idx="340">
                  <c:v>45784</c:v>
                </c:pt>
                <c:pt idx="341">
                  <c:v>45785</c:v>
                </c:pt>
                <c:pt idx="342">
                  <c:v>45785</c:v>
                </c:pt>
                <c:pt idx="343">
                  <c:v>45785</c:v>
                </c:pt>
                <c:pt idx="344">
                  <c:v>45786</c:v>
                </c:pt>
                <c:pt idx="345">
                  <c:v>45786</c:v>
                </c:pt>
                <c:pt idx="346">
                  <c:v>45786</c:v>
                </c:pt>
                <c:pt idx="347">
                  <c:v>45777</c:v>
                </c:pt>
                <c:pt idx="348">
                  <c:v>45786</c:v>
                </c:pt>
                <c:pt idx="349">
                  <c:v>45786</c:v>
                </c:pt>
                <c:pt idx="350">
                  <c:v>45786</c:v>
                </c:pt>
                <c:pt idx="351">
                  <c:v>45786</c:v>
                </c:pt>
                <c:pt idx="352">
                  <c:v>45786</c:v>
                </c:pt>
                <c:pt idx="353">
                  <c:v>45787</c:v>
                </c:pt>
                <c:pt idx="354">
                  <c:v>45787</c:v>
                </c:pt>
                <c:pt idx="355">
                  <c:v>45787</c:v>
                </c:pt>
                <c:pt idx="356">
                  <c:v>45787</c:v>
                </c:pt>
                <c:pt idx="357">
                  <c:v>45789</c:v>
                </c:pt>
                <c:pt idx="358">
                  <c:v>45789</c:v>
                </c:pt>
                <c:pt idx="359">
                  <c:v>45789</c:v>
                </c:pt>
                <c:pt idx="360">
                  <c:v>45789</c:v>
                </c:pt>
                <c:pt idx="361">
                  <c:v>45789</c:v>
                </c:pt>
                <c:pt idx="362">
                  <c:v>45789</c:v>
                </c:pt>
                <c:pt idx="363">
                  <c:v>45789</c:v>
                </c:pt>
                <c:pt idx="364">
                  <c:v>45789</c:v>
                </c:pt>
                <c:pt idx="365">
                  <c:v>45789</c:v>
                </c:pt>
                <c:pt idx="366">
                  <c:v>45789</c:v>
                </c:pt>
                <c:pt idx="367">
                  <c:v>45790</c:v>
                </c:pt>
                <c:pt idx="368">
                  <c:v>45790</c:v>
                </c:pt>
                <c:pt idx="369">
                  <c:v>45790</c:v>
                </c:pt>
                <c:pt idx="370">
                  <c:v>45790</c:v>
                </c:pt>
                <c:pt idx="371">
                  <c:v>45790</c:v>
                </c:pt>
                <c:pt idx="372">
                  <c:v>45790</c:v>
                </c:pt>
                <c:pt idx="373">
                  <c:v>45790</c:v>
                </c:pt>
                <c:pt idx="374">
                  <c:v>45790</c:v>
                </c:pt>
                <c:pt idx="375">
                  <c:v>45790</c:v>
                </c:pt>
                <c:pt idx="376">
                  <c:v>45790</c:v>
                </c:pt>
                <c:pt idx="377">
                  <c:v>45790</c:v>
                </c:pt>
                <c:pt idx="378">
                  <c:v>45790</c:v>
                </c:pt>
                <c:pt idx="379">
                  <c:v>45790</c:v>
                </c:pt>
                <c:pt idx="380">
                  <c:v>45790</c:v>
                </c:pt>
                <c:pt idx="381">
                  <c:v>45790</c:v>
                </c:pt>
                <c:pt idx="382">
                  <c:v>45790</c:v>
                </c:pt>
                <c:pt idx="383">
                  <c:v>45791</c:v>
                </c:pt>
                <c:pt idx="384">
                  <c:v>45791</c:v>
                </c:pt>
                <c:pt idx="385">
                  <c:v>45791</c:v>
                </c:pt>
                <c:pt idx="386">
                  <c:v>45791</c:v>
                </c:pt>
                <c:pt idx="387">
                  <c:v>45791</c:v>
                </c:pt>
                <c:pt idx="388">
                  <c:v>45791</c:v>
                </c:pt>
                <c:pt idx="389">
                  <c:v>45791</c:v>
                </c:pt>
                <c:pt idx="390">
                  <c:v>45791</c:v>
                </c:pt>
                <c:pt idx="391">
                  <c:v>45791</c:v>
                </c:pt>
                <c:pt idx="392">
                  <c:v>45792</c:v>
                </c:pt>
                <c:pt idx="393">
                  <c:v>45792</c:v>
                </c:pt>
                <c:pt idx="394">
                  <c:v>45792</c:v>
                </c:pt>
                <c:pt idx="395">
                  <c:v>45792</c:v>
                </c:pt>
                <c:pt idx="396">
                  <c:v>45792</c:v>
                </c:pt>
                <c:pt idx="397">
                  <c:v>45792</c:v>
                </c:pt>
                <c:pt idx="398">
                  <c:v>45792</c:v>
                </c:pt>
                <c:pt idx="399">
                  <c:v>45792</c:v>
                </c:pt>
                <c:pt idx="400">
                  <c:v>45792</c:v>
                </c:pt>
                <c:pt idx="401">
                  <c:v>45792</c:v>
                </c:pt>
                <c:pt idx="402">
                  <c:v>45792</c:v>
                </c:pt>
                <c:pt idx="403">
                  <c:v>45792</c:v>
                </c:pt>
                <c:pt idx="404">
                  <c:v>45793</c:v>
                </c:pt>
                <c:pt idx="405">
                  <c:v>45793</c:v>
                </c:pt>
                <c:pt idx="406">
                  <c:v>45793</c:v>
                </c:pt>
                <c:pt idx="407">
                  <c:v>45793</c:v>
                </c:pt>
                <c:pt idx="408">
                  <c:v>45793</c:v>
                </c:pt>
                <c:pt idx="409">
                  <c:v>45793</c:v>
                </c:pt>
                <c:pt idx="410">
                  <c:v>45793</c:v>
                </c:pt>
                <c:pt idx="411">
                  <c:v>45793</c:v>
                </c:pt>
                <c:pt idx="412">
                  <c:v>45794</c:v>
                </c:pt>
                <c:pt idx="413">
                  <c:v>45794</c:v>
                </c:pt>
                <c:pt idx="414">
                  <c:v>45794</c:v>
                </c:pt>
                <c:pt idx="415">
                  <c:v>45794</c:v>
                </c:pt>
                <c:pt idx="416">
                  <c:v>45794</c:v>
                </c:pt>
                <c:pt idx="417">
                  <c:v>45794</c:v>
                </c:pt>
                <c:pt idx="418">
                  <c:v>45794</c:v>
                </c:pt>
                <c:pt idx="419">
                  <c:v>45796</c:v>
                </c:pt>
                <c:pt idx="420">
                  <c:v>45796</c:v>
                </c:pt>
                <c:pt idx="421">
                  <c:v>45796</c:v>
                </c:pt>
                <c:pt idx="422">
                  <c:v>45796</c:v>
                </c:pt>
                <c:pt idx="423">
                  <c:v>45796</c:v>
                </c:pt>
                <c:pt idx="424">
                  <c:v>45796</c:v>
                </c:pt>
                <c:pt idx="425">
                  <c:v>45796</c:v>
                </c:pt>
                <c:pt idx="426">
                  <c:v>45796</c:v>
                </c:pt>
                <c:pt idx="427">
                  <c:v>45796</c:v>
                </c:pt>
                <c:pt idx="428">
                  <c:v>45796</c:v>
                </c:pt>
                <c:pt idx="429">
                  <c:v>45796</c:v>
                </c:pt>
                <c:pt idx="430">
                  <c:v>45797</c:v>
                </c:pt>
                <c:pt idx="431">
                  <c:v>45797</c:v>
                </c:pt>
                <c:pt idx="432">
                  <c:v>45797</c:v>
                </c:pt>
                <c:pt idx="433">
                  <c:v>45798</c:v>
                </c:pt>
                <c:pt idx="434">
                  <c:v>45798</c:v>
                </c:pt>
                <c:pt idx="435">
                  <c:v>45798</c:v>
                </c:pt>
                <c:pt idx="436">
                  <c:v>45798</c:v>
                </c:pt>
                <c:pt idx="437">
                  <c:v>45798</c:v>
                </c:pt>
                <c:pt idx="438">
                  <c:v>45798</c:v>
                </c:pt>
                <c:pt idx="439">
                  <c:v>45798</c:v>
                </c:pt>
                <c:pt idx="440">
                  <c:v>45798</c:v>
                </c:pt>
                <c:pt idx="441">
                  <c:v>45798</c:v>
                </c:pt>
                <c:pt idx="442">
                  <c:v>45798</c:v>
                </c:pt>
                <c:pt idx="443">
                  <c:v>45798</c:v>
                </c:pt>
                <c:pt idx="444">
                  <c:v>45798</c:v>
                </c:pt>
                <c:pt idx="445">
                  <c:v>45798</c:v>
                </c:pt>
                <c:pt idx="446">
                  <c:v>45798</c:v>
                </c:pt>
                <c:pt idx="447">
                  <c:v>45798</c:v>
                </c:pt>
                <c:pt idx="448">
                  <c:v>45798</c:v>
                </c:pt>
                <c:pt idx="449">
                  <c:v>45799</c:v>
                </c:pt>
                <c:pt idx="450">
                  <c:v>45799</c:v>
                </c:pt>
                <c:pt idx="451">
                  <c:v>45799</c:v>
                </c:pt>
                <c:pt idx="452">
                  <c:v>45799</c:v>
                </c:pt>
                <c:pt idx="453">
                  <c:v>45799</c:v>
                </c:pt>
                <c:pt idx="454">
                  <c:v>45799</c:v>
                </c:pt>
                <c:pt idx="455">
                  <c:v>45800</c:v>
                </c:pt>
                <c:pt idx="456">
                  <c:v>45800</c:v>
                </c:pt>
                <c:pt idx="457">
                  <c:v>45800</c:v>
                </c:pt>
                <c:pt idx="458">
                  <c:v>45800</c:v>
                </c:pt>
                <c:pt idx="459">
                  <c:v>45801</c:v>
                </c:pt>
                <c:pt idx="460">
                  <c:v>45801</c:v>
                </c:pt>
                <c:pt idx="461">
                  <c:v>45801</c:v>
                </c:pt>
                <c:pt idx="462">
                  <c:v>45801</c:v>
                </c:pt>
                <c:pt idx="463">
                  <c:v>45801</c:v>
                </c:pt>
                <c:pt idx="464">
                  <c:v>45801</c:v>
                </c:pt>
                <c:pt idx="465">
                  <c:v>45801</c:v>
                </c:pt>
                <c:pt idx="466">
                  <c:v>45803</c:v>
                </c:pt>
                <c:pt idx="467">
                  <c:v>45803</c:v>
                </c:pt>
                <c:pt idx="468">
                  <c:v>45803</c:v>
                </c:pt>
                <c:pt idx="469">
                  <c:v>45803</c:v>
                </c:pt>
                <c:pt idx="470">
                  <c:v>45803</c:v>
                </c:pt>
                <c:pt idx="471">
                  <c:v>45803</c:v>
                </c:pt>
                <c:pt idx="472">
                  <c:v>45803</c:v>
                </c:pt>
                <c:pt idx="473">
                  <c:v>45803</c:v>
                </c:pt>
                <c:pt idx="474">
                  <c:v>45803</c:v>
                </c:pt>
                <c:pt idx="475">
                  <c:v>45803</c:v>
                </c:pt>
                <c:pt idx="476">
                  <c:v>45803</c:v>
                </c:pt>
                <c:pt idx="477">
                  <c:v>45803</c:v>
                </c:pt>
                <c:pt idx="478">
                  <c:v>45803</c:v>
                </c:pt>
                <c:pt idx="479">
                  <c:v>45803</c:v>
                </c:pt>
                <c:pt idx="480">
                  <c:v>45803</c:v>
                </c:pt>
                <c:pt idx="481">
                  <c:v>45804</c:v>
                </c:pt>
                <c:pt idx="482">
                  <c:v>45803</c:v>
                </c:pt>
                <c:pt idx="483">
                  <c:v>45804</c:v>
                </c:pt>
                <c:pt idx="484">
                  <c:v>45804</c:v>
                </c:pt>
                <c:pt idx="485">
                  <c:v>45804</c:v>
                </c:pt>
                <c:pt idx="486">
                  <c:v>45796</c:v>
                </c:pt>
                <c:pt idx="487">
                  <c:v>45804</c:v>
                </c:pt>
                <c:pt idx="488">
                  <c:v>45804</c:v>
                </c:pt>
                <c:pt idx="489">
                  <c:v>45804</c:v>
                </c:pt>
                <c:pt idx="490">
                  <c:v>45804</c:v>
                </c:pt>
                <c:pt idx="491">
                  <c:v>45804</c:v>
                </c:pt>
                <c:pt idx="492">
                  <c:v>45804</c:v>
                </c:pt>
                <c:pt idx="493">
                  <c:v>45804</c:v>
                </c:pt>
                <c:pt idx="494">
                  <c:v>45805</c:v>
                </c:pt>
                <c:pt idx="495">
                  <c:v>45805</c:v>
                </c:pt>
                <c:pt idx="496">
                  <c:v>45805</c:v>
                </c:pt>
                <c:pt idx="497">
                  <c:v>45805</c:v>
                </c:pt>
                <c:pt idx="498">
                  <c:v>45805</c:v>
                </c:pt>
                <c:pt idx="499">
                  <c:v>45805</c:v>
                </c:pt>
                <c:pt idx="500">
                  <c:v>45805</c:v>
                </c:pt>
                <c:pt idx="501">
                  <c:v>45805</c:v>
                </c:pt>
                <c:pt idx="502">
                  <c:v>45805</c:v>
                </c:pt>
                <c:pt idx="503">
                  <c:v>45805</c:v>
                </c:pt>
                <c:pt idx="504">
                  <c:v>45805</c:v>
                </c:pt>
                <c:pt idx="505">
                  <c:v>45805</c:v>
                </c:pt>
                <c:pt idx="506">
                  <c:v>45800</c:v>
                </c:pt>
                <c:pt idx="507">
                  <c:v>45800</c:v>
                </c:pt>
                <c:pt idx="508">
                  <c:v>45800</c:v>
                </c:pt>
                <c:pt idx="509">
                  <c:v>45806</c:v>
                </c:pt>
                <c:pt idx="510">
                  <c:v>45806</c:v>
                </c:pt>
                <c:pt idx="511">
                  <c:v>45807</c:v>
                </c:pt>
                <c:pt idx="512">
                  <c:v>45807</c:v>
                </c:pt>
                <c:pt idx="513">
                  <c:v>45807</c:v>
                </c:pt>
                <c:pt idx="514">
                  <c:v>45807</c:v>
                </c:pt>
                <c:pt idx="515">
                  <c:v>45807</c:v>
                </c:pt>
                <c:pt idx="516">
                  <c:v>45807</c:v>
                </c:pt>
                <c:pt idx="517">
                  <c:v>45807</c:v>
                </c:pt>
                <c:pt idx="518">
                  <c:v>45808</c:v>
                </c:pt>
                <c:pt idx="519">
                  <c:v>45808</c:v>
                </c:pt>
                <c:pt idx="520">
                  <c:v>45808</c:v>
                </c:pt>
                <c:pt idx="521">
                  <c:v>45808</c:v>
                </c:pt>
                <c:pt idx="522">
                  <c:v>45808</c:v>
                </c:pt>
                <c:pt idx="523">
                  <c:v>45808</c:v>
                </c:pt>
                <c:pt idx="524">
                  <c:v>45808</c:v>
                </c:pt>
                <c:pt idx="525">
                  <c:v>45808</c:v>
                </c:pt>
                <c:pt idx="526">
                  <c:v>45808</c:v>
                </c:pt>
                <c:pt idx="527">
                  <c:v>45808</c:v>
                </c:pt>
                <c:pt idx="528">
                  <c:v>45809</c:v>
                </c:pt>
                <c:pt idx="529">
                  <c:v>45810</c:v>
                </c:pt>
                <c:pt idx="530">
                  <c:v>45810</c:v>
                </c:pt>
                <c:pt idx="531">
                  <c:v>45810</c:v>
                </c:pt>
                <c:pt idx="532">
                  <c:v>45810</c:v>
                </c:pt>
                <c:pt idx="533">
                  <c:v>45810</c:v>
                </c:pt>
                <c:pt idx="534">
                  <c:v>45810</c:v>
                </c:pt>
                <c:pt idx="535">
                  <c:v>45810</c:v>
                </c:pt>
                <c:pt idx="536">
                  <c:v>45810</c:v>
                </c:pt>
                <c:pt idx="537">
                  <c:v>45810</c:v>
                </c:pt>
                <c:pt idx="538">
                  <c:v>45810</c:v>
                </c:pt>
                <c:pt idx="539">
                  <c:v>45810</c:v>
                </c:pt>
                <c:pt idx="540">
                  <c:v>45810</c:v>
                </c:pt>
                <c:pt idx="541">
                  <c:v>45811</c:v>
                </c:pt>
                <c:pt idx="542">
                  <c:v>45811</c:v>
                </c:pt>
                <c:pt idx="543">
                  <c:v>45811</c:v>
                </c:pt>
                <c:pt idx="544">
                  <c:v>45811</c:v>
                </c:pt>
                <c:pt idx="545">
                  <c:v>45812</c:v>
                </c:pt>
                <c:pt idx="546">
                  <c:v>45812</c:v>
                </c:pt>
                <c:pt idx="547">
                  <c:v>45812</c:v>
                </c:pt>
                <c:pt idx="548">
                  <c:v>45812</c:v>
                </c:pt>
                <c:pt idx="549">
                  <c:v>45812</c:v>
                </c:pt>
                <c:pt idx="550">
                  <c:v>45812</c:v>
                </c:pt>
                <c:pt idx="551">
                  <c:v>45812</c:v>
                </c:pt>
                <c:pt idx="552">
                  <c:v>45812</c:v>
                </c:pt>
                <c:pt idx="553">
                  <c:v>45812</c:v>
                </c:pt>
                <c:pt idx="554">
                  <c:v>45812</c:v>
                </c:pt>
                <c:pt idx="555">
                  <c:v>45812</c:v>
                </c:pt>
                <c:pt idx="556">
                  <c:v>45813</c:v>
                </c:pt>
                <c:pt idx="557">
                  <c:v>45813</c:v>
                </c:pt>
                <c:pt idx="558">
                  <c:v>45813</c:v>
                </c:pt>
                <c:pt idx="559">
                  <c:v>45813</c:v>
                </c:pt>
                <c:pt idx="560">
                  <c:v>45813</c:v>
                </c:pt>
                <c:pt idx="561">
                  <c:v>45813</c:v>
                </c:pt>
                <c:pt idx="562">
                  <c:v>45813</c:v>
                </c:pt>
                <c:pt idx="563">
                  <c:v>45813</c:v>
                </c:pt>
                <c:pt idx="564">
                  <c:v>45813</c:v>
                </c:pt>
                <c:pt idx="565">
                  <c:v>45813</c:v>
                </c:pt>
                <c:pt idx="566">
                  <c:v>45813</c:v>
                </c:pt>
                <c:pt idx="567">
                  <c:v>45813</c:v>
                </c:pt>
                <c:pt idx="568">
                  <c:v>45813</c:v>
                </c:pt>
                <c:pt idx="569">
                  <c:v>45814</c:v>
                </c:pt>
                <c:pt idx="570">
                  <c:v>45817</c:v>
                </c:pt>
                <c:pt idx="571">
                  <c:v>45817</c:v>
                </c:pt>
                <c:pt idx="572">
                  <c:v>45817</c:v>
                </c:pt>
                <c:pt idx="573">
                  <c:v>45817</c:v>
                </c:pt>
                <c:pt idx="574">
                  <c:v>45817</c:v>
                </c:pt>
                <c:pt idx="575">
                  <c:v>45817</c:v>
                </c:pt>
                <c:pt idx="576">
                  <c:v>45817</c:v>
                </c:pt>
                <c:pt idx="577">
                  <c:v>45817</c:v>
                </c:pt>
                <c:pt idx="578">
                  <c:v>45817</c:v>
                </c:pt>
                <c:pt idx="579">
                  <c:v>45817</c:v>
                </c:pt>
                <c:pt idx="580">
                  <c:v>45817</c:v>
                </c:pt>
                <c:pt idx="581">
                  <c:v>45817</c:v>
                </c:pt>
                <c:pt idx="582">
                  <c:v>45817</c:v>
                </c:pt>
                <c:pt idx="583">
                  <c:v>45817</c:v>
                </c:pt>
                <c:pt idx="584">
                  <c:v>45817</c:v>
                </c:pt>
                <c:pt idx="585">
                  <c:v>45817</c:v>
                </c:pt>
                <c:pt idx="586">
                  <c:v>45817</c:v>
                </c:pt>
                <c:pt idx="587">
                  <c:v>45817</c:v>
                </c:pt>
                <c:pt idx="588">
                  <c:v>45817</c:v>
                </c:pt>
                <c:pt idx="589">
                  <c:v>45817</c:v>
                </c:pt>
                <c:pt idx="590">
                  <c:v>45817</c:v>
                </c:pt>
                <c:pt idx="591">
                  <c:v>45817</c:v>
                </c:pt>
                <c:pt idx="592">
                  <c:v>45817</c:v>
                </c:pt>
                <c:pt idx="593">
                  <c:v>45807</c:v>
                </c:pt>
                <c:pt idx="594">
                  <c:v>45817</c:v>
                </c:pt>
                <c:pt idx="595">
                  <c:v>45818</c:v>
                </c:pt>
                <c:pt idx="596">
                  <c:v>45818</c:v>
                </c:pt>
                <c:pt idx="597">
                  <c:v>45818</c:v>
                </c:pt>
                <c:pt idx="598">
                  <c:v>45818</c:v>
                </c:pt>
                <c:pt idx="599">
                  <c:v>45818</c:v>
                </c:pt>
                <c:pt idx="600">
                  <c:v>45818</c:v>
                </c:pt>
                <c:pt idx="601">
                  <c:v>45818</c:v>
                </c:pt>
                <c:pt idx="602">
                  <c:v>45818</c:v>
                </c:pt>
                <c:pt idx="603">
                  <c:v>45818</c:v>
                </c:pt>
                <c:pt idx="604">
                  <c:v>45818</c:v>
                </c:pt>
                <c:pt idx="605">
                  <c:v>45818</c:v>
                </c:pt>
                <c:pt idx="606">
                  <c:v>45818</c:v>
                </c:pt>
                <c:pt idx="607">
                  <c:v>45818</c:v>
                </c:pt>
                <c:pt idx="608">
                  <c:v>45818</c:v>
                </c:pt>
                <c:pt idx="609">
                  <c:v>45813</c:v>
                </c:pt>
                <c:pt idx="610">
                  <c:v>45818</c:v>
                </c:pt>
                <c:pt idx="611">
                  <c:v>45819</c:v>
                </c:pt>
                <c:pt idx="612">
                  <c:v>45819</c:v>
                </c:pt>
                <c:pt idx="613">
                  <c:v>45819</c:v>
                </c:pt>
                <c:pt idx="614">
                  <c:v>45819</c:v>
                </c:pt>
                <c:pt idx="615">
                  <c:v>45819</c:v>
                </c:pt>
                <c:pt idx="616">
                  <c:v>45819</c:v>
                </c:pt>
                <c:pt idx="617">
                  <c:v>45819</c:v>
                </c:pt>
                <c:pt idx="618">
                  <c:v>45818</c:v>
                </c:pt>
                <c:pt idx="619">
                  <c:v>45819</c:v>
                </c:pt>
                <c:pt idx="620">
                  <c:v>45818</c:v>
                </c:pt>
                <c:pt idx="621">
                  <c:v>45820</c:v>
                </c:pt>
                <c:pt idx="622">
                  <c:v>45820</c:v>
                </c:pt>
                <c:pt idx="623">
                  <c:v>45820</c:v>
                </c:pt>
                <c:pt idx="624">
                  <c:v>45820</c:v>
                </c:pt>
                <c:pt idx="625">
                  <c:v>45820</c:v>
                </c:pt>
                <c:pt idx="626">
                  <c:v>45820</c:v>
                </c:pt>
                <c:pt idx="627">
                  <c:v>45821</c:v>
                </c:pt>
                <c:pt idx="628">
                  <c:v>45821</c:v>
                </c:pt>
                <c:pt idx="629">
                  <c:v>45821</c:v>
                </c:pt>
                <c:pt idx="630">
                  <c:v>45728</c:v>
                </c:pt>
                <c:pt idx="631">
                  <c:v>45821</c:v>
                </c:pt>
                <c:pt idx="632">
                  <c:v>45821</c:v>
                </c:pt>
                <c:pt idx="633">
                  <c:v>45821</c:v>
                </c:pt>
                <c:pt idx="634">
                  <c:v>45821</c:v>
                </c:pt>
                <c:pt idx="635">
                  <c:v>45821</c:v>
                </c:pt>
                <c:pt idx="636">
                  <c:v>45821</c:v>
                </c:pt>
                <c:pt idx="637">
                  <c:v>45821</c:v>
                </c:pt>
                <c:pt idx="638">
                  <c:v>45821</c:v>
                </c:pt>
                <c:pt idx="639">
                  <c:v>45821</c:v>
                </c:pt>
                <c:pt idx="640">
                  <c:v>45821</c:v>
                </c:pt>
                <c:pt idx="641">
                  <c:v>45821</c:v>
                </c:pt>
                <c:pt idx="642">
                  <c:v>45821</c:v>
                </c:pt>
                <c:pt idx="643">
                  <c:v>45822</c:v>
                </c:pt>
                <c:pt idx="644">
                  <c:v>45822</c:v>
                </c:pt>
                <c:pt idx="645">
                  <c:v>45822</c:v>
                </c:pt>
                <c:pt idx="646">
                  <c:v>45824</c:v>
                </c:pt>
                <c:pt idx="647">
                  <c:v>45824</c:v>
                </c:pt>
                <c:pt idx="648">
                  <c:v>45824</c:v>
                </c:pt>
                <c:pt idx="649">
                  <c:v>45824</c:v>
                </c:pt>
                <c:pt idx="650">
                  <c:v>45824</c:v>
                </c:pt>
                <c:pt idx="651">
                  <c:v>45824</c:v>
                </c:pt>
                <c:pt idx="652">
                  <c:v>45824</c:v>
                </c:pt>
                <c:pt idx="653">
                  <c:v>45824</c:v>
                </c:pt>
                <c:pt idx="654">
                  <c:v>45824</c:v>
                </c:pt>
                <c:pt idx="655">
                  <c:v>45824</c:v>
                </c:pt>
                <c:pt idx="656">
                  <c:v>45825</c:v>
                </c:pt>
                <c:pt idx="657">
                  <c:v>45825</c:v>
                </c:pt>
                <c:pt idx="658">
                  <c:v>45825</c:v>
                </c:pt>
                <c:pt idx="659">
                  <c:v>45825</c:v>
                </c:pt>
                <c:pt idx="660">
                  <c:v>45825</c:v>
                </c:pt>
                <c:pt idx="661">
                  <c:v>45825</c:v>
                </c:pt>
                <c:pt idx="662">
                  <c:v>45825</c:v>
                </c:pt>
                <c:pt idx="663">
                  <c:v>45825</c:v>
                </c:pt>
                <c:pt idx="664">
                  <c:v>45825</c:v>
                </c:pt>
                <c:pt idx="665">
                  <c:v>45826</c:v>
                </c:pt>
                <c:pt idx="666">
                  <c:v>45826</c:v>
                </c:pt>
                <c:pt idx="667">
                  <c:v>45826</c:v>
                </c:pt>
                <c:pt idx="668">
                  <c:v>45826</c:v>
                </c:pt>
                <c:pt idx="669">
                  <c:v>45826</c:v>
                </c:pt>
                <c:pt idx="670">
                  <c:v>45826</c:v>
                </c:pt>
                <c:pt idx="671">
                  <c:v>45826</c:v>
                </c:pt>
                <c:pt idx="672">
                  <c:v>45826</c:v>
                </c:pt>
                <c:pt idx="673">
                  <c:v>45826</c:v>
                </c:pt>
                <c:pt idx="674">
                  <c:v>45826</c:v>
                </c:pt>
                <c:pt idx="675">
                  <c:v>45826</c:v>
                </c:pt>
                <c:pt idx="676">
                  <c:v>45826</c:v>
                </c:pt>
                <c:pt idx="677">
                  <c:v>45826</c:v>
                </c:pt>
                <c:pt idx="678">
                  <c:v>45826</c:v>
                </c:pt>
                <c:pt idx="679">
                  <c:v>45827</c:v>
                </c:pt>
                <c:pt idx="680">
                  <c:v>45827</c:v>
                </c:pt>
                <c:pt idx="681">
                  <c:v>45827</c:v>
                </c:pt>
                <c:pt idx="682">
                  <c:v>45827</c:v>
                </c:pt>
                <c:pt idx="683">
                  <c:v>45827</c:v>
                </c:pt>
                <c:pt idx="684">
                  <c:v>45827</c:v>
                </c:pt>
                <c:pt idx="685">
                  <c:v>45827</c:v>
                </c:pt>
                <c:pt idx="686">
                  <c:v>45827</c:v>
                </c:pt>
                <c:pt idx="687">
                  <c:v>45827</c:v>
                </c:pt>
                <c:pt idx="688">
                  <c:v>45827</c:v>
                </c:pt>
                <c:pt idx="689">
                  <c:v>45827</c:v>
                </c:pt>
                <c:pt idx="690">
                  <c:v>45827</c:v>
                </c:pt>
                <c:pt idx="691">
                  <c:v>45827</c:v>
                </c:pt>
                <c:pt idx="692">
                  <c:v>45827</c:v>
                </c:pt>
                <c:pt idx="693">
                  <c:v>45827</c:v>
                </c:pt>
                <c:pt idx="694">
                  <c:v>45828</c:v>
                </c:pt>
                <c:pt idx="695">
                  <c:v>45828</c:v>
                </c:pt>
                <c:pt idx="696">
                  <c:v>45828</c:v>
                </c:pt>
                <c:pt idx="697">
                  <c:v>45828</c:v>
                </c:pt>
                <c:pt idx="698">
                  <c:v>45828</c:v>
                </c:pt>
                <c:pt idx="699">
                  <c:v>45828</c:v>
                </c:pt>
                <c:pt idx="700">
                  <c:v>45828</c:v>
                </c:pt>
                <c:pt idx="701">
                  <c:v>45828</c:v>
                </c:pt>
                <c:pt idx="702">
                  <c:v>45828</c:v>
                </c:pt>
                <c:pt idx="703">
                  <c:v>45828</c:v>
                </c:pt>
                <c:pt idx="704">
                  <c:v>45828</c:v>
                </c:pt>
                <c:pt idx="705">
                  <c:v>45828</c:v>
                </c:pt>
                <c:pt idx="706">
                  <c:v>45828</c:v>
                </c:pt>
                <c:pt idx="707">
                  <c:v>45828</c:v>
                </c:pt>
                <c:pt idx="708">
                  <c:v>45828</c:v>
                </c:pt>
                <c:pt idx="709">
                  <c:v>45828</c:v>
                </c:pt>
                <c:pt idx="710">
                  <c:v>45828</c:v>
                </c:pt>
                <c:pt idx="711">
                  <c:v>45828</c:v>
                </c:pt>
                <c:pt idx="712">
                  <c:v>45829</c:v>
                </c:pt>
                <c:pt idx="713">
                  <c:v>45829</c:v>
                </c:pt>
                <c:pt idx="714">
                  <c:v>45829</c:v>
                </c:pt>
                <c:pt idx="715">
                  <c:v>45829</c:v>
                </c:pt>
                <c:pt idx="716">
                  <c:v>45831</c:v>
                </c:pt>
                <c:pt idx="717">
                  <c:v>45831</c:v>
                </c:pt>
                <c:pt idx="718">
                  <c:v>45831</c:v>
                </c:pt>
                <c:pt idx="719">
                  <c:v>45831</c:v>
                </c:pt>
                <c:pt idx="720">
                  <c:v>45831</c:v>
                </c:pt>
                <c:pt idx="721">
                  <c:v>45831</c:v>
                </c:pt>
                <c:pt idx="722">
                  <c:v>45831</c:v>
                </c:pt>
                <c:pt idx="723">
                  <c:v>45832</c:v>
                </c:pt>
                <c:pt idx="724">
                  <c:v>45832</c:v>
                </c:pt>
                <c:pt idx="725">
                  <c:v>45832</c:v>
                </c:pt>
                <c:pt idx="726">
                  <c:v>45832</c:v>
                </c:pt>
                <c:pt idx="727">
                  <c:v>45832</c:v>
                </c:pt>
                <c:pt idx="728">
                  <c:v>45832</c:v>
                </c:pt>
                <c:pt idx="729">
                  <c:v>45832</c:v>
                </c:pt>
                <c:pt idx="730">
                  <c:v>45832</c:v>
                </c:pt>
                <c:pt idx="731">
                  <c:v>45832</c:v>
                </c:pt>
                <c:pt idx="732">
                  <c:v>45833</c:v>
                </c:pt>
                <c:pt idx="733">
                  <c:v>45833</c:v>
                </c:pt>
                <c:pt idx="734">
                  <c:v>45833</c:v>
                </c:pt>
                <c:pt idx="735">
                  <c:v>45833</c:v>
                </c:pt>
                <c:pt idx="736">
                  <c:v>45833</c:v>
                </c:pt>
                <c:pt idx="737">
                  <c:v>45833</c:v>
                </c:pt>
                <c:pt idx="738">
                  <c:v>45833</c:v>
                </c:pt>
                <c:pt idx="739">
                  <c:v>45833</c:v>
                </c:pt>
                <c:pt idx="740">
                  <c:v>45833</c:v>
                </c:pt>
                <c:pt idx="741">
                  <c:v>45833</c:v>
                </c:pt>
                <c:pt idx="742">
                  <c:v>45832</c:v>
                </c:pt>
                <c:pt idx="743">
                  <c:v>45833</c:v>
                </c:pt>
                <c:pt idx="744">
                  <c:v>45821</c:v>
                </c:pt>
                <c:pt idx="745">
                  <c:v>45834</c:v>
                </c:pt>
                <c:pt idx="746">
                  <c:v>45834</c:v>
                </c:pt>
                <c:pt idx="747">
                  <c:v>45834</c:v>
                </c:pt>
                <c:pt idx="748">
                  <c:v>45834</c:v>
                </c:pt>
                <c:pt idx="749">
                  <c:v>45834</c:v>
                </c:pt>
                <c:pt idx="750">
                  <c:v>45834</c:v>
                </c:pt>
                <c:pt idx="751">
                  <c:v>45834</c:v>
                </c:pt>
                <c:pt idx="752">
                  <c:v>45834</c:v>
                </c:pt>
                <c:pt idx="753">
                  <c:v>45834</c:v>
                </c:pt>
                <c:pt idx="754">
                  <c:v>45834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F5F-4B11-A5E8-435494E0689B}"/>
            </c:ext>
          </c:extLst>
        </c:ser>
        <c:ser>
          <c:idx val="2"/>
          <c:order val="2"/>
          <c:tx>
            <c:strRef>
              <c:f>주문_리스트!$C$1</c:f>
              <c:strCache>
                <c:ptCount val="1"/>
                <c:pt idx="0">
                  <c:v>거래처명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val>
            <c:numRef>
              <c:f>주문_리스트!$C$2:$C$756</c:f>
              <c:numCache>
                <c:formatCode>0</c:formatCode>
                <c:ptCount val="75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 formatCode="_(* #,##0_);_(* \(#,##0\);_(* &quot;-&quot;_);_(@_)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 formatCode="General">
                  <c:v>0</c:v>
                </c:pt>
                <c:pt idx="29" formatCode="General">
                  <c:v>0</c:v>
                </c:pt>
                <c:pt idx="30" formatCode="General">
                  <c:v>0</c:v>
                </c:pt>
                <c:pt idx="31" formatCode="General">
                  <c:v>0</c:v>
                </c:pt>
                <c:pt idx="32" formatCode="General">
                  <c:v>0</c:v>
                </c:pt>
                <c:pt idx="33" formatCode="General">
                  <c:v>0</c:v>
                </c:pt>
                <c:pt idx="34" formatCode="General">
                  <c:v>0</c:v>
                </c:pt>
                <c:pt idx="35" formatCode="General">
                  <c:v>0</c:v>
                </c:pt>
                <c:pt idx="36" formatCode="General">
                  <c:v>0</c:v>
                </c:pt>
                <c:pt idx="37" formatCode="General">
                  <c:v>0</c:v>
                </c:pt>
                <c:pt idx="38" formatCode="General">
                  <c:v>0</c:v>
                </c:pt>
                <c:pt idx="39" formatCode="General">
                  <c:v>0</c:v>
                </c:pt>
                <c:pt idx="40" formatCode="General">
                  <c:v>0</c:v>
                </c:pt>
                <c:pt idx="41" formatCode="General">
                  <c:v>0</c:v>
                </c:pt>
                <c:pt idx="42" formatCode="General">
                  <c:v>0</c:v>
                </c:pt>
                <c:pt idx="43" formatCode="General">
                  <c:v>0</c:v>
                </c:pt>
                <c:pt idx="44" formatCode="General">
                  <c:v>0</c:v>
                </c:pt>
                <c:pt idx="45" formatCode="General">
                  <c:v>0</c:v>
                </c:pt>
                <c:pt idx="46" formatCode="General">
                  <c:v>0</c:v>
                </c:pt>
                <c:pt idx="47" formatCode="General">
                  <c:v>0</c:v>
                </c:pt>
                <c:pt idx="48" formatCode="General">
                  <c:v>0</c:v>
                </c:pt>
                <c:pt idx="49" formatCode="General">
                  <c:v>0</c:v>
                </c:pt>
                <c:pt idx="50" formatCode="General">
                  <c:v>0</c:v>
                </c:pt>
                <c:pt idx="51" formatCode="General">
                  <c:v>0</c:v>
                </c:pt>
                <c:pt idx="52" formatCode="General">
                  <c:v>0</c:v>
                </c:pt>
                <c:pt idx="53" formatCode="General">
                  <c:v>0</c:v>
                </c:pt>
                <c:pt idx="54" formatCode="General">
                  <c:v>0</c:v>
                </c:pt>
                <c:pt idx="55" formatCode="General">
                  <c:v>0</c:v>
                </c:pt>
                <c:pt idx="56" formatCode="General">
                  <c:v>0</c:v>
                </c:pt>
                <c:pt idx="57" formatCode="General">
                  <c:v>0</c:v>
                </c:pt>
                <c:pt idx="58" formatCode="General">
                  <c:v>0</c:v>
                </c:pt>
                <c:pt idx="59" formatCode="General">
                  <c:v>0</c:v>
                </c:pt>
                <c:pt idx="60" formatCode="General">
                  <c:v>0</c:v>
                </c:pt>
                <c:pt idx="61" formatCode="General">
                  <c:v>0</c:v>
                </c:pt>
                <c:pt idx="62" formatCode="General">
                  <c:v>0</c:v>
                </c:pt>
                <c:pt idx="63" formatCode="General">
                  <c:v>0</c:v>
                </c:pt>
                <c:pt idx="64" formatCode="General">
                  <c:v>0</c:v>
                </c:pt>
                <c:pt idx="65" formatCode="General">
                  <c:v>0</c:v>
                </c:pt>
                <c:pt idx="66" formatCode="General">
                  <c:v>0</c:v>
                </c:pt>
                <c:pt idx="67" formatCode="General">
                  <c:v>0</c:v>
                </c:pt>
                <c:pt idx="68" formatCode="General">
                  <c:v>0</c:v>
                </c:pt>
                <c:pt idx="69" formatCode="General">
                  <c:v>0</c:v>
                </c:pt>
                <c:pt idx="70" formatCode="General">
                  <c:v>0</c:v>
                </c:pt>
                <c:pt idx="71" formatCode="General">
                  <c:v>0</c:v>
                </c:pt>
                <c:pt idx="72" formatCode="General">
                  <c:v>0</c:v>
                </c:pt>
                <c:pt idx="73" formatCode="General">
                  <c:v>0</c:v>
                </c:pt>
                <c:pt idx="74" formatCode="General">
                  <c:v>0</c:v>
                </c:pt>
                <c:pt idx="75" formatCode="General">
                  <c:v>0</c:v>
                </c:pt>
                <c:pt idx="76" formatCode="General">
                  <c:v>0</c:v>
                </c:pt>
                <c:pt idx="77" formatCode="General">
                  <c:v>0</c:v>
                </c:pt>
                <c:pt idx="78" formatCode="General">
                  <c:v>0</c:v>
                </c:pt>
                <c:pt idx="79" formatCode="General">
                  <c:v>0</c:v>
                </c:pt>
                <c:pt idx="80" formatCode="General">
                  <c:v>0</c:v>
                </c:pt>
                <c:pt idx="81" formatCode="General">
                  <c:v>0</c:v>
                </c:pt>
                <c:pt idx="82" formatCode="General">
                  <c:v>0</c:v>
                </c:pt>
                <c:pt idx="83" formatCode="General">
                  <c:v>0</c:v>
                </c:pt>
                <c:pt idx="84" formatCode="General">
                  <c:v>0</c:v>
                </c:pt>
                <c:pt idx="85" formatCode="General">
                  <c:v>0</c:v>
                </c:pt>
                <c:pt idx="86" formatCode="General">
                  <c:v>0</c:v>
                </c:pt>
                <c:pt idx="87" formatCode="General">
                  <c:v>0</c:v>
                </c:pt>
                <c:pt idx="88" formatCode="General">
                  <c:v>0</c:v>
                </c:pt>
                <c:pt idx="89" formatCode="General">
                  <c:v>0</c:v>
                </c:pt>
                <c:pt idx="90" formatCode="General">
                  <c:v>0</c:v>
                </c:pt>
                <c:pt idx="91" formatCode="General">
                  <c:v>0</c:v>
                </c:pt>
                <c:pt idx="92" formatCode="General">
                  <c:v>0</c:v>
                </c:pt>
                <c:pt idx="93" formatCode="General">
                  <c:v>0</c:v>
                </c:pt>
                <c:pt idx="94" formatCode="General">
                  <c:v>0</c:v>
                </c:pt>
                <c:pt idx="95" formatCode="General">
                  <c:v>0</c:v>
                </c:pt>
                <c:pt idx="96" formatCode="General">
                  <c:v>0</c:v>
                </c:pt>
                <c:pt idx="97" formatCode="General">
                  <c:v>0</c:v>
                </c:pt>
                <c:pt idx="98" formatCode="General">
                  <c:v>0</c:v>
                </c:pt>
                <c:pt idx="99" formatCode="General">
                  <c:v>0</c:v>
                </c:pt>
                <c:pt idx="100" formatCode="General">
                  <c:v>0</c:v>
                </c:pt>
                <c:pt idx="101" formatCode="General">
                  <c:v>0</c:v>
                </c:pt>
                <c:pt idx="102" formatCode="General">
                  <c:v>0</c:v>
                </c:pt>
                <c:pt idx="103" formatCode="General">
                  <c:v>0</c:v>
                </c:pt>
                <c:pt idx="104" formatCode="General">
                  <c:v>0</c:v>
                </c:pt>
                <c:pt idx="105" formatCode="General">
                  <c:v>0</c:v>
                </c:pt>
                <c:pt idx="106" formatCode="General">
                  <c:v>0</c:v>
                </c:pt>
                <c:pt idx="107" formatCode="General">
                  <c:v>0</c:v>
                </c:pt>
                <c:pt idx="108" formatCode="General">
                  <c:v>0</c:v>
                </c:pt>
                <c:pt idx="109" formatCode="General">
                  <c:v>0</c:v>
                </c:pt>
                <c:pt idx="110" formatCode="General">
                  <c:v>0</c:v>
                </c:pt>
                <c:pt idx="111" formatCode="General">
                  <c:v>0</c:v>
                </c:pt>
                <c:pt idx="112" formatCode="General">
                  <c:v>0</c:v>
                </c:pt>
                <c:pt idx="113" formatCode="General">
                  <c:v>0</c:v>
                </c:pt>
                <c:pt idx="114" formatCode="General">
                  <c:v>0</c:v>
                </c:pt>
                <c:pt idx="115" formatCode="General">
                  <c:v>0</c:v>
                </c:pt>
                <c:pt idx="116" formatCode="General">
                  <c:v>0</c:v>
                </c:pt>
                <c:pt idx="119" formatCode="General">
                  <c:v>0</c:v>
                </c:pt>
                <c:pt idx="120" formatCode="General">
                  <c:v>0</c:v>
                </c:pt>
                <c:pt idx="121" formatCode="General">
                  <c:v>0</c:v>
                </c:pt>
                <c:pt idx="122" formatCode="General">
                  <c:v>0</c:v>
                </c:pt>
                <c:pt idx="123" formatCode="General">
                  <c:v>0</c:v>
                </c:pt>
                <c:pt idx="124" formatCode="General">
                  <c:v>0</c:v>
                </c:pt>
                <c:pt idx="125" formatCode="General">
                  <c:v>0</c:v>
                </c:pt>
                <c:pt idx="126" formatCode="General">
                  <c:v>0</c:v>
                </c:pt>
                <c:pt idx="127" formatCode="General">
                  <c:v>0</c:v>
                </c:pt>
                <c:pt idx="128" formatCode="General">
                  <c:v>0</c:v>
                </c:pt>
                <c:pt idx="129" formatCode="General">
                  <c:v>0</c:v>
                </c:pt>
                <c:pt idx="130" formatCode="General">
                  <c:v>0</c:v>
                </c:pt>
                <c:pt idx="131" formatCode="General">
                  <c:v>0</c:v>
                </c:pt>
                <c:pt idx="132" formatCode="General">
                  <c:v>0</c:v>
                </c:pt>
                <c:pt idx="133" formatCode="General">
                  <c:v>0</c:v>
                </c:pt>
                <c:pt idx="134" formatCode="General">
                  <c:v>0</c:v>
                </c:pt>
                <c:pt idx="135" formatCode="General">
                  <c:v>0</c:v>
                </c:pt>
                <c:pt idx="136" formatCode="General">
                  <c:v>0</c:v>
                </c:pt>
                <c:pt idx="137" formatCode="General">
                  <c:v>0</c:v>
                </c:pt>
                <c:pt idx="138" formatCode="General">
                  <c:v>0</c:v>
                </c:pt>
                <c:pt idx="139" formatCode="General">
                  <c:v>0</c:v>
                </c:pt>
                <c:pt idx="140" formatCode="General">
                  <c:v>0</c:v>
                </c:pt>
                <c:pt idx="141" formatCode="General">
                  <c:v>0</c:v>
                </c:pt>
                <c:pt idx="142" formatCode="General">
                  <c:v>0</c:v>
                </c:pt>
                <c:pt idx="143" formatCode="General">
                  <c:v>0</c:v>
                </c:pt>
                <c:pt idx="144" formatCode="General">
                  <c:v>0</c:v>
                </c:pt>
                <c:pt idx="145" formatCode="General">
                  <c:v>0</c:v>
                </c:pt>
                <c:pt idx="146" formatCode="General">
                  <c:v>0</c:v>
                </c:pt>
                <c:pt idx="147" formatCode="General">
                  <c:v>0</c:v>
                </c:pt>
                <c:pt idx="148" formatCode="General">
                  <c:v>0</c:v>
                </c:pt>
                <c:pt idx="149" formatCode="General">
                  <c:v>0</c:v>
                </c:pt>
                <c:pt idx="150" formatCode="General">
                  <c:v>0</c:v>
                </c:pt>
                <c:pt idx="151" formatCode="General">
                  <c:v>0</c:v>
                </c:pt>
                <c:pt idx="152" formatCode="General">
                  <c:v>0</c:v>
                </c:pt>
                <c:pt idx="153" formatCode="General">
                  <c:v>0</c:v>
                </c:pt>
                <c:pt idx="154" formatCode="General">
                  <c:v>0</c:v>
                </c:pt>
                <c:pt idx="155" formatCode="General">
                  <c:v>0</c:v>
                </c:pt>
                <c:pt idx="156" formatCode="General">
                  <c:v>0</c:v>
                </c:pt>
                <c:pt idx="157" formatCode="General">
                  <c:v>0</c:v>
                </c:pt>
                <c:pt idx="158" formatCode="General">
                  <c:v>0</c:v>
                </c:pt>
                <c:pt idx="159" formatCode="General">
                  <c:v>0</c:v>
                </c:pt>
                <c:pt idx="160" formatCode="General">
                  <c:v>0</c:v>
                </c:pt>
                <c:pt idx="161" formatCode="General">
                  <c:v>0</c:v>
                </c:pt>
                <c:pt idx="162" formatCode="General">
                  <c:v>0</c:v>
                </c:pt>
                <c:pt idx="163" formatCode="General">
                  <c:v>0</c:v>
                </c:pt>
                <c:pt idx="164" formatCode="General">
                  <c:v>0</c:v>
                </c:pt>
                <c:pt idx="165" formatCode="General">
                  <c:v>0</c:v>
                </c:pt>
                <c:pt idx="166" formatCode="General">
                  <c:v>0</c:v>
                </c:pt>
                <c:pt idx="167" formatCode="General">
                  <c:v>0</c:v>
                </c:pt>
                <c:pt idx="168" formatCode="General">
                  <c:v>0</c:v>
                </c:pt>
                <c:pt idx="169" formatCode="General">
                  <c:v>0</c:v>
                </c:pt>
                <c:pt idx="170" formatCode="General">
                  <c:v>0</c:v>
                </c:pt>
                <c:pt idx="171" formatCode="General">
                  <c:v>0</c:v>
                </c:pt>
                <c:pt idx="172" formatCode="General">
                  <c:v>0</c:v>
                </c:pt>
                <c:pt idx="173" formatCode="General">
                  <c:v>0</c:v>
                </c:pt>
                <c:pt idx="174" formatCode="General">
                  <c:v>0</c:v>
                </c:pt>
                <c:pt idx="175" formatCode="General">
                  <c:v>0</c:v>
                </c:pt>
                <c:pt idx="176" formatCode="General">
                  <c:v>0</c:v>
                </c:pt>
                <c:pt idx="177" formatCode="General">
                  <c:v>0</c:v>
                </c:pt>
                <c:pt idx="178" formatCode="General">
                  <c:v>0</c:v>
                </c:pt>
                <c:pt idx="179" formatCode="General">
                  <c:v>0</c:v>
                </c:pt>
                <c:pt idx="180" formatCode="General">
                  <c:v>0</c:v>
                </c:pt>
                <c:pt idx="181" formatCode="General">
                  <c:v>0</c:v>
                </c:pt>
                <c:pt idx="182" formatCode="General">
                  <c:v>0</c:v>
                </c:pt>
                <c:pt idx="183" formatCode="General">
                  <c:v>0</c:v>
                </c:pt>
                <c:pt idx="184" formatCode="General">
                  <c:v>0</c:v>
                </c:pt>
                <c:pt idx="185" formatCode="General">
                  <c:v>0</c:v>
                </c:pt>
                <c:pt idx="186" formatCode="General">
                  <c:v>0</c:v>
                </c:pt>
                <c:pt idx="187" formatCode="General">
                  <c:v>0</c:v>
                </c:pt>
                <c:pt idx="188" formatCode="General">
                  <c:v>0</c:v>
                </c:pt>
                <c:pt idx="189" formatCode="General">
                  <c:v>0</c:v>
                </c:pt>
                <c:pt idx="190" formatCode="General">
                  <c:v>0</c:v>
                </c:pt>
                <c:pt idx="191" formatCode="General">
                  <c:v>0</c:v>
                </c:pt>
                <c:pt idx="192" formatCode="General">
                  <c:v>0</c:v>
                </c:pt>
                <c:pt idx="193" formatCode="General">
                  <c:v>0</c:v>
                </c:pt>
                <c:pt idx="194" formatCode="General">
                  <c:v>0</c:v>
                </c:pt>
                <c:pt idx="195" formatCode="General">
                  <c:v>0</c:v>
                </c:pt>
                <c:pt idx="196" formatCode="General">
                  <c:v>0</c:v>
                </c:pt>
                <c:pt idx="197" formatCode="General">
                  <c:v>0</c:v>
                </c:pt>
                <c:pt idx="198" formatCode="General">
                  <c:v>0</c:v>
                </c:pt>
                <c:pt idx="199" formatCode="General">
                  <c:v>0</c:v>
                </c:pt>
                <c:pt idx="200" formatCode="General">
                  <c:v>0</c:v>
                </c:pt>
                <c:pt idx="201" formatCode="General">
                  <c:v>0</c:v>
                </c:pt>
                <c:pt idx="202" formatCode="General">
                  <c:v>0</c:v>
                </c:pt>
                <c:pt idx="203" formatCode="General">
                  <c:v>0</c:v>
                </c:pt>
                <c:pt idx="204" formatCode="General">
                  <c:v>0</c:v>
                </c:pt>
                <c:pt idx="205" formatCode="General">
                  <c:v>0</c:v>
                </c:pt>
                <c:pt idx="206" formatCode="General">
                  <c:v>0</c:v>
                </c:pt>
                <c:pt idx="207" formatCode="General">
                  <c:v>0</c:v>
                </c:pt>
                <c:pt idx="208" formatCode="General">
                  <c:v>0</c:v>
                </c:pt>
                <c:pt idx="209" formatCode="General">
                  <c:v>0</c:v>
                </c:pt>
                <c:pt idx="210" formatCode="General">
                  <c:v>0</c:v>
                </c:pt>
                <c:pt idx="211" formatCode="General">
                  <c:v>0</c:v>
                </c:pt>
                <c:pt idx="212" formatCode="General">
                  <c:v>0</c:v>
                </c:pt>
                <c:pt idx="213" formatCode="General">
                  <c:v>0</c:v>
                </c:pt>
                <c:pt idx="214" formatCode="General">
                  <c:v>0</c:v>
                </c:pt>
                <c:pt idx="215" formatCode="General">
                  <c:v>0</c:v>
                </c:pt>
                <c:pt idx="216" formatCode="General">
                  <c:v>0</c:v>
                </c:pt>
                <c:pt idx="217" formatCode="General">
                  <c:v>0</c:v>
                </c:pt>
                <c:pt idx="218" formatCode="General">
                  <c:v>0</c:v>
                </c:pt>
                <c:pt idx="219" formatCode="General">
                  <c:v>0</c:v>
                </c:pt>
                <c:pt idx="220" formatCode="General">
                  <c:v>0</c:v>
                </c:pt>
                <c:pt idx="221" formatCode="General">
                  <c:v>0</c:v>
                </c:pt>
                <c:pt idx="222" formatCode="General">
                  <c:v>0</c:v>
                </c:pt>
                <c:pt idx="223" formatCode="General">
                  <c:v>0</c:v>
                </c:pt>
                <c:pt idx="224" formatCode="General">
                  <c:v>0</c:v>
                </c:pt>
                <c:pt idx="225" formatCode="General">
                  <c:v>0</c:v>
                </c:pt>
                <c:pt idx="226" formatCode="General">
                  <c:v>0</c:v>
                </c:pt>
                <c:pt idx="227" formatCode="General">
                  <c:v>0</c:v>
                </c:pt>
                <c:pt idx="228" formatCode="General">
                  <c:v>0</c:v>
                </c:pt>
                <c:pt idx="229" formatCode="General">
                  <c:v>0</c:v>
                </c:pt>
                <c:pt idx="230" formatCode="General">
                  <c:v>0</c:v>
                </c:pt>
                <c:pt idx="231" formatCode="General">
                  <c:v>0</c:v>
                </c:pt>
                <c:pt idx="232" formatCode="General">
                  <c:v>0</c:v>
                </c:pt>
                <c:pt idx="233" formatCode="General">
                  <c:v>0</c:v>
                </c:pt>
                <c:pt idx="234" formatCode="General">
                  <c:v>0</c:v>
                </c:pt>
                <c:pt idx="235" formatCode="General">
                  <c:v>0</c:v>
                </c:pt>
                <c:pt idx="236" formatCode="General">
                  <c:v>0</c:v>
                </c:pt>
                <c:pt idx="237" formatCode="General">
                  <c:v>0</c:v>
                </c:pt>
                <c:pt idx="238" formatCode="General">
                  <c:v>0</c:v>
                </c:pt>
                <c:pt idx="239" formatCode="General">
                  <c:v>0</c:v>
                </c:pt>
                <c:pt idx="240" formatCode="General">
                  <c:v>0</c:v>
                </c:pt>
                <c:pt idx="241" formatCode="General">
                  <c:v>0</c:v>
                </c:pt>
                <c:pt idx="242" formatCode="General">
                  <c:v>0</c:v>
                </c:pt>
                <c:pt idx="243" formatCode="General">
                  <c:v>0</c:v>
                </c:pt>
                <c:pt idx="244" formatCode="General">
                  <c:v>0</c:v>
                </c:pt>
                <c:pt idx="245" formatCode="General">
                  <c:v>0</c:v>
                </c:pt>
                <c:pt idx="246" formatCode="General">
                  <c:v>0</c:v>
                </c:pt>
                <c:pt idx="247" formatCode="General">
                  <c:v>0</c:v>
                </c:pt>
                <c:pt idx="248" formatCode="General">
                  <c:v>0</c:v>
                </c:pt>
                <c:pt idx="249" formatCode="General">
                  <c:v>0</c:v>
                </c:pt>
                <c:pt idx="250" formatCode="General">
                  <c:v>0</c:v>
                </c:pt>
                <c:pt idx="251" formatCode="General">
                  <c:v>0</c:v>
                </c:pt>
                <c:pt idx="252" formatCode="General">
                  <c:v>0</c:v>
                </c:pt>
                <c:pt idx="253" formatCode="General">
                  <c:v>0</c:v>
                </c:pt>
                <c:pt idx="254" formatCode="General">
                  <c:v>0</c:v>
                </c:pt>
                <c:pt idx="255" formatCode="General">
                  <c:v>0</c:v>
                </c:pt>
                <c:pt idx="256" formatCode="General">
                  <c:v>0</c:v>
                </c:pt>
                <c:pt idx="257" formatCode="General">
                  <c:v>0</c:v>
                </c:pt>
                <c:pt idx="258" formatCode="General">
                  <c:v>0</c:v>
                </c:pt>
                <c:pt idx="259" formatCode="General">
                  <c:v>0</c:v>
                </c:pt>
                <c:pt idx="260" formatCode="General">
                  <c:v>0</c:v>
                </c:pt>
                <c:pt idx="261" formatCode="General">
                  <c:v>0</c:v>
                </c:pt>
                <c:pt idx="262" formatCode="General">
                  <c:v>0</c:v>
                </c:pt>
                <c:pt idx="263" formatCode="General">
                  <c:v>0</c:v>
                </c:pt>
                <c:pt idx="264" formatCode="General">
                  <c:v>0</c:v>
                </c:pt>
                <c:pt idx="265" formatCode="General">
                  <c:v>0</c:v>
                </c:pt>
                <c:pt idx="266" formatCode="General">
                  <c:v>0</c:v>
                </c:pt>
                <c:pt idx="267" formatCode="General">
                  <c:v>0</c:v>
                </c:pt>
                <c:pt idx="268" formatCode="General">
                  <c:v>0</c:v>
                </c:pt>
                <c:pt idx="269" formatCode="General">
                  <c:v>0</c:v>
                </c:pt>
                <c:pt idx="270" formatCode="General">
                  <c:v>0</c:v>
                </c:pt>
                <c:pt idx="271" formatCode="General">
                  <c:v>0</c:v>
                </c:pt>
                <c:pt idx="272" formatCode="General">
                  <c:v>0</c:v>
                </c:pt>
                <c:pt idx="273" formatCode="General">
                  <c:v>0</c:v>
                </c:pt>
                <c:pt idx="274" formatCode="General">
                  <c:v>0</c:v>
                </c:pt>
                <c:pt idx="275" formatCode="General">
                  <c:v>0</c:v>
                </c:pt>
                <c:pt idx="276" formatCode="General">
                  <c:v>0</c:v>
                </c:pt>
                <c:pt idx="277" formatCode="General">
                  <c:v>0</c:v>
                </c:pt>
                <c:pt idx="278" formatCode="General">
                  <c:v>0</c:v>
                </c:pt>
                <c:pt idx="279" formatCode="General">
                  <c:v>0</c:v>
                </c:pt>
                <c:pt idx="280" formatCode="General">
                  <c:v>0</c:v>
                </c:pt>
                <c:pt idx="281" formatCode="General">
                  <c:v>0</c:v>
                </c:pt>
                <c:pt idx="282" formatCode="General">
                  <c:v>0</c:v>
                </c:pt>
                <c:pt idx="283" formatCode="General">
                  <c:v>0</c:v>
                </c:pt>
                <c:pt idx="284" formatCode="General">
                  <c:v>0</c:v>
                </c:pt>
                <c:pt idx="285" formatCode="General">
                  <c:v>0</c:v>
                </c:pt>
                <c:pt idx="286" formatCode="General">
                  <c:v>0</c:v>
                </c:pt>
                <c:pt idx="287" formatCode="General">
                  <c:v>0</c:v>
                </c:pt>
                <c:pt idx="288" formatCode="General">
                  <c:v>0</c:v>
                </c:pt>
                <c:pt idx="289" formatCode="General">
                  <c:v>0</c:v>
                </c:pt>
                <c:pt idx="290" formatCode="General">
                  <c:v>0</c:v>
                </c:pt>
                <c:pt idx="291" formatCode="General">
                  <c:v>0</c:v>
                </c:pt>
                <c:pt idx="292" formatCode="General">
                  <c:v>0</c:v>
                </c:pt>
                <c:pt idx="293" formatCode="General">
                  <c:v>0</c:v>
                </c:pt>
                <c:pt idx="294" formatCode="General">
                  <c:v>0</c:v>
                </c:pt>
                <c:pt idx="295" formatCode="General">
                  <c:v>0</c:v>
                </c:pt>
                <c:pt idx="296" formatCode="General">
                  <c:v>0</c:v>
                </c:pt>
                <c:pt idx="297" formatCode="General">
                  <c:v>0</c:v>
                </c:pt>
                <c:pt idx="298" formatCode="General">
                  <c:v>0</c:v>
                </c:pt>
                <c:pt idx="299" formatCode="General">
                  <c:v>0</c:v>
                </c:pt>
                <c:pt idx="300" formatCode="General">
                  <c:v>0</c:v>
                </c:pt>
                <c:pt idx="301" formatCode="General">
                  <c:v>0</c:v>
                </c:pt>
                <c:pt idx="302" formatCode="General">
                  <c:v>0</c:v>
                </c:pt>
                <c:pt idx="303" formatCode="General">
                  <c:v>0</c:v>
                </c:pt>
                <c:pt idx="304" formatCode="General">
                  <c:v>0</c:v>
                </c:pt>
                <c:pt idx="305" formatCode="General">
                  <c:v>0</c:v>
                </c:pt>
                <c:pt idx="306" formatCode="General">
                  <c:v>0</c:v>
                </c:pt>
                <c:pt idx="307" formatCode="General">
                  <c:v>0</c:v>
                </c:pt>
                <c:pt idx="308" formatCode="General">
                  <c:v>0</c:v>
                </c:pt>
                <c:pt idx="309" formatCode="General">
                  <c:v>0</c:v>
                </c:pt>
                <c:pt idx="310" formatCode="General">
                  <c:v>0</c:v>
                </c:pt>
                <c:pt idx="311" formatCode="General">
                  <c:v>0</c:v>
                </c:pt>
                <c:pt idx="312" formatCode="General">
                  <c:v>0</c:v>
                </c:pt>
                <c:pt idx="313" formatCode="General">
                  <c:v>0</c:v>
                </c:pt>
                <c:pt idx="314" formatCode="General">
                  <c:v>0</c:v>
                </c:pt>
                <c:pt idx="315" formatCode="General">
                  <c:v>0</c:v>
                </c:pt>
                <c:pt idx="316" formatCode="General">
                  <c:v>0</c:v>
                </c:pt>
                <c:pt idx="317" formatCode="General">
                  <c:v>0</c:v>
                </c:pt>
                <c:pt idx="318" formatCode="General">
                  <c:v>0</c:v>
                </c:pt>
                <c:pt idx="319" formatCode="General">
                  <c:v>0</c:v>
                </c:pt>
                <c:pt idx="320" formatCode="General">
                  <c:v>0</c:v>
                </c:pt>
                <c:pt idx="321" formatCode="General">
                  <c:v>0</c:v>
                </c:pt>
                <c:pt idx="322" formatCode="General">
                  <c:v>0</c:v>
                </c:pt>
                <c:pt idx="323" formatCode="General">
                  <c:v>0</c:v>
                </c:pt>
                <c:pt idx="324" formatCode="General">
                  <c:v>0</c:v>
                </c:pt>
                <c:pt idx="325" formatCode="General">
                  <c:v>0</c:v>
                </c:pt>
                <c:pt idx="326" formatCode="General">
                  <c:v>0</c:v>
                </c:pt>
                <c:pt idx="327" formatCode="General">
                  <c:v>0</c:v>
                </c:pt>
                <c:pt idx="328" formatCode="General">
                  <c:v>0</c:v>
                </c:pt>
                <c:pt idx="329" formatCode="General">
                  <c:v>0</c:v>
                </c:pt>
                <c:pt idx="330" formatCode="General">
                  <c:v>0</c:v>
                </c:pt>
                <c:pt idx="331" formatCode="General">
                  <c:v>0</c:v>
                </c:pt>
                <c:pt idx="332" formatCode="General">
                  <c:v>0</c:v>
                </c:pt>
                <c:pt idx="333" formatCode="General">
                  <c:v>0</c:v>
                </c:pt>
                <c:pt idx="334" formatCode="General">
                  <c:v>0</c:v>
                </c:pt>
                <c:pt idx="335" formatCode="General">
                  <c:v>0</c:v>
                </c:pt>
                <c:pt idx="336" formatCode="General">
                  <c:v>0</c:v>
                </c:pt>
                <c:pt idx="337" formatCode="General">
                  <c:v>0</c:v>
                </c:pt>
                <c:pt idx="338" formatCode="General">
                  <c:v>0</c:v>
                </c:pt>
                <c:pt idx="339" formatCode="General">
                  <c:v>0</c:v>
                </c:pt>
                <c:pt idx="340" formatCode="General">
                  <c:v>0</c:v>
                </c:pt>
                <c:pt idx="341" formatCode="General">
                  <c:v>0</c:v>
                </c:pt>
                <c:pt idx="342" formatCode="General">
                  <c:v>0</c:v>
                </c:pt>
                <c:pt idx="343" formatCode="General">
                  <c:v>0</c:v>
                </c:pt>
                <c:pt idx="344" formatCode="General">
                  <c:v>0</c:v>
                </c:pt>
                <c:pt idx="345" formatCode="General">
                  <c:v>0</c:v>
                </c:pt>
                <c:pt idx="346" formatCode="General">
                  <c:v>0</c:v>
                </c:pt>
                <c:pt idx="347" formatCode="General">
                  <c:v>0</c:v>
                </c:pt>
                <c:pt idx="348" formatCode="General">
                  <c:v>0</c:v>
                </c:pt>
                <c:pt idx="349" formatCode="General">
                  <c:v>0</c:v>
                </c:pt>
                <c:pt idx="350" formatCode="General">
                  <c:v>0</c:v>
                </c:pt>
                <c:pt idx="351" formatCode="General">
                  <c:v>0</c:v>
                </c:pt>
                <c:pt idx="352" formatCode="General">
                  <c:v>0</c:v>
                </c:pt>
                <c:pt idx="353" formatCode="General">
                  <c:v>0</c:v>
                </c:pt>
                <c:pt idx="354" formatCode="General">
                  <c:v>0</c:v>
                </c:pt>
                <c:pt idx="355" formatCode="General">
                  <c:v>0</c:v>
                </c:pt>
                <c:pt idx="356" formatCode="General">
                  <c:v>0</c:v>
                </c:pt>
                <c:pt idx="357" formatCode="General">
                  <c:v>0</c:v>
                </c:pt>
                <c:pt idx="358" formatCode="General">
                  <c:v>0</c:v>
                </c:pt>
                <c:pt idx="359" formatCode="General">
                  <c:v>0</c:v>
                </c:pt>
                <c:pt idx="360" formatCode="General">
                  <c:v>0</c:v>
                </c:pt>
                <c:pt idx="361" formatCode="General">
                  <c:v>0</c:v>
                </c:pt>
                <c:pt idx="362" formatCode="General">
                  <c:v>0</c:v>
                </c:pt>
                <c:pt idx="363" formatCode="General">
                  <c:v>0</c:v>
                </c:pt>
                <c:pt idx="364" formatCode="General">
                  <c:v>0</c:v>
                </c:pt>
                <c:pt idx="365" formatCode="General">
                  <c:v>0</c:v>
                </c:pt>
                <c:pt idx="366" formatCode="General">
                  <c:v>0</c:v>
                </c:pt>
                <c:pt idx="367" formatCode="General">
                  <c:v>0</c:v>
                </c:pt>
                <c:pt idx="368" formatCode="General">
                  <c:v>0</c:v>
                </c:pt>
                <c:pt idx="369" formatCode="General">
                  <c:v>0</c:v>
                </c:pt>
                <c:pt idx="370" formatCode="General">
                  <c:v>0</c:v>
                </c:pt>
                <c:pt idx="371" formatCode="General">
                  <c:v>0</c:v>
                </c:pt>
                <c:pt idx="372" formatCode="General">
                  <c:v>0</c:v>
                </c:pt>
                <c:pt idx="373" formatCode="General">
                  <c:v>0</c:v>
                </c:pt>
                <c:pt idx="374" formatCode="General">
                  <c:v>0</c:v>
                </c:pt>
                <c:pt idx="375" formatCode="General">
                  <c:v>0</c:v>
                </c:pt>
                <c:pt idx="376" formatCode="General">
                  <c:v>0</c:v>
                </c:pt>
                <c:pt idx="377" formatCode="General">
                  <c:v>0</c:v>
                </c:pt>
                <c:pt idx="378" formatCode="General">
                  <c:v>0</c:v>
                </c:pt>
                <c:pt idx="379" formatCode="General">
                  <c:v>0</c:v>
                </c:pt>
                <c:pt idx="380" formatCode="General">
                  <c:v>0</c:v>
                </c:pt>
                <c:pt idx="381" formatCode="General">
                  <c:v>0</c:v>
                </c:pt>
                <c:pt idx="382" formatCode="General">
                  <c:v>0</c:v>
                </c:pt>
                <c:pt idx="383" formatCode="General">
                  <c:v>0</c:v>
                </c:pt>
                <c:pt idx="384" formatCode="General">
                  <c:v>0</c:v>
                </c:pt>
                <c:pt idx="385" formatCode="General">
                  <c:v>0</c:v>
                </c:pt>
                <c:pt idx="386" formatCode="General">
                  <c:v>0</c:v>
                </c:pt>
                <c:pt idx="387" formatCode="General">
                  <c:v>0</c:v>
                </c:pt>
                <c:pt idx="388" formatCode="General">
                  <c:v>0</c:v>
                </c:pt>
                <c:pt idx="389" formatCode="General">
                  <c:v>0</c:v>
                </c:pt>
                <c:pt idx="390" formatCode="General">
                  <c:v>0</c:v>
                </c:pt>
                <c:pt idx="391" formatCode="General">
                  <c:v>0</c:v>
                </c:pt>
                <c:pt idx="392" formatCode="General">
                  <c:v>0</c:v>
                </c:pt>
                <c:pt idx="393" formatCode="General">
                  <c:v>0</c:v>
                </c:pt>
                <c:pt idx="394" formatCode="General">
                  <c:v>0</c:v>
                </c:pt>
                <c:pt idx="395" formatCode="General">
                  <c:v>0</c:v>
                </c:pt>
                <c:pt idx="396" formatCode="General">
                  <c:v>0</c:v>
                </c:pt>
                <c:pt idx="397" formatCode="General">
                  <c:v>0</c:v>
                </c:pt>
                <c:pt idx="398" formatCode="General">
                  <c:v>0</c:v>
                </c:pt>
                <c:pt idx="399" formatCode="General">
                  <c:v>0</c:v>
                </c:pt>
                <c:pt idx="400" formatCode="General">
                  <c:v>0</c:v>
                </c:pt>
                <c:pt idx="401" formatCode="General">
                  <c:v>0</c:v>
                </c:pt>
                <c:pt idx="402" formatCode="General">
                  <c:v>0</c:v>
                </c:pt>
                <c:pt idx="403" formatCode="General">
                  <c:v>0</c:v>
                </c:pt>
                <c:pt idx="404" formatCode="General">
                  <c:v>0</c:v>
                </c:pt>
                <c:pt idx="405" formatCode="General">
                  <c:v>0</c:v>
                </c:pt>
                <c:pt idx="406" formatCode="General">
                  <c:v>0</c:v>
                </c:pt>
                <c:pt idx="407" formatCode="General">
                  <c:v>0</c:v>
                </c:pt>
                <c:pt idx="408" formatCode="General">
                  <c:v>0</c:v>
                </c:pt>
                <c:pt idx="409" formatCode="General">
                  <c:v>0</c:v>
                </c:pt>
                <c:pt idx="410" formatCode="General">
                  <c:v>0</c:v>
                </c:pt>
                <c:pt idx="411" formatCode="General">
                  <c:v>0</c:v>
                </c:pt>
                <c:pt idx="412" formatCode="General">
                  <c:v>0</c:v>
                </c:pt>
                <c:pt idx="413" formatCode="General">
                  <c:v>0</c:v>
                </c:pt>
                <c:pt idx="414" formatCode="General">
                  <c:v>0</c:v>
                </c:pt>
                <c:pt idx="415" formatCode="General">
                  <c:v>0</c:v>
                </c:pt>
                <c:pt idx="416" formatCode="General">
                  <c:v>0</c:v>
                </c:pt>
                <c:pt idx="417" formatCode="General">
                  <c:v>0</c:v>
                </c:pt>
                <c:pt idx="418" formatCode="General">
                  <c:v>0</c:v>
                </c:pt>
                <c:pt idx="419" formatCode="General">
                  <c:v>0</c:v>
                </c:pt>
                <c:pt idx="420" formatCode="General">
                  <c:v>0</c:v>
                </c:pt>
                <c:pt idx="421" formatCode="General">
                  <c:v>0</c:v>
                </c:pt>
                <c:pt idx="422" formatCode="General">
                  <c:v>0</c:v>
                </c:pt>
                <c:pt idx="423" formatCode="General">
                  <c:v>0</c:v>
                </c:pt>
                <c:pt idx="424" formatCode="General">
                  <c:v>0</c:v>
                </c:pt>
                <c:pt idx="425" formatCode="General">
                  <c:v>0</c:v>
                </c:pt>
                <c:pt idx="426" formatCode="General">
                  <c:v>0</c:v>
                </c:pt>
                <c:pt idx="427" formatCode="General">
                  <c:v>0</c:v>
                </c:pt>
                <c:pt idx="428" formatCode="General">
                  <c:v>0</c:v>
                </c:pt>
                <c:pt idx="429" formatCode="General">
                  <c:v>0</c:v>
                </c:pt>
                <c:pt idx="430" formatCode="General">
                  <c:v>0</c:v>
                </c:pt>
                <c:pt idx="431" formatCode="General">
                  <c:v>0</c:v>
                </c:pt>
                <c:pt idx="432" formatCode="General">
                  <c:v>0</c:v>
                </c:pt>
                <c:pt idx="433" formatCode="General">
                  <c:v>0</c:v>
                </c:pt>
                <c:pt idx="434" formatCode="General">
                  <c:v>0</c:v>
                </c:pt>
                <c:pt idx="435" formatCode="General">
                  <c:v>0</c:v>
                </c:pt>
                <c:pt idx="436" formatCode="General">
                  <c:v>0</c:v>
                </c:pt>
                <c:pt idx="437" formatCode="General">
                  <c:v>0</c:v>
                </c:pt>
                <c:pt idx="438" formatCode="General">
                  <c:v>0</c:v>
                </c:pt>
                <c:pt idx="439" formatCode="General">
                  <c:v>0</c:v>
                </c:pt>
                <c:pt idx="440" formatCode="General">
                  <c:v>0</c:v>
                </c:pt>
                <c:pt idx="441" formatCode="General">
                  <c:v>0</c:v>
                </c:pt>
                <c:pt idx="442" formatCode="General">
                  <c:v>0</c:v>
                </c:pt>
                <c:pt idx="443" formatCode="General">
                  <c:v>0</c:v>
                </c:pt>
                <c:pt idx="444" formatCode="General">
                  <c:v>0</c:v>
                </c:pt>
                <c:pt idx="445" formatCode="General">
                  <c:v>0</c:v>
                </c:pt>
                <c:pt idx="446" formatCode="General">
                  <c:v>0</c:v>
                </c:pt>
                <c:pt idx="447" formatCode="General">
                  <c:v>0</c:v>
                </c:pt>
                <c:pt idx="448" formatCode="General">
                  <c:v>0</c:v>
                </c:pt>
                <c:pt idx="449" formatCode="General">
                  <c:v>0</c:v>
                </c:pt>
                <c:pt idx="450" formatCode="General">
                  <c:v>0</c:v>
                </c:pt>
                <c:pt idx="451" formatCode="General">
                  <c:v>0</c:v>
                </c:pt>
                <c:pt idx="452" formatCode="General">
                  <c:v>0</c:v>
                </c:pt>
                <c:pt idx="453" formatCode="General">
                  <c:v>0</c:v>
                </c:pt>
                <c:pt idx="454" formatCode="General">
                  <c:v>0</c:v>
                </c:pt>
                <c:pt idx="455" formatCode="General">
                  <c:v>0</c:v>
                </c:pt>
                <c:pt idx="456" formatCode="General">
                  <c:v>0</c:v>
                </c:pt>
                <c:pt idx="457" formatCode="General">
                  <c:v>0</c:v>
                </c:pt>
                <c:pt idx="458" formatCode="General">
                  <c:v>0</c:v>
                </c:pt>
                <c:pt idx="459" formatCode="General">
                  <c:v>0</c:v>
                </c:pt>
                <c:pt idx="460" formatCode="General">
                  <c:v>0</c:v>
                </c:pt>
                <c:pt idx="461" formatCode="General">
                  <c:v>0</c:v>
                </c:pt>
                <c:pt idx="462" formatCode="General">
                  <c:v>0</c:v>
                </c:pt>
                <c:pt idx="463" formatCode="General">
                  <c:v>0</c:v>
                </c:pt>
                <c:pt idx="464" formatCode="General">
                  <c:v>0</c:v>
                </c:pt>
                <c:pt idx="465" formatCode="General">
                  <c:v>0</c:v>
                </c:pt>
                <c:pt idx="466" formatCode="General">
                  <c:v>0</c:v>
                </c:pt>
                <c:pt idx="467" formatCode="General">
                  <c:v>0</c:v>
                </c:pt>
                <c:pt idx="468" formatCode="General">
                  <c:v>0</c:v>
                </c:pt>
                <c:pt idx="469" formatCode="General">
                  <c:v>0</c:v>
                </c:pt>
                <c:pt idx="470" formatCode="General">
                  <c:v>0</c:v>
                </c:pt>
                <c:pt idx="471" formatCode="General">
                  <c:v>0</c:v>
                </c:pt>
                <c:pt idx="472" formatCode="General">
                  <c:v>0</c:v>
                </c:pt>
                <c:pt idx="473" formatCode="General">
                  <c:v>0</c:v>
                </c:pt>
                <c:pt idx="474" formatCode="General">
                  <c:v>0</c:v>
                </c:pt>
                <c:pt idx="475" formatCode="General">
                  <c:v>0</c:v>
                </c:pt>
                <c:pt idx="476" formatCode="General">
                  <c:v>0</c:v>
                </c:pt>
                <c:pt idx="477" formatCode="General">
                  <c:v>0</c:v>
                </c:pt>
                <c:pt idx="478" formatCode="General">
                  <c:v>0</c:v>
                </c:pt>
                <c:pt idx="479" formatCode="General">
                  <c:v>0</c:v>
                </c:pt>
                <c:pt idx="480" formatCode="General">
                  <c:v>0</c:v>
                </c:pt>
                <c:pt idx="481" formatCode="General">
                  <c:v>0</c:v>
                </c:pt>
                <c:pt idx="482" formatCode="General">
                  <c:v>0</c:v>
                </c:pt>
                <c:pt idx="483" formatCode="General">
                  <c:v>0</c:v>
                </c:pt>
                <c:pt idx="484" formatCode="General">
                  <c:v>0</c:v>
                </c:pt>
                <c:pt idx="485" formatCode="General">
                  <c:v>0</c:v>
                </c:pt>
                <c:pt idx="486" formatCode="General">
                  <c:v>0</c:v>
                </c:pt>
                <c:pt idx="487" formatCode="General">
                  <c:v>0</c:v>
                </c:pt>
                <c:pt idx="488" formatCode="General">
                  <c:v>0</c:v>
                </c:pt>
                <c:pt idx="489" formatCode="General">
                  <c:v>0</c:v>
                </c:pt>
                <c:pt idx="490" formatCode="General">
                  <c:v>0</c:v>
                </c:pt>
                <c:pt idx="491" formatCode="General">
                  <c:v>0</c:v>
                </c:pt>
                <c:pt idx="492" formatCode="General">
                  <c:v>0</c:v>
                </c:pt>
                <c:pt idx="493" formatCode="General">
                  <c:v>0</c:v>
                </c:pt>
                <c:pt idx="494" formatCode="General">
                  <c:v>0</c:v>
                </c:pt>
                <c:pt idx="495" formatCode="General">
                  <c:v>0</c:v>
                </c:pt>
                <c:pt idx="496" formatCode="General">
                  <c:v>0</c:v>
                </c:pt>
                <c:pt idx="497" formatCode="General">
                  <c:v>0</c:v>
                </c:pt>
                <c:pt idx="498" formatCode="General">
                  <c:v>0</c:v>
                </c:pt>
                <c:pt idx="499" formatCode="General">
                  <c:v>0</c:v>
                </c:pt>
                <c:pt idx="500" formatCode="General">
                  <c:v>0</c:v>
                </c:pt>
                <c:pt idx="501" formatCode="General">
                  <c:v>0</c:v>
                </c:pt>
                <c:pt idx="502" formatCode="General">
                  <c:v>0</c:v>
                </c:pt>
                <c:pt idx="503" formatCode="General">
                  <c:v>0</c:v>
                </c:pt>
                <c:pt idx="504" formatCode="General">
                  <c:v>0</c:v>
                </c:pt>
                <c:pt idx="505" formatCode="General">
                  <c:v>0</c:v>
                </c:pt>
                <c:pt idx="506" formatCode="General">
                  <c:v>0</c:v>
                </c:pt>
                <c:pt idx="507" formatCode="General">
                  <c:v>0</c:v>
                </c:pt>
                <c:pt idx="508" formatCode="General">
                  <c:v>0</c:v>
                </c:pt>
                <c:pt idx="509" formatCode="General">
                  <c:v>0</c:v>
                </c:pt>
                <c:pt idx="510" formatCode="General">
                  <c:v>0</c:v>
                </c:pt>
                <c:pt idx="511" formatCode="General">
                  <c:v>0</c:v>
                </c:pt>
                <c:pt idx="512" formatCode="General">
                  <c:v>0</c:v>
                </c:pt>
                <c:pt idx="513" formatCode="General">
                  <c:v>0</c:v>
                </c:pt>
                <c:pt idx="514" formatCode="General">
                  <c:v>0</c:v>
                </c:pt>
                <c:pt idx="515" formatCode="General">
                  <c:v>0</c:v>
                </c:pt>
                <c:pt idx="516" formatCode="General">
                  <c:v>0</c:v>
                </c:pt>
                <c:pt idx="517" formatCode="General">
                  <c:v>0</c:v>
                </c:pt>
                <c:pt idx="518" formatCode="General">
                  <c:v>0</c:v>
                </c:pt>
                <c:pt idx="519" formatCode="General">
                  <c:v>0</c:v>
                </c:pt>
                <c:pt idx="520" formatCode="General">
                  <c:v>0</c:v>
                </c:pt>
                <c:pt idx="521" formatCode="General">
                  <c:v>0</c:v>
                </c:pt>
                <c:pt idx="522" formatCode="General">
                  <c:v>0</c:v>
                </c:pt>
                <c:pt idx="523" formatCode="General">
                  <c:v>0</c:v>
                </c:pt>
                <c:pt idx="524" formatCode="General">
                  <c:v>0</c:v>
                </c:pt>
                <c:pt idx="525" formatCode="General">
                  <c:v>0</c:v>
                </c:pt>
                <c:pt idx="526" formatCode="General">
                  <c:v>0</c:v>
                </c:pt>
                <c:pt idx="527" formatCode="General">
                  <c:v>0</c:v>
                </c:pt>
                <c:pt idx="528" formatCode="General">
                  <c:v>0</c:v>
                </c:pt>
                <c:pt idx="529" formatCode="General">
                  <c:v>0</c:v>
                </c:pt>
                <c:pt idx="530" formatCode="General">
                  <c:v>0</c:v>
                </c:pt>
                <c:pt idx="531" formatCode="General">
                  <c:v>0</c:v>
                </c:pt>
                <c:pt idx="532" formatCode="General">
                  <c:v>0</c:v>
                </c:pt>
                <c:pt idx="533" formatCode="General">
                  <c:v>0</c:v>
                </c:pt>
                <c:pt idx="534" formatCode="General">
                  <c:v>0</c:v>
                </c:pt>
                <c:pt idx="535" formatCode="General">
                  <c:v>0</c:v>
                </c:pt>
                <c:pt idx="536" formatCode="General">
                  <c:v>0</c:v>
                </c:pt>
                <c:pt idx="537" formatCode="General">
                  <c:v>0</c:v>
                </c:pt>
                <c:pt idx="538" formatCode="General">
                  <c:v>0</c:v>
                </c:pt>
                <c:pt idx="539" formatCode="General">
                  <c:v>0</c:v>
                </c:pt>
                <c:pt idx="540" formatCode="General">
                  <c:v>0</c:v>
                </c:pt>
                <c:pt idx="541" formatCode="General">
                  <c:v>0</c:v>
                </c:pt>
                <c:pt idx="542" formatCode="General">
                  <c:v>0</c:v>
                </c:pt>
                <c:pt idx="543" formatCode="General">
                  <c:v>0</c:v>
                </c:pt>
                <c:pt idx="544" formatCode="General">
                  <c:v>0</c:v>
                </c:pt>
                <c:pt idx="545" formatCode="General">
                  <c:v>0</c:v>
                </c:pt>
                <c:pt idx="546" formatCode="General">
                  <c:v>0</c:v>
                </c:pt>
                <c:pt idx="547" formatCode="General">
                  <c:v>0</c:v>
                </c:pt>
                <c:pt idx="548" formatCode="General">
                  <c:v>0</c:v>
                </c:pt>
                <c:pt idx="549" formatCode="General">
                  <c:v>0</c:v>
                </c:pt>
                <c:pt idx="550" formatCode="General">
                  <c:v>0</c:v>
                </c:pt>
                <c:pt idx="551" formatCode="General">
                  <c:v>0</c:v>
                </c:pt>
                <c:pt idx="552" formatCode="General">
                  <c:v>0</c:v>
                </c:pt>
                <c:pt idx="553" formatCode="General">
                  <c:v>0</c:v>
                </c:pt>
                <c:pt idx="554" formatCode="General">
                  <c:v>0</c:v>
                </c:pt>
                <c:pt idx="555" formatCode="General">
                  <c:v>0</c:v>
                </c:pt>
                <c:pt idx="556" formatCode="General">
                  <c:v>0</c:v>
                </c:pt>
                <c:pt idx="557" formatCode="General">
                  <c:v>0</c:v>
                </c:pt>
                <c:pt idx="558" formatCode="General">
                  <c:v>0</c:v>
                </c:pt>
                <c:pt idx="559" formatCode="General">
                  <c:v>0</c:v>
                </c:pt>
                <c:pt idx="560" formatCode="General">
                  <c:v>0</c:v>
                </c:pt>
                <c:pt idx="561" formatCode="General">
                  <c:v>0</c:v>
                </c:pt>
                <c:pt idx="562" formatCode="General">
                  <c:v>0</c:v>
                </c:pt>
                <c:pt idx="563" formatCode="General">
                  <c:v>0</c:v>
                </c:pt>
                <c:pt idx="564" formatCode="General">
                  <c:v>0</c:v>
                </c:pt>
                <c:pt idx="565" formatCode="General">
                  <c:v>0</c:v>
                </c:pt>
                <c:pt idx="566" formatCode="General">
                  <c:v>0</c:v>
                </c:pt>
                <c:pt idx="567" formatCode="General">
                  <c:v>0</c:v>
                </c:pt>
                <c:pt idx="568" formatCode="General">
                  <c:v>0</c:v>
                </c:pt>
                <c:pt idx="569" formatCode="General">
                  <c:v>0</c:v>
                </c:pt>
                <c:pt idx="570" formatCode="General">
                  <c:v>0</c:v>
                </c:pt>
                <c:pt idx="571" formatCode="General">
                  <c:v>0</c:v>
                </c:pt>
                <c:pt idx="572" formatCode="General">
                  <c:v>0</c:v>
                </c:pt>
                <c:pt idx="573" formatCode="General">
                  <c:v>0</c:v>
                </c:pt>
                <c:pt idx="574" formatCode="General">
                  <c:v>0</c:v>
                </c:pt>
                <c:pt idx="575" formatCode="General">
                  <c:v>0</c:v>
                </c:pt>
                <c:pt idx="576" formatCode="General">
                  <c:v>0</c:v>
                </c:pt>
                <c:pt idx="577" formatCode="General">
                  <c:v>0</c:v>
                </c:pt>
                <c:pt idx="578" formatCode="General">
                  <c:v>0</c:v>
                </c:pt>
                <c:pt idx="579" formatCode="General">
                  <c:v>0</c:v>
                </c:pt>
                <c:pt idx="580" formatCode="General">
                  <c:v>0</c:v>
                </c:pt>
                <c:pt idx="581" formatCode="General">
                  <c:v>0</c:v>
                </c:pt>
                <c:pt idx="582" formatCode="General">
                  <c:v>0</c:v>
                </c:pt>
                <c:pt idx="583" formatCode="General">
                  <c:v>0</c:v>
                </c:pt>
                <c:pt idx="584" formatCode="General">
                  <c:v>0</c:v>
                </c:pt>
                <c:pt idx="585" formatCode="General">
                  <c:v>0</c:v>
                </c:pt>
                <c:pt idx="586" formatCode="General">
                  <c:v>0</c:v>
                </c:pt>
                <c:pt idx="587" formatCode="General">
                  <c:v>0</c:v>
                </c:pt>
                <c:pt idx="588" formatCode="General">
                  <c:v>0</c:v>
                </c:pt>
                <c:pt idx="589" formatCode="General">
                  <c:v>0</c:v>
                </c:pt>
                <c:pt idx="590" formatCode="General">
                  <c:v>0</c:v>
                </c:pt>
                <c:pt idx="591" formatCode="General">
                  <c:v>0</c:v>
                </c:pt>
                <c:pt idx="592" formatCode="General">
                  <c:v>0</c:v>
                </c:pt>
                <c:pt idx="593" formatCode="General">
                  <c:v>0</c:v>
                </c:pt>
                <c:pt idx="594" formatCode="General">
                  <c:v>0</c:v>
                </c:pt>
                <c:pt idx="595" formatCode="General">
                  <c:v>0</c:v>
                </c:pt>
                <c:pt idx="596" formatCode="General">
                  <c:v>0</c:v>
                </c:pt>
                <c:pt idx="597" formatCode="General">
                  <c:v>0</c:v>
                </c:pt>
                <c:pt idx="598" formatCode="General">
                  <c:v>0</c:v>
                </c:pt>
                <c:pt idx="599" formatCode="General">
                  <c:v>0</c:v>
                </c:pt>
                <c:pt idx="600" formatCode="General">
                  <c:v>0</c:v>
                </c:pt>
                <c:pt idx="601" formatCode="General">
                  <c:v>0</c:v>
                </c:pt>
                <c:pt idx="602" formatCode="General">
                  <c:v>0</c:v>
                </c:pt>
                <c:pt idx="603" formatCode="General">
                  <c:v>0</c:v>
                </c:pt>
                <c:pt idx="604" formatCode="General">
                  <c:v>0</c:v>
                </c:pt>
                <c:pt idx="605" formatCode="General">
                  <c:v>0</c:v>
                </c:pt>
                <c:pt idx="606" formatCode="General">
                  <c:v>0</c:v>
                </c:pt>
                <c:pt idx="607" formatCode="General">
                  <c:v>0</c:v>
                </c:pt>
                <c:pt idx="608" formatCode="General">
                  <c:v>0</c:v>
                </c:pt>
                <c:pt idx="609" formatCode="General">
                  <c:v>0</c:v>
                </c:pt>
                <c:pt idx="610" formatCode="General">
                  <c:v>0</c:v>
                </c:pt>
                <c:pt idx="611" formatCode="General">
                  <c:v>0</c:v>
                </c:pt>
                <c:pt idx="612" formatCode="General">
                  <c:v>0</c:v>
                </c:pt>
                <c:pt idx="613" formatCode="General">
                  <c:v>0</c:v>
                </c:pt>
                <c:pt idx="614" formatCode="General">
                  <c:v>0</c:v>
                </c:pt>
                <c:pt idx="615" formatCode="General">
                  <c:v>0</c:v>
                </c:pt>
                <c:pt idx="616" formatCode="General">
                  <c:v>0</c:v>
                </c:pt>
                <c:pt idx="617" formatCode="General">
                  <c:v>0</c:v>
                </c:pt>
                <c:pt idx="618" formatCode="General">
                  <c:v>0</c:v>
                </c:pt>
                <c:pt idx="619" formatCode="General">
                  <c:v>0</c:v>
                </c:pt>
                <c:pt idx="620" formatCode="General">
                  <c:v>0</c:v>
                </c:pt>
                <c:pt idx="621" formatCode="General">
                  <c:v>0</c:v>
                </c:pt>
                <c:pt idx="622" formatCode="General">
                  <c:v>0</c:v>
                </c:pt>
                <c:pt idx="623" formatCode="General">
                  <c:v>0</c:v>
                </c:pt>
                <c:pt idx="624" formatCode="General">
                  <c:v>0</c:v>
                </c:pt>
                <c:pt idx="625" formatCode="General">
                  <c:v>0</c:v>
                </c:pt>
                <c:pt idx="626" formatCode="General">
                  <c:v>0</c:v>
                </c:pt>
                <c:pt idx="627" formatCode="General">
                  <c:v>0</c:v>
                </c:pt>
                <c:pt idx="628" formatCode="General">
                  <c:v>0</c:v>
                </c:pt>
                <c:pt idx="629" formatCode="General">
                  <c:v>0</c:v>
                </c:pt>
                <c:pt idx="630" formatCode="General">
                  <c:v>0</c:v>
                </c:pt>
                <c:pt idx="631" formatCode="General">
                  <c:v>0</c:v>
                </c:pt>
                <c:pt idx="632" formatCode="General">
                  <c:v>0</c:v>
                </c:pt>
                <c:pt idx="633" formatCode="General">
                  <c:v>0</c:v>
                </c:pt>
                <c:pt idx="634" formatCode="General">
                  <c:v>0</c:v>
                </c:pt>
                <c:pt idx="635" formatCode="General">
                  <c:v>0</c:v>
                </c:pt>
                <c:pt idx="636" formatCode="General">
                  <c:v>0</c:v>
                </c:pt>
                <c:pt idx="637" formatCode="General">
                  <c:v>0</c:v>
                </c:pt>
                <c:pt idx="638" formatCode="General">
                  <c:v>0</c:v>
                </c:pt>
                <c:pt idx="639" formatCode="General">
                  <c:v>0</c:v>
                </c:pt>
                <c:pt idx="640" formatCode="General">
                  <c:v>0</c:v>
                </c:pt>
                <c:pt idx="641" formatCode="General">
                  <c:v>0</c:v>
                </c:pt>
                <c:pt idx="642" formatCode="General">
                  <c:v>0</c:v>
                </c:pt>
                <c:pt idx="643" formatCode="General">
                  <c:v>0</c:v>
                </c:pt>
                <c:pt idx="644" formatCode="General">
                  <c:v>0</c:v>
                </c:pt>
                <c:pt idx="645" formatCode="General">
                  <c:v>0</c:v>
                </c:pt>
                <c:pt idx="646" formatCode="General">
                  <c:v>0</c:v>
                </c:pt>
                <c:pt idx="647" formatCode="General">
                  <c:v>0</c:v>
                </c:pt>
                <c:pt idx="648" formatCode="General">
                  <c:v>0</c:v>
                </c:pt>
                <c:pt idx="649" formatCode="General">
                  <c:v>0</c:v>
                </c:pt>
                <c:pt idx="650" formatCode="General">
                  <c:v>0</c:v>
                </c:pt>
                <c:pt idx="651" formatCode="General">
                  <c:v>0</c:v>
                </c:pt>
                <c:pt idx="652" formatCode="General">
                  <c:v>0</c:v>
                </c:pt>
                <c:pt idx="653" formatCode="General">
                  <c:v>0</c:v>
                </c:pt>
                <c:pt idx="654" formatCode="General">
                  <c:v>0</c:v>
                </c:pt>
                <c:pt idx="655" formatCode="General">
                  <c:v>0</c:v>
                </c:pt>
                <c:pt idx="656" formatCode="General">
                  <c:v>0</c:v>
                </c:pt>
                <c:pt idx="657" formatCode="General">
                  <c:v>0</c:v>
                </c:pt>
                <c:pt idx="658" formatCode="General">
                  <c:v>0</c:v>
                </c:pt>
                <c:pt idx="659" formatCode="General">
                  <c:v>0</c:v>
                </c:pt>
                <c:pt idx="660" formatCode="General">
                  <c:v>0</c:v>
                </c:pt>
                <c:pt idx="661" formatCode="General">
                  <c:v>0</c:v>
                </c:pt>
                <c:pt idx="662" formatCode="General">
                  <c:v>0</c:v>
                </c:pt>
                <c:pt idx="663" formatCode="General">
                  <c:v>0</c:v>
                </c:pt>
                <c:pt idx="664" formatCode="General">
                  <c:v>0</c:v>
                </c:pt>
                <c:pt idx="665" formatCode="General">
                  <c:v>0</c:v>
                </c:pt>
                <c:pt idx="666" formatCode="General">
                  <c:v>0</c:v>
                </c:pt>
                <c:pt idx="667" formatCode="General">
                  <c:v>0</c:v>
                </c:pt>
                <c:pt idx="668" formatCode="General">
                  <c:v>0</c:v>
                </c:pt>
                <c:pt idx="669" formatCode="General">
                  <c:v>0</c:v>
                </c:pt>
                <c:pt idx="670" formatCode="General">
                  <c:v>0</c:v>
                </c:pt>
                <c:pt idx="671" formatCode="General">
                  <c:v>0</c:v>
                </c:pt>
                <c:pt idx="672" formatCode="General">
                  <c:v>0</c:v>
                </c:pt>
                <c:pt idx="673" formatCode="General">
                  <c:v>0</c:v>
                </c:pt>
                <c:pt idx="674" formatCode="General">
                  <c:v>0</c:v>
                </c:pt>
                <c:pt idx="675" formatCode="General">
                  <c:v>0</c:v>
                </c:pt>
                <c:pt idx="676" formatCode="General">
                  <c:v>0</c:v>
                </c:pt>
                <c:pt idx="677" formatCode="General">
                  <c:v>0</c:v>
                </c:pt>
                <c:pt idx="678" formatCode="General">
                  <c:v>0</c:v>
                </c:pt>
                <c:pt idx="679" formatCode="General">
                  <c:v>0</c:v>
                </c:pt>
                <c:pt idx="680" formatCode="General">
                  <c:v>0</c:v>
                </c:pt>
                <c:pt idx="681" formatCode="General">
                  <c:v>0</c:v>
                </c:pt>
                <c:pt idx="682" formatCode="General">
                  <c:v>0</c:v>
                </c:pt>
                <c:pt idx="683" formatCode="General">
                  <c:v>0</c:v>
                </c:pt>
                <c:pt idx="684" formatCode="General">
                  <c:v>0</c:v>
                </c:pt>
                <c:pt idx="685" formatCode="General">
                  <c:v>0</c:v>
                </c:pt>
                <c:pt idx="686" formatCode="General">
                  <c:v>0</c:v>
                </c:pt>
                <c:pt idx="687" formatCode="General">
                  <c:v>0</c:v>
                </c:pt>
                <c:pt idx="688" formatCode="General">
                  <c:v>0</c:v>
                </c:pt>
                <c:pt idx="689" formatCode="General">
                  <c:v>0</c:v>
                </c:pt>
                <c:pt idx="690" formatCode="General">
                  <c:v>0</c:v>
                </c:pt>
                <c:pt idx="691" formatCode="General">
                  <c:v>0</c:v>
                </c:pt>
                <c:pt idx="692" formatCode="General">
                  <c:v>0</c:v>
                </c:pt>
                <c:pt idx="693" formatCode="General">
                  <c:v>0</c:v>
                </c:pt>
                <c:pt idx="694" formatCode="General">
                  <c:v>0</c:v>
                </c:pt>
                <c:pt idx="695" formatCode="General">
                  <c:v>0</c:v>
                </c:pt>
                <c:pt idx="696" formatCode="General">
                  <c:v>0</c:v>
                </c:pt>
                <c:pt idx="697" formatCode="General">
                  <c:v>0</c:v>
                </c:pt>
                <c:pt idx="698" formatCode="General">
                  <c:v>0</c:v>
                </c:pt>
                <c:pt idx="699" formatCode="General">
                  <c:v>0</c:v>
                </c:pt>
                <c:pt idx="700" formatCode="General">
                  <c:v>0</c:v>
                </c:pt>
                <c:pt idx="701" formatCode="General">
                  <c:v>0</c:v>
                </c:pt>
                <c:pt idx="702" formatCode="General">
                  <c:v>0</c:v>
                </c:pt>
                <c:pt idx="703" formatCode="General">
                  <c:v>0</c:v>
                </c:pt>
                <c:pt idx="704" formatCode="General">
                  <c:v>0</c:v>
                </c:pt>
                <c:pt idx="705" formatCode="General">
                  <c:v>0</c:v>
                </c:pt>
                <c:pt idx="706" formatCode="General">
                  <c:v>0</c:v>
                </c:pt>
                <c:pt idx="707" formatCode="General">
                  <c:v>0</c:v>
                </c:pt>
                <c:pt idx="708" formatCode="General">
                  <c:v>0</c:v>
                </c:pt>
                <c:pt idx="709" formatCode="General">
                  <c:v>0</c:v>
                </c:pt>
                <c:pt idx="710" formatCode="General">
                  <c:v>0</c:v>
                </c:pt>
                <c:pt idx="711" formatCode="General">
                  <c:v>0</c:v>
                </c:pt>
                <c:pt idx="712" formatCode="General">
                  <c:v>0</c:v>
                </c:pt>
                <c:pt idx="713" formatCode="General">
                  <c:v>0</c:v>
                </c:pt>
                <c:pt idx="714" formatCode="General">
                  <c:v>0</c:v>
                </c:pt>
                <c:pt idx="715" formatCode="General">
                  <c:v>0</c:v>
                </c:pt>
                <c:pt idx="716" formatCode="General">
                  <c:v>0</c:v>
                </c:pt>
                <c:pt idx="717" formatCode="General">
                  <c:v>0</c:v>
                </c:pt>
                <c:pt idx="718" formatCode="General">
                  <c:v>0</c:v>
                </c:pt>
                <c:pt idx="719" formatCode="General">
                  <c:v>0</c:v>
                </c:pt>
                <c:pt idx="720" formatCode="General">
                  <c:v>0</c:v>
                </c:pt>
                <c:pt idx="721" formatCode="General">
                  <c:v>0</c:v>
                </c:pt>
                <c:pt idx="722" formatCode="General">
                  <c:v>0</c:v>
                </c:pt>
                <c:pt idx="723" formatCode="General">
                  <c:v>0</c:v>
                </c:pt>
                <c:pt idx="724" formatCode="General">
                  <c:v>0</c:v>
                </c:pt>
                <c:pt idx="725" formatCode="General">
                  <c:v>0</c:v>
                </c:pt>
                <c:pt idx="726" formatCode="General">
                  <c:v>0</c:v>
                </c:pt>
                <c:pt idx="727" formatCode="General">
                  <c:v>0</c:v>
                </c:pt>
                <c:pt idx="728" formatCode="General">
                  <c:v>0</c:v>
                </c:pt>
                <c:pt idx="729" formatCode="General">
                  <c:v>0</c:v>
                </c:pt>
                <c:pt idx="730" formatCode="General">
                  <c:v>0</c:v>
                </c:pt>
                <c:pt idx="731" formatCode="General">
                  <c:v>0</c:v>
                </c:pt>
                <c:pt idx="732" formatCode="General">
                  <c:v>0</c:v>
                </c:pt>
                <c:pt idx="733" formatCode="General">
                  <c:v>0</c:v>
                </c:pt>
                <c:pt idx="734" formatCode="General">
                  <c:v>0</c:v>
                </c:pt>
                <c:pt idx="735" formatCode="General">
                  <c:v>0</c:v>
                </c:pt>
                <c:pt idx="736" formatCode="General">
                  <c:v>0</c:v>
                </c:pt>
                <c:pt idx="737" formatCode="General">
                  <c:v>0</c:v>
                </c:pt>
                <c:pt idx="738" formatCode="General">
                  <c:v>0</c:v>
                </c:pt>
                <c:pt idx="739" formatCode="General">
                  <c:v>0</c:v>
                </c:pt>
                <c:pt idx="740" formatCode="General">
                  <c:v>0</c:v>
                </c:pt>
                <c:pt idx="741" formatCode="General">
                  <c:v>0</c:v>
                </c:pt>
                <c:pt idx="742" formatCode="General">
                  <c:v>0</c:v>
                </c:pt>
                <c:pt idx="743" formatCode="General">
                  <c:v>0</c:v>
                </c:pt>
                <c:pt idx="744" formatCode="General">
                  <c:v>0</c:v>
                </c:pt>
                <c:pt idx="745" formatCode="General">
                  <c:v>0</c:v>
                </c:pt>
                <c:pt idx="746" formatCode="General">
                  <c:v>0</c:v>
                </c:pt>
                <c:pt idx="747" formatCode="General">
                  <c:v>0</c:v>
                </c:pt>
                <c:pt idx="748" formatCode="General">
                  <c:v>0</c:v>
                </c:pt>
                <c:pt idx="749" formatCode="General">
                  <c:v>0</c:v>
                </c:pt>
                <c:pt idx="750" formatCode="General">
                  <c:v>0</c:v>
                </c:pt>
                <c:pt idx="751" formatCode="General">
                  <c:v>0</c:v>
                </c:pt>
                <c:pt idx="752" formatCode="General">
                  <c:v>0</c:v>
                </c:pt>
                <c:pt idx="753" formatCode="General">
                  <c:v>0</c:v>
                </c:pt>
                <c:pt idx="754" formatCode="General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BF5F-4B11-A5E8-435494E0689B}"/>
            </c:ext>
          </c:extLst>
        </c:ser>
        <c:ser>
          <c:idx val="4"/>
          <c:order val="4"/>
          <c:tx>
            <c:strRef>
              <c:f>주문_리스트!$E$1</c:f>
              <c:strCache>
                <c:ptCount val="1"/>
                <c:pt idx="0">
                  <c:v>제품명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val>
            <c:numRef>
              <c:f>주문_리스트!$E$2:$E$756</c:f>
              <c:numCache>
                <c:formatCode>0</c:formatCode>
                <c:ptCount val="75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415054509</c:v>
                </c:pt>
                <c:pt idx="10">
                  <c:v>0</c:v>
                </c:pt>
                <c:pt idx="11">
                  <c:v>602000700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 formatCode="_(* #,##0_);_(* \(#,##0\);_(* &quot;-&quot;_);_(@_)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 formatCode="General">
                  <c:v>0</c:v>
                </c:pt>
                <c:pt idx="29" formatCode="General">
                  <c:v>0</c:v>
                </c:pt>
                <c:pt idx="30" formatCode="General">
                  <c:v>0</c:v>
                </c:pt>
                <c:pt idx="31" formatCode="General">
                  <c:v>0</c:v>
                </c:pt>
                <c:pt idx="32" formatCode="General">
                  <c:v>0</c:v>
                </c:pt>
                <c:pt idx="33" formatCode="General">
                  <c:v>0</c:v>
                </c:pt>
                <c:pt idx="34" formatCode="General">
                  <c:v>0</c:v>
                </c:pt>
                <c:pt idx="35" formatCode="General">
                  <c:v>0</c:v>
                </c:pt>
                <c:pt idx="36" formatCode="General">
                  <c:v>0</c:v>
                </c:pt>
                <c:pt idx="37" formatCode="General">
                  <c:v>0</c:v>
                </c:pt>
                <c:pt idx="38" formatCode="General">
                  <c:v>0</c:v>
                </c:pt>
                <c:pt idx="39" formatCode="General">
                  <c:v>0</c:v>
                </c:pt>
                <c:pt idx="40" formatCode="General">
                  <c:v>0</c:v>
                </c:pt>
                <c:pt idx="41" formatCode="General">
                  <c:v>0</c:v>
                </c:pt>
                <c:pt idx="42" formatCode="General">
                  <c:v>0</c:v>
                </c:pt>
                <c:pt idx="43" formatCode="General">
                  <c:v>0</c:v>
                </c:pt>
                <c:pt idx="44" formatCode="General">
                  <c:v>0</c:v>
                </c:pt>
                <c:pt idx="45" formatCode="General">
                  <c:v>0</c:v>
                </c:pt>
                <c:pt idx="46" formatCode="General">
                  <c:v>0</c:v>
                </c:pt>
                <c:pt idx="47" formatCode="General">
                  <c:v>0</c:v>
                </c:pt>
                <c:pt idx="48" formatCode="General">
                  <c:v>0</c:v>
                </c:pt>
                <c:pt idx="49" formatCode="General">
                  <c:v>0</c:v>
                </c:pt>
                <c:pt idx="50" formatCode="General">
                  <c:v>0</c:v>
                </c:pt>
                <c:pt idx="51" formatCode="General">
                  <c:v>0</c:v>
                </c:pt>
                <c:pt idx="52" formatCode="General">
                  <c:v>0</c:v>
                </c:pt>
                <c:pt idx="53" formatCode="General">
                  <c:v>0</c:v>
                </c:pt>
                <c:pt idx="54" formatCode="General">
                  <c:v>0</c:v>
                </c:pt>
                <c:pt idx="55" formatCode="General">
                  <c:v>0</c:v>
                </c:pt>
                <c:pt idx="56" formatCode="General">
                  <c:v>0</c:v>
                </c:pt>
                <c:pt idx="57" formatCode="General">
                  <c:v>0</c:v>
                </c:pt>
                <c:pt idx="58" formatCode="General">
                  <c:v>0</c:v>
                </c:pt>
                <c:pt idx="59" formatCode="General">
                  <c:v>0</c:v>
                </c:pt>
                <c:pt idx="60" formatCode="General">
                  <c:v>0</c:v>
                </c:pt>
                <c:pt idx="61" formatCode="General">
                  <c:v>0</c:v>
                </c:pt>
                <c:pt idx="62" formatCode="General">
                  <c:v>0</c:v>
                </c:pt>
                <c:pt idx="63" formatCode="General">
                  <c:v>0</c:v>
                </c:pt>
                <c:pt idx="64" formatCode="General">
                  <c:v>0</c:v>
                </c:pt>
                <c:pt idx="65" formatCode="General">
                  <c:v>0</c:v>
                </c:pt>
                <c:pt idx="66" formatCode="General">
                  <c:v>0</c:v>
                </c:pt>
                <c:pt idx="67" formatCode="General">
                  <c:v>2703900</c:v>
                </c:pt>
                <c:pt idx="68" formatCode="General">
                  <c:v>0</c:v>
                </c:pt>
                <c:pt idx="69" formatCode="General">
                  <c:v>0</c:v>
                </c:pt>
                <c:pt idx="70" formatCode="General">
                  <c:v>0</c:v>
                </c:pt>
                <c:pt idx="71" formatCode="General">
                  <c:v>0</c:v>
                </c:pt>
                <c:pt idx="72" formatCode="General">
                  <c:v>0</c:v>
                </c:pt>
                <c:pt idx="73" formatCode="General">
                  <c:v>0</c:v>
                </c:pt>
                <c:pt idx="74" formatCode="General">
                  <c:v>0</c:v>
                </c:pt>
                <c:pt idx="75" formatCode="General">
                  <c:v>0</c:v>
                </c:pt>
                <c:pt idx="76" formatCode="General">
                  <c:v>0</c:v>
                </c:pt>
                <c:pt idx="77" formatCode="General">
                  <c:v>0</c:v>
                </c:pt>
                <c:pt idx="78" formatCode="General">
                  <c:v>0</c:v>
                </c:pt>
                <c:pt idx="79" formatCode="General">
                  <c:v>0</c:v>
                </c:pt>
                <c:pt idx="80" formatCode="General">
                  <c:v>0</c:v>
                </c:pt>
                <c:pt idx="81" formatCode="General">
                  <c:v>0</c:v>
                </c:pt>
                <c:pt idx="82" formatCode="General">
                  <c:v>0</c:v>
                </c:pt>
                <c:pt idx="83" formatCode="General">
                  <c:v>0</c:v>
                </c:pt>
                <c:pt idx="84" formatCode="General">
                  <c:v>0</c:v>
                </c:pt>
                <c:pt idx="85" formatCode="General">
                  <c:v>0</c:v>
                </c:pt>
                <c:pt idx="86" formatCode="General">
                  <c:v>0</c:v>
                </c:pt>
                <c:pt idx="87" formatCode="General">
                  <c:v>0</c:v>
                </c:pt>
                <c:pt idx="88" formatCode="General">
                  <c:v>0</c:v>
                </c:pt>
                <c:pt idx="89" formatCode="General">
                  <c:v>0</c:v>
                </c:pt>
                <c:pt idx="90" formatCode="General">
                  <c:v>0</c:v>
                </c:pt>
                <c:pt idx="91" formatCode="General">
                  <c:v>0</c:v>
                </c:pt>
                <c:pt idx="92" formatCode="General">
                  <c:v>0</c:v>
                </c:pt>
                <c:pt idx="93" formatCode="General">
                  <c:v>0</c:v>
                </c:pt>
                <c:pt idx="94" formatCode="General">
                  <c:v>0</c:v>
                </c:pt>
                <c:pt idx="95" formatCode="General">
                  <c:v>0</c:v>
                </c:pt>
                <c:pt idx="96" formatCode="General">
                  <c:v>0</c:v>
                </c:pt>
                <c:pt idx="97" formatCode="General">
                  <c:v>0</c:v>
                </c:pt>
                <c:pt idx="98" formatCode="General">
                  <c:v>0</c:v>
                </c:pt>
                <c:pt idx="99" formatCode="General">
                  <c:v>0</c:v>
                </c:pt>
                <c:pt idx="100" formatCode="General">
                  <c:v>0</c:v>
                </c:pt>
                <c:pt idx="101" formatCode="General">
                  <c:v>0</c:v>
                </c:pt>
                <c:pt idx="102" formatCode="General">
                  <c:v>0</c:v>
                </c:pt>
                <c:pt idx="103" formatCode="General">
                  <c:v>0</c:v>
                </c:pt>
                <c:pt idx="104" formatCode="General">
                  <c:v>0</c:v>
                </c:pt>
                <c:pt idx="105" formatCode="General">
                  <c:v>0</c:v>
                </c:pt>
                <c:pt idx="106" formatCode="General">
                  <c:v>0</c:v>
                </c:pt>
                <c:pt idx="107" formatCode="General">
                  <c:v>0</c:v>
                </c:pt>
                <c:pt idx="108" formatCode="General">
                  <c:v>0</c:v>
                </c:pt>
                <c:pt idx="109" formatCode="General">
                  <c:v>0</c:v>
                </c:pt>
                <c:pt idx="110" formatCode="General">
                  <c:v>0</c:v>
                </c:pt>
                <c:pt idx="111" formatCode="General">
                  <c:v>0</c:v>
                </c:pt>
                <c:pt idx="112" formatCode="General">
                  <c:v>0</c:v>
                </c:pt>
                <c:pt idx="113" formatCode="General">
                  <c:v>0</c:v>
                </c:pt>
                <c:pt idx="114" formatCode="General">
                  <c:v>0</c:v>
                </c:pt>
                <c:pt idx="115" formatCode="General">
                  <c:v>0</c:v>
                </c:pt>
                <c:pt idx="116" formatCode="General">
                  <c:v>0</c:v>
                </c:pt>
                <c:pt idx="117" formatCode="General">
                  <c:v>0</c:v>
                </c:pt>
                <c:pt idx="118" formatCode="General">
                  <c:v>0</c:v>
                </c:pt>
                <c:pt idx="119" formatCode="General">
                  <c:v>0</c:v>
                </c:pt>
                <c:pt idx="120" formatCode="General">
                  <c:v>0</c:v>
                </c:pt>
                <c:pt idx="121" formatCode="General">
                  <c:v>0</c:v>
                </c:pt>
                <c:pt idx="122" formatCode="General">
                  <c:v>0</c:v>
                </c:pt>
                <c:pt idx="123" formatCode="General">
                  <c:v>0</c:v>
                </c:pt>
                <c:pt idx="124" formatCode="General">
                  <c:v>0</c:v>
                </c:pt>
                <c:pt idx="125" formatCode="General">
                  <c:v>0</c:v>
                </c:pt>
                <c:pt idx="126" formatCode="General">
                  <c:v>0</c:v>
                </c:pt>
                <c:pt idx="127" formatCode="General">
                  <c:v>0</c:v>
                </c:pt>
                <c:pt idx="128" formatCode="General">
                  <c:v>0</c:v>
                </c:pt>
                <c:pt idx="129" formatCode="General">
                  <c:v>0</c:v>
                </c:pt>
                <c:pt idx="130" formatCode="General">
                  <c:v>0</c:v>
                </c:pt>
                <c:pt idx="131" formatCode="General">
                  <c:v>0</c:v>
                </c:pt>
                <c:pt idx="132" formatCode="General">
                  <c:v>0</c:v>
                </c:pt>
                <c:pt idx="133" formatCode="General">
                  <c:v>0</c:v>
                </c:pt>
                <c:pt idx="134" formatCode="General">
                  <c:v>0</c:v>
                </c:pt>
                <c:pt idx="135" formatCode="General">
                  <c:v>0</c:v>
                </c:pt>
                <c:pt idx="136" formatCode="General">
                  <c:v>0</c:v>
                </c:pt>
                <c:pt idx="138" formatCode="General">
                  <c:v>0</c:v>
                </c:pt>
                <c:pt idx="139" formatCode="General">
                  <c:v>0</c:v>
                </c:pt>
                <c:pt idx="140" formatCode="General">
                  <c:v>0</c:v>
                </c:pt>
                <c:pt idx="141" formatCode="General">
                  <c:v>0</c:v>
                </c:pt>
                <c:pt idx="142" formatCode="General">
                  <c:v>0</c:v>
                </c:pt>
                <c:pt idx="143" formatCode="General">
                  <c:v>0</c:v>
                </c:pt>
                <c:pt idx="144" formatCode="General">
                  <c:v>0</c:v>
                </c:pt>
                <c:pt idx="145" formatCode="General">
                  <c:v>0</c:v>
                </c:pt>
                <c:pt idx="146" formatCode="General">
                  <c:v>0</c:v>
                </c:pt>
                <c:pt idx="147" formatCode="General">
                  <c:v>0</c:v>
                </c:pt>
                <c:pt idx="148" formatCode="General">
                  <c:v>0</c:v>
                </c:pt>
                <c:pt idx="149" formatCode="General">
                  <c:v>0</c:v>
                </c:pt>
                <c:pt idx="150" formatCode="General">
                  <c:v>0</c:v>
                </c:pt>
                <c:pt idx="151" formatCode="General">
                  <c:v>0</c:v>
                </c:pt>
                <c:pt idx="152" formatCode="General">
                  <c:v>0</c:v>
                </c:pt>
                <c:pt idx="153" formatCode="General">
                  <c:v>0</c:v>
                </c:pt>
                <c:pt idx="154" formatCode="General">
                  <c:v>0</c:v>
                </c:pt>
                <c:pt idx="155" formatCode="General">
                  <c:v>0</c:v>
                </c:pt>
                <c:pt idx="156" formatCode="General">
                  <c:v>0</c:v>
                </c:pt>
                <c:pt idx="157" formatCode="General">
                  <c:v>0</c:v>
                </c:pt>
                <c:pt idx="158" formatCode="General">
                  <c:v>0</c:v>
                </c:pt>
                <c:pt idx="159" formatCode="General">
                  <c:v>0</c:v>
                </c:pt>
                <c:pt idx="160" formatCode="General">
                  <c:v>0</c:v>
                </c:pt>
                <c:pt idx="161" formatCode="General">
                  <c:v>0</c:v>
                </c:pt>
                <c:pt idx="162" formatCode="General">
                  <c:v>0</c:v>
                </c:pt>
                <c:pt idx="163" formatCode="General">
                  <c:v>0</c:v>
                </c:pt>
                <c:pt idx="164" formatCode="General">
                  <c:v>0</c:v>
                </c:pt>
                <c:pt idx="165" formatCode="General">
                  <c:v>0</c:v>
                </c:pt>
                <c:pt idx="166" formatCode="General">
                  <c:v>0</c:v>
                </c:pt>
                <c:pt idx="167" formatCode="General">
                  <c:v>0</c:v>
                </c:pt>
                <c:pt idx="168" formatCode="General">
                  <c:v>0</c:v>
                </c:pt>
                <c:pt idx="169" formatCode="General">
                  <c:v>0</c:v>
                </c:pt>
                <c:pt idx="170" formatCode="General">
                  <c:v>0</c:v>
                </c:pt>
                <c:pt idx="171" formatCode="General">
                  <c:v>0</c:v>
                </c:pt>
                <c:pt idx="172" formatCode="General">
                  <c:v>0</c:v>
                </c:pt>
                <c:pt idx="173" formatCode="General">
                  <c:v>0</c:v>
                </c:pt>
                <c:pt idx="174" formatCode="General">
                  <c:v>0</c:v>
                </c:pt>
                <c:pt idx="175" formatCode="General">
                  <c:v>0</c:v>
                </c:pt>
                <c:pt idx="176" formatCode="General">
                  <c:v>0</c:v>
                </c:pt>
                <c:pt idx="177" formatCode="General">
                  <c:v>0</c:v>
                </c:pt>
                <c:pt idx="178" formatCode="General">
                  <c:v>0</c:v>
                </c:pt>
                <c:pt idx="179" formatCode="General">
                  <c:v>0</c:v>
                </c:pt>
                <c:pt idx="180" formatCode="General">
                  <c:v>0</c:v>
                </c:pt>
                <c:pt idx="181" formatCode="General">
                  <c:v>0</c:v>
                </c:pt>
                <c:pt idx="182" formatCode="General">
                  <c:v>0</c:v>
                </c:pt>
                <c:pt idx="183" formatCode="General">
                  <c:v>0</c:v>
                </c:pt>
                <c:pt idx="184" formatCode="General">
                  <c:v>0</c:v>
                </c:pt>
                <c:pt idx="185" formatCode="General">
                  <c:v>0</c:v>
                </c:pt>
                <c:pt idx="186" formatCode="General">
                  <c:v>0</c:v>
                </c:pt>
                <c:pt idx="187" formatCode="General">
                  <c:v>0</c:v>
                </c:pt>
                <c:pt idx="188" formatCode="General">
                  <c:v>0</c:v>
                </c:pt>
                <c:pt idx="189" formatCode="General">
                  <c:v>0</c:v>
                </c:pt>
                <c:pt idx="190" formatCode="General">
                  <c:v>0</c:v>
                </c:pt>
                <c:pt idx="191" formatCode="General">
                  <c:v>0</c:v>
                </c:pt>
                <c:pt idx="192" formatCode="General">
                  <c:v>0</c:v>
                </c:pt>
                <c:pt idx="193" formatCode="General">
                  <c:v>0</c:v>
                </c:pt>
                <c:pt idx="194" formatCode="General">
                  <c:v>0</c:v>
                </c:pt>
                <c:pt idx="195" formatCode="General">
                  <c:v>0</c:v>
                </c:pt>
                <c:pt idx="196" formatCode="General">
                  <c:v>0</c:v>
                </c:pt>
                <c:pt idx="197" formatCode="General">
                  <c:v>0</c:v>
                </c:pt>
                <c:pt idx="198" formatCode="General">
                  <c:v>0</c:v>
                </c:pt>
                <c:pt idx="199" formatCode="General">
                  <c:v>0</c:v>
                </c:pt>
                <c:pt idx="200" formatCode="General">
                  <c:v>0</c:v>
                </c:pt>
                <c:pt idx="201" formatCode="General">
                  <c:v>0</c:v>
                </c:pt>
                <c:pt idx="202" formatCode="General">
                  <c:v>0</c:v>
                </c:pt>
                <c:pt idx="203" formatCode="General">
                  <c:v>0</c:v>
                </c:pt>
                <c:pt idx="204" formatCode="General">
                  <c:v>0</c:v>
                </c:pt>
                <c:pt idx="205" formatCode="General">
                  <c:v>0</c:v>
                </c:pt>
                <c:pt idx="206" formatCode="General">
                  <c:v>0</c:v>
                </c:pt>
                <c:pt idx="207" formatCode="General">
                  <c:v>0</c:v>
                </c:pt>
                <c:pt idx="208" formatCode="General">
                  <c:v>0</c:v>
                </c:pt>
                <c:pt idx="209" formatCode="General">
                  <c:v>0</c:v>
                </c:pt>
                <c:pt idx="210" formatCode="General">
                  <c:v>0</c:v>
                </c:pt>
                <c:pt idx="211" formatCode="General">
                  <c:v>0</c:v>
                </c:pt>
                <c:pt idx="212" formatCode="General">
                  <c:v>0</c:v>
                </c:pt>
                <c:pt idx="213" formatCode="General">
                  <c:v>0</c:v>
                </c:pt>
                <c:pt idx="214" formatCode="General">
                  <c:v>0</c:v>
                </c:pt>
                <c:pt idx="215" formatCode="General">
                  <c:v>0</c:v>
                </c:pt>
                <c:pt idx="216" formatCode="General">
                  <c:v>0</c:v>
                </c:pt>
                <c:pt idx="217" formatCode="General">
                  <c:v>0</c:v>
                </c:pt>
                <c:pt idx="218" formatCode="General">
                  <c:v>0</c:v>
                </c:pt>
                <c:pt idx="219" formatCode="General">
                  <c:v>0</c:v>
                </c:pt>
                <c:pt idx="220" formatCode="General">
                  <c:v>0</c:v>
                </c:pt>
                <c:pt idx="221" formatCode="General">
                  <c:v>0</c:v>
                </c:pt>
                <c:pt idx="222" formatCode="General">
                  <c:v>0</c:v>
                </c:pt>
                <c:pt idx="223" formatCode="General">
                  <c:v>0</c:v>
                </c:pt>
                <c:pt idx="224" formatCode="General">
                  <c:v>0</c:v>
                </c:pt>
                <c:pt idx="225" formatCode="General">
                  <c:v>0</c:v>
                </c:pt>
                <c:pt idx="226" formatCode="General">
                  <c:v>0</c:v>
                </c:pt>
                <c:pt idx="227" formatCode="General">
                  <c:v>0</c:v>
                </c:pt>
                <c:pt idx="228" formatCode="General">
                  <c:v>0</c:v>
                </c:pt>
                <c:pt idx="229" formatCode="General">
                  <c:v>0</c:v>
                </c:pt>
                <c:pt idx="230" formatCode="General">
                  <c:v>0</c:v>
                </c:pt>
                <c:pt idx="231" formatCode="General">
                  <c:v>0</c:v>
                </c:pt>
                <c:pt idx="232" formatCode="General">
                  <c:v>0</c:v>
                </c:pt>
                <c:pt idx="233" formatCode="General">
                  <c:v>0</c:v>
                </c:pt>
                <c:pt idx="234" formatCode="General">
                  <c:v>0</c:v>
                </c:pt>
                <c:pt idx="235" formatCode="General">
                  <c:v>0</c:v>
                </c:pt>
                <c:pt idx="236" formatCode="General">
                  <c:v>0</c:v>
                </c:pt>
                <c:pt idx="237" formatCode="General">
                  <c:v>0</c:v>
                </c:pt>
                <c:pt idx="238" formatCode="General">
                  <c:v>0</c:v>
                </c:pt>
                <c:pt idx="239" formatCode="General">
                  <c:v>0</c:v>
                </c:pt>
                <c:pt idx="240" formatCode="General">
                  <c:v>0</c:v>
                </c:pt>
                <c:pt idx="241" formatCode="General">
                  <c:v>0</c:v>
                </c:pt>
                <c:pt idx="242" formatCode="General">
                  <c:v>0</c:v>
                </c:pt>
                <c:pt idx="243" formatCode="General">
                  <c:v>0</c:v>
                </c:pt>
                <c:pt idx="244" formatCode="General">
                  <c:v>0</c:v>
                </c:pt>
                <c:pt idx="245" formatCode="General">
                  <c:v>0</c:v>
                </c:pt>
                <c:pt idx="246" formatCode="General">
                  <c:v>0</c:v>
                </c:pt>
                <c:pt idx="247" formatCode="General">
                  <c:v>0</c:v>
                </c:pt>
                <c:pt idx="248" formatCode="General">
                  <c:v>0</c:v>
                </c:pt>
                <c:pt idx="249" formatCode="General">
                  <c:v>0</c:v>
                </c:pt>
                <c:pt idx="250" formatCode="General">
                  <c:v>0</c:v>
                </c:pt>
                <c:pt idx="251" formatCode="General">
                  <c:v>0</c:v>
                </c:pt>
                <c:pt idx="252" formatCode="General">
                  <c:v>0</c:v>
                </c:pt>
                <c:pt idx="253" formatCode="General">
                  <c:v>0</c:v>
                </c:pt>
                <c:pt idx="254" formatCode="General">
                  <c:v>0</c:v>
                </c:pt>
                <c:pt idx="255">
                  <c:v>0</c:v>
                </c:pt>
                <c:pt idx="256" formatCode="General">
                  <c:v>0</c:v>
                </c:pt>
                <c:pt idx="257" formatCode="General">
                  <c:v>0</c:v>
                </c:pt>
                <c:pt idx="258" formatCode="General">
                  <c:v>0</c:v>
                </c:pt>
                <c:pt idx="259" formatCode="General">
                  <c:v>0</c:v>
                </c:pt>
                <c:pt idx="260" formatCode="General">
                  <c:v>0</c:v>
                </c:pt>
                <c:pt idx="261" formatCode="General">
                  <c:v>0</c:v>
                </c:pt>
                <c:pt idx="262" formatCode="General">
                  <c:v>0</c:v>
                </c:pt>
                <c:pt idx="263" formatCode="General">
                  <c:v>0</c:v>
                </c:pt>
                <c:pt idx="264" formatCode="General">
                  <c:v>0</c:v>
                </c:pt>
                <c:pt idx="265" formatCode="General">
                  <c:v>0</c:v>
                </c:pt>
                <c:pt idx="266" formatCode="General">
                  <c:v>0</c:v>
                </c:pt>
                <c:pt idx="267" formatCode="General">
                  <c:v>0</c:v>
                </c:pt>
                <c:pt idx="268" formatCode="General">
                  <c:v>0</c:v>
                </c:pt>
                <c:pt idx="269" formatCode="General">
                  <c:v>0</c:v>
                </c:pt>
                <c:pt idx="270" formatCode="General">
                  <c:v>0</c:v>
                </c:pt>
                <c:pt idx="271" formatCode="General">
                  <c:v>0</c:v>
                </c:pt>
                <c:pt idx="272" formatCode="General">
                  <c:v>0</c:v>
                </c:pt>
                <c:pt idx="273" formatCode="General">
                  <c:v>0</c:v>
                </c:pt>
                <c:pt idx="274" formatCode="General">
                  <c:v>0</c:v>
                </c:pt>
                <c:pt idx="275" formatCode="General">
                  <c:v>0</c:v>
                </c:pt>
                <c:pt idx="276" formatCode="General">
                  <c:v>0</c:v>
                </c:pt>
                <c:pt idx="277" formatCode="General">
                  <c:v>0</c:v>
                </c:pt>
                <c:pt idx="278" formatCode="General">
                  <c:v>0</c:v>
                </c:pt>
                <c:pt idx="279" formatCode="General">
                  <c:v>0</c:v>
                </c:pt>
                <c:pt idx="280" formatCode="General">
                  <c:v>0</c:v>
                </c:pt>
                <c:pt idx="281" formatCode="General">
                  <c:v>0</c:v>
                </c:pt>
                <c:pt idx="282" formatCode="General">
                  <c:v>0</c:v>
                </c:pt>
                <c:pt idx="283" formatCode="General">
                  <c:v>0</c:v>
                </c:pt>
                <c:pt idx="284" formatCode="General">
                  <c:v>0</c:v>
                </c:pt>
                <c:pt idx="285" formatCode="General">
                  <c:v>0</c:v>
                </c:pt>
                <c:pt idx="286" formatCode="General">
                  <c:v>0</c:v>
                </c:pt>
                <c:pt idx="287" formatCode="General">
                  <c:v>0</c:v>
                </c:pt>
                <c:pt idx="288" formatCode="General">
                  <c:v>0</c:v>
                </c:pt>
                <c:pt idx="289" formatCode="General">
                  <c:v>0</c:v>
                </c:pt>
                <c:pt idx="290" formatCode="General">
                  <c:v>0</c:v>
                </c:pt>
                <c:pt idx="291" formatCode="General">
                  <c:v>0</c:v>
                </c:pt>
                <c:pt idx="292" formatCode="General">
                  <c:v>0</c:v>
                </c:pt>
                <c:pt idx="293" formatCode="General">
                  <c:v>0</c:v>
                </c:pt>
                <c:pt idx="294" formatCode="General">
                  <c:v>0</c:v>
                </c:pt>
                <c:pt idx="295" formatCode="General">
                  <c:v>0</c:v>
                </c:pt>
                <c:pt idx="296" formatCode="General">
                  <c:v>0</c:v>
                </c:pt>
                <c:pt idx="297" formatCode="General">
                  <c:v>0</c:v>
                </c:pt>
                <c:pt idx="298" formatCode="General">
                  <c:v>0</c:v>
                </c:pt>
                <c:pt idx="299" formatCode="General">
                  <c:v>0</c:v>
                </c:pt>
                <c:pt idx="300" formatCode="General">
                  <c:v>0</c:v>
                </c:pt>
                <c:pt idx="301" formatCode="General">
                  <c:v>0</c:v>
                </c:pt>
                <c:pt idx="302" formatCode="General">
                  <c:v>0</c:v>
                </c:pt>
                <c:pt idx="303" formatCode="General">
                  <c:v>0</c:v>
                </c:pt>
                <c:pt idx="304" formatCode="General">
                  <c:v>0</c:v>
                </c:pt>
                <c:pt idx="305" formatCode="General">
                  <c:v>0</c:v>
                </c:pt>
                <c:pt idx="306" formatCode="General">
                  <c:v>0</c:v>
                </c:pt>
                <c:pt idx="307" formatCode="General">
                  <c:v>0</c:v>
                </c:pt>
                <c:pt idx="308" formatCode="General">
                  <c:v>0</c:v>
                </c:pt>
                <c:pt idx="309" formatCode="General">
                  <c:v>0</c:v>
                </c:pt>
                <c:pt idx="310" formatCode="General">
                  <c:v>0</c:v>
                </c:pt>
                <c:pt idx="311" formatCode="General">
                  <c:v>0</c:v>
                </c:pt>
                <c:pt idx="312" formatCode="General">
                  <c:v>0</c:v>
                </c:pt>
                <c:pt idx="313" formatCode="General">
                  <c:v>0</c:v>
                </c:pt>
                <c:pt idx="314" formatCode="General">
                  <c:v>0</c:v>
                </c:pt>
                <c:pt idx="315" formatCode="General">
                  <c:v>0</c:v>
                </c:pt>
                <c:pt idx="316" formatCode="General">
                  <c:v>0</c:v>
                </c:pt>
                <c:pt idx="317" formatCode="General">
                  <c:v>0</c:v>
                </c:pt>
                <c:pt idx="318" formatCode="General">
                  <c:v>0</c:v>
                </c:pt>
                <c:pt idx="319" formatCode="General">
                  <c:v>0</c:v>
                </c:pt>
                <c:pt idx="320" formatCode="General">
                  <c:v>0</c:v>
                </c:pt>
                <c:pt idx="321" formatCode="General">
                  <c:v>0</c:v>
                </c:pt>
                <c:pt idx="322" formatCode="General">
                  <c:v>0</c:v>
                </c:pt>
                <c:pt idx="323" formatCode="General">
                  <c:v>0</c:v>
                </c:pt>
                <c:pt idx="324" formatCode="General">
                  <c:v>0</c:v>
                </c:pt>
                <c:pt idx="325" formatCode="General">
                  <c:v>0</c:v>
                </c:pt>
                <c:pt idx="326" formatCode="General">
                  <c:v>0</c:v>
                </c:pt>
                <c:pt idx="327" formatCode="General">
                  <c:v>0</c:v>
                </c:pt>
                <c:pt idx="328" formatCode="General">
                  <c:v>0</c:v>
                </c:pt>
                <c:pt idx="329" formatCode="General">
                  <c:v>0</c:v>
                </c:pt>
                <c:pt idx="330" formatCode="General">
                  <c:v>0</c:v>
                </c:pt>
                <c:pt idx="331" formatCode="General">
                  <c:v>0</c:v>
                </c:pt>
                <c:pt idx="332" formatCode="General">
                  <c:v>0</c:v>
                </c:pt>
                <c:pt idx="333" formatCode="General">
                  <c:v>0</c:v>
                </c:pt>
                <c:pt idx="334" formatCode="General">
                  <c:v>0</c:v>
                </c:pt>
                <c:pt idx="335" formatCode="General">
                  <c:v>0</c:v>
                </c:pt>
                <c:pt idx="336" formatCode="General">
                  <c:v>0</c:v>
                </c:pt>
                <c:pt idx="337" formatCode="General">
                  <c:v>0</c:v>
                </c:pt>
                <c:pt idx="338" formatCode="General">
                  <c:v>0</c:v>
                </c:pt>
                <c:pt idx="339" formatCode="General">
                  <c:v>0</c:v>
                </c:pt>
                <c:pt idx="340" formatCode="General">
                  <c:v>0</c:v>
                </c:pt>
                <c:pt idx="341" formatCode="General">
                  <c:v>0</c:v>
                </c:pt>
                <c:pt idx="342" formatCode="General">
                  <c:v>0</c:v>
                </c:pt>
                <c:pt idx="343" formatCode="General">
                  <c:v>0</c:v>
                </c:pt>
                <c:pt idx="344" formatCode="General">
                  <c:v>0</c:v>
                </c:pt>
                <c:pt idx="345" formatCode="General">
                  <c:v>0</c:v>
                </c:pt>
                <c:pt idx="346" formatCode="General">
                  <c:v>0</c:v>
                </c:pt>
                <c:pt idx="347" formatCode="General">
                  <c:v>0</c:v>
                </c:pt>
                <c:pt idx="348" formatCode="General">
                  <c:v>0</c:v>
                </c:pt>
                <c:pt idx="349" formatCode="General">
                  <c:v>0</c:v>
                </c:pt>
                <c:pt idx="350" formatCode="General">
                  <c:v>0</c:v>
                </c:pt>
                <c:pt idx="351" formatCode="General">
                  <c:v>0</c:v>
                </c:pt>
                <c:pt idx="352" formatCode="General">
                  <c:v>0</c:v>
                </c:pt>
                <c:pt idx="353" formatCode="General">
                  <c:v>0</c:v>
                </c:pt>
                <c:pt idx="354" formatCode="General">
                  <c:v>0</c:v>
                </c:pt>
                <c:pt idx="355" formatCode="General">
                  <c:v>0</c:v>
                </c:pt>
                <c:pt idx="356" formatCode="General">
                  <c:v>0</c:v>
                </c:pt>
                <c:pt idx="357" formatCode="General">
                  <c:v>0</c:v>
                </c:pt>
                <c:pt idx="358" formatCode="General">
                  <c:v>0</c:v>
                </c:pt>
                <c:pt idx="359" formatCode="General">
                  <c:v>0</c:v>
                </c:pt>
                <c:pt idx="360" formatCode="General">
                  <c:v>0</c:v>
                </c:pt>
                <c:pt idx="361" formatCode="General">
                  <c:v>0</c:v>
                </c:pt>
                <c:pt idx="362" formatCode="General">
                  <c:v>0</c:v>
                </c:pt>
                <c:pt idx="363" formatCode="General">
                  <c:v>0</c:v>
                </c:pt>
                <c:pt idx="364" formatCode="General">
                  <c:v>0</c:v>
                </c:pt>
                <c:pt idx="365" formatCode="General">
                  <c:v>0</c:v>
                </c:pt>
                <c:pt idx="366" formatCode="General">
                  <c:v>0</c:v>
                </c:pt>
                <c:pt idx="367" formatCode="General">
                  <c:v>0</c:v>
                </c:pt>
                <c:pt idx="368" formatCode="General">
                  <c:v>0</c:v>
                </c:pt>
                <c:pt idx="369" formatCode="General">
                  <c:v>0</c:v>
                </c:pt>
                <c:pt idx="370" formatCode="General">
                  <c:v>0</c:v>
                </c:pt>
                <c:pt idx="371" formatCode="General">
                  <c:v>0</c:v>
                </c:pt>
                <c:pt idx="372" formatCode="General">
                  <c:v>0</c:v>
                </c:pt>
                <c:pt idx="373" formatCode="General">
                  <c:v>0</c:v>
                </c:pt>
                <c:pt idx="374" formatCode="General">
                  <c:v>0</c:v>
                </c:pt>
                <c:pt idx="375" formatCode="General">
                  <c:v>0</c:v>
                </c:pt>
                <c:pt idx="376" formatCode="General">
                  <c:v>0</c:v>
                </c:pt>
                <c:pt idx="377" formatCode="General">
                  <c:v>0</c:v>
                </c:pt>
                <c:pt idx="378" formatCode="General">
                  <c:v>0</c:v>
                </c:pt>
                <c:pt idx="379" formatCode="General">
                  <c:v>0</c:v>
                </c:pt>
                <c:pt idx="380" formatCode="General">
                  <c:v>0</c:v>
                </c:pt>
                <c:pt idx="381" formatCode="General">
                  <c:v>0</c:v>
                </c:pt>
                <c:pt idx="382" formatCode="General">
                  <c:v>0</c:v>
                </c:pt>
                <c:pt idx="383" formatCode="General">
                  <c:v>0</c:v>
                </c:pt>
                <c:pt idx="384" formatCode="General">
                  <c:v>0</c:v>
                </c:pt>
                <c:pt idx="385" formatCode="General">
                  <c:v>0</c:v>
                </c:pt>
                <c:pt idx="386" formatCode="General">
                  <c:v>0</c:v>
                </c:pt>
                <c:pt idx="387" formatCode="General">
                  <c:v>0</c:v>
                </c:pt>
                <c:pt idx="388" formatCode="General">
                  <c:v>0</c:v>
                </c:pt>
                <c:pt idx="389" formatCode="General">
                  <c:v>0</c:v>
                </c:pt>
                <c:pt idx="390" formatCode="General">
                  <c:v>0</c:v>
                </c:pt>
                <c:pt idx="391" formatCode="General">
                  <c:v>0</c:v>
                </c:pt>
                <c:pt idx="392" formatCode="General">
                  <c:v>0</c:v>
                </c:pt>
                <c:pt idx="393" formatCode="General">
                  <c:v>0</c:v>
                </c:pt>
                <c:pt idx="394" formatCode="General">
                  <c:v>0</c:v>
                </c:pt>
                <c:pt idx="395" formatCode="General">
                  <c:v>0</c:v>
                </c:pt>
                <c:pt idx="396" formatCode="General">
                  <c:v>0</c:v>
                </c:pt>
                <c:pt idx="397" formatCode="General">
                  <c:v>0</c:v>
                </c:pt>
                <c:pt idx="398" formatCode="General">
                  <c:v>0</c:v>
                </c:pt>
                <c:pt idx="399" formatCode="General">
                  <c:v>0</c:v>
                </c:pt>
                <c:pt idx="400" formatCode="General">
                  <c:v>0</c:v>
                </c:pt>
                <c:pt idx="401" formatCode="General">
                  <c:v>0</c:v>
                </c:pt>
                <c:pt idx="402" formatCode="General">
                  <c:v>0</c:v>
                </c:pt>
                <c:pt idx="403" formatCode="General">
                  <c:v>0</c:v>
                </c:pt>
                <c:pt idx="404" formatCode="General">
                  <c:v>0</c:v>
                </c:pt>
                <c:pt idx="405" formatCode="General">
                  <c:v>0</c:v>
                </c:pt>
                <c:pt idx="406" formatCode="General">
                  <c:v>0</c:v>
                </c:pt>
                <c:pt idx="407" formatCode="General">
                  <c:v>0</c:v>
                </c:pt>
                <c:pt idx="408" formatCode="General">
                  <c:v>0</c:v>
                </c:pt>
                <c:pt idx="409" formatCode="General">
                  <c:v>0</c:v>
                </c:pt>
                <c:pt idx="410" formatCode="General">
                  <c:v>0</c:v>
                </c:pt>
                <c:pt idx="411" formatCode="General">
                  <c:v>0</c:v>
                </c:pt>
                <c:pt idx="412" formatCode="General">
                  <c:v>0</c:v>
                </c:pt>
                <c:pt idx="413" formatCode="General">
                  <c:v>0</c:v>
                </c:pt>
                <c:pt idx="414" formatCode="General">
                  <c:v>0</c:v>
                </c:pt>
                <c:pt idx="415" formatCode="General">
                  <c:v>0</c:v>
                </c:pt>
                <c:pt idx="416" formatCode="General">
                  <c:v>0</c:v>
                </c:pt>
                <c:pt idx="417" formatCode="General">
                  <c:v>0</c:v>
                </c:pt>
                <c:pt idx="418" formatCode="General">
                  <c:v>0</c:v>
                </c:pt>
                <c:pt idx="419" formatCode="General">
                  <c:v>0</c:v>
                </c:pt>
                <c:pt idx="420" formatCode="General">
                  <c:v>0</c:v>
                </c:pt>
                <c:pt idx="421" formatCode="General">
                  <c:v>0</c:v>
                </c:pt>
                <c:pt idx="422" formatCode="General">
                  <c:v>0</c:v>
                </c:pt>
                <c:pt idx="423" formatCode="General">
                  <c:v>0</c:v>
                </c:pt>
                <c:pt idx="424" formatCode="General">
                  <c:v>0</c:v>
                </c:pt>
                <c:pt idx="425" formatCode="General">
                  <c:v>0</c:v>
                </c:pt>
                <c:pt idx="426" formatCode="General">
                  <c:v>0</c:v>
                </c:pt>
                <c:pt idx="427" formatCode="General">
                  <c:v>0</c:v>
                </c:pt>
                <c:pt idx="428" formatCode="General">
                  <c:v>0</c:v>
                </c:pt>
                <c:pt idx="429" formatCode="General">
                  <c:v>0</c:v>
                </c:pt>
                <c:pt idx="430" formatCode="General">
                  <c:v>0</c:v>
                </c:pt>
                <c:pt idx="431" formatCode="General">
                  <c:v>0</c:v>
                </c:pt>
                <c:pt idx="432" formatCode="General">
                  <c:v>0</c:v>
                </c:pt>
                <c:pt idx="433" formatCode="General">
                  <c:v>0</c:v>
                </c:pt>
                <c:pt idx="434" formatCode="General">
                  <c:v>0</c:v>
                </c:pt>
                <c:pt idx="435" formatCode="General">
                  <c:v>0</c:v>
                </c:pt>
                <c:pt idx="436" formatCode="General">
                  <c:v>0</c:v>
                </c:pt>
                <c:pt idx="437" formatCode="General">
                  <c:v>0</c:v>
                </c:pt>
                <c:pt idx="438" formatCode="General">
                  <c:v>0</c:v>
                </c:pt>
                <c:pt idx="439" formatCode="General">
                  <c:v>0</c:v>
                </c:pt>
                <c:pt idx="440" formatCode="General">
                  <c:v>0</c:v>
                </c:pt>
                <c:pt idx="441" formatCode="General">
                  <c:v>0</c:v>
                </c:pt>
                <c:pt idx="442" formatCode="General">
                  <c:v>0</c:v>
                </c:pt>
                <c:pt idx="443" formatCode="General">
                  <c:v>0</c:v>
                </c:pt>
                <c:pt idx="444" formatCode="General">
                  <c:v>0</c:v>
                </c:pt>
                <c:pt idx="445" formatCode="General">
                  <c:v>0</c:v>
                </c:pt>
                <c:pt idx="446" formatCode="General">
                  <c:v>0</c:v>
                </c:pt>
                <c:pt idx="447" formatCode="General">
                  <c:v>0</c:v>
                </c:pt>
                <c:pt idx="448" formatCode="General">
                  <c:v>0</c:v>
                </c:pt>
                <c:pt idx="449" formatCode="General">
                  <c:v>0</c:v>
                </c:pt>
                <c:pt idx="450" formatCode="General">
                  <c:v>0</c:v>
                </c:pt>
                <c:pt idx="451" formatCode="General">
                  <c:v>0</c:v>
                </c:pt>
                <c:pt idx="452" formatCode="General">
                  <c:v>0</c:v>
                </c:pt>
                <c:pt idx="453" formatCode="General">
                  <c:v>0</c:v>
                </c:pt>
                <c:pt idx="454" formatCode="General">
                  <c:v>0</c:v>
                </c:pt>
                <c:pt idx="455" formatCode="General">
                  <c:v>0</c:v>
                </c:pt>
                <c:pt idx="456" formatCode="General">
                  <c:v>0</c:v>
                </c:pt>
                <c:pt idx="457" formatCode="General">
                  <c:v>0</c:v>
                </c:pt>
                <c:pt idx="458" formatCode="General">
                  <c:v>0</c:v>
                </c:pt>
                <c:pt idx="459" formatCode="General">
                  <c:v>0</c:v>
                </c:pt>
                <c:pt idx="460" formatCode="General">
                  <c:v>0</c:v>
                </c:pt>
                <c:pt idx="461" formatCode="General">
                  <c:v>0</c:v>
                </c:pt>
                <c:pt idx="462" formatCode="General">
                  <c:v>0</c:v>
                </c:pt>
                <c:pt idx="463" formatCode="General">
                  <c:v>0</c:v>
                </c:pt>
                <c:pt idx="464" formatCode="General">
                  <c:v>0</c:v>
                </c:pt>
                <c:pt idx="465" formatCode="General">
                  <c:v>0</c:v>
                </c:pt>
                <c:pt idx="466" formatCode="General">
                  <c:v>0</c:v>
                </c:pt>
                <c:pt idx="467" formatCode="General">
                  <c:v>0</c:v>
                </c:pt>
                <c:pt idx="468" formatCode="General">
                  <c:v>0</c:v>
                </c:pt>
                <c:pt idx="469" formatCode="General">
                  <c:v>0</c:v>
                </c:pt>
                <c:pt idx="470" formatCode="General">
                  <c:v>0</c:v>
                </c:pt>
                <c:pt idx="471" formatCode="General">
                  <c:v>0</c:v>
                </c:pt>
                <c:pt idx="472" formatCode="General">
                  <c:v>0</c:v>
                </c:pt>
                <c:pt idx="473" formatCode="General">
                  <c:v>0</c:v>
                </c:pt>
                <c:pt idx="474" formatCode="General">
                  <c:v>0</c:v>
                </c:pt>
                <c:pt idx="475" formatCode="General">
                  <c:v>0</c:v>
                </c:pt>
                <c:pt idx="476" formatCode="General">
                  <c:v>0</c:v>
                </c:pt>
                <c:pt idx="477" formatCode="General">
                  <c:v>0</c:v>
                </c:pt>
                <c:pt idx="478" formatCode="General">
                  <c:v>0</c:v>
                </c:pt>
                <c:pt idx="479" formatCode="General">
                  <c:v>0</c:v>
                </c:pt>
                <c:pt idx="480" formatCode="General">
                  <c:v>0</c:v>
                </c:pt>
                <c:pt idx="481" formatCode="General">
                  <c:v>0</c:v>
                </c:pt>
                <c:pt idx="482" formatCode="General">
                  <c:v>0</c:v>
                </c:pt>
                <c:pt idx="483" formatCode="General">
                  <c:v>0</c:v>
                </c:pt>
                <c:pt idx="484" formatCode="General">
                  <c:v>0</c:v>
                </c:pt>
                <c:pt idx="485" formatCode="General">
                  <c:v>0</c:v>
                </c:pt>
                <c:pt idx="486" formatCode="General">
                  <c:v>0</c:v>
                </c:pt>
                <c:pt idx="487" formatCode="General">
                  <c:v>0</c:v>
                </c:pt>
                <c:pt idx="488" formatCode="General">
                  <c:v>0</c:v>
                </c:pt>
                <c:pt idx="489" formatCode="General">
                  <c:v>0</c:v>
                </c:pt>
                <c:pt idx="490" formatCode="General">
                  <c:v>0</c:v>
                </c:pt>
                <c:pt idx="491" formatCode="General">
                  <c:v>0</c:v>
                </c:pt>
                <c:pt idx="492" formatCode="General">
                  <c:v>0</c:v>
                </c:pt>
                <c:pt idx="493" formatCode="General">
                  <c:v>0</c:v>
                </c:pt>
                <c:pt idx="494" formatCode="General">
                  <c:v>0</c:v>
                </c:pt>
                <c:pt idx="495" formatCode="General">
                  <c:v>0</c:v>
                </c:pt>
                <c:pt idx="496" formatCode="General">
                  <c:v>0</c:v>
                </c:pt>
                <c:pt idx="497" formatCode="General">
                  <c:v>0</c:v>
                </c:pt>
                <c:pt idx="498" formatCode="General">
                  <c:v>0</c:v>
                </c:pt>
                <c:pt idx="499" formatCode="General">
                  <c:v>0</c:v>
                </c:pt>
                <c:pt idx="500" formatCode="General">
                  <c:v>0</c:v>
                </c:pt>
                <c:pt idx="501" formatCode="General">
                  <c:v>0</c:v>
                </c:pt>
                <c:pt idx="502" formatCode="General">
                  <c:v>0</c:v>
                </c:pt>
                <c:pt idx="503" formatCode="General">
                  <c:v>0</c:v>
                </c:pt>
                <c:pt idx="504" formatCode="General">
                  <c:v>0</c:v>
                </c:pt>
                <c:pt idx="505" formatCode="General">
                  <c:v>0</c:v>
                </c:pt>
                <c:pt idx="506" formatCode="General">
                  <c:v>0</c:v>
                </c:pt>
                <c:pt idx="507" formatCode="General">
                  <c:v>0</c:v>
                </c:pt>
                <c:pt idx="508" formatCode="General">
                  <c:v>0</c:v>
                </c:pt>
                <c:pt idx="509" formatCode="General">
                  <c:v>0</c:v>
                </c:pt>
                <c:pt idx="510" formatCode="General">
                  <c:v>0</c:v>
                </c:pt>
                <c:pt idx="511" formatCode="General">
                  <c:v>0</c:v>
                </c:pt>
                <c:pt idx="512" formatCode="General">
                  <c:v>0</c:v>
                </c:pt>
                <c:pt idx="513" formatCode="General">
                  <c:v>0</c:v>
                </c:pt>
                <c:pt idx="514" formatCode="General">
                  <c:v>0</c:v>
                </c:pt>
                <c:pt idx="515" formatCode="General">
                  <c:v>0</c:v>
                </c:pt>
                <c:pt idx="516" formatCode="General">
                  <c:v>0</c:v>
                </c:pt>
                <c:pt idx="517" formatCode="General">
                  <c:v>0</c:v>
                </c:pt>
                <c:pt idx="518" formatCode="General">
                  <c:v>0</c:v>
                </c:pt>
                <c:pt idx="519" formatCode="General">
                  <c:v>0</c:v>
                </c:pt>
                <c:pt idx="520" formatCode="General">
                  <c:v>0</c:v>
                </c:pt>
                <c:pt idx="521" formatCode="General">
                  <c:v>0</c:v>
                </c:pt>
                <c:pt idx="522" formatCode="General">
                  <c:v>0</c:v>
                </c:pt>
                <c:pt idx="523" formatCode="General">
                  <c:v>0</c:v>
                </c:pt>
                <c:pt idx="524" formatCode="General">
                  <c:v>0</c:v>
                </c:pt>
                <c:pt idx="525" formatCode="General">
                  <c:v>0</c:v>
                </c:pt>
                <c:pt idx="526" formatCode="General">
                  <c:v>0</c:v>
                </c:pt>
                <c:pt idx="527" formatCode="General">
                  <c:v>0</c:v>
                </c:pt>
                <c:pt idx="528" formatCode="General">
                  <c:v>0</c:v>
                </c:pt>
                <c:pt idx="529" formatCode="General">
                  <c:v>0</c:v>
                </c:pt>
                <c:pt idx="530" formatCode="General">
                  <c:v>0</c:v>
                </c:pt>
                <c:pt idx="531" formatCode="General">
                  <c:v>0</c:v>
                </c:pt>
                <c:pt idx="532" formatCode="General">
                  <c:v>0</c:v>
                </c:pt>
                <c:pt idx="533" formatCode="General">
                  <c:v>0</c:v>
                </c:pt>
                <c:pt idx="534" formatCode="General">
                  <c:v>0</c:v>
                </c:pt>
                <c:pt idx="535" formatCode="General">
                  <c:v>0</c:v>
                </c:pt>
                <c:pt idx="536" formatCode="General">
                  <c:v>0</c:v>
                </c:pt>
                <c:pt idx="537" formatCode="General">
                  <c:v>0</c:v>
                </c:pt>
                <c:pt idx="538" formatCode="General">
                  <c:v>0</c:v>
                </c:pt>
                <c:pt idx="539" formatCode="General">
                  <c:v>0</c:v>
                </c:pt>
                <c:pt idx="540" formatCode="General">
                  <c:v>0</c:v>
                </c:pt>
                <c:pt idx="541" formatCode="General">
                  <c:v>0</c:v>
                </c:pt>
                <c:pt idx="542" formatCode="General">
                  <c:v>0</c:v>
                </c:pt>
                <c:pt idx="543" formatCode="General">
                  <c:v>0</c:v>
                </c:pt>
                <c:pt idx="544" formatCode="General">
                  <c:v>0</c:v>
                </c:pt>
                <c:pt idx="545" formatCode="General">
                  <c:v>0</c:v>
                </c:pt>
                <c:pt idx="546" formatCode="General">
                  <c:v>0</c:v>
                </c:pt>
                <c:pt idx="547" formatCode="General">
                  <c:v>0</c:v>
                </c:pt>
                <c:pt idx="548" formatCode="General">
                  <c:v>0</c:v>
                </c:pt>
                <c:pt idx="549" formatCode="General">
                  <c:v>0</c:v>
                </c:pt>
                <c:pt idx="550" formatCode="General">
                  <c:v>0</c:v>
                </c:pt>
                <c:pt idx="551" formatCode="General">
                  <c:v>0</c:v>
                </c:pt>
                <c:pt idx="552" formatCode="General">
                  <c:v>0</c:v>
                </c:pt>
                <c:pt idx="553" formatCode="General">
                  <c:v>0</c:v>
                </c:pt>
                <c:pt idx="554" formatCode="General">
                  <c:v>0</c:v>
                </c:pt>
                <c:pt idx="555" formatCode="General">
                  <c:v>0</c:v>
                </c:pt>
                <c:pt idx="556" formatCode="General">
                  <c:v>0</c:v>
                </c:pt>
                <c:pt idx="557" formatCode="General">
                  <c:v>0</c:v>
                </c:pt>
                <c:pt idx="558" formatCode="General">
                  <c:v>0</c:v>
                </c:pt>
                <c:pt idx="559" formatCode="General">
                  <c:v>0</c:v>
                </c:pt>
                <c:pt idx="560" formatCode="General">
                  <c:v>0</c:v>
                </c:pt>
                <c:pt idx="561" formatCode="General">
                  <c:v>0</c:v>
                </c:pt>
                <c:pt idx="562" formatCode="General">
                  <c:v>0</c:v>
                </c:pt>
                <c:pt idx="563" formatCode="General">
                  <c:v>0</c:v>
                </c:pt>
                <c:pt idx="564" formatCode="General">
                  <c:v>0</c:v>
                </c:pt>
                <c:pt idx="565" formatCode="General">
                  <c:v>0</c:v>
                </c:pt>
                <c:pt idx="566" formatCode="General">
                  <c:v>0</c:v>
                </c:pt>
                <c:pt idx="567" formatCode="General">
                  <c:v>0</c:v>
                </c:pt>
                <c:pt idx="568" formatCode="General">
                  <c:v>0</c:v>
                </c:pt>
                <c:pt idx="569" formatCode="General">
                  <c:v>0</c:v>
                </c:pt>
                <c:pt idx="570" formatCode="General">
                  <c:v>0</c:v>
                </c:pt>
                <c:pt idx="571" formatCode="General">
                  <c:v>0</c:v>
                </c:pt>
                <c:pt idx="572" formatCode="General">
                  <c:v>0</c:v>
                </c:pt>
                <c:pt idx="573" formatCode="General">
                  <c:v>0</c:v>
                </c:pt>
                <c:pt idx="574" formatCode="General">
                  <c:v>0</c:v>
                </c:pt>
                <c:pt idx="575" formatCode="General">
                  <c:v>0</c:v>
                </c:pt>
                <c:pt idx="576" formatCode="General">
                  <c:v>0</c:v>
                </c:pt>
                <c:pt idx="577" formatCode="General">
                  <c:v>0</c:v>
                </c:pt>
                <c:pt idx="578" formatCode="General">
                  <c:v>0</c:v>
                </c:pt>
                <c:pt idx="579" formatCode="General">
                  <c:v>0</c:v>
                </c:pt>
                <c:pt idx="580" formatCode="General">
                  <c:v>0</c:v>
                </c:pt>
                <c:pt idx="581" formatCode="General">
                  <c:v>0</c:v>
                </c:pt>
                <c:pt idx="582" formatCode="General">
                  <c:v>0</c:v>
                </c:pt>
                <c:pt idx="583" formatCode="General">
                  <c:v>0</c:v>
                </c:pt>
                <c:pt idx="584" formatCode="General">
                  <c:v>0</c:v>
                </c:pt>
                <c:pt idx="585" formatCode="General">
                  <c:v>0</c:v>
                </c:pt>
                <c:pt idx="586" formatCode="General">
                  <c:v>0</c:v>
                </c:pt>
                <c:pt idx="587" formatCode="General">
                  <c:v>0</c:v>
                </c:pt>
                <c:pt idx="588" formatCode="General">
                  <c:v>0</c:v>
                </c:pt>
                <c:pt idx="589" formatCode="General">
                  <c:v>0</c:v>
                </c:pt>
                <c:pt idx="590" formatCode="General">
                  <c:v>0</c:v>
                </c:pt>
                <c:pt idx="591" formatCode="General">
                  <c:v>0</c:v>
                </c:pt>
                <c:pt idx="592" formatCode="General">
                  <c:v>0</c:v>
                </c:pt>
                <c:pt idx="593" formatCode="General">
                  <c:v>0</c:v>
                </c:pt>
                <c:pt idx="594" formatCode="General">
                  <c:v>0</c:v>
                </c:pt>
                <c:pt idx="595" formatCode="General">
                  <c:v>0</c:v>
                </c:pt>
                <c:pt idx="596" formatCode="General">
                  <c:v>0</c:v>
                </c:pt>
                <c:pt idx="597" formatCode="General">
                  <c:v>0</c:v>
                </c:pt>
                <c:pt idx="598" formatCode="General">
                  <c:v>0</c:v>
                </c:pt>
                <c:pt idx="599" formatCode="General">
                  <c:v>0</c:v>
                </c:pt>
                <c:pt idx="600" formatCode="General">
                  <c:v>0</c:v>
                </c:pt>
                <c:pt idx="601" formatCode="General">
                  <c:v>0</c:v>
                </c:pt>
                <c:pt idx="602" formatCode="General">
                  <c:v>0</c:v>
                </c:pt>
                <c:pt idx="603" formatCode="General">
                  <c:v>0</c:v>
                </c:pt>
                <c:pt idx="604" formatCode="General">
                  <c:v>0</c:v>
                </c:pt>
                <c:pt idx="605" formatCode="General">
                  <c:v>0</c:v>
                </c:pt>
                <c:pt idx="606" formatCode="General">
                  <c:v>0</c:v>
                </c:pt>
                <c:pt idx="607" formatCode="General">
                  <c:v>0</c:v>
                </c:pt>
                <c:pt idx="608" formatCode="General">
                  <c:v>0</c:v>
                </c:pt>
                <c:pt idx="609" formatCode="General">
                  <c:v>0</c:v>
                </c:pt>
                <c:pt idx="610" formatCode="General">
                  <c:v>0</c:v>
                </c:pt>
                <c:pt idx="611" formatCode="General">
                  <c:v>0</c:v>
                </c:pt>
                <c:pt idx="612" formatCode="General">
                  <c:v>0</c:v>
                </c:pt>
                <c:pt idx="613" formatCode="General">
                  <c:v>0</c:v>
                </c:pt>
                <c:pt idx="614" formatCode="General">
                  <c:v>0</c:v>
                </c:pt>
                <c:pt idx="615" formatCode="General">
                  <c:v>0</c:v>
                </c:pt>
                <c:pt idx="616" formatCode="General">
                  <c:v>0</c:v>
                </c:pt>
                <c:pt idx="617" formatCode="General">
                  <c:v>0</c:v>
                </c:pt>
                <c:pt idx="618" formatCode="General">
                  <c:v>0</c:v>
                </c:pt>
                <c:pt idx="619" formatCode="General">
                  <c:v>0</c:v>
                </c:pt>
                <c:pt idx="620" formatCode="General">
                  <c:v>0</c:v>
                </c:pt>
                <c:pt idx="621" formatCode="General">
                  <c:v>0</c:v>
                </c:pt>
                <c:pt idx="622" formatCode="General">
                  <c:v>0</c:v>
                </c:pt>
                <c:pt idx="623" formatCode="General">
                  <c:v>0</c:v>
                </c:pt>
                <c:pt idx="624" formatCode="General">
                  <c:v>0</c:v>
                </c:pt>
                <c:pt idx="625" formatCode="General">
                  <c:v>0</c:v>
                </c:pt>
                <c:pt idx="626" formatCode="General">
                  <c:v>0</c:v>
                </c:pt>
                <c:pt idx="627" formatCode="General">
                  <c:v>0</c:v>
                </c:pt>
                <c:pt idx="628" formatCode="General">
                  <c:v>0</c:v>
                </c:pt>
                <c:pt idx="629" formatCode="General">
                  <c:v>0</c:v>
                </c:pt>
                <c:pt idx="630" formatCode="General">
                  <c:v>0</c:v>
                </c:pt>
                <c:pt idx="631" formatCode="General">
                  <c:v>0</c:v>
                </c:pt>
                <c:pt idx="632" formatCode="General">
                  <c:v>0</c:v>
                </c:pt>
                <c:pt idx="633" formatCode="General">
                  <c:v>0</c:v>
                </c:pt>
                <c:pt idx="634" formatCode="General">
                  <c:v>0</c:v>
                </c:pt>
                <c:pt idx="635" formatCode="General">
                  <c:v>0</c:v>
                </c:pt>
                <c:pt idx="636" formatCode="General">
                  <c:v>0</c:v>
                </c:pt>
                <c:pt idx="637" formatCode="General">
                  <c:v>0</c:v>
                </c:pt>
                <c:pt idx="638" formatCode="General">
                  <c:v>0</c:v>
                </c:pt>
                <c:pt idx="639" formatCode="General">
                  <c:v>0</c:v>
                </c:pt>
                <c:pt idx="640" formatCode="General">
                  <c:v>0</c:v>
                </c:pt>
                <c:pt idx="641" formatCode="General">
                  <c:v>0</c:v>
                </c:pt>
                <c:pt idx="642" formatCode="General">
                  <c:v>0</c:v>
                </c:pt>
                <c:pt idx="643" formatCode="General">
                  <c:v>0</c:v>
                </c:pt>
                <c:pt idx="644" formatCode="General">
                  <c:v>0</c:v>
                </c:pt>
                <c:pt idx="645" formatCode="General">
                  <c:v>0</c:v>
                </c:pt>
                <c:pt idx="646" formatCode="General">
                  <c:v>0</c:v>
                </c:pt>
                <c:pt idx="647" formatCode="General">
                  <c:v>0</c:v>
                </c:pt>
                <c:pt idx="648" formatCode="General">
                  <c:v>0</c:v>
                </c:pt>
                <c:pt idx="649" formatCode="General">
                  <c:v>0</c:v>
                </c:pt>
                <c:pt idx="650" formatCode="General">
                  <c:v>0</c:v>
                </c:pt>
                <c:pt idx="651" formatCode="General">
                  <c:v>0</c:v>
                </c:pt>
                <c:pt idx="652" formatCode="General">
                  <c:v>0</c:v>
                </c:pt>
                <c:pt idx="653" formatCode="General">
                  <c:v>0</c:v>
                </c:pt>
                <c:pt idx="654" formatCode="General">
                  <c:v>0</c:v>
                </c:pt>
                <c:pt idx="655" formatCode="General">
                  <c:v>0</c:v>
                </c:pt>
                <c:pt idx="656" formatCode="General">
                  <c:v>0</c:v>
                </c:pt>
                <c:pt idx="657" formatCode="General">
                  <c:v>0</c:v>
                </c:pt>
                <c:pt idx="658" formatCode="General">
                  <c:v>0</c:v>
                </c:pt>
                <c:pt idx="659" formatCode="General">
                  <c:v>0</c:v>
                </c:pt>
                <c:pt idx="660" formatCode="General">
                  <c:v>0</c:v>
                </c:pt>
                <c:pt idx="661" formatCode="General">
                  <c:v>0</c:v>
                </c:pt>
                <c:pt idx="662" formatCode="General">
                  <c:v>0</c:v>
                </c:pt>
                <c:pt idx="663" formatCode="General">
                  <c:v>0</c:v>
                </c:pt>
                <c:pt idx="664" formatCode="General">
                  <c:v>0</c:v>
                </c:pt>
                <c:pt idx="665" formatCode="General">
                  <c:v>0</c:v>
                </c:pt>
                <c:pt idx="666" formatCode="General">
                  <c:v>0</c:v>
                </c:pt>
                <c:pt idx="667" formatCode="General">
                  <c:v>0</c:v>
                </c:pt>
                <c:pt idx="668" formatCode="General">
                  <c:v>0</c:v>
                </c:pt>
                <c:pt idx="669" formatCode="General">
                  <c:v>0</c:v>
                </c:pt>
                <c:pt idx="670" formatCode="General">
                  <c:v>0</c:v>
                </c:pt>
                <c:pt idx="671" formatCode="General">
                  <c:v>0</c:v>
                </c:pt>
                <c:pt idx="672" formatCode="General">
                  <c:v>0</c:v>
                </c:pt>
                <c:pt idx="673" formatCode="General">
                  <c:v>0</c:v>
                </c:pt>
                <c:pt idx="674" formatCode="General">
                  <c:v>0</c:v>
                </c:pt>
                <c:pt idx="675" formatCode="General">
                  <c:v>0</c:v>
                </c:pt>
                <c:pt idx="676" formatCode="General">
                  <c:v>0</c:v>
                </c:pt>
                <c:pt idx="677" formatCode="General">
                  <c:v>0</c:v>
                </c:pt>
                <c:pt idx="678" formatCode="General">
                  <c:v>0</c:v>
                </c:pt>
                <c:pt idx="679" formatCode="General">
                  <c:v>0</c:v>
                </c:pt>
                <c:pt idx="680" formatCode="General">
                  <c:v>0</c:v>
                </c:pt>
                <c:pt idx="681" formatCode="General">
                  <c:v>0</c:v>
                </c:pt>
                <c:pt idx="682" formatCode="General">
                  <c:v>0</c:v>
                </c:pt>
                <c:pt idx="683" formatCode="General">
                  <c:v>0</c:v>
                </c:pt>
                <c:pt idx="684" formatCode="General">
                  <c:v>0</c:v>
                </c:pt>
                <c:pt idx="685" formatCode="General">
                  <c:v>0</c:v>
                </c:pt>
                <c:pt idx="686" formatCode="General">
                  <c:v>0</c:v>
                </c:pt>
                <c:pt idx="687" formatCode="General">
                  <c:v>0</c:v>
                </c:pt>
                <c:pt idx="688" formatCode="General">
                  <c:v>0</c:v>
                </c:pt>
                <c:pt idx="689" formatCode="General">
                  <c:v>0</c:v>
                </c:pt>
                <c:pt idx="690" formatCode="General">
                  <c:v>0</c:v>
                </c:pt>
                <c:pt idx="691" formatCode="General">
                  <c:v>0</c:v>
                </c:pt>
                <c:pt idx="692" formatCode="General">
                  <c:v>0</c:v>
                </c:pt>
                <c:pt idx="693" formatCode="General">
                  <c:v>0</c:v>
                </c:pt>
                <c:pt idx="694" formatCode="General">
                  <c:v>0</c:v>
                </c:pt>
                <c:pt idx="695" formatCode="General">
                  <c:v>0</c:v>
                </c:pt>
                <c:pt idx="696" formatCode="General">
                  <c:v>0</c:v>
                </c:pt>
                <c:pt idx="697" formatCode="General">
                  <c:v>0</c:v>
                </c:pt>
                <c:pt idx="698" formatCode="General">
                  <c:v>0</c:v>
                </c:pt>
                <c:pt idx="699" formatCode="General">
                  <c:v>0</c:v>
                </c:pt>
                <c:pt idx="700" formatCode="General">
                  <c:v>0</c:v>
                </c:pt>
                <c:pt idx="701" formatCode="General">
                  <c:v>0</c:v>
                </c:pt>
                <c:pt idx="702" formatCode="General">
                  <c:v>0</c:v>
                </c:pt>
                <c:pt idx="703" formatCode="General">
                  <c:v>0</c:v>
                </c:pt>
                <c:pt idx="704" formatCode="General">
                  <c:v>0</c:v>
                </c:pt>
                <c:pt idx="705" formatCode="General">
                  <c:v>0</c:v>
                </c:pt>
                <c:pt idx="706" formatCode="General">
                  <c:v>0</c:v>
                </c:pt>
                <c:pt idx="707" formatCode="General">
                  <c:v>0</c:v>
                </c:pt>
                <c:pt idx="708" formatCode="General">
                  <c:v>0</c:v>
                </c:pt>
                <c:pt idx="709" formatCode="General">
                  <c:v>0</c:v>
                </c:pt>
                <c:pt idx="710" formatCode="General">
                  <c:v>0</c:v>
                </c:pt>
                <c:pt idx="711" formatCode="General">
                  <c:v>0</c:v>
                </c:pt>
                <c:pt idx="712" formatCode="General">
                  <c:v>0</c:v>
                </c:pt>
                <c:pt idx="713" formatCode="General">
                  <c:v>0</c:v>
                </c:pt>
                <c:pt idx="714" formatCode="General">
                  <c:v>0</c:v>
                </c:pt>
                <c:pt idx="715" formatCode="General">
                  <c:v>0</c:v>
                </c:pt>
                <c:pt idx="716" formatCode="General">
                  <c:v>0</c:v>
                </c:pt>
                <c:pt idx="717" formatCode="General">
                  <c:v>0</c:v>
                </c:pt>
                <c:pt idx="718" formatCode="General">
                  <c:v>0</c:v>
                </c:pt>
                <c:pt idx="719" formatCode="General">
                  <c:v>0</c:v>
                </c:pt>
                <c:pt idx="720" formatCode="General">
                  <c:v>0</c:v>
                </c:pt>
                <c:pt idx="721" formatCode="General">
                  <c:v>0</c:v>
                </c:pt>
                <c:pt idx="722" formatCode="General">
                  <c:v>0</c:v>
                </c:pt>
                <c:pt idx="723" formatCode="General">
                  <c:v>0</c:v>
                </c:pt>
                <c:pt idx="724" formatCode="General">
                  <c:v>0</c:v>
                </c:pt>
                <c:pt idx="725" formatCode="General">
                  <c:v>0</c:v>
                </c:pt>
                <c:pt idx="726" formatCode="General">
                  <c:v>0</c:v>
                </c:pt>
                <c:pt idx="727" formatCode="General">
                  <c:v>0</c:v>
                </c:pt>
                <c:pt idx="728" formatCode="General">
                  <c:v>0</c:v>
                </c:pt>
                <c:pt idx="729" formatCode="General">
                  <c:v>0</c:v>
                </c:pt>
                <c:pt idx="730" formatCode="General">
                  <c:v>0</c:v>
                </c:pt>
                <c:pt idx="731" formatCode="General">
                  <c:v>0</c:v>
                </c:pt>
                <c:pt idx="732" formatCode="General">
                  <c:v>0</c:v>
                </c:pt>
                <c:pt idx="733" formatCode="General">
                  <c:v>0</c:v>
                </c:pt>
                <c:pt idx="734" formatCode="General">
                  <c:v>0</c:v>
                </c:pt>
                <c:pt idx="735" formatCode="General">
                  <c:v>0</c:v>
                </c:pt>
                <c:pt idx="736" formatCode="General">
                  <c:v>0</c:v>
                </c:pt>
                <c:pt idx="737" formatCode="General">
                  <c:v>0</c:v>
                </c:pt>
                <c:pt idx="738" formatCode="General">
                  <c:v>0</c:v>
                </c:pt>
                <c:pt idx="739" formatCode="General">
                  <c:v>0</c:v>
                </c:pt>
                <c:pt idx="740" formatCode="General">
                  <c:v>0</c:v>
                </c:pt>
                <c:pt idx="741" formatCode="General">
                  <c:v>0</c:v>
                </c:pt>
                <c:pt idx="742" formatCode="General">
                  <c:v>0</c:v>
                </c:pt>
                <c:pt idx="743" formatCode="General">
                  <c:v>0</c:v>
                </c:pt>
                <c:pt idx="744" formatCode="General">
                  <c:v>0</c:v>
                </c:pt>
                <c:pt idx="745" formatCode="General">
                  <c:v>0</c:v>
                </c:pt>
                <c:pt idx="746" formatCode="General">
                  <c:v>0</c:v>
                </c:pt>
                <c:pt idx="747" formatCode="General">
                  <c:v>0</c:v>
                </c:pt>
                <c:pt idx="748" formatCode="General">
                  <c:v>0</c:v>
                </c:pt>
                <c:pt idx="749" formatCode="General">
                  <c:v>0</c:v>
                </c:pt>
                <c:pt idx="750" formatCode="General">
                  <c:v>0</c:v>
                </c:pt>
                <c:pt idx="751" formatCode="General">
                  <c:v>0</c:v>
                </c:pt>
                <c:pt idx="752" formatCode="General">
                  <c:v>0</c:v>
                </c:pt>
                <c:pt idx="753" formatCode="General">
                  <c:v>0</c:v>
                </c:pt>
                <c:pt idx="754" formatCode="General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BF5F-4B11-A5E8-435494E0689B}"/>
            </c:ext>
          </c:extLst>
        </c:ser>
        <c:ser>
          <c:idx val="7"/>
          <c:order val="7"/>
          <c:tx>
            <c:strRef>
              <c:f>주문_리스트!$H$1</c:f>
              <c:strCache>
                <c:ptCount val="1"/>
                <c:pt idx="0">
                  <c:v>수량</c:v>
                </c:pt>
              </c:strCache>
            </c:strRef>
          </c:tx>
          <c:spPr>
            <a:solidFill>
              <a:schemeClr val="accent2">
                <a:lumMod val="60000"/>
              </a:schemeClr>
            </a:solidFill>
            <a:ln>
              <a:noFill/>
            </a:ln>
            <a:effectLst/>
          </c:spPr>
          <c:invertIfNegative val="0"/>
          <c:val>
            <c:numRef>
              <c:f>주문_리스트!$H$2:$H$756</c:f>
              <c:numCache>
                <c:formatCode>0</c:formatCode>
                <c:ptCount val="755"/>
                <c:pt idx="0">
                  <c:v>3</c:v>
                </c:pt>
                <c:pt idx="1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1</c:v>
                </c:pt>
                <c:pt idx="6">
                  <c:v>1</c:v>
                </c:pt>
                <c:pt idx="7">
                  <c:v>1</c:v>
                </c:pt>
                <c:pt idx="8">
                  <c:v>1</c:v>
                </c:pt>
                <c:pt idx="9">
                  <c:v>1</c:v>
                </c:pt>
                <c:pt idx="10">
                  <c:v>1</c:v>
                </c:pt>
                <c:pt idx="11">
                  <c:v>1</c:v>
                </c:pt>
                <c:pt idx="12">
                  <c:v>1</c:v>
                </c:pt>
                <c:pt idx="13">
                  <c:v>1</c:v>
                </c:pt>
                <c:pt idx="14">
                  <c:v>1</c:v>
                </c:pt>
                <c:pt idx="15">
                  <c:v>1</c:v>
                </c:pt>
                <c:pt idx="16">
                  <c:v>1</c:v>
                </c:pt>
                <c:pt idx="17">
                  <c:v>1</c:v>
                </c:pt>
                <c:pt idx="18">
                  <c:v>1</c:v>
                </c:pt>
                <c:pt idx="19" formatCode="_(* #,##0_);_(* \(#,##0\);_(* &quot;-&quot;_);_(@_)">
                  <c:v>1</c:v>
                </c:pt>
                <c:pt idx="20">
                  <c:v>1</c:v>
                </c:pt>
                <c:pt idx="21">
                  <c:v>1</c:v>
                </c:pt>
                <c:pt idx="22">
                  <c:v>1</c:v>
                </c:pt>
                <c:pt idx="23">
                  <c:v>1</c:v>
                </c:pt>
                <c:pt idx="24">
                  <c:v>1</c:v>
                </c:pt>
                <c:pt idx="25">
                  <c:v>1</c:v>
                </c:pt>
                <c:pt idx="26">
                  <c:v>1</c:v>
                </c:pt>
                <c:pt idx="27">
                  <c:v>1</c:v>
                </c:pt>
                <c:pt idx="28" formatCode="General">
                  <c:v>1</c:v>
                </c:pt>
                <c:pt idx="29" formatCode="General">
                  <c:v>1</c:v>
                </c:pt>
                <c:pt idx="30" formatCode="General">
                  <c:v>1</c:v>
                </c:pt>
                <c:pt idx="31" formatCode="General">
                  <c:v>2</c:v>
                </c:pt>
                <c:pt idx="32" formatCode="General">
                  <c:v>1</c:v>
                </c:pt>
                <c:pt idx="33" formatCode="General">
                  <c:v>1</c:v>
                </c:pt>
                <c:pt idx="34" formatCode="General">
                  <c:v>1</c:v>
                </c:pt>
                <c:pt idx="35" formatCode="General">
                  <c:v>1</c:v>
                </c:pt>
                <c:pt idx="36" formatCode="General">
                  <c:v>1</c:v>
                </c:pt>
                <c:pt idx="37" formatCode="General">
                  <c:v>1</c:v>
                </c:pt>
                <c:pt idx="38" formatCode="General">
                  <c:v>1</c:v>
                </c:pt>
                <c:pt idx="39" formatCode="General">
                  <c:v>1</c:v>
                </c:pt>
                <c:pt idx="40" formatCode="General">
                  <c:v>1</c:v>
                </c:pt>
                <c:pt idx="41" formatCode="General">
                  <c:v>3</c:v>
                </c:pt>
                <c:pt idx="42" formatCode="General">
                  <c:v>1</c:v>
                </c:pt>
                <c:pt idx="43" formatCode="General">
                  <c:v>1</c:v>
                </c:pt>
                <c:pt idx="44" formatCode="General">
                  <c:v>1</c:v>
                </c:pt>
                <c:pt idx="45" formatCode="General">
                  <c:v>1</c:v>
                </c:pt>
                <c:pt idx="46" formatCode="General">
                  <c:v>1</c:v>
                </c:pt>
                <c:pt idx="47" formatCode="General">
                  <c:v>1</c:v>
                </c:pt>
                <c:pt idx="48" formatCode="General">
                  <c:v>1</c:v>
                </c:pt>
                <c:pt idx="49" formatCode="General">
                  <c:v>1</c:v>
                </c:pt>
                <c:pt idx="50" formatCode="General">
                  <c:v>1</c:v>
                </c:pt>
                <c:pt idx="51" formatCode="General">
                  <c:v>1</c:v>
                </c:pt>
                <c:pt idx="52" formatCode="General">
                  <c:v>1</c:v>
                </c:pt>
                <c:pt idx="53" formatCode="General">
                  <c:v>1</c:v>
                </c:pt>
                <c:pt idx="54" formatCode="General">
                  <c:v>1</c:v>
                </c:pt>
                <c:pt idx="55" formatCode="General">
                  <c:v>1</c:v>
                </c:pt>
                <c:pt idx="56" formatCode="General">
                  <c:v>1</c:v>
                </c:pt>
                <c:pt idx="57" formatCode="General">
                  <c:v>1</c:v>
                </c:pt>
                <c:pt idx="58" formatCode="General">
                  <c:v>1</c:v>
                </c:pt>
                <c:pt idx="59" formatCode="General">
                  <c:v>1</c:v>
                </c:pt>
                <c:pt idx="60" formatCode="General">
                  <c:v>1</c:v>
                </c:pt>
                <c:pt idx="61" formatCode="General">
                  <c:v>1</c:v>
                </c:pt>
                <c:pt idx="62" formatCode="General">
                  <c:v>2</c:v>
                </c:pt>
                <c:pt idx="63" formatCode="General">
                  <c:v>1</c:v>
                </c:pt>
                <c:pt idx="64" formatCode="General">
                  <c:v>1</c:v>
                </c:pt>
                <c:pt idx="65" formatCode="General">
                  <c:v>2</c:v>
                </c:pt>
                <c:pt idx="66" formatCode="General">
                  <c:v>2</c:v>
                </c:pt>
                <c:pt idx="67" formatCode="General">
                  <c:v>1</c:v>
                </c:pt>
                <c:pt idx="68" formatCode="General">
                  <c:v>1</c:v>
                </c:pt>
                <c:pt idx="69" formatCode="General">
                  <c:v>1</c:v>
                </c:pt>
                <c:pt idx="70" formatCode="General">
                  <c:v>1</c:v>
                </c:pt>
                <c:pt idx="71" formatCode="General">
                  <c:v>1</c:v>
                </c:pt>
                <c:pt idx="72" formatCode="General">
                  <c:v>1</c:v>
                </c:pt>
                <c:pt idx="73" formatCode="General">
                  <c:v>1</c:v>
                </c:pt>
                <c:pt idx="74" formatCode="General">
                  <c:v>1</c:v>
                </c:pt>
                <c:pt idx="75" formatCode="General">
                  <c:v>1</c:v>
                </c:pt>
                <c:pt idx="76" formatCode="General">
                  <c:v>2</c:v>
                </c:pt>
                <c:pt idx="77" formatCode="General">
                  <c:v>2</c:v>
                </c:pt>
                <c:pt idx="78" formatCode="General">
                  <c:v>1</c:v>
                </c:pt>
                <c:pt idx="79" formatCode="General">
                  <c:v>1</c:v>
                </c:pt>
                <c:pt idx="80" formatCode="General">
                  <c:v>1</c:v>
                </c:pt>
                <c:pt idx="81" formatCode="General">
                  <c:v>1</c:v>
                </c:pt>
                <c:pt idx="82" formatCode="General">
                  <c:v>1</c:v>
                </c:pt>
                <c:pt idx="83" formatCode="General">
                  <c:v>1</c:v>
                </c:pt>
                <c:pt idx="84" formatCode="General">
                  <c:v>1</c:v>
                </c:pt>
                <c:pt idx="85" formatCode="General">
                  <c:v>1</c:v>
                </c:pt>
                <c:pt idx="86" formatCode="General">
                  <c:v>1</c:v>
                </c:pt>
                <c:pt idx="87" formatCode="General">
                  <c:v>1</c:v>
                </c:pt>
                <c:pt idx="88" formatCode="General">
                  <c:v>1</c:v>
                </c:pt>
                <c:pt idx="89" formatCode="General">
                  <c:v>1</c:v>
                </c:pt>
                <c:pt idx="90" formatCode="General">
                  <c:v>1</c:v>
                </c:pt>
                <c:pt idx="91" formatCode="General">
                  <c:v>1</c:v>
                </c:pt>
                <c:pt idx="92" formatCode="General">
                  <c:v>1</c:v>
                </c:pt>
                <c:pt idx="93" formatCode="General">
                  <c:v>1</c:v>
                </c:pt>
                <c:pt idx="94" formatCode="General">
                  <c:v>1</c:v>
                </c:pt>
                <c:pt idx="95" formatCode="General">
                  <c:v>1</c:v>
                </c:pt>
                <c:pt idx="96" formatCode="General">
                  <c:v>1</c:v>
                </c:pt>
                <c:pt idx="97" formatCode="General">
                  <c:v>1</c:v>
                </c:pt>
                <c:pt idx="98" formatCode="General">
                  <c:v>1</c:v>
                </c:pt>
                <c:pt idx="99" formatCode="General">
                  <c:v>1</c:v>
                </c:pt>
                <c:pt idx="100" formatCode="General">
                  <c:v>1</c:v>
                </c:pt>
                <c:pt idx="101" formatCode="General">
                  <c:v>1</c:v>
                </c:pt>
                <c:pt idx="102" formatCode="General">
                  <c:v>1</c:v>
                </c:pt>
                <c:pt idx="103" formatCode="General">
                  <c:v>1</c:v>
                </c:pt>
                <c:pt idx="104" formatCode="General">
                  <c:v>1</c:v>
                </c:pt>
                <c:pt idx="105" formatCode="General">
                  <c:v>1</c:v>
                </c:pt>
                <c:pt idx="106" formatCode="General">
                  <c:v>1</c:v>
                </c:pt>
                <c:pt idx="107" formatCode="General">
                  <c:v>1</c:v>
                </c:pt>
                <c:pt idx="108" formatCode="General">
                  <c:v>1</c:v>
                </c:pt>
                <c:pt idx="109" formatCode="General">
                  <c:v>1</c:v>
                </c:pt>
                <c:pt idx="110" formatCode="General">
                  <c:v>1</c:v>
                </c:pt>
                <c:pt idx="111" formatCode="General">
                  <c:v>1</c:v>
                </c:pt>
                <c:pt idx="112" formatCode="General">
                  <c:v>1</c:v>
                </c:pt>
                <c:pt idx="113" formatCode="General">
                  <c:v>1</c:v>
                </c:pt>
                <c:pt idx="114" formatCode="General">
                  <c:v>1</c:v>
                </c:pt>
                <c:pt idx="115" formatCode="General">
                  <c:v>1</c:v>
                </c:pt>
                <c:pt idx="116" formatCode="General">
                  <c:v>1</c:v>
                </c:pt>
                <c:pt idx="117" formatCode="General">
                  <c:v>1</c:v>
                </c:pt>
                <c:pt idx="118" formatCode="General">
                  <c:v>1</c:v>
                </c:pt>
                <c:pt idx="119" formatCode="General">
                  <c:v>1</c:v>
                </c:pt>
                <c:pt idx="120" formatCode="General">
                  <c:v>1</c:v>
                </c:pt>
                <c:pt idx="121" formatCode="General">
                  <c:v>1</c:v>
                </c:pt>
                <c:pt idx="122" formatCode="General">
                  <c:v>1</c:v>
                </c:pt>
                <c:pt idx="123" formatCode="General">
                  <c:v>1</c:v>
                </c:pt>
                <c:pt idx="124" formatCode="General">
                  <c:v>1</c:v>
                </c:pt>
                <c:pt idx="125" formatCode="General">
                  <c:v>1</c:v>
                </c:pt>
                <c:pt idx="126" formatCode="General">
                  <c:v>1</c:v>
                </c:pt>
                <c:pt idx="127" formatCode="General">
                  <c:v>1</c:v>
                </c:pt>
                <c:pt idx="128" formatCode="General">
                  <c:v>1</c:v>
                </c:pt>
                <c:pt idx="129" formatCode="General">
                  <c:v>1</c:v>
                </c:pt>
                <c:pt idx="130" formatCode="General">
                  <c:v>1</c:v>
                </c:pt>
                <c:pt idx="131" formatCode="General">
                  <c:v>1</c:v>
                </c:pt>
                <c:pt idx="132" formatCode="General">
                  <c:v>1</c:v>
                </c:pt>
                <c:pt idx="133" formatCode="General">
                  <c:v>1</c:v>
                </c:pt>
                <c:pt idx="134" formatCode="General">
                  <c:v>1</c:v>
                </c:pt>
                <c:pt idx="135" formatCode="General">
                  <c:v>1</c:v>
                </c:pt>
                <c:pt idx="136" formatCode="General">
                  <c:v>1</c:v>
                </c:pt>
                <c:pt idx="139" formatCode="General">
                  <c:v>4</c:v>
                </c:pt>
                <c:pt idx="143" formatCode="General">
                  <c:v>1</c:v>
                </c:pt>
                <c:pt idx="144" formatCode="General">
                  <c:v>1</c:v>
                </c:pt>
                <c:pt idx="145" formatCode="General">
                  <c:v>1</c:v>
                </c:pt>
                <c:pt idx="146" formatCode="General">
                  <c:v>2</c:v>
                </c:pt>
                <c:pt idx="147" formatCode="General">
                  <c:v>2</c:v>
                </c:pt>
                <c:pt idx="148" formatCode="General">
                  <c:v>1</c:v>
                </c:pt>
                <c:pt idx="149" formatCode="General">
                  <c:v>3</c:v>
                </c:pt>
                <c:pt idx="150" formatCode="General">
                  <c:v>1</c:v>
                </c:pt>
                <c:pt idx="152" formatCode="General">
                  <c:v>1</c:v>
                </c:pt>
                <c:pt idx="153" formatCode="General">
                  <c:v>1</c:v>
                </c:pt>
                <c:pt idx="154" formatCode="General">
                  <c:v>1</c:v>
                </c:pt>
                <c:pt idx="155" formatCode="General">
                  <c:v>1</c:v>
                </c:pt>
                <c:pt idx="156" formatCode="General">
                  <c:v>1</c:v>
                </c:pt>
                <c:pt idx="157" formatCode="General">
                  <c:v>1</c:v>
                </c:pt>
                <c:pt idx="158" formatCode="General">
                  <c:v>1</c:v>
                </c:pt>
                <c:pt idx="159" formatCode="General">
                  <c:v>1</c:v>
                </c:pt>
                <c:pt idx="160" formatCode="General">
                  <c:v>1</c:v>
                </c:pt>
                <c:pt idx="161" formatCode="General">
                  <c:v>1</c:v>
                </c:pt>
                <c:pt idx="162" formatCode="General">
                  <c:v>1</c:v>
                </c:pt>
                <c:pt idx="163" formatCode="General">
                  <c:v>1</c:v>
                </c:pt>
                <c:pt idx="164" formatCode="General">
                  <c:v>1</c:v>
                </c:pt>
                <c:pt idx="166" formatCode="General">
                  <c:v>1</c:v>
                </c:pt>
                <c:pt idx="167" formatCode="General">
                  <c:v>1</c:v>
                </c:pt>
                <c:pt idx="168" formatCode="General">
                  <c:v>1</c:v>
                </c:pt>
                <c:pt idx="169" formatCode="General">
                  <c:v>1</c:v>
                </c:pt>
                <c:pt idx="170" formatCode="General">
                  <c:v>1</c:v>
                </c:pt>
                <c:pt idx="171" formatCode="General">
                  <c:v>1</c:v>
                </c:pt>
                <c:pt idx="172" formatCode="General">
                  <c:v>1</c:v>
                </c:pt>
                <c:pt idx="173" formatCode="General">
                  <c:v>1</c:v>
                </c:pt>
                <c:pt idx="174" formatCode="General">
                  <c:v>2</c:v>
                </c:pt>
                <c:pt idx="175" formatCode="General">
                  <c:v>2</c:v>
                </c:pt>
                <c:pt idx="176" formatCode="General">
                  <c:v>3</c:v>
                </c:pt>
                <c:pt idx="177" formatCode="General">
                  <c:v>1</c:v>
                </c:pt>
                <c:pt idx="178" formatCode="General">
                  <c:v>1</c:v>
                </c:pt>
                <c:pt idx="179" formatCode="General">
                  <c:v>1</c:v>
                </c:pt>
                <c:pt idx="180" formatCode="General">
                  <c:v>1</c:v>
                </c:pt>
                <c:pt idx="181" formatCode="General">
                  <c:v>1</c:v>
                </c:pt>
                <c:pt idx="182" formatCode="General">
                  <c:v>1</c:v>
                </c:pt>
                <c:pt idx="183" formatCode="General">
                  <c:v>1</c:v>
                </c:pt>
                <c:pt idx="184" formatCode="General">
                  <c:v>1</c:v>
                </c:pt>
                <c:pt idx="185" formatCode="General">
                  <c:v>1</c:v>
                </c:pt>
                <c:pt idx="186" formatCode="General">
                  <c:v>1</c:v>
                </c:pt>
                <c:pt idx="187" formatCode="General">
                  <c:v>1</c:v>
                </c:pt>
                <c:pt idx="188" formatCode="General">
                  <c:v>1</c:v>
                </c:pt>
                <c:pt idx="189" formatCode="General">
                  <c:v>1</c:v>
                </c:pt>
                <c:pt idx="190" formatCode="General">
                  <c:v>1</c:v>
                </c:pt>
                <c:pt idx="191" formatCode="General">
                  <c:v>1</c:v>
                </c:pt>
                <c:pt idx="192" formatCode="General">
                  <c:v>1</c:v>
                </c:pt>
                <c:pt idx="193" formatCode="General">
                  <c:v>1</c:v>
                </c:pt>
                <c:pt idx="194" formatCode="General">
                  <c:v>1</c:v>
                </c:pt>
                <c:pt idx="195" formatCode="General">
                  <c:v>1</c:v>
                </c:pt>
                <c:pt idx="196" formatCode="#,##0;\-#,##0;\-;@">
                  <c:v>1</c:v>
                </c:pt>
                <c:pt idx="198" formatCode="#,##0;\-#,##0;\-;@">
                  <c:v>1</c:v>
                </c:pt>
                <c:pt idx="200" formatCode="#,##0;\-#,##0;\-;@">
                  <c:v>1</c:v>
                </c:pt>
                <c:pt idx="201" formatCode="#,##0;\-#,##0;\-;@">
                  <c:v>5</c:v>
                </c:pt>
                <c:pt idx="202" formatCode="#,##0;\-#,##0;\-;@">
                  <c:v>1</c:v>
                </c:pt>
                <c:pt idx="203" formatCode="#,##0;\-#,##0;\-;@">
                  <c:v>1</c:v>
                </c:pt>
                <c:pt idx="204" formatCode="#,##0;\-#,##0;\-;@">
                  <c:v>1</c:v>
                </c:pt>
                <c:pt idx="205" formatCode="#,##0;\-#,##0;\-;@">
                  <c:v>1</c:v>
                </c:pt>
                <c:pt idx="206" formatCode="#,##0;\-#,##0;\-;@">
                  <c:v>1</c:v>
                </c:pt>
                <c:pt idx="207" formatCode="#,##0;\-#,##0;\-;@">
                  <c:v>1</c:v>
                </c:pt>
                <c:pt idx="208" formatCode="#,##0;\-#,##0;\-;@">
                  <c:v>1</c:v>
                </c:pt>
                <c:pt idx="209" formatCode="#,##0;\-#,##0;\-;@">
                  <c:v>1</c:v>
                </c:pt>
                <c:pt idx="210" formatCode="#,##0;\-#,##0;\-;@">
                  <c:v>1</c:v>
                </c:pt>
                <c:pt idx="211" formatCode="#,##0;\-#,##0;\-;@">
                  <c:v>1</c:v>
                </c:pt>
                <c:pt idx="212" formatCode="#,##0;\-#,##0;\-;@">
                  <c:v>1</c:v>
                </c:pt>
                <c:pt idx="213" formatCode="#,##0;\-#,##0;\-;@">
                  <c:v>1</c:v>
                </c:pt>
                <c:pt idx="214" formatCode="#,##0;\-#,##0;\-;@">
                  <c:v>1</c:v>
                </c:pt>
                <c:pt idx="215" formatCode="#,##0;\-#,##0;\-;@">
                  <c:v>1</c:v>
                </c:pt>
                <c:pt idx="216" formatCode="#,##0;\-#,##0;\-;@">
                  <c:v>1</c:v>
                </c:pt>
                <c:pt idx="217" formatCode="#,##0;\-#,##0;\-;@">
                  <c:v>2</c:v>
                </c:pt>
                <c:pt idx="218" formatCode="#,##0;\-#,##0;\-;@">
                  <c:v>1</c:v>
                </c:pt>
                <c:pt idx="219" formatCode="#,##0;\-#,##0;\-;@">
                  <c:v>1</c:v>
                </c:pt>
                <c:pt idx="220" formatCode="#,##0;\-#,##0;\-;@">
                  <c:v>1</c:v>
                </c:pt>
                <c:pt idx="221" formatCode="#,##0;\-#,##0;\-;@">
                  <c:v>1</c:v>
                </c:pt>
                <c:pt idx="222" formatCode="#,##0;\-#,##0;\-;@">
                  <c:v>1</c:v>
                </c:pt>
                <c:pt idx="223" formatCode="#,##0;\-#,##0;\-;@">
                  <c:v>1</c:v>
                </c:pt>
                <c:pt idx="224" formatCode="#,##0;\-#,##0;\-;@">
                  <c:v>1</c:v>
                </c:pt>
                <c:pt idx="225" formatCode="#,##0;\-#,##0;\-;@">
                  <c:v>1</c:v>
                </c:pt>
                <c:pt idx="226" formatCode="#,##0;\-#,##0;\-;@">
                  <c:v>1</c:v>
                </c:pt>
                <c:pt idx="227" formatCode="#,##0;\-#,##0;\-;@">
                  <c:v>1</c:v>
                </c:pt>
                <c:pt idx="228" formatCode="#,##0;\-#,##0;\-;@">
                  <c:v>1</c:v>
                </c:pt>
                <c:pt idx="229" formatCode="#,##0;\-#,##0;\-;@">
                  <c:v>1</c:v>
                </c:pt>
                <c:pt idx="230" formatCode="#,##0;\-#,##0;\-;@">
                  <c:v>1</c:v>
                </c:pt>
                <c:pt idx="231" formatCode="#,##0;\-#,##0;\-;@">
                  <c:v>1</c:v>
                </c:pt>
                <c:pt idx="232" formatCode="#,##0;\-#,##0;\-;@">
                  <c:v>1</c:v>
                </c:pt>
                <c:pt idx="233" formatCode="#,##0;\-#,##0;\-;@">
                  <c:v>1</c:v>
                </c:pt>
                <c:pt idx="234" formatCode="#,##0;\-#,##0;\-;@">
                  <c:v>1</c:v>
                </c:pt>
                <c:pt idx="235" formatCode="#,##0;\-#,##0;\-;@">
                  <c:v>1</c:v>
                </c:pt>
                <c:pt idx="236" formatCode="#,##0;\-#,##0;\-;@">
                  <c:v>1</c:v>
                </c:pt>
                <c:pt idx="237" formatCode="#,##0;\-#,##0;\-;@">
                  <c:v>1</c:v>
                </c:pt>
                <c:pt idx="238" formatCode="#,##0;\-#,##0;\-;@">
                  <c:v>1</c:v>
                </c:pt>
                <c:pt idx="239" formatCode="#,##0;\-#,##0;\-;@">
                  <c:v>1</c:v>
                </c:pt>
                <c:pt idx="240" formatCode="General">
                  <c:v>10</c:v>
                </c:pt>
                <c:pt idx="241" formatCode="General">
                  <c:v>1</c:v>
                </c:pt>
                <c:pt idx="244" formatCode="General">
                  <c:v>1</c:v>
                </c:pt>
                <c:pt idx="245" formatCode="General">
                  <c:v>1</c:v>
                </c:pt>
                <c:pt idx="246" formatCode="General">
                  <c:v>5</c:v>
                </c:pt>
                <c:pt idx="247" formatCode="General">
                  <c:v>1</c:v>
                </c:pt>
                <c:pt idx="248" formatCode="General">
                  <c:v>2</c:v>
                </c:pt>
                <c:pt idx="251" formatCode="General">
                  <c:v>1</c:v>
                </c:pt>
                <c:pt idx="252" formatCode="General">
                  <c:v>1</c:v>
                </c:pt>
                <c:pt idx="253" formatCode="General">
                  <c:v>1</c:v>
                </c:pt>
                <c:pt idx="256" formatCode="General">
                  <c:v>1</c:v>
                </c:pt>
                <c:pt idx="258" formatCode="General">
                  <c:v>1</c:v>
                </c:pt>
                <c:pt idx="259" formatCode="General">
                  <c:v>1</c:v>
                </c:pt>
                <c:pt idx="260" formatCode="General">
                  <c:v>1</c:v>
                </c:pt>
                <c:pt idx="262" formatCode="General">
                  <c:v>1</c:v>
                </c:pt>
                <c:pt idx="264" formatCode="General">
                  <c:v>1</c:v>
                </c:pt>
                <c:pt idx="265" formatCode="General">
                  <c:v>1</c:v>
                </c:pt>
                <c:pt idx="266" formatCode="General">
                  <c:v>1</c:v>
                </c:pt>
                <c:pt idx="267" formatCode="General">
                  <c:v>1</c:v>
                </c:pt>
                <c:pt idx="268" formatCode="General">
                  <c:v>1</c:v>
                </c:pt>
                <c:pt idx="269" formatCode="General">
                  <c:v>1</c:v>
                </c:pt>
                <c:pt idx="270" formatCode="General">
                  <c:v>1</c:v>
                </c:pt>
                <c:pt idx="272" formatCode="General">
                  <c:v>1</c:v>
                </c:pt>
                <c:pt idx="273" formatCode="General">
                  <c:v>1</c:v>
                </c:pt>
                <c:pt idx="274" formatCode="General">
                  <c:v>1</c:v>
                </c:pt>
                <c:pt idx="275" formatCode="General">
                  <c:v>1</c:v>
                </c:pt>
                <c:pt idx="276" formatCode="General">
                  <c:v>1</c:v>
                </c:pt>
                <c:pt idx="277" formatCode="General">
                  <c:v>10</c:v>
                </c:pt>
                <c:pt idx="278" formatCode="General">
                  <c:v>5</c:v>
                </c:pt>
                <c:pt idx="279" formatCode="General">
                  <c:v>5</c:v>
                </c:pt>
                <c:pt idx="280" formatCode="General">
                  <c:v>5</c:v>
                </c:pt>
                <c:pt idx="281" formatCode="General">
                  <c:v>2</c:v>
                </c:pt>
                <c:pt idx="282" formatCode="General">
                  <c:v>1</c:v>
                </c:pt>
                <c:pt idx="283" formatCode="General">
                  <c:v>1</c:v>
                </c:pt>
                <c:pt idx="284" formatCode="General">
                  <c:v>1</c:v>
                </c:pt>
                <c:pt idx="285" formatCode="General">
                  <c:v>1</c:v>
                </c:pt>
                <c:pt idx="286" formatCode="General">
                  <c:v>1</c:v>
                </c:pt>
                <c:pt idx="287" formatCode="General">
                  <c:v>1</c:v>
                </c:pt>
                <c:pt idx="288" formatCode="General">
                  <c:v>1</c:v>
                </c:pt>
                <c:pt idx="289" formatCode="General">
                  <c:v>1</c:v>
                </c:pt>
                <c:pt idx="290" formatCode="General">
                  <c:v>1</c:v>
                </c:pt>
                <c:pt idx="296" formatCode="General">
                  <c:v>2</c:v>
                </c:pt>
                <c:pt idx="305" formatCode="General">
                  <c:v>1</c:v>
                </c:pt>
                <c:pt idx="306" formatCode="General">
                  <c:v>1</c:v>
                </c:pt>
                <c:pt idx="310" formatCode="General">
                  <c:v>1</c:v>
                </c:pt>
                <c:pt idx="311" formatCode="General">
                  <c:v>2</c:v>
                </c:pt>
                <c:pt idx="312" formatCode="General">
                  <c:v>1</c:v>
                </c:pt>
                <c:pt idx="313" formatCode="General">
                  <c:v>1</c:v>
                </c:pt>
                <c:pt idx="314" formatCode="General">
                  <c:v>1</c:v>
                </c:pt>
                <c:pt idx="317" formatCode="General">
                  <c:v>1</c:v>
                </c:pt>
                <c:pt idx="318" formatCode="General">
                  <c:v>1</c:v>
                </c:pt>
                <c:pt idx="319" formatCode="General">
                  <c:v>1</c:v>
                </c:pt>
                <c:pt idx="320" formatCode="General">
                  <c:v>1</c:v>
                </c:pt>
                <c:pt idx="321" formatCode="General">
                  <c:v>1</c:v>
                </c:pt>
                <c:pt idx="322" formatCode="General">
                  <c:v>1</c:v>
                </c:pt>
                <c:pt idx="323" formatCode="General">
                  <c:v>1</c:v>
                </c:pt>
                <c:pt idx="325" formatCode="General">
                  <c:v>1</c:v>
                </c:pt>
                <c:pt idx="326" formatCode="General">
                  <c:v>1</c:v>
                </c:pt>
                <c:pt idx="327" formatCode="General">
                  <c:v>1</c:v>
                </c:pt>
                <c:pt idx="328" formatCode="General">
                  <c:v>1</c:v>
                </c:pt>
                <c:pt idx="333" formatCode="General">
                  <c:v>1</c:v>
                </c:pt>
                <c:pt idx="334" formatCode="General">
                  <c:v>1</c:v>
                </c:pt>
                <c:pt idx="335" formatCode="General">
                  <c:v>1</c:v>
                </c:pt>
                <c:pt idx="336" formatCode="General">
                  <c:v>1</c:v>
                </c:pt>
                <c:pt idx="337" formatCode="General">
                  <c:v>1</c:v>
                </c:pt>
                <c:pt idx="338" formatCode="General">
                  <c:v>1</c:v>
                </c:pt>
                <c:pt idx="339" formatCode="General">
                  <c:v>1</c:v>
                </c:pt>
                <c:pt idx="342" formatCode="General">
                  <c:v>1</c:v>
                </c:pt>
                <c:pt idx="343" formatCode="General">
                  <c:v>1</c:v>
                </c:pt>
                <c:pt idx="349" formatCode="General">
                  <c:v>1</c:v>
                </c:pt>
                <c:pt idx="350" formatCode="General">
                  <c:v>1</c:v>
                </c:pt>
                <c:pt idx="351" formatCode="General">
                  <c:v>1</c:v>
                </c:pt>
                <c:pt idx="352" formatCode="General">
                  <c:v>1</c:v>
                </c:pt>
                <c:pt idx="357" formatCode="General">
                  <c:v>1</c:v>
                </c:pt>
                <c:pt idx="359" formatCode="General">
                  <c:v>1</c:v>
                </c:pt>
                <c:pt idx="360" formatCode="General">
                  <c:v>1</c:v>
                </c:pt>
                <c:pt idx="361" formatCode="General">
                  <c:v>1</c:v>
                </c:pt>
                <c:pt idx="362" formatCode="General">
                  <c:v>1</c:v>
                </c:pt>
                <c:pt idx="363" formatCode="General">
                  <c:v>1</c:v>
                </c:pt>
                <c:pt idx="364" formatCode="General">
                  <c:v>1</c:v>
                </c:pt>
                <c:pt idx="365" formatCode="General">
                  <c:v>1</c:v>
                </c:pt>
                <c:pt idx="366" formatCode="General">
                  <c:v>1</c:v>
                </c:pt>
                <c:pt idx="369" formatCode="General">
                  <c:v>1</c:v>
                </c:pt>
                <c:pt idx="370" formatCode="General">
                  <c:v>1</c:v>
                </c:pt>
                <c:pt idx="371" formatCode="General">
                  <c:v>1</c:v>
                </c:pt>
                <c:pt idx="372" formatCode="General">
                  <c:v>1</c:v>
                </c:pt>
                <c:pt idx="373" formatCode="General">
                  <c:v>1</c:v>
                </c:pt>
                <c:pt idx="374" formatCode="General">
                  <c:v>1</c:v>
                </c:pt>
                <c:pt idx="375" formatCode="General">
                  <c:v>1</c:v>
                </c:pt>
                <c:pt idx="376" formatCode="General">
                  <c:v>3</c:v>
                </c:pt>
                <c:pt idx="377" formatCode="General">
                  <c:v>1</c:v>
                </c:pt>
                <c:pt idx="378" formatCode="General">
                  <c:v>1</c:v>
                </c:pt>
                <c:pt idx="380" formatCode="General">
                  <c:v>1</c:v>
                </c:pt>
                <c:pt idx="381" formatCode="General">
                  <c:v>1</c:v>
                </c:pt>
                <c:pt idx="384" formatCode="General">
                  <c:v>1</c:v>
                </c:pt>
                <c:pt idx="385" formatCode="General">
                  <c:v>1</c:v>
                </c:pt>
                <c:pt idx="388" formatCode="General">
                  <c:v>1</c:v>
                </c:pt>
                <c:pt idx="389" formatCode="General">
                  <c:v>1</c:v>
                </c:pt>
                <c:pt idx="390" formatCode="General">
                  <c:v>1</c:v>
                </c:pt>
                <c:pt idx="391" formatCode="General">
                  <c:v>1</c:v>
                </c:pt>
                <c:pt idx="393" formatCode="General">
                  <c:v>1</c:v>
                </c:pt>
                <c:pt idx="394" formatCode="General">
                  <c:v>1</c:v>
                </c:pt>
                <c:pt idx="395" formatCode="General">
                  <c:v>1</c:v>
                </c:pt>
                <c:pt idx="397" formatCode="General">
                  <c:v>1</c:v>
                </c:pt>
                <c:pt idx="399" formatCode="General">
                  <c:v>2</c:v>
                </c:pt>
                <c:pt idx="400" formatCode="General">
                  <c:v>1</c:v>
                </c:pt>
                <c:pt idx="401" formatCode="General">
                  <c:v>1</c:v>
                </c:pt>
                <c:pt idx="402" formatCode="General">
                  <c:v>1</c:v>
                </c:pt>
                <c:pt idx="403" formatCode="General">
                  <c:v>1</c:v>
                </c:pt>
                <c:pt idx="405" formatCode="General">
                  <c:v>1</c:v>
                </c:pt>
                <c:pt idx="407" formatCode="General">
                  <c:v>2</c:v>
                </c:pt>
                <c:pt idx="408" formatCode="General">
                  <c:v>1</c:v>
                </c:pt>
                <c:pt idx="409" formatCode="General">
                  <c:v>2</c:v>
                </c:pt>
                <c:pt idx="410" formatCode="General">
                  <c:v>1</c:v>
                </c:pt>
                <c:pt idx="412" formatCode="General">
                  <c:v>1</c:v>
                </c:pt>
                <c:pt idx="413" formatCode="General">
                  <c:v>1</c:v>
                </c:pt>
                <c:pt idx="414" formatCode="General">
                  <c:v>1</c:v>
                </c:pt>
                <c:pt idx="415" formatCode="General">
                  <c:v>1</c:v>
                </c:pt>
                <c:pt idx="416" formatCode="General">
                  <c:v>1</c:v>
                </c:pt>
                <c:pt idx="417" formatCode="General">
                  <c:v>1</c:v>
                </c:pt>
                <c:pt idx="421" formatCode="General">
                  <c:v>1</c:v>
                </c:pt>
                <c:pt idx="422" formatCode="General">
                  <c:v>1</c:v>
                </c:pt>
                <c:pt idx="423" formatCode="General">
                  <c:v>1</c:v>
                </c:pt>
                <c:pt idx="424" formatCode="General">
                  <c:v>1</c:v>
                </c:pt>
                <c:pt idx="425" formatCode="General">
                  <c:v>1</c:v>
                </c:pt>
                <c:pt idx="427" formatCode="General">
                  <c:v>1</c:v>
                </c:pt>
                <c:pt idx="428" formatCode="General">
                  <c:v>1</c:v>
                </c:pt>
                <c:pt idx="430" formatCode="General">
                  <c:v>1</c:v>
                </c:pt>
                <c:pt idx="431" formatCode="General">
                  <c:v>1</c:v>
                </c:pt>
                <c:pt idx="432" formatCode="General">
                  <c:v>1</c:v>
                </c:pt>
                <c:pt idx="436" formatCode="General">
                  <c:v>1</c:v>
                </c:pt>
                <c:pt idx="437" formatCode="General">
                  <c:v>1</c:v>
                </c:pt>
                <c:pt idx="438" formatCode="General">
                  <c:v>1</c:v>
                </c:pt>
                <c:pt idx="439" formatCode="General">
                  <c:v>1</c:v>
                </c:pt>
                <c:pt idx="440" formatCode="General">
                  <c:v>1</c:v>
                </c:pt>
                <c:pt idx="441" formatCode="General">
                  <c:v>1</c:v>
                </c:pt>
                <c:pt idx="442" formatCode="General">
                  <c:v>1</c:v>
                </c:pt>
                <c:pt idx="443" formatCode="General">
                  <c:v>1</c:v>
                </c:pt>
                <c:pt idx="444" formatCode="General">
                  <c:v>1</c:v>
                </c:pt>
                <c:pt idx="449" formatCode="General">
                  <c:v>1</c:v>
                </c:pt>
                <c:pt idx="450" formatCode="General">
                  <c:v>1</c:v>
                </c:pt>
                <c:pt idx="451" formatCode="General">
                  <c:v>5</c:v>
                </c:pt>
                <c:pt idx="452" formatCode="General">
                  <c:v>1</c:v>
                </c:pt>
                <c:pt idx="453" formatCode="General">
                  <c:v>1</c:v>
                </c:pt>
                <c:pt idx="456" formatCode="General">
                  <c:v>1</c:v>
                </c:pt>
                <c:pt idx="457" formatCode="General">
                  <c:v>1</c:v>
                </c:pt>
                <c:pt idx="458" formatCode="General">
                  <c:v>1</c:v>
                </c:pt>
                <c:pt idx="459" formatCode="General">
                  <c:v>1</c:v>
                </c:pt>
                <c:pt idx="460" formatCode="General">
                  <c:v>1</c:v>
                </c:pt>
                <c:pt idx="461" formatCode="General">
                  <c:v>1</c:v>
                </c:pt>
                <c:pt idx="462" formatCode="General">
                  <c:v>1</c:v>
                </c:pt>
                <c:pt idx="463" formatCode="General">
                  <c:v>2</c:v>
                </c:pt>
                <c:pt idx="464" formatCode="General">
                  <c:v>1</c:v>
                </c:pt>
                <c:pt idx="467" formatCode="General">
                  <c:v>1</c:v>
                </c:pt>
                <c:pt idx="470" formatCode="General">
                  <c:v>1</c:v>
                </c:pt>
                <c:pt idx="474" formatCode="General">
                  <c:v>1</c:v>
                </c:pt>
                <c:pt idx="475" formatCode="General">
                  <c:v>1</c:v>
                </c:pt>
                <c:pt idx="476" formatCode="General">
                  <c:v>1</c:v>
                </c:pt>
                <c:pt idx="477" formatCode="General">
                  <c:v>1</c:v>
                </c:pt>
                <c:pt idx="478" formatCode="General">
                  <c:v>1</c:v>
                </c:pt>
                <c:pt idx="479" formatCode="General">
                  <c:v>2</c:v>
                </c:pt>
                <c:pt idx="480" formatCode="General">
                  <c:v>1</c:v>
                </c:pt>
                <c:pt idx="482" formatCode="General">
                  <c:v>1</c:v>
                </c:pt>
                <c:pt idx="485" formatCode="General">
                  <c:v>1</c:v>
                </c:pt>
                <c:pt idx="487" formatCode="General">
                  <c:v>1</c:v>
                </c:pt>
                <c:pt idx="488" formatCode="General">
                  <c:v>1</c:v>
                </c:pt>
                <c:pt idx="491" formatCode="General">
                  <c:v>1</c:v>
                </c:pt>
                <c:pt idx="492" formatCode="General">
                  <c:v>1</c:v>
                </c:pt>
                <c:pt idx="494" formatCode="General">
                  <c:v>3</c:v>
                </c:pt>
                <c:pt idx="495" formatCode="General">
                  <c:v>1</c:v>
                </c:pt>
                <c:pt idx="498" formatCode="General">
                  <c:v>1</c:v>
                </c:pt>
                <c:pt idx="499" formatCode="General">
                  <c:v>1</c:v>
                </c:pt>
                <c:pt idx="500" formatCode="General">
                  <c:v>1</c:v>
                </c:pt>
                <c:pt idx="502" formatCode="General">
                  <c:v>1</c:v>
                </c:pt>
                <c:pt idx="506" formatCode="General">
                  <c:v>1</c:v>
                </c:pt>
                <c:pt idx="507" formatCode="General">
                  <c:v>1</c:v>
                </c:pt>
                <c:pt idx="508" formatCode="General">
                  <c:v>1</c:v>
                </c:pt>
                <c:pt idx="509" formatCode="General">
                  <c:v>1</c:v>
                </c:pt>
                <c:pt idx="510" formatCode="General">
                  <c:v>1</c:v>
                </c:pt>
                <c:pt idx="512" formatCode="General">
                  <c:v>1</c:v>
                </c:pt>
                <c:pt idx="513" formatCode="General">
                  <c:v>1</c:v>
                </c:pt>
                <c:pt idx="514" formatCode="General">
                  <c:v>1</c:v>
                </c:pt>
                <c:pt idx="515" formatCode="General">
                  <c:v>1</c:v>
                </c:pt>
                <c:pt idx="516" formatCode="General">
                  <c:v>1</c:v>
                </c:pt>
                <c:pt idx="519" formatCode="General">
                  <c:v>1</c:v>
                </c:pt>
                <c:pt idx="520" formatCode="General">
                  <c:v>1</c:v>
                </c:pt>
                <c:pt idx="523" formatCode="General">
                  <c:v>1</c:v>
                </c:pt>
                <c:pt idx="530" formatCode="General">
                  <c:v>1</c:v>
                </c:pt>
                <c:pt idx="531" formatCode="General">
                  <c:v>2</c:v>
                </c:pt>
                <c:pt idx="532" formatCode="General">
                  <c:v>1</c:v>
                </c:pt>
                <c:pt idx="533" formatCode="General">
                  <c:v>1</c:v>
                </c:pt>
                <c:pt idx="535" formatCode="General">
                  <c:v>1</c:v>
                </c:pt>
                <c:pt idx="537" formatCode="General">
                  <c:v>1</c:v>
                </c:pt>
                <c:pt idx="538" formatCode="General">
                  <c:v>1</c:v>
                </c:pt>
                <c:pt idx="539" formatCode="General">
                  <c:v>1</c:v>
                </c:pt>
                <c:pt idx="540" formatCode="General">
                  <c:v>1</c:v>
                </c:pt>
                <c:pt idx="542" formatCode="General">
                  <c:v>1</c:v>
                </c:pt>
                <c:pt idx="543" formatCode="General">
                  <c:v>1</c:v>
                </c:pt>
                <c:pt idx="544" formatCode="General">
                  <c:v>1</c:v>
                </c:pt>
                <c:pt idx="547" formatCode="General">
                  <c:v>1</c:v>
                </c:pt>
                <c:pt idx="548" formatCode="General">
                  <c:v>1</c:v>
                </c:pt>
                <c:pt idx="552" formatCode="General">
                  <c:v>1</c:v>
                </c:pt>
                <c:pt idx="553" formatCode="General">
                  <c:v>1</c:v>
                </c:pt>
                <c:pt idx="556" formatCode="General">
                  <c:v>1</c:v>
                </c:pt>
                <c:pt idx="557" formatCode="General">
                  <c:v>1</c:v>
                </c:pt>
                <c:pt idx="558" formatCode="General">
                  <c:v>1</c:v>
                </c:pt>
                <c:pt idx="559" formatCode="General">
                  <c:v>2</c:v>
                </c:pt>
                <c:pt idx="560" formatCode="General">
                  <c:v>1</c:v>
                </c:pt>
                <c:pt idx="562" formatCode="General">
                  <c:v>1</c:v>
                </c:pt>
                <c:pt idx="563" formatCode="General">
                  <c:v>1</c:v>
                </c:pt>
                <c:pt idx="564" formatCode="General">
                  <c:v>1</c:v>
                </c:pt>
                <c:pt idx="565" formatCode="General">
                  <c:v>1</c:v>
                </c:pt>
                <c:pt idx="566" formatCode="General">
                  <c:v>1</c:v>
                </c:pt>
                <c:pt idx="568" formatCode="General">
                  <c:v>1</c:v>
                </c:pt>
                <c:pt idx="569" formatCode="General">
                  <c:v>5</c:v>
                </c:pt>
                <c:pt idx="570" formatCode="General">
                  <c:v>1</c:v>
                </c:pt>
                <c:pt idx="571" formatCode="General">
                  <c:v>1</c:v>
                </c:pt>
                <c:pt idx="572" formatCode="General">
                  <c:v>1</c:v>
                </c:pt>
                <c:pt idx="573" formatCode="General">
                  <c:v>1</c:v>
                </c:pt>
                <c:pt idx="574" formatCode="General">
                  <c:v>1</c:v>
                </c:pt>
                <c:pt idx="575" formatCode="General">
                  <c:v>1</c:v>
                </c:pt>
                <c:pt idx="576" formatCode="General">
                  <c:v>1</c:v>
                </c:pt>
                <c:pt idx="577" formatCode="General">
                  <c:v>1</c:v>
                </c:pt>
                <c:pt idx="578" formatCode="General">
                  <c:v>1</c:v>
                </c:pt>
                <c:pt idx="579" formatCode="General">
                  <c:v>1</c:v>
                </c:pt>
                <c:pt idx="580" formatCode="General">
                  <c:v>2</c:v>
                </c:pt>
                <c:pt idx="581" formatCode="General">
                  <c:v>1</c:v>
                </c:pt>
                <c:pt idx="582" formatCode="General">
                  <c:v>1</c:v>
                </c:pt>
                <c:pt idx="583" formatCode="General">
                  <c:v>1</c:v>
                </c:pt>
                <c:pt idx="584" formatCode="General">
                  <c:v>1</c:v>
                </c:pt>
                <c:pt idx="585" formatCode="General">
                  <c:v>1</c:v>
                </c:pt>
                <c:pt idx="594" formatCode="General">
                  <c:v>1</c:v>
                </c:pt>
                <c:pt idx="597" formatCode="General">
                  <c:v>1</c:v>
                </c:pt>
                <c:pt idx="598" formatCode="General">
                  <c:v>2</c:v>
                </c:pt>
                <c:pt idx="599" formatCode="General">
                  <c:v>1</c:v>
                </c:pt>
                <c:pt idx="600" formatCode="General">
                  <c:v>1</c:v>
                </c:pt>
                <c:pt idx="601" formatCode="General">
                  <c:v>1</c:v>
                </c:pt>
                <c:pt idx="602" formatCode="General">
                  <c:v>1</c:v>
                </c:pt>
                <c:pt idx="603" formatCode="General">
                  <c:v>1</c:v>
                </c:pt>
                <c:pt idx="604" formatCode="General">
                  <c:v>1</c:v>
                </c:pt>
                <c:pt idx="605" formatCode="General">
                  <c:v>1</c:v>
                </c:pt>
                <c:pt idx="606" formatCode="General">
                  <c:v>1</c:v>
                </c:pt>
                <c:pt idx="607" formatCode="General">
                  <c:v>1</c:v>
                </c:pt>
                <c:pt idx="610" formatCode="General">
                  <c:v>1</c:v>
                </c:pt>
                <c:pt idx="613" formatCode="General">
                  <c:v>1</c:v>
                </c:pt>
                <c:pt idx="614" formatCode="General">
                  <c:v>1</c:v>
                </c:pt>
                <c:pt idx="615" formatCode="General">
                  <c:v>1</c:v>
                </c:pt>
                <c:pt idx="616" formatCode="General">
                  <c:v>1</c:v>
                </c:pt>
                <c:pt idx="617" formatCode="General">
                  <c:v>1</c:v>
                </c:pt>
                <c:pt idx="622" formatCode="General">
                  <c:v>1</c:v>
                </c:pt>
                <c:pt idx="623" formatCode="General">
                  <c:v>1</c:v>
                </c:pt>
                <c:pt idx="624" formatCode="General">
                  <c:v>1</c:v>
                </c:pt>
                <c:pt idx="625" formatCode="General">
                  <c:v>1</c:v>
                </c:pt>
                <c:pt idx="628" formatCode="General">
                  <c:v>1</c:v>
                </c:pt>
                <c:pt idx="631" formatCode="General">
                  <c:v>1</c:v>
                </c:pt>
                <c:pt idx="632" formatCode="General">
                  <c:v>1</c:v>
                </c:pt>
                <c:pt idx="633" formatCode="General">
                  <c:v>1</c:v>
                </c:pt>
                <c:pt idx="634" formatCode="General">
                  <c:v>1</c:v>
                </c:pt>
                <c:pt idx="635" formatCode="General">
                  <c:v>1</c:v>
                </c:pt>
                <c:pt idx="636" formatCode="General">
                  <c:v>1</c:v>
                </c:pt>
                <c:pt idx="637" formatCode="General">
                  <c:v>1</c:v>
                </c:pt>
                <c:pt idx="638" formatCode="General">
                  <c:v>1</c:v>
                </c:pt>
                <c:pt idx="639" formatCode="General">
                  <c:v>1</c:v>
                </c:pt>
                <c:pt idx="640" formatCode="General">
                  <c:v>1</c:v>
                </c:pt>
                <c:pt idx="643" formatCode="General">
                  <c:v>1</c:v>
                </c:pt>
                <c:pt idx="645" formatCode="General">
                  <c:v>1</c:v>
                </c:pt>
                <c:pt idx="647" formatCode="General">
                  <c:v>1</c:v>
                </c:pt>
                <c:pt idx="649" formatCode="General">
                  <c:v>1</c:v>
                </c:pt>
                <c:pt idx="650" formatCode="General">
                  <c:v>1</c:v>
                </c:pt>
                <c:pt idx="651" formatCode="General">
                  <c:v>1</c:v>
                </c:pt>
                <c:pt idx="652" formatCode="General">
                  <c:v>1</c:v>
                </c:pt>
                <c:pt idx="653" formatCode="General">
                  <c:v>1</c:v>
                </c:pt>
                <c:pt idx="656" formatCode="General">
                  <c:v>1</c:v>
                </c:pt>
                <c:pt idx="657" formatCode="General">
                  <c:v>1</c:v>
                </c:pt>
                <c:pt idx="658" formatCode="General">
                  <c:v>1</c:v>
                </c:pt>
                <c:pt idx="660" formatCode="General">
                  <c:v>1</c:v>
                </c:pt>
                <c:pt idx="662" formatCode="General">
                  <c:v>1</c:v>
                </c:pt>
                <c:pt idx="663" formatCode="General">
                  <c:v>1</c:v>
                </c:pt>
                <c:pt idx="666" formatCode="General">
                  <c:v>1</c:v>
                </c:pt>
                <c:pt idx="667" formatCode="General">
                  <c:v>1</c:v>
                </c:pt>
                <c:pt idx="668" formatCode="General">
                  <c:v>2</c:v>
                </c:pt>
                <c:pt idx="669" formatCode="General">
                  <c:v>1</c:v>
                </c:pt>
                <c:pt idx="670" formatCode="General">
                  <c:v>1</c:v>
                </c:pt>
                <c:pt idx="671" formatCode="General">
                  <c:v>1</c:v>
                </c:pt>
                <c:pt idx="672" formatCode="General">
                  <c:v>1</c:v>
                </c:pt>
                <c:pt idx="676" formatCode="General">
                  <c:v>1</c:v>
                </c:pt>
                <c:pt idx="677" formatCode="General">
                  <c:v>1</c:v>
                </c:pt>
                <c:pt idx="678" formatCode="General">
                  <c:v>1</c:v>
                </c:pt>
                <c:pt idx="679" formatCode="General">
                  <c:v>1</c:v>
                </c:pt>
                <c:pt idx="680" formatCode="General">
                  <c:v>1</c:v>
                </c:pt>
                <c:pt idx="681" formatCode="General">
                  <c:v>1</c:v>
                </c:pt>
                <c:pt idx="683" formatCode="General">
                  <c:v>1</c:v>
                </c:pt>
                <c:pt idx="684" formatCode="General">
                  <c:v>1</c:v>
                </c:pt>
                <c:pt idx="685" formatCode="General">
                  <c:v>1</c:v>
                </c:pt>
                <c:pt idx="686" formatCode="General">
                  <c:v>1</c:v>
                </c:pt>
                <c:pt idx="687" formatCode="General">
                  <c:v>1</c:v>
                </c:pt>
                <c:pt idx="688" formatCode="General">
                  <c:v>1</c:v>
                </c:pt>
                <c:pt idx="689" formatCode="General">
                  <c:v>1</c:v>
                </c:pt>
                <c:pt idx="690" formatCode="General">
                  <c:v>1</c:v>
                </c:pt>
                <c:pt idx="691" formatCode="General">
                  <c:v>1</c:v>
                </c:pt>
                <c:pt idx="694" formatCode="General">
                  <c:v>1</c:v>
                </c:pt>
                <c:pt idx="695" formatCode="General">
                  <c:v>1</c:v>
                </c:pt>
                <c:pt idx="698" formatCode="General">
                  <c:v>1</c:v>
                </c:pt>
                <c:pt idx="699" formatCode="General">
                  <c:v>1</c:v>
                </c:pt>
                <c:pt idx="700" formatCode="General">
                  <c:v>1</c:v>
                </c:pt>
                <c:pt idx="701" formatCode="General">
                  <c:v>1</c:v>
                </c:pt>
                <c:pt idx="702" formatCode="General">
                  <c:v>1</c:v>
                </c:pt>
                <c:pt idx="703" formatCode="General">
                  <c:v>1</c:v>
                </c:pt>
                <c:pt idx="704" formatCode="General">
                  <c:v>1</c:v>
                </c:pt>
                <c:pt idx="705" formatCode="General">
                  <c:v>1</c:v>
                </c:pt>
                <c:pt idx="706" formatCode="General">
                  <c:v>1</c:v>
                </c:pt>
                <c:pt idx="707" formatCode="General">
                  <c:v>1</c:v>
                </c:pt>
                <c:pt idx="710" formatCode="General">
                  <c:v>1</c:v>
                </c:pt>
                <c:pt idx="713" formatCode="General">
                  <c:v>1</c:v>
                </c:pt>
                <c:pt idx="714" formatCode="General">
                  <c:v>1</c:v>
                </c:pt>
                <c:pt idx="715" formatCode="General">
                  <c:v>1</c:v>
                </c:pt>
                <c:pt idx="718" formatCode="General">
                  <c:v>1</c:v>
                </c:pt>
                <c:pt idx="720" formatCode="General">
                  <c:v>1</c:v>
                </c:pt>
                <c:pt idx="721" formatCode="General">
                  <c:v>2</c:v>
                </c:pt>
                <c:pt idx="723" formatCode="General">
                  <c:v>1</c:v>
                </c:pt>
                <c:pt idx="725" formatCode="General">
                  <c:v>1</c:v>
                </c:pt>
                <c:pt idx="726" formatCode="General">
                  <c:v>1</c:v>
                </c:pt>
                <c:pt idx="727" formatCode="General">
                  <c:v>1</c:v>
                </c:pt>
                <c:pt idx="728" formatCode="General">
                  <c:v>1</c:v>
                </c:pt>
                <c:pt idx="729" formatCode="General">
                  <c:v>1</c:v>
                </c:pt>
                <c:pt idx="730" formatCode="General">
                  <c:v>1</c:v>
                </c:pt>
                <c:pt idx="731" formatCode="General">
                  <c:v>1</c:v>
                </c:pt>
                <c:pt idx="732" formatCode="General">
                  <c:v>1</c:v>
                </c:pt>
                <c:pt idx="733" formatCode="General">
                  <c:v>1</c:v>
                </c:pt>
                <c:pt idx="734" formatCode="General">
                  <c:v>1</c:v>
                </c:pt>
                <c:pt idx="735" formatCode="General">
                  <c:v>1</c:v>
                </c:pt>
                <c:pt idx="736" formatCode="General">
                  <c:v>1</c:v>
                </c:pt>
                <c:pt idx="737" formatCode="General">
                  <c:v>2</c:v>
                </c:pt>
                <c:pt idx="739" formatCode="General">
                  <c:v>1</c:v>
                </c:pt>
                <c:pt idx="740" formatCode="General">
                  <c:v>1</c:v>
                </c:pt>
                <c:pt idx="743" formatCode="General">
                  <c:v>3</c:v>
                </c:pt>
                <c:pt idx="744" formatCode="General">
                  <c:v>2</c:v>
                </c:pt>
                <c:pt idx="745" formatCode="General">
                  <c:v>3</c:v>
                </c:pt>
                <c:pt idx="746" formatCode="General">
                  <c:v>1</c:v>
                </c:pt>
                <c:pt idx="747" formatCode="General">
                  <c:v>1</c:v>
                </c:pt>
                <c:pt idx="749" formatCode="General">
                  <c:v>1</c:v>
                </c:pt>
                <c:pt idx="750" formatCode="General">
                  <c:v>1</c:v>
                </c:pt>
                <c:pt idx="754" formatCode="General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BF5F-4B11-A5E8-435494E0689B}"/>
            </c:ext>
          </c:extLst>
        </c:ser>
        <c:ser>
          <c:idx val="8"/>
          <c:order val="8"/>
          <c:tx>
            <c:strRef>
              <c:f>주문_리스트!$I$1</c:f>
              <c:strCache>
                <c:ptCount val="1"/>
                <c:pt idx="0">
                  <c:v>원가</c:v>
                </c:pt>
              </c:strCache>
            </c:strRef>
          </c:tx>
          <c:spPr>
            <a:solidFill>
              <a:schemeClr val="accent3">
                <a:lumMod val="60000"/>
              </a:schemeClr>
            </a:solidFill>
            <a:ln>
              <a:noFill/>
            </a:ln>
            <a:effectLst/>
          </c:spPr>
          <c:invertIfNegative val="0"/>
          <c:val>
            <c:numRef>
              <c:f>주문_리스트!$I$2:$I$756</c:f>
              <c:numCache>
                <c:formatCode>#,###</c:formatCode>
                <c:ptCount val="755"/>
                <c:pt idx="139">
                  <c:v>13000</c:v>
                </c:pt>
                <c:pt idx="145">
                  <c:v>85000</c:v>
                </c:pt>
                <c:pt idx="146">
                  <c:v>9000</c:v>
                </c:pt>
                <c:pt idx="147">
                  <c:v>70000</c:v>
                </c:pt>
                <c:pt idx="155">
                  <c:v>480000</c:v>
                </c:pt>
                <c:pt idx="160">
                  <c:v>480000</c:v>
                </c:pt>
                <c:pt idx="161">
                  <c:v>16000</c:v>
                </c:pt>
                <c:pt idx="162">
                  <c:v>90000</c:v>
                </c:pt>
                <c:pt idx="167">
                  <c:v>33000</c:v>
                </c:pt>
                <c:pt idx="169">
                  <c:v>85000</c:v>
                </c:pt>
                <c:pt idx="170">
                  <c:v>45000</c:v>
                </c:pt>
                <c:pt idx="171">
                  <c:v>11200</c:v>
                </c:pt>
                <c:pt idx="172">
                  <c:v>480000</c:v>
                </c:pt>
                <c:pt idx="174">
                  <c:v>90000</c:v>
                </c:pt>
                <c:pt idx="175">
                  <c:v>8500</c:v>
                </c:pt>
                <c:pt idx="176">
                  <c:v>16000</c:v>
                </c:pt>
                <c:pt idx="179">
                  <c:v>480000</c:v>
                </c:pt>
                <c:pt idx="186">
                  <c:v>85000</c:v>
                </c:pt>
                <c:pt idx="187">
                  <c:v>16000</c:v>
                </c:pt>
                <c:pt idx="188">
                  <c:v>8500</c:v>
                </c:pt>
                <c:pt idx="190">
                  <c:v>85000</c:v>
                </c:pt>
                <c:pt idx="201">
                  <c:v>0</c:v>
                </c:pt>
                <c:pt idx="203">
                  <c:v>45000</c:v>
                </c:pt>
                <c:pt idx="204">
                  <c:v>11200</c:v>
                </c:pt>
                <c:pt idx="209">
                  <c:v>480000</c:v>
                </c:pt>
                <c:pt idx="210">
                  <c:v>13000</c:v>
                </c:pt>
                <c:pt idx="219">
                  <c:v>16000</c:v>
                </c:pt>
                <c:pt idx="220">
                  <c:v>480000</c:v>
                </c:pt>
                <c:pt idx="221">
                  <c:v>13000</c:v>
                </c:pt>
                <c:pt idx="226">
                  <c:v>480000</c:v>
                </c:pt>
                <c:pt idx="229">
                  <c:v>33000</c:v>
                </c:pt>
                <c:pt idx="232">
                  <c:v>33000</c:v>
                </c:pt>
                <c:pt idx="237">
                  <c:v>480000</c:v>
                </c:pt>
                <c:pt idx="239">
                  <c:v>16000</c:v>
                </c:pt>
                <c:pt idx="241">
                  <c:v>85000</c:v>
                </c:pt>
                <c:pt idx="246">
                  <c:v>8500</c:v>
                </c:pt>
                <c:pt idx="247">
                  <c:v>90000</c:v>
                </c:pt>
                <c:pt idx="248">
                  <c:v>480000</c:v>
                </c:pt>
                <c:pt idx="251">
                  <c:v>480000</c:v>
                </c:pt>
                <c:pt idx="259">
                  <c:v>85000</c:v>
                </c:pt>
                <c:pt idx="264">
                  <c:v>16000</c:v>
                </c:pt>
                <c:pt idx="265">
                  <c:v>8500</c:v>
                </c:pt>
                <c:pt idx="266">
                  <c:v>5500</c:v>
                </c:pt>
                <c:pt idx="267">
                  <c:v>480000</c:v>
                </c:pt>
                <c:pt idx="270">
                  <c:v>13000</c:v>
                </c:pt>
                <c:pt idx="280">
                  <c:v>16000</c:v>
                </c:pt>
                <c:pt idx="285">
                  <c:v>33000</c:v>
                </c:pt>
                <c:pt idx="286">
                  <c:v>40000</c:v>
                </c:pt>
                <c:pt idx="296">
                  <c:v>480000</c:v>
                </c:pt>
                <c:pt idx="306">
                  <c:v>33000</c:v>
                </c:pt>
                <c:pt idx="310">
                  <c:v>85000</c:v>
                </c:pt>
                <c:pt idx="319">
                  <c:v>85000</c:v>
                </c:pt>
                <c:pt idx="326">
                  <c:v>480000</c:v>
                </c:pt>
                <c:pt idx="328">
                  <c:v>33000</c:v>
                </c:pt>
                <c:pt idx="336">
                  <c:v>33000</c:v>
                </c:pt>
                <c:pt idx="338">
                  <c:v>33000</c:v>
                </c:pt>
                <c:pt idx="339">
                  <c:v>40000</c:v>
                </c:pt>
                <c:pt idx="350">
                  <c:v>440000</c:v>
                </c:pt>
                <c:pt idx="351">
                  <c:v>35000</c:v>
                </c:pt>
                <c:pt idx="361">
                  <c:v>480000</c:v>
                </c:pt>
                <c:pt idx="374">
                  <c:v>480000</c:v>
                </c:pt>
                <c:pt idx="375">
                  <c:v>70000</c:v>
                </c:pt>
                <c:pt idx="376">
                  <c:v>85000</c:v>
                </c:pt>
                <c:pt idx="378">
                  <c:v>940000</c:v>
                </c:pt>
                <c:pt idx="395">
                  <c:v>33000</c:v>
                </c:pt>
                <c:pt idx="402">
                  <c:v>33000</c:v>
                </c:pt>
                <c:pt idx="403">
                  <c:v>45000</c:v>
                </c:pt>
                <c:pt idx="405">
                  <c:v>45000</c:v>
                </c:pt>
                <c:pt idx="408">
                  <c:v>90000</c:v>
                </c:pt>
                <c:pt idx="409">
                  <c:v>8500</c:v>
                </c:pt>
                <c:pt idx="422">
                  <c:v>33000</c:v>
                </c:pt>
                <c:pt idx="423">
                  <c:v>40000</c:v>
                </c:pt>
                <c:pt idx="436">
                  <c:v>600000</c:v>
                </c:pt>
                <c:pt idx="439">
                  <c:v>33000</c:v>
                </c:pt>
                <c:pt idx="442">
                  <c:v>33000</c:v>
                </c:pt>
                <c:pt idx="444">
                  <c:v>33000</c:v>
                </c:pt>
                <c:pt idx="449">
                  <c:v>70000</c:v>
                </c:pt>
                <c:pt idx="463">
                  <c:v>8500</c:v>
                </c:pt>
                <c:pt idx="474">
                  <c:v>480000</c:v>
                </c:pt>
                <c:pt idx="476">
                  <c:v>16000</c:v>
                </c:pt>
                <c:pt idx="479">
                  <c:v>90000</c:v>
                </c:pt>
                <c:pt idx="485">
                  <c:v>250000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BF5F-4B11-A5E8-435494E0689B}"/>
            </c:ext>
          </c:extLst>
        </c:ser>
        <c:ser>
          <c:idx val="9"/>
          <c:order val="9"/>
          <c:tx>
            <c:strRef>
              <c:f>주문_리스트!$J$1</c:f>
              <c:strCache>
                <c:ptCount val="1"/>
                <c:pt idx="0">
                  <c:v>부가세</c:v>
                </c:pt>
              </c:strCache>
            </c:strRef>
          </c:tx>
          <c:spPr>
            <a:solidFill>
              <a:schemeClr val="accent4">
                <a:lumMod val="60000"/>
              </a:schemeClr>
            </a:solidFill>
            <a:ln>
              <a:noFill/>
            </a:ln>
            <a:effectLst/>
          </c:spPr>
          <c:invertIfNegative val="0"/>
          <c:val>
            <c:numRef>
              <c:f>주문_리스트!$J$2:$J$756</c:f>
              <c:numCache>
                <c:formatCode>#,###</c:formatCode>
                <c:ptCount val="755"/>
                <c:pt idx="0">
                  <c:v>90000</c:v>
                </c:pt>
                <c:pt idx="87">
                  <c:v>35000</c:v>
                </c:pt>
                <c:pt idx="88">
                  <c:v>109090.90000000001</c:v>
                </c:pt>
                <c:pt idx="89">
                  <c:v>160000</c:v>
                </c:pt>
                <c:pt idx="92">
                  <c:v>150000</c:v>
                </c:pt>
                <c:pt idx="93">
                  <c:v>3000</c:v>
                </c:pt>
                <c:pt idx="94">
                  <c:v>110000</c:v>
                </c:pt>
                <c:pt idx="96">
                  <c:v>110000</c:v>
                </c:pt>
                <c:pt idx="97">
                  <c:v>350000</c:v>
                </c:pt>
                <c:pt idx="98">
                  <c:v>5000</c:v>
                </c:pt>
                <c:pt idx="99">
                  <c:v>120000</c:v>
                </c:pt>
                <c:pt idx="100">
                  <c:v>80000</c:v>
                </c:pt>
                <c:pt idx="101">
                  <c:v>32000</c:v>
                </c:pt>
                <c:pt idx="102">
                  <c:v>34000</c:v>
                </c:pt>
                <c:pt idx="103">
                  <c:v>772.7</c:v>
                </c:pt>
                <c:pt idx="104">
                  <c:v>110000</c:v>
                </c:pt>
                <c:pt idx="105">
                  <c:v>57272.700000000004</c:v>
                </c:pt>
                <c:pt idx="106">
                  <c:v>100000</c:v>
                </c:pt>
                <c:pt idx="107">
                  <c:v>35000</c:v>
                </c:pt>
                <c:pt idx="108">
                  <c:v>12900</c:v>
                </c:pt>
                <c:pt idx="109">
                  <c:v>60000</c:v>
                </c:pt>
                <c:pt idx="110">
                  <c:v>120000</c:v>
                </c:pt>
                <c:pt idx="111">
                  <c:v>150000</c:v>
                </c:pt>
                <c:pt idx="112">
                  <c:v>61000</c:v>
                </c:pt>
                <c:pt idx="113">
                  <c:v>13000</c:v>
                </c:pt>
                <c:pt idx="114">
                  <c:v>3500</c:v>
                </c:pt>
                <c:pt idx="115">
                  <c:v>2000</c:v>
                </c:pt>
                <c:pt idx="116">
                  <c:v>220000</c:v>
                </c:pt>
                <c:pt idx="117">
                  <c:v>218000</c:v>
                </c:pt>
                <c:pt idx="118">
                  <c:v>200000</c:v>
                </c:pt>
                <c:pt idx="119">
                  <c:v>38181.800000000003</c:v>
                </c:pt>
                <c:pt idx="120">
                  <c:v>1200</c:v>
                </c:pt>
                <c:pt idx="121">
                  <c:v>38181.800000000003</c:v>
                </c:pt>
                <c:pt idx="122">
                  <c:v>1200</c:v>
                </c:pt>
                <c:pt idx="123">
                  <c:v>2700</c:v>
                </c:pt>
                <c:pt idx="135">
                  <c:v>155000</c:v>
                </c:pt>
                <c:pt idx="168">
                  <c:v>140000</c:v>
                </c:pt>
                <c:pt idx="173">
                  <c:v>65000</c:v>
                </c:pt>
                <c:pt idx="179">
                  <c:v>49909.100000000006</c:v>
                </c:pt>
                <c:pt idx="209">
                  <c:v>49909.100000000006</c:v>
                </c:pt>
                <c:pt idx="210">
                  <c:v>2000</c:v>
                </c:pt>
                <c:pt idx="214">
                  <c:v>120000</c:v>
                </c:pt>
                <c:pt idx="215">
                  <c:v>35000</c:v>
                </c:pt>
                <c:pt idx="226">
                  <c:v>49909.100000000006</c:v>
                </c:pt>
                <c:pt idx="227">
                  <c:v>38000</c:v>
                </c:pt>
                <c:pt idx="228">
                  <c:v>150000</c:v>
                </c:pt>
                <c:pt idx="229">
                  <c:v>5000</c:v>
                </c:pt>
                <c:pt idx="240">
                  <c:v>50000</c:v>
                </c:pt>
                <c:pt idx="245">
                  <c:v>100000</c:v>
                </c:pt>
                <c:pt idx="276">
                  <c:v>120000</c:v>
                </c:pt>
                <c:pt idx="288">
                  <c:v>65000</c:v>
                </c:pt>
                <c:pt idx="289">
                  <c:v>90000</c:v>
                </c:pt>
                <c:pt idx="305">
                  <c:v>150000</c:v>
                </c:pt>
                <c:pt idx="306">
                  <c:v>5000</c:v>
                </c:pt>
                <c:pt idx="311">
                  <c:v>10000</c:v>
                </c:pt>
                <c:pt idx="327">
                  <c:v>150000</c:v>
                </c:pt>
                <c:pt idx="328">
                  <c:v>5000</c:v>
                </c:pt>
                <c:pt idx="335">
                  <c:v>150000</c:v>
                </c:pt>
                <c:pt idx="336">
                  <c:v>5000</c:v>
                </c:pt>
                <c:pt idx="357">
                  <c:v>65000</c:v>
                </c:pt>
                <c:pt idx="361">
                  <c:v>49909</c:v>
                </c:pt>
                <c:pt idx="365">
                  <c:v>150000</c:v>
                </c:pt>
                <c:pt idx="380">
                  <c:v>100000</c:v>
                </c:pt>
                <c:pt idx="393">
                  <c:v>49909.100000000006</c:v>
                </c:pt>
                <c:pt idx="399">
                  <c:v>15000</c:v>
                </c:pt>
                <c:pt idx="400">
                  <c:v>50000</c:v>
                </c:pt>
                <c:pt idx="401">
                  <c:v>150000</c:v>
                </c:pt>
                <c:pt idx="402">
                  <c:v>5000</c:v>
                </c:pt>
                <c:pt idx="403">
                  <c:v>25000</c:v>
                </c:pt>
                <c:pt idx="407">
                  <c:v>15000</c:v>
                </c:pt>
                <c:pt idx="408">
                  <c:v>13000</c:v>
                </c:pt>
                <c:pt idx="409">
                  <c:v>2000</c:v>
                </c:pt>
                <c:pt idx="413">
                  <c:v>2000</c:v>
                </c:pt>
                <c:pt idx="414">
                  <c:v>45000</c:v>
                </c:pt>
                <c:pt idx="417">
                  <c:v>165000</c:v>
                </c:pt>
                <c:pt idx="425">
                  <c:v>110000</c:v>
                </c:pt>
                <c:pt idx="431">
                  <c:v>150000</c:v>
                </c:pt>
                <c:pt idx="438">
                  <c:v>180000</c:v>
                </c:pt>
                <c:pt idx="439">
                  <c:v>5000</c:v>
                </c:pt>
                <c:pt idx="440">
                  <c:v>15000</c:v>
                </c:pt>
                <c:pt idx="457">
                  <c:v>25000</c:v>
                </c:pt>
                <c:pt idx="459">
                  <c:v>165000</c:v>
                </c:pt>
                <c:pt idx="467">
                  <c:v>100000</c:v>
                </c:pt>
                <c:pt idx="474">
                  <c:v>51727</c:v>
                </c:pt>
                <c:pt idx="475">
                  <c:v>7272.8</c:v>
                </c:pt>
                <c:pt idx="476">
                  <c:v>3200</c:v>
                </c:pt>
                <c:pt idx="477">
                  <c:v>65000</c:v>
                </c:pt>
                <c:pt idx="478">
                  <c:v>35000</c:v>
                </c:pt>
                <c:pt idx="480">
                  <c:v>35000</c:v>
                </c:pt>
                <c:pt idx="482">
                  <c:v>150000</c:v>
                </c:pt>
                <c:pt idx="488">
                  <c:v>45000</c:v>
                </c:pt>
                <c:pt idx="500">
                  <c:v>100000</c:v>
                </c:pt>
                <c:pt idx="506">
                  <c:v>65000</c:v>
                </c:pt>
                <c:pt idx="507" formatCode="#,##0">
                  <c:v>35000</c:v>
                </c:pt>
                <c:pt idx="508" formatCode="#,##0">
                  <c:v>2000</c:v>
                </c:pt>
                <c:pt idx="512">
                  <c:v>20000</c:v>
                </c:pt>
                <c:pt idx="514">
                  <c:v>90000</c:v>
                </c:pt>
                <c:pt idx="532">
                  <c:v>51727</c:v>
                </c:pt>
                <c:pt idx="533">
                  <c:v>7000</c:v>
                </c:pt>
                <c:pt idx="544">
                  <c:v>181818</c:v>
                </c:pt>
                <c:pt idx="548">
                  <c:v>70000</c:v>
                </c:pt>
                <c:pt idx="552">
                  <c:v>45000</c:v>
                </c:pt>
                <c:pt idx="553">
                  <c:v>5000</c:v>
                </c:pt>
                <c:pt idx="570">
                  <c:v>220000</c:v>
                </c:pt>
                <c:pt idx="579">
                  <c:v>51727</c:v>
                </c:pt>
                <c:pt idx="580">
                  <c:v>26000</c:v>
                </c:pt>
                <c:pt idx="581">
                  <c:v>60000</c:v>
                </c:pt>
                <c:pt idx="583">
                  <c:v>59091</c:v>
                </c:pt>
                <c:pt idx="584">
                  <c:v>10000</c:v>
                </c:pt>
                <c:pt idx="585">
                  <c:v>2000</c:v>
                </c:pt>
                <c:pt idx="598">
                  <c:v>15000</c:v>
                </c:pt>
                <c:pt idx="599">
                  <c:v>13000</c:v>
                </c:pt>
                <c:pt idx="603">
                  <c:v>160000</c:v>
                </c:pt>
                <c:pt idx="604">
                  <c:v>2000</c:v>
                </c:pt>
                <c:pt idx="610">
                  <c:v>-150000</c:v>
                </c:pt>
                <c:pt idx="613">
                  <c:v>120000</c:v>
                </c:pt>
                <c:pt idx="614">
                  <c:v>120000</c:v>
                </c:pt>
                <c:pt idx="616">
                  <c:v>20000</c:v>
                </c:pt>
                <c:pt idx="668">
                  <c:v>110000</c:v>
                </c:pt>
                <c:pt idx="672">
                  <c:v>100000</c:v>
                </c:pt>
                <c:pt idx="679">
                  <c:v>150000</c:v>
                </c:pt>
                <c:pt idx="681">
                  <c:v>120000</c:v>
                </c:pt>
                <c:pt idx="687">
                  <c:v>150000</c:v>
                </c:pt>
                <c:pt idx="688">
                  <c:v>50000</c:v>
                </c:pt>
                <c:pt idx="689">
                  <c:v>25000</c:v>
                </c:pt>
                <c:pt idx="690">
                  <c:v>5909</c:v>
                </c:pt>
                <c:pt idx="694">
                  <c:v>150000</c:v>
                </c:pt>
                <c:pt idx="695">
                  <c:v>5000</c:v>
                </c:pt>
                <c:pt idx="698">
                  <c:v>120000</c:v>
                </c:pt>
                <c:pt idx="699">
                  <c:v>5000</c:v>
                </c:pt>
                <c:pt idx="707">
                  <c:v>5000</c:v>
                </c:pt>
                <c:pt idx="713">
                  <c:v>65000</c:v>
                </c:pt>
                <c:pt idx="714">
                  <c:v>30000</c:v>
                </c:pt>
                <c:pt idx="720">
                  <c:v>110000</c:v>
                </c:pt>
                <c:pt idx="721">
                  <c:v>10000</c:v>
                </c:pt>
                <c:pt idx="725">
                  <c:v>150000</c:v>
                </c:pt>
                <c:pt idx="726">
                  <c:v>5000</c:v>
                </c:pt>
                <c:pt idx="727">
                  <c:v>120000</c:v>
                </c:pt>
                <c:pt idx="728">
                  <c:v>12900</c:v>
                </c:pt>
                <c:pt idx="729">
                  <c:v>35000</c:v>
                </c:pt>
                <c:pt idx="734">
                  <c:v>100000</c:v>
                </c:pt>
                <c:pt idx="736">
                  <c:v>170000</c:v>
                </c:pt>
                <c:pt idx="737">
                  <c:v>120000</c:v>
                </c:pt>
                <c:pt idx="740">
                  <c:v>65000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BF5F-4B11-A5E8-435494E0689B}"/>
            </c:ext>
          </c:extLst>
        </c:ser>
        <c:ser>
          <c:idx val="10"/>
          <c:order val="10"/>
          <c:tx>
            <c:strRef>
              <c:f>주문_리스트!$K$1</c:f>
              <c:strCache>
                <c:ptCount val="1"/>
                <c:pt idx="0">
                  <c:v>공급가액</c:v>
                </c:pt>
              </c:strCache>
            </c:strRef>
          </c:tx>
          <c:spPr>
            <a:solidFill>
              <a:schemeClr val="accent5">
                <a:lumMod val="60000"/>
              </a:schemeClr>
            </a:solidFill>
            <a:ln>
              <a:noFill/>
            </a:ln>
            <a:effectLst/>
          </c:spPr>
          <c:invertIfNegative val="0"/>
          <c:val>
            <c:numRef>
              <c:f>주문_리스트!$K$2:$K$756</c:f>
              <c:numCache>
                <c:formatCode>#,##0;\-#,##0;\-;@</c:formatCode>
                <c:ptCount val="755"/>
                <c:pt idx="0">
                  <c:v>90000</c:v>
                </c:pt>
                <c:pt idx="1">
                  <c:v>1300000</c:v>
                </c:pt>
                <c:pt idx="2">
                  <c:v>800000</c:v>
                </c:pt>
                <c:pt idx="3">
                  <c:v>1000000</c:v>
                </c:pt>
                <c:pt idx="4">
                  <c:v>198000</c:v>
                </c:pt>
                <c:pt idx="5">
                  <c:v>12000</c:v>
                </c:pt>
                <c:pt idx="6">
                  <c:v>25000</c:v>
                </c:pt>
                <c:pt idx="7">
                  <c:v>1100000</c:v>
                </c:pt>
                <c:pt idx="8">
                  <c:v>1200000</c:v>
                </c:pt>
                <c:pt idx="9">
                  <c:v>330000</c:v>
                </c:pt>
                <c:pt idx="10">
                  <c:v>1000000</c:v>
                </c:pt>
                <c:pt idx="11">
                  <c:v>350000</c:v>
                </c:pt>
                <c:pt idx="12">
                  <c:v>-300000</c:v>
                </c:pt>
                <c:pt idx="13">
                  <c:v>610000</c:v>
                </c:pt>
                <c:pt idx="14">
                  <c:v>55000</c:v>
                </c:pt>
                <c:pt idx="15">
                  <c:v>600000</c:v>
                </c:pt>
                <c:pt idx="16">
                  <c:v>1100000</c:v>
                </c:pt>
                <c:pt idx="17">
                  <c:v>650000</c:v>
                </c:pt>
                <c:pt idx="18">
                  <c:v>1650000</c:v>
                </c:pt>
                <c:pt idx="19">
                  <c:v>650000</c:v>
                </c:pt>
                <c:pt idx="20">
                  <c:v>700000</c:v>
                </c:pt>
                <c:pt idx="21">
                  <c:v>1500000</c:v>
                </c:pt>
                <c:pt idx="22">
                  <c:v>1200000</c:v>
                </c:pt>
                <c:pt idx="23">
                  <c:v>198000</c:v>
                </c:pt>
                <c:pt idx="24">
                  <c:v>300000</c:v>
                </c:pt>
                <c:pt idx="25">
                  <c:v>1000000</c:v>
                </c:pt>
                <c:pt idx="26">
                  <c:v>1500000</c:v>
                </c:pt>
                <c:pt idx="27">
                  <c:v>650000</c:v>
                </c:pt>
                <c:pt idx="28">
                  <c:v>1500000</c:v>
                </c:pt>
                <c:pt idx="29">
                  <c:v>1200000</c:v>
                </c:pt>
                <c:pt idx="30">
                  <c:v>150000</c:v>
                </c:pt>
                <c:pt idx="31">
                  <c:v>300000</c:v>
                </c:pt>
                <c:pt idx="32">
                  <c:v>100000</c:v>
                </c:pt>
                <c:pt idx="33">
                  <c:v>230000</c:v>
                </c:pt>
                <c:pt idx="34">
                  <c:v>130000</c:v>
                </c:pt>
                <c:pt idx="35">
                  <c:v>10000</c:v>
                </c:pt>
                <c:pt idx="36">
                  <c:v>50000</c:v>
                </c:pt>
                <c:pt idx="37">
                  <c:v>1100000</c:v>
                </c:pt>
                <c:pt idx="38">
                  <c:v>13000</c:v>
                </c:pt>
                <c:pt idx="39">
                  <c:v>50000</c:v>
                </c:pt>
                <c:pt idx="40">
                  <c:v>1100000</c:v>
                </c:pt>
                <c:pt idx="41">
                  <c:v>420000</c:v>
                </c:pt>
                <c:pt idx="42">
                  <c:v>450000</c:v>
                </c:pt>
                <c:pt idx="43">
                  <c:v>450000</c:v>
                </c:pt>
                <c:pt idx="44">
                  <c:v>1600000</c:v>
                </c:pt>
                <c:pt idx="45">
                  <c:v>1600000</c:v>
                </c:pt>
                <c:pt idx="46">
                  <c:v>100000</c:v>
                </c:pt>
                <c:pt idx="47">
                  <c:v>650000</c:v>
                </c:pt>
                <c:pt idx="48">
                  <c:v>350000</c:v>
                </c:pt>
                <c:pt idx="49">
                  <c:v>1200000</c:v>
                </c:pt>
                <c:pt idx="50">
                  <c:v>1500000</c:v>
                </c:pt>
                <c:pt idx="51">
                  <c:v>-500000</c:v>
                </c:pt>
                <c:pt idx="52">
                  <c:v>1600000</c:v>
                </c:pt>
                <c:pt idx="53">
                  <c:v>1000000</c:v>
                </c:pt>
                <c:pt idx="54">
                  <c:v>200000</c:v>
                </c:pt>
                <c:pt idx="55">
                  <c:v>-1270000</c:v>
                </c:pt>
                <c:pt idx="56">
                  <c:v>-300000</c:v>
                </c:pt>
                <c:pt idx="57">
                  <c:v>-200000</c:v>
                </c:pt>
                <c:pt idx="58">
                  <c:v>150000</c:v>
                </c:pt>
                <c:pt idx="59">
                  <c:v>1300000</c:v>
                </c:pt>
                <c:pt idx="60">
                  <c:v>1600000</c:v>
                </c:pt>
                <c:pt idx="61">
                  <c:v>650000</c:v>
                </c:pt>
                <c:pt idx="62">
                  <c:v>300000</c:v>
                </c:pt>
                <c:pt idx="63">
                  <c:v>20000</c:v>
                </c:pt>
                <c:pt idx="64">
                  <c:v>250000</c:v>
                </c:pt>
                <c:pt idx="65">
                  <c:v>1140000</c:v>
                </c:pt>
                <c:pt idx="66">
                  <c:v>0</c:v>
                </c:pt>
                <c:pt idx="67">
                  <c:v>1600000</c:v>
                </c:pt>
                <c:pt idx="68">
                  <c:v>1300000</c:v>
                </c:pt>
                <c:pt idx="69">
                  <c:v>1500000</c:v>
                </c:pt>
                <c:pt idx="70">
                  <c:v>1200000</c:v>
                </c:pt>
                <c:pt idx="71">
                  <c:v>1100000</c:v>
                </c:pt>
                <c:pt idx="72">
                  <c:v>1500000</c:v>
                </c:pt>
                <c:pt idx="73">
                  <c:v>450000</c:v>
                </c:pt>
                <c:pt idx="74">
                  <c:v>1200000</c:v>
                </c:pt>
                <c:pt idx="75">
                  <c:v>2000000</c:v>
                </c:pt>
                <c:pt idx="76">
                  <c:v>700000</c:v>
                </c:pt>
                <c:pt idx="77">
                  <c:v>600000</c:v>
                </c:pt>
                <c:pt idx="78">
                  <c:v>129000</c:v>
                </c:pt>
                <c:pt idx="79">
                  <c:v>1500000</c:v>
                </c:pt>
                <c:pt idx="80">
                  <c:v>1200000</c:v>
                </c:pt>
                <c:pt idx="81">
                  <c:v>350000</c:v>
                </c:pt>
                <c:pt idx="82">
                  <c:v>1200000</c:v>
                </c:pt>
                <c:pt idx="83">
                  <c:v>650000</c:v>
                </c:pt>
                <c:pt idx="84">
                  <c:v>50000</c:v>
                </c:pt>
                <c:pt idx="85">
                  <c:v>1300000</c:v>
                </c:pt>
                <c:pt idx="86">
                  <c:v>350000</c:v>
                </c:pt>
                <c:pt idx="87">
                  <c:v>385000</c:v>
                </c:pt>
                <c:pt idx="88">
                  <c:v>1199999.8999999999</c:v>
                </c:pt>
                <c:pt idx="89">
                  <c:v>1760000</c:v>
                </c:pt>
                <c:pt idx="90">
                  <c:v>1200000</c:v>
                </c:pt>
                <c:pt idx="91">
                  <c:v>198000</c:v>
                </c:pt>
                <c:pt idx="92">
                  <c:v>1650000</c:v>
                </c:pt>
                <c:pt idx="93">
                  <c:v>33000</c:v>
                </c:pt>
                <c:pt idx="94">
                  <c:v>1210000</c:v>
                </c:pt>
                <c:pt idx="95">
                  <c:v>20000</c:v>
                </c:pt>
                <c:pt idx="96">
                  <c:v>1210000</c:v>
                </c:pt>
                <c:pt idx="97">
                  <c:v>3850000</c:v>
                </c:pt>
                <c:pt idx="98">
                  <c:v>55000</c:v>
                </c:pt>
                <c:pt idx="99">
                  <c:v>1320000</c:v>
                </c:pt>
                <c:pt idx="100">
                  <c:v>880000</c:v>
                </c:pt>
                <c:pt idx="101">
                  <c:v>352000</c:v>
                </c:pt>
                <c:pt idx="102">
                  <c:v>374000</c:v>
                </c:pt>
                <c:pt idx="103">
                  <c:v>8499.7000000000007</c:v>
                </c:pt>
                <c:pt idx="104">
                  <c:v>1210000</c:v>
                </c:pt>
                <c:pt idx="105">
                  <c:v>629999.69999999995</c:v>
                </c:pt>
                <c:pt idx="106">
                  <c:v>1100000</c:v>
                </c:pt>
                <c:pt idx="107">
                  <c:v>385000</c:v>
                </c:pt>
                <c:pt idx="108">
                  <c:v>141900</c:v>
                </c:pt>
                <c:pt idx="109">
                  <c:v>660000</c:v>
                </c:pt>
                <c:pt idx="110">
                  <c:v>1320000</c:v>
                </c:pt>
                <c:pt idx="111">
                  <c:v>1650000</c:v>
                </c:pt>
                <c:pt idx="112">
                  <c:v>671000</c:v>
                </c:pt>
                <c:pt idx="113">
                  <c:v>143000</c:v>
                </c:pt>
                <c:pt idx="114">
                  <c:v>38500</c:v>
                </c:pt>
                <c:pt idx="115">
                  <c:v>22000</c:v>
                </c:pt>
                <c:pt idx="116">
                  <c:v>2420000</c:v>
                </c:pt>
                <c:pt idx="117">
                  <c:v>2398000</c:v>
                </c:pt>
                <c:pt idx="118">
                  <c:v>2200000</c:v>
                </c:pt>
                <c:pt idx="119">
                  <c:v>419999.8</c:v>
                </c:pt>
                <c:pt idx="120">
                  <c:v>13200</c:v>
                </c:pt>
                <c:pt idx="121">
                  <c:v>419999.8</c:v>
                </c:pt>
                <c:pt idx="122">
                  <c:v>13200</c:v>
                </c:pt>
                <c:pt idx="123">
                  <c:v>29700</c:v>
                </c:pt>
                <c:pt idx="124">
                  <c:v>850000</c:v>
                </c:pt>
                <c:pt idx="125">
                  <c:v>1200000</c:v>
                </c:pt>
                <c:pt idx="126">
                  <c:v>350000</c:v>
                </c:pt>
                <c:pt idx="127">
                  <c:v>50000</c:v>
                </c:pt>
                <c:pt idx="128">
                  <c:v>1400000</c:v>
                </c:pt>
                <c:pt idx="129">
                  <c:v>1500000</c:v>
                </c:pt>
                <c:pt idx="130">
                  <c:v>30000</c:v>
                </c:pt>
                <c:pt idx="131">
                  <c:v>250000</c:v>
                </c:pt>
                <c:pt idx="132">
                  <c:v>2600000</c:v>
                </c:pt>
                <c:pt idx="133">
                  <c:v>600000</c:v>
                </c:pt>
                <c:pt idx="134">
                  <c:v>1850000</c:v>
                </c:pt>
                <c:pt idx="135">
                  <c:v>1705000</c:v>
                </c:pt>
                <c:pt idx="136">
                  <c:v>650000</c:v>
                </c:pt>
                <c:pt idx="139">
                  <c:v>100000</c:v>
                </c:pt>
                <c:pt idx="143">
                  <c:v>1550000</c:v>
                </c:pt>
                <c:pt idx="144">
                  <c:v>200000</c:v>
                </c:pt>
                <c:pt idx="145">
                  <c:v>150000</c:v>
                </c:pt>
                <c:pt idx="146">
                  <c:v>40000</c:v>
                </c:pt>
                <c:pt idx="147">
                  <c:v>258000</c:v>
                </c:pt>
                <c:pt idx="148">
                  <c:v>50000</c:v>
                </c:pt>
                <c:pt idx="149">
                  <c:v>150000</c:v>
                </c:pt>
                <c:pt idx="150">
                  <c:v>1550000</c:v>
                </c:pt>
                <c:pt idx="152">
                  <c:v>1200000</c:v>
                </c:pt>
                <c:pt idx="153">
                  <c:v>350000</c:v>
                </c:pt>
                <c:pt idx="154">
                  <c:v>650000</c:v>
                </c:pt>
                <c:pt idx="155">
                  <c:v>549000</c:v>
                </c:pt>
                <c:pt idx="156">
                  <c:v>75000</c:v>
                </c:pt>
                <c:pt idx="157">
                  <c:v>510000</c:v>
                </c:pt>
                <c:pt idx="158">
                  <c:v>1300000</c:v>
                </c:pt>
                <c:pt idx="159">
                  <c:v>600000</c:v>
                </c:pt>
                <c:pt idx="160">
                  <c:v>549000</c:v>
                </c:pt>
                <c:pt idx="161">
                  <c:v>50000</c:v>
                </c:pt>
                <c:pt idx="162">
                  <c:v>130000</c:v>
                </c:pt>
                <c:pt idx="163">
                  <c:v>510000</c:v>
                </c:pt>
                <c:pt idx="164">
                  <c:v>1200000</c:v>
                </c:pt>
                <c:pt idx="166">
                  <c:v>1500000</c:v>
                </c:pt>
                <c:pt idx="167">
                  <c:v>50000</c:v>
                </c:pt>
                <c:pt idx="168">
                  <c:v>1540000</c:v>
                </c:pt>
                <c:pt idx="169">
                  <c:v>150000</c:v>
                </c:pt>
                <c:pt idx="170">
                  <c:v>65000</c:v>
                </c:pt>
                <c:pt idx="171">
                  <c:v>25000</c:v>
                </c:pt>
                <c:pt idx="172">
                  <c:v>549000</c:v>
                </c:pt>
                <c:pt idx="173">
                  <c:v>715000</c:v>
                </c:pt>
                <c:pt idx="174">
                  <c:v>260000</c:v>
                </c:pt>
                <c:pt idx="175">
                  <c:v>20000</c:v>
                </c:pt>
                <c:pt idx="176">
                  <c:v>60000</c:v>
                </c:pt>
                <c:pt idx="177">
                  <c:v>1550000</c:v>
                </c:pt>
                <c:pt idx="178">
                  <c:v>1550000</c:v>
                </c:pt>
                <c:pt idx="179">
                  <c:v>549000.1</c:v>
                </c:pt>
                <c:pt idx="180">
                  <c:v>150000</c:v>
                </c:pt>
                <c:pt idx="181">
                  <c:v>150000</c:v>
                </c:pt>
                <c:pt idx="182">
                  <c:v>1200000</c:v>
                </c:pt>
                <c:pt idx="183">
                  <c:v>350000</c:v>
                </c:pt>
                <c:pt idx="184">
                  <c:v>1200000</c:v>
                </c:pt>
                <c:pt idx="185">
                  <c:v>50000</c:v>
                </c:pt>
                <c:pt idx="186">
                  <c:v>150000</c:v>
                </c:pt>
                <c:pt idx="187">
                  <c:v>30000</c:v>
                </c:pt>
                <c:pt idx="188">
                  <c:v>10000</c:v>
                </c:pt>
                <c:pt idx="189">
                  <c:v>210000</c:v>
                </c:pt>
                <c:pt idx="190">
                  <c:v>150000</c:v>
                </c:pt>
                <c:pt idx="191">
                  <c:v>1200000</c:v>
                </c:pt>
                <c:pt idx="192">
                  <c:v>680000</c:v>
                </c:pt>
                <c:pt idx="193">
                  <c:v>75000</c:v>
                </c:pt>
                <c:pt idx="194">
                  <c:v>1100000</c:v>
                </c:pt>
                <c:pt idx="195">
                  <c:v>3500000</c:v>
                </c:pt>
                <c:pt idx="196">
                  <c:v>1500000</c:v>
                </c:pt>
                <c:pt idx="198">
                  <c:v>1500000</c:v>
                </c:pt>
                <c:pt idx="200">
                  <c:v>650000</c:v>
                </c:pt>
                <c:pt idx="201">
                  <c:v>50000</c:v>
                </c:pt>
                <c:pt idx="202">
                  <c:v>1500000</c:v>
                </c:pt>
                <c:pt idx="203">
                  <c:v>65000</c:v>
                </c:pt>
                <c:pt idx="204">
                  <c:v>25000</c:v>
                </c:pt>
                <c:pt idx="205">
                  <c:v>250000</c:v>
                </c:pt>
                <c:pt idx="206">
                  <c:v>1200000</c:v>
                </c:pt>
                <c:pt idx="207">
                  <c:v>1300000</c:v>
                </c:pt>
                <c:pt idx="208">
                  <c:v>650000</c:v>
                </c:pt>
                <c:pt idx="209">
                  <c:v>549000.1</c:v>
                </c:pt>
                <c:pt idx="210">
                  <c:v>20000</c:v>
                </c:pt>
                <c:pt idx="211">
                  <c:v>1000000</c:v>
                </c:pt>
                <c:pt idx="212">
                  <c:v>2000000</c:v>
                </c:pt>
                <c:pt idx="213">
                  <c:v>800000</c:v>
                </c:pt>
                <c:pt idx="214">
                  <c:v>1200000</c:v>
                </c:pt>
                <c:pt idx="215">
                  <c:v>350000</c:v>
                </c:pt>
                <c:pt idx="216">
                  <c:v>1200000</c:v>
                </c:pt>
                <c:pt idx="217">
                  <c:v>100000</c:v>
                </c:pt>
                <c:pt idx="218">
                  <c:v>1400000</c:v>
                </c:pt>
                <c:pt idx="219">
                  <c:v>30000</c:v>
                </c:pt>
                <c:pt idx="220">
                  <c:v>600000</c:v>
                </c:pt>
                <c:pt idx="221">
                  <c:v>20000</c:v>
                </c:pt>
                <c:pt idx="222">
                  <c:v>1200000</c:v>
                </c:pt>
                <c:pt idx="223">
                  <c:v>1000000</c:v>
                </c:pt>
                <c:pt idx="224">
                  <c:v>1550000</c:v>
                </c:pt>
                <c:pt idx="225">
                  <c:v>50000</c:v>
                </c:pt>
                <c:pt idx="226">
                  <c:v>549000.1</c:v>
                </c:pt>
                <c:pt idx="227">
                  <c:v>418000</c:v>
                </c:pt>
                <c:pt idx="228">
                  <c:v>1650000</c:v>
                </c:pt>
                <c:pt idx="229">
                  <c:v>55000</c:v>
                </c:pt>
                <c:pt idx="230">
                  <c:v>50000</c:v>
                </c:pt>
                <c:pt idx="231">
                  <c:v>1800000</c:v>
                </c:pt>
                <c:pt idx="232">
                  <c:v>50000</c:v>
                </c:pt>
                <c:pt idx="233">
                  <c:v>1600000</c:v>
                </c:pt>
                <c:pt idx="234">
                  <c:v>1200000</c:v>
                </c:pt>
                <c:pt idx="235">
                  <c:v>600000</c:v>
                </c:pt>
                <c:pt idx="236">
                  <c:v>600000</c:v>
                </c:pt>
                <c:pt idx="237">
                  <c:v>600000</c:v>
                </c:pt>
                <c:pt idx="238">
                  <c:v>80000</c:v>
                </c:pt>
                <c:pt idx="239">
                  <c:v>50000</c:v>
                </c:pt>
                <c:pt idx="240">
                  <c:v>550000</c:v>
                </c:pt>
                <c:pt idx="241">
                  <c:v>150000</c:v>
                </c:pt>
                <c:pt idx="244">
                  <c:v>450000</c:v>
                </c:pt>
                <c:pt idx="245">
                  <c:v>1100000</c:v>
                </c:pt>
                <c:pt idx="246">
                  <c:v>50000</c:v>
                </c:pt>
                <c:pt idx="247">
                  <c:v>130000</c:v>
                </c:pt>
                <c:pt idx="248">
                  <c:v>1098000</c:v>
                </c:pt>
                <c:pt idx="251">
                  <c:v>549000</c:v>
                </c:pt>
                <c:pt idx="252">
                  <c:v>150000</c:v>
                </c:pt>
                <c:pt idx="253">
                  <c:v>350000</c:v>
                </c:pt>
                <c:pt idx="256">
                  <c:v>450000</c:v>
                </c:pt>
                <c:pt idx="258">
                  <c:v>500000</c:v>
                </c:pt>
                <c:pt idx="259">
                  <c:v>150000</c:v>
                </c:pt>
                <c:pt idx="260">
                  <c:v>1700000</c:v>
                </c:pt>
                <c:pt idx="262">
                  <c:v>650000</c:v>
                </c:pt>
                <c:pt idx="264">
                  <c:v>30000</c:v>
                </c:pt>
                <c:pt idx="265">
                  <c:v>10000</c:v>
                </c:pt>
                <c:pt idx="266">
                  <c:v>10000</c:v>
                </c:pt>
                <c:pt idx="267">
                  <c:v>549000</c:v>
                </c:pt>
                <c:pt idx="268">
                  <c:v>600000</c:v>
                </c:pt>
                <c:pt idx="269">
                  <c:v>75000</c:v>
                </c:pt>
                <c:pt idx="270">
                  <c:v>20000</c:v>
                </c:pt>
                <c:pt idx="272">
                  <c:v>1200000</c:v>
                </c:pt>
                <c:pt idx="273">
                  <c:v>350000</c:v>
                </c:pt>
                <c:pt idx="274">
                  <c:v>550000</c:v>
                </c:pt>
                <c:pt idx="275">
                  <c:v>1000000</c:v>
                </c:pt>
                <c:pt idx="276">
                  <c:v>1320000</c:v>
                </c:pt>
                <c:pt idx="277">
                  <c:v>500000</c:v>
                </c:pt>
                <c:pt idx="278">
                  <c:v>250000</c:v>
                </c:pt>
                <c:pt idx="279">
                  <c:v>420000</c:v>
                </c:pt>
                <c:pt idx="280">
                  <c:v>175000</c:v>
                </c:pt>
                <c:pt idx="281">
                  <c:v>100000</c:v>
                </c:pt>
                <c:pt idx="282">
                  <c:v>1000000</c:v>
                </c:pt>
                <c:pt idx="283">
                  <c:v>1200000</c:v>
                </c:pt>
                <c:pt idx="284">
                  <c:v>1500000</c:v>
                </c:pt>
                <c:pt idx="285">
                  <c:v>50000</c:v>
                </c:pt>
                <c:pt idx="286">
                  <c:v>60000</c:v>
                </c:pt>
                <c:pt idx="287">
                  <c:v>1000000</c:v>
                </c:pt>
                <c:pt idx="288">
                  <c:v>715000</c:v>
                </c:pt>
                <c:pt idx="289">
                  <c:v>990000</c:v>
                </c:pt>
                <c:pt idx="290">
                  <c:v>1600000</c:v>
                </c:pt>
                <c:pt idx="296">
                  <c:v>1098000</c:v>
                </c:pt>
                <c:pt idx="305">
                  <c:v>1650000</c:v>
                </c:pt>
                <c:pt idx="306">
                  <c:v>55000</c:v>
                </c:pt>
                <c:pt idx="310">
                  <c:v>150000</c:v>
                </c:pt>
                <c:pt idx="311">
                  <c:v>110000</c:v>
                </c:pt>
                <c:pt idx="312">
                  <c:v>1000000</c:v>
                </c:pt>
                <c:pt idx="313">
                  <c:v>378000</c:v>
                </c:pt>
                <c:pt idx="314">
                  <c:v>1500000</c:v>
                </c:pt>
                <c:pt idx="317">
                  <c:v>1000000</c:v>
                </c:pt>
                <c:pt idx="318">
                  <c:v>1200000</c:v>
                </c:pt>
                <c:pt idx="319">
                  <c:v>140000</c:v>
                </c:pt>
                <c:pt idx="320">
                  <c:v>450000</c:v>
                </c:pt>
                <c:pt idx="321">
                  <c:v>1200000</c:v>
                </c:pt>
                <c:pt idx="322">
                  <c:v>350000</c:v>
                </c:pt>
                <c:pt idx="323">
                  <c:v>650000</c:v>
                </c:pt>
                <c:pt idx="325">
                  <c:v>1400000</c:v>
                </c:pt>
                <c:pt idx="326">
                  <c:v>549000</c:v>
                </c:pt>
                <c:pt idx="327">
                  <c:v>1650000</c:v>
                </c:pt>
                <c:pt idx="328">
                  <c:v>55000</c:v>
                </c:pt>
                <c:pt idx="333">
                  <c:v>450000</c:v>
                </c:pt>
                <c:pt idx="334">
                  <c:v>50000</c:v>
                </c:pt>
                <c:pt idx="335">
                  <c:v>1650000</c:v>
                </c:pt>
                <c:pt idx="336">
                  <c:v>55000</c:v>
                </c:pt>
                <c:pt idx="337">
                  <c:v>1500000</c:v>
                </c:pt>
                <c:pt idx="338">
                  <c:v>50000</c:v>
                </c:pt>
                <c:pt idx="339">
                  <c:v>60000</c:v>
                </c:pt>
                <c:pt idx="342">
                  <c:v>1000000</c:v>
                </c:pt>
                <c:pt idx="343">
                  <c:v>1500000</c:v>
                </c:pt>
                <c:pt idx="349">
                  <c:v>700000</c:v>
                </c:pt>
                <c:pt idx="350">
                  <c:v>1200000</c:v>
                </c:pt>
                <c:pt idx="351">
                  <c:v>50000</c:v>
                </c:pt>
                <c:pt idx="352">
                  <c:v>550000</c:v>
                </c:pt>
                <c:pt idx="357">
                  <c:v>715000</c:v>
                </c:pt>
                <c:pt idx="359">
                  <c:v>450000</c:v>
                </c:pt>
                <c:pt idx="360">
                  <c:v>1300000</c:v>
                </c:pt>
                <c:pt idx="361">
                  <c:v>549000</c:v>
                </c:pt>
                <c:pt idx="362">
                  <c:v>200000</c:v>
                </c:pt>
                <c:pt idx="363">
                  <c:v>250000</c:v>
                </c:pt>
                <c:pt idx="364">
                  <c:v>1100000</c:v>
                </c:pt>
                <c:pt idx="365">
                  <c:v>1650000</c:v>
                </c:pt>
                <c:pt idx="366">
                  <c:v>1650000</c:v>
                </c:pt>
                <c:pt idx="369">
                  <c:v>1000000</c:v>
                </c:pt>
                <c:pt idx="370">
                  <c:v>450000</c:v>
                </c:pt>
                <c:pt idx="371">
                  <c:v>500000</c:v>
                </c:pt>
                <c:pt idx="372">
                  <c:v>50000</c:v>
                </c:pt>
                <c:pt idx="373">
                  <c:v>200000</c:v>
                </c:pt>
                <c:pt idx="374">
                  <c:v>549000</c:v>
                </c:pt>
                <c:pt idx="375">
                  <c:v>129000</c:v>
                </c:pt>
                <c:pt idx="376">
                  <c:v>450000</c:v>
                </c:pt>
                <c:pt idx="377">
                  <c:v>1550000</c:v>
                </c:pt>
                <c:pt idx="378">
                  <c:v>990000</c:v>
                </c:pt>
                <c:pt idx="380">
                  <c:v>1100000</c:v>
                </c:pt>
                <c:pt idx="381">
                  <c:v>1200000</c:v>
                </c:pt>
                <c:pt idx="384">
                  <c:v>1200000</c:v>
                </c:pt>
                <c:pt idx="385">
                  <c:v>150000</c:v>
                </c:pt>
                <c:pt idx="388">
                  <c:v>1500000</c:v>
                </c:pt>
                <c:pt idx="389">
                  <c:v>422000</c:v>
                </c:pt>
                <c:pt idx="390">
                  <c:v>680000</c:v>
                </c:pt>
                <c:pt idx="391">
                  <c:v>1000000</c:v>
                </c:pt>
                <c:pt idx="393">
                  <c:v>549000.1</c:v>
                </c:pt>
                <c:pt idx="394">
                  <c:v>1500000</c:v>
                </c:pt>
                <c:pt idx="395">
                  <c:v>50000</c:v>
                </c:pt>
                <c:pt idx="397">
                  <c:v>2000000</c:v>
                </c:pt>
                <c:pt idx="399">
                  <c:v>165000</c:v>
                </c:pt>
                <c:pt idx="400">
                  <c:v>550000</c:v>
                </c:pt>
                <c:pt idx="401">
                  <c:v>1650000</c:v>
                </c:pt>
                <c:pt idx="402">
                  <c:v>55000</c:v>
                </c:pt>
                <c:pt idx="403">
                  <c:v>275000</c:v>
                </c:pt>
                <c:pt idx="405">
                  <c:v>250000</c:v>
                </c:pt>
                <c:pt idx="407">
                  <c:v>165000</c:v>
                </c:pt>
                <c:pt idx="408">
                  <c:v>143000</c:v>
                </c:pt>
                <c:pt idx="409">
                  <c:v>22000</c:v>
                </c:pt>
                <c:pt idx="410">
                  <c:v>150000</c:v>
                </c:pt>
                <c:pt idx="412">
                  <c:v>150000</c:v>
                </c:pt>
                <c:pt idx="413">
                  <c:v>22000</c:v>
                </c:pt>
                <c:pt idx="414">
                  <c:v>495000</c:v>
                </c:pt>
                <c:pt idx="415">
                  <c:v>450000</c:v>
                </c:pt>
                <c:pt idx="416">
                  <c:v>500000</c:v>
                </c:pt>
                <c:pt idx="417">
                  <c:v>1815000</c:v>
                </c:pt>
                <c:pt idx="421">
                  <c:v>1500000</c:v>
                </c:pt>
                <c:pt idx="422">
                  <c:v>50000</c:v>
                </c:pt>
                <c:pt idx="423">
                  <c:v>60000</c:v>
                </c:pt>
                <c:pt idx="424">
                  <c:v>800000</c:v>
                </c:pt>
                <c:pt idx="425">
                  <c:v>1210000</c:v>
                </c:pt>
                <c:pt idx="427">
                  <c:v>900000</c:v>
                </c:pt>
                <c:pt idx="428">
                  <c:v>1200000</c:v>
                </c:pt>
                <c:pt idx="430">
                  <c:v>800000</c:v>
                </c:pt>
                <c:pt idx="431">
                  <c:v>1650000</c:v>
                </c:pt>
                <c:pt idx="432">
                  <c:v>900000</c:v>
                </c:pt>
                <c:pt idx="436">
                  <c:v>900000</c:v>
                </c:pt>
                <c:pt idx="437">
                  <c:v>1500000</c:v>
                </c:pt>
                <c:pt idx="438">
                  <c:v>1980000</c:v>
                </c:pt>
                <c:pt idx="439">
                  <c:v>55000</c:v>
                </c:pt>
                <c:pt idx="440">
                  <c:v>165000</c:v>
                </c:pt>
                <c:pt idx="441">
                  <c:v>1500000</c:v>
                </c:pt>
                <c:pt idx="442">
                  <c:v>50000</c:v>
                </c:pt>
                <c:pt idx="443">
                  <c:v>1500000</c:v>
                </c:pt>
                <c:pt idx="444">
                  <c:v>50000</c:v>
                </c:pt>
                <c:pt idx="449">
                  <c:v>129000</c:v>
                </c:pt>
                <c:pt idx="450">
                  <c:v>450000</c:v>
                </c:pt>
                <c:pt idx="451">
                  <c:v>250000</c:v>
                </c:pt>
                <c:pt idx="452">
                  <c:v>100000</c:v>
                </c:pt>
                <c:pt idx="453">
                  <c:v>1100000</c:v>
                </c:pt>
                <c:pt idx="456">
                  <c:v>1200000</c:v>
                </c:pt>
                <c:pt idx="457">
                  <c:v>275000</c:v>
                </c:pt>
                <c:pt idx="458">
                  <c:v>445000</c:v>
                </c:pt>
                <c:pt idx="459">
                  <c:v>1815000</c:v>
                </c:pt>
                <c:pt idx="460">
                  <c:v>450000</c:v>
                </c:pt>
                <c:pt idx="461">
                  <c:v>75000</c:v>
                </c:pt>
                <c:pt idx="462">
                  <c:v>35000</c:v>
                </c:pt>
                <c:pt idx="463">
                  <c:v>20000</c:v>
                </c:pt>
                <c:pt idx="464">
                  <c:v>1600000</c:v>
                </c:pt>
                <c:pt idx="467">
                  <c:v>1100000</c:v>
                </c:pt>
                <c:pt idx="470">
                  <c:v>650000</c:v>
                </c:pt>
                <c:pt idx="474">
                  <c:v>569000</c:v>
                </c:pt>
                <c:pt idx="475">
                  <c:v>80000</c:v>
                </c:pt>
                <c:pt idx="476">
                  <c:v>35000</c:v>
                </c:pt>
                <c:pt idx="477">
                  <c:v>715000</c:v>
                </c:pt>
                <c:pt idx="478">
                  <c:v>385000</c:v>
                </c:pt>
                <c:pt idx="479">
                  <c:v>260000</c:v>
                </c:pt>
                <c:pt idx="480">
                  <c:v>385000</c:v>
                </c:pt>
                <c:pt idx="482">
                  <c:v>1650000</c:v>
                </c:pt>
                <c:pt idx="485">
                  <c:v>350000</c:v>
                </c:pt>
                <c:pt idx="487">
                  <c:v>1550000</c:v>
                </c:pt>
                <c:pt idx="488">
                  <c:v>495000</c:v>
                </c:pt>
                <c:pt idx="491">
                  <c:v>650000</c:v>
                </c:pt>
                <c:pt idx="492">
                  <c:v>1000000</c:v>
                </c:pt>
                <c:pt idx="494" formatCode="#,###">
                  <c:v>450000</c:v>
                </c:pt>
                <c:pt idx="495" formatCode="#,###">
                  <c:v>1200000</c:v>
                </c:pt>
                <c:pt idx="498" formatCode="#,###">
                  <c:v>200000</c:v>
                </c:pt>
                <c:pt idx="499" formatCode="#,###">
                  <c:v>800000</c:v>
                </c:pt>
                <c:pt idx="500" formatCode="#,###">
                  <c:v>1100000</c:v>
                </c:pt>
                <c:pt idx="502" formatCode="#,###">
                  <c:v>200000</c:v>
                </c:pt>
                <c:pt idx="506">
                  <c:v>715000</c:v>
                </c:pt>
                <c:pt idx="507" formatCode="#,##0">
                  <c:v>385000</c:v>
                </c:pt>
                <c:pt idx="508" formatCode="#,##0">
                  <c:v>22000</c:v>
                </c:pt>
                <c:pt idx="509">
                  <c:v>498000</c:v>
                </c:pt>
                <c:pt idx="510">
                  <c:v>1500000</c:v>
                </c:pt>
                <c:pt idx="512">
                  <c:v>220000</c:v>
                </c:pt>
                <c:pt idx="513">
                  <c:v>1200000</c:v>
                </c:pt>
                <c:pt idx="514">
                  <c:v>990000</c:v>
                </c:pt>
                <c:pt idx="515">
                  <c:v>1200000</c:v>
                </c:pt>
                <c:pt idx="516">
                  <c:v>350000</c:v>
                </c:pt>
                <c:pt idx="519">
                  <c:v>150000</c:v>
                </c:pt>
                <c:pt idx="520">
                  <c:v>1500000</c:v>
                </c:pt>
                <c:pt idx="523">
                  <c:v>400000</c:v>
                </c:pt>
                <c:pt idx="530">
                  <c:v>1000000</c:v>
                </c:pt>
                <c:pt idx="531">
                  <c:v>100000</c:v>
                </c:pt>
                <c:pt idx="532">
                  <c:v>569000</c:v>
                </c:pt>
                <c:pt idx="533">
                  <c:v>77000</c:v>
                </c:pt>
                <c:pt idx="535">
                  <c:v>150000</c:v>
                </c:pt>
                <c:pt idx="537">
                  <c:v>1200000</c:v>
                </c:pt>
                <c:pt idx="538">
                  <c:v>350000</c:v>
                </c:pt>
                <c:pt idx="539">
                  <c:v>129000</c:v>
                </c:pt>
                <c:pt idx="540">
                  <c:v>1500000</c:v>
                </c:pt>
                <c:pt idx="542">
                  <c:v>700000</c:v>
                </c:pt>
                <c:pt idx="543">
                  <c:v>200000</c:v>
                </c:pt>
                <c:pt idx="544">
                  <c:v>2000000</c:v>
                </c:pt>
                <c:pt idx="547">
                  <c:v>1500000</c:v>
                </c:pt>
                <c:pt idx="548">
                  <c:v>770000</c:v>
                </c:pt>
                <c:pt idx="552">
                  <c:v>495000</c:v>
                </c:pt>
                <c:pt idx="553">
                  <c:v>55000</c:v>
                </c:pt>
                <c:pt idx="556">
                  <c:v>569000</c:v>
                </c:pt>
                <c:pt idx="557">
                  <c:v>77000</c:v>
                </c:pt>
                <c:pt idx="558">
                  <c:v>130000</c:v>
                </c:pt>
                <c:pt idx="559">
                  <c:v>20000</c:v>
                </c:pt>
                <c:pt idx="560">
                  <c:v>35000</c:v>
                </c:pt>
                <c:pt idx="562">
                  <c:v>150000</c:v>
                </c:pt>
                <c:pt idx="563">
                  <c:v>450000</c:v>
                </c:pt>
                <c:pt idx="564">
                  <c:v>55000</c:v>
                </c:pt>
                <c:pt idx="565">
                  <c:v>600000</c:v>
                </c:pt>
                <c:pt idx="566">
                  <c:v>600000</c:v>
                </c:pt>
                <c:pt idx="568">
                  <c:v>200000</c:v>
                </c:pt>
                <c:pt idx="569">
                  <c:v>2500000</c:v>
                </c:pt>
                <c:pt idx="570">
                  <c:v>2420000</c:v>
                </c:pt>
                <c:pt idx="571">
                  <c:v>1550000</c:v>
                </c:pt>
                <c:pt idx="572">
                  <c:v>650000</c:v>
                </c:pt>
                <c:pt idx="573">
                  <c:v>35000</c:v>
                </c:pt>
                <c:pt idx="574">
                  <c:v>20000</c:v>
                </c:pt>
                <c:pt idx="575">
                  <c:v>1100000</c:v>
                </c:pt>
                <c:pt idx="576">
                  <c:v>1100000</c:v>
                </c:pt>
                <c:pt idx="577">
                  <c:v>1500000</c:v>
                </c:pt>
                <c:pt idx="578">
                  <c:v>1500000</c:v>
                </c:pt>
                <c:pt idx="579">
                  <c:v>569000</c:v>
                </c:pt>
                <c:pt idx="580">
                  <c:v>286000</c:v>
                </c:pt>
                <c:pt idx="581">
                  <c:v>660000</c:v>
                </c:pt>
                <c:pt idx="582">
                  <c:v>0</c:v>
                </c:pt>
                <c:pt idx="583">
                  <c:v>650001</c:v>
                </c:pt>
                <c:pt idx="584">
                  <c:v>110000</c:v>
                </c:pt>
                <c:pt idx="585">
                  <c:v>22000</c:v>
                </c:pt>
                <c:pt idx="594">
                  <c:v>80000</c:v>
                </c:pt>
                <c:pt idx="597">
                  <c:v>3000000</c:v>
                </c:pt>
                <c:pt idx="598">
                  <c:v>165000</c:v>
                </c:pt>
                <c:pt idx="599">
                  <c:v>143000</c:v>
                </c:pt>
                <c:pt idx="600">
                  <c:v>340000</c:v>
                </c:pt>
                <c:pt idx="601">
                  <c:v>850000</c:v>
                </c:pt>
                <c:pt idx="602">
                  <c:v>1000000</c:v>
                </c:pt>
                <c:pt idx="603">
                  <c:v>1760000</c:v>
                </c:pt>
                <c:pt idx="604">
                  <c:v>22000</c:v>
                </c:pt>
                <c:pt idx="605">
                  <c:v>100000</c:v>
                </c:pt>
                <c:pt idx="606">
                  <c:v>100000</c:v>
                </c:pt>
                <c:pt idx="607">
                  <c:v>1200000</c:v>
                </c:pt>
                <c:pt idx="610">
                  <c:v>-1650000</c:v>
                </c:pt>
                <c:pt idx="613">
                  <c:v>1320000</c:v>
                </c:pt>
                <c:pt idx="614">
                  <c:v>1320000</c:v>
                </c:pt>
                <c:pt idx="615">
                  <c:v>600000</c:v>
                </c:pt>
                <c:pt idx="616">
                  <c:v>220000</c:v>
                </c:pt>
                <c:pt idx="617">
                  <c:v>1200000</c:v>
                </c:pt>
                <c:pt idx="622">
                  <c:v>1500000</c:v>
                </c:pt>
                <c:pt idx="623">
                  <c:v>50000</c:v>
                </c:pt>
                <c:pt idx="624">
                  <c:v>1500000</c:v>
                </c:pt>
                <c:pt idx="625">
                  <c:v>1100000</c:v>
                </c:pt>
                <c:pt idx="628">
                  <c:v>150000</c:v>
                </c:pt>
                <c:pt idx="631">
                  <c:v>35000</c:v>
                </c:pt>
                <c:pt idx="632">
                  <c:v>10000</c:v>
                </c:pt>
                <c:pt idx="633">
                  <c:v>1500000</c:v>
                </c:pt>
                <c:pt idx="634">
                  <c:v>1400000</c:v>
                </c:pt>
                <c:pt idx="635">
                  <c:v>1500000</c:v>
                </c:pt>
                <c:pt idx="636">
                  <c:v>50000</c:v>
                </c:pt>
                <c:pt idx="637">
                  <c:v>300000</c:v>
                </c:pt>
                <c:pt idx="638">
                  <c:v>150000</c:v>
                </c:pt>
                <c:pt idx="639">
                  <c:v>650000</c:v>
                </c:pt>
                <c:pt idx="640">
                  <c:v>350000</c:v>
                </c:pt>
                <c:pt idx="643">
                  <c:v>650000</c:v>
                </c:pt>
                <c:pt idx="645">
                  <c:v>1100000</c:v>
                </c:pt>
                <c:pt idx="647">
                  <c:v>250000</c:v>
                </c:pt>
                <c:pt idx="649">
                  <c:v>1400000</c:v>
                </c:pt>
                <c:pt idx="650">
                  <c:v>67500</c:v>
                </c:pt>
                <c:pt idx="651">
                  <c:v>1170000</c:v>
                </c:pt>
                <c:pt idx="652">
                  <c:v>450000</c:v>
                </c:pt>
                <c:pt idx="653">
                  <c:v>650000</c:v>
                </c:pt>
                <c:pt idx="656">
                  <c:v>1300000</c:v>
                </c:pt>
                <c:pt idx="657">
                  <c:v>350000</c:v>
                </c:pt>
                <c:pt idx="658">
                  <c:v>20000</c:v>
                </c:pt>
                <c:pt idx="660">
                  <c:v>2500000</c:v>
                </c:pt>
                <c:pt idx="662">
                  <c:v>650000</c:v>
                </c:pt>
                <c:pt idx="663">
                  <c:v>1500000</c:v>
                </c:pt>
                <c:pt idx="666">
                  <c:v>1350000</c:v>
                </c:pt>
                <c:pt idx="667">
                  <c:v>1000000</c:v>
                </c:pt>
                <c:pt idx="668">
                  <c:v>1210000</c:v>
                </c:pt>
                <c:pt idx="669">
                  <c:v>1000000</c:v>
                </c:pt>
                <c:pt idx="670">
                  <c:v>20000</c:v>
                </c:pt>
                <c:pt idx="671">
                  <c:v>1000000</c:v>
                </c:pt>
                <c:pt idx="672">
                  <c:v>1100000</c:v>
                </c:pt>
                <c:pt idx="676">
                  <c:v>1350000</c:v>
                </c:pt>
                <c:pt idx="677">
                  <c:v>1200000</c:v>
                </c:pt>
                <c:pt idx="678">
                  <c:v>190000</c:v>
                </c:pt>
                <c:pt idx="679">
                  <c:v>1650000</c:v>
                </c:pt>
                <c:pt idx="680">
                  <c:v>1200000</c:v>
                </c:pt>
                <c:pt idx="681">
                  <c:v>1320000</c:v>
                </c:pt>
                <c:pt idx="683">
                  <c:v>1500000</c:v>
                </c:pt>
                <c:pt idx="684">
                  <c:v>50000</c:v>
                </c:pt>
                <c:pt idx="685">
                  <c:v>1500000</c:v>
                </c:pt>
                <c:pt idx="686">
                  <c:v>650000</c:v>
                </c:pt>
                <c:pt idx="687">
                  <c:v>1650000</c:v>
                </c:pt>
                <c:pt idx="688">
                  <c:v>550000</c:v>
                </c:pt>
                <c:pt idx="689">
                  <c:v>275000</c:v>
                </c:pt>
                <c:pt idx="690">
                  <c:v>65000</c:v>
                </c:pt>
                <c:pt idx="691">
                  <c:v>330000</c:v>
                </c:pt>
                <c:pt idx="694">
                  <c:v>1650000</c:v>
                </c:pt>
                <c:pt idx="695">
                  <c:v>55000</c:v>
                </c:pt>
                <c:pt idx="698">
                  <c:v>1320000</c:v>
                </c:pt>
                <c:pt idx="699">
                  <c:v>55000</c:v>
                </c:pt>
                <c:pt idx="700">
                  <c:v>1200000</c:v>
                </c:pt>
                <c:pt idx="701">
                  <c:v>350000</c:v>
                </c:pt>
                <c:pt idx="702">
                  <c:v>1200000</c:v>
                </c:pt>
                <c:pt idx="703">
                  <c:v>129000</c:v>
                </c:pt>
                <c:pt idx="704">
                  <c:v>350000</c:v>
                </c:pt>
                <c:pt idx="705">
                  <c:v>1300000</c:v>
                </c:pt>
                <c:pt idx="706">
                  <c:v>20000</c:v>
                </c:pt>
                <c:pt idx="707">
                  <c:v>55000</c:v>
                </c:pt>
                <c:pt idx="710">
                  <c:v>200000</c:v>
                </c:pt>
                <c:pt idx="713">
                  <c:v>715000</c:v>
                </c:pt>
                <c:pt idx="714">
                  <c:v>330000</c:v>
                </c:pt>
                <c:pt idx="715">
                  <c:v>1500000</c:v>
                </c:pt>
                <c:pt idx="718">
                  <c:v>600000</c:v>
                </c:pt>
                <c:pt idx="720">
                  <c:v>1210000</c:v>
                </c:pt>
                <c:pt idx="721">
                  <c:v>110000</c:v>
                </c:pt>
                <c:pt idx="723">
                  <c:v>350000</c:v>
                </c:pt>
                <c:pt idx="725">
                  <c:v>1650000</c:v>
                </c:pt>
                <c:pt idx="726">
                  <c:v>55000</c:v>
                </c:pt>
                <c:pt idx="727">
                  <c:v>1320000</c:v>
                </c:pt>
                <c:pt idx="728">
                  <c:v>141900</c:v>
                </c:pt>
                <c:pt idx="729">
                  <c:v>385000</c:v>
                </c:pt>
                <c:pt idx="730">
                  <c:v>1400000</c:v>
                </c:pt>
                <c:pt idx="731">
                  <c:v>50000</c:v>
                </c:pt>
                <c:pt idx="732">
                  <c:v>1500000</c:v>
                </c:pt>
                <c:pt idx="733">
                  <c:v>50000</c:v>
                </c:pt>
                <c:pt idx="734">
                  <c:v>1100000</c:v>
                </c:pt>
                <c:pt idx="735">
                  <c:v>1200000</c:v>
                </c:pt>
                <c:pt idx="736">
                  <c:v>1870000</c:v>
                </c:pt>
                <c:pt idx="737">
                  <c:v>1320000</c:v>
                </c:pt>
                <c:pt idx="739">
                  <c:v>800000</c:v>
                </c:pt>
                <c:pt idx="740">
                  <c:v>715000</c:v>
                </c:pt>
                <c:pt idx="743">
                  <c:v>240000</c:v>
                </c:pt>
                <c:pt idx="744">
                  <c:v>20000</c:v>
                </c:pt>
                <c:pt idx="745">
                  <c:v>60000</c:v>
                </c:pt>
                <c:pt idx="746">
                  <c:v>1500000</c:v>
                </c:pt>
                <c:pt idx="747">
                  <c:v>50000</c:v>
                </c:pt>
                <c:pt idx="749">
                  <c:v>129000</c:v>
                </c:pt>
                <c:pt idx="750">
                  <c:v>25000</c:v>
                </c:pt>
                <c:pt idx="754">
                  <c:v>1100000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BF5F-4B11-A5E8-435494E0689B}"/>
            </c:ext>
          </c:extLst>
        </c:ser>
        <c:ser>
          <c:idx val="6"/>
          <c:order val="6"/>
          <c:tx>
            <c:strRef>
              <c:f>주문_리스트!$G$1</c:f>
              <c:strCache>
                <c:ptCount val="1"/>
                <c:pt idx="0">
                  <c:v>단가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>
              <a:noFill/>
            </a:ln>
            <a:effectLst/>
          </c:spPr>
          <c:invertIfNegative val="0"/>
          <c:val>
            <c:numRef>
              <c:f>주문_리스트!$G$2:$G$756</c:f>
              <c:numCache>
                <c:formatCode>#,##0;\-#,##0;\-;@</c:formatCode>
                <c:ptCount val="755"/>
                <c:pt idx="0">
                  <c:v>30000</c:v>
                </c:pt>
                <c:pt idx="1">
                  <c:v>1300000</c:v>
                </c:pt>
                <c:pt idx="2">
                  <c:v>800000</c:v>
                </c:pt>
                <c:pt idx="3">
                  <c:v>1000000</c:v>
                </c:pt>
                <c:pt idx="4">
                  <c:v>198000</c:v>
                </c:pt>
                <c:pt idx="5">
                  <c:v>12000</c:v>
                </c:pt>
                <c:pt idx="6">
                  <c:v>25000</c:v>
                </c:pt>
                <c:pt idx="7">
                  <c:v>1100000</c:v>
                </c:pt>
                <c:pt idx="8">
                  <c:v>1200000</c:v>
                </c:pt>
                <c:pt idx="9">
                  <c:v>330000</c:v>
                </c:pt>
                <c:pt idx="10">
                  <c:v>1000000</c:v>
                </c:pt>
                <c:pt idx="11">
                  <c:v>350000</c:v>
                </c:pt>
                <c:pt idx="12">
                  <c:v>-300000</c:v>
                </c:pt>
                <c:pt idx="13">
                  <c:v>610000</c:v>
                </c:pt>
                <c:pt idx="14">
                  <c:v>55000</c:v>
                </c:pt>
                <c:pt idx="15">
                  <c:v>600000</c:v>
                </c:pt>
                <c:pt idx="16">
                  <c:v>1100000</c:v>
                </c:pt>
                <c:pt idx="17">
                  <c:v>650000</c:v>
                </c:pt>
                <c:pt idx="18">
                  <c:v>1650000</c:v>
                </c:pt>
                <c:pt idx="19">
                  <c:v>650000</c:v>
                </c:pt>
                <c:pt idx="20">
                  <c:v>700000</c:v>
                </c:pt>
                <c:pt idx="21">
                  <c:v>1500000</c:v>
                </c:pt>
                <c:pt idx="22">
                  <c:v>1200000</c:v>
                </c:pt>
                <c:pt idx="23">
                  <c:v>198000</c:v>
                </c:pt>
                <c:pt idx="24">
                  <c:v>300000</c:v>
                </c:pt>
                <c:pt idx="25">
                  <c:v>1000000</c:v>
                </c:pt>
                <c:pt idx="26">
                  <c:v>1500000</c:v>
                </c:pt>
                <c:pt idx="27">
                  <c:v>650000</c:v>
                </c:pt>
                <c:pt idx="28">
                  <c:v>1500000</c:v>
                </c:pt>
                <c:pt idx="29">
                  <c:v>1200000</c:v>
                </c:pt>
                <c:pt idx="30">
                  <c:v>150000</c:v>
                </c:pt>
                <c:pt idx="31">
                  <c:v>150000</c:v>
                </c:pt>
                <c:pt idx="32">
                  <c:v>100000</c:v>
                </c:pt>
                <c:pt idx="33">
                  <c:v>230000</c:v>
                </c:pt>
                <c:pt idx="34">
                  <c:v>130000</c:v>
                </c:pt>
                <c:pt idx="35">
                  <c:v>10000</c:v>
                </c:pt>
                <c:pt idx="36">
                  <c:v>50000</c:v>
                </c:pt>
                <c:pt idx="37">
                  <c:v>1100000</c:v>
                </c:pt>
                <c:pt idx="38">
                  <c:v>13000</c:v>
                </c:pt>
                <c:pt idx="39">
                  <c:v>50000</c:v>
                </c:pt>
                <c:pt idx="40">
                  <c:v>1100000</c:v>
                </c:pt>
                <c:pt idx="41">
                  <c:v>140000</c:v>
                </c:pt>
                <c:pt idx="42">
                  <c:v>450000</c:v>
                </c:pt>
                <c:pt idx="43">
                  <c:v>450000</c:v>
                </c:pt>
                <c:pt idx="44">
                  <c:v>1600000</c:v>
                </c:pt>
                <c:pt idx="45">
                  <c:v>1600000</c:v>
                </c:pt>
                <c:pt idx="46">
                  <c:v>100000</c:v>
                </c:pt>
                <c:pt idx="47">
                  <c:v>650000</c:v>
                </c:pt>
                <c:pt idx="48">
                  <c:v>350000</c:v>
                </c:pt>
                <c:pt idx="49">
                  <c:v>1200000</c:v>
                </c:pt>
                <c:pt idx="50">
                  <c:v>1500000</c:v>
                </c:pt>
                <c:pt idx="51">
                  <c:v>-500000</c:v>
                </c:pt>
                <c:pt idx="52">
                  <c:v>1600000</c:v>
                </c:pt>
                <c:pt idx="53">
                  <c:v>1000000</c:v>
                </c:pt>
                <c:pt idx="54">
                  <c:v>200000</c:v>
                </c:pt>
                <c:pt idx="55">
                  <c:v>-1270000</c:v>
                </c:pt>
                <c:pt idx="56">
                  <c:v>-300000</c:v>
                </c:pt>
                <c:pt idx="57">
                  <c:v>-200000</c:v>
                </c:pt>
                <c:pt idx="58">
                  <c:v>150000</c:v>
                </c:pt>
                <c:pt idx="59">
                  <c:v>1300000</c:v>
                </c:pt>
                <c:pt idx="60">
                  <c:v>1600000</c:v>
                </c:pt>
                <c:pt idx="61">
                  <c:v>650000</c:v>
                </c:pt>
                <c:pt idx="62">
                  <c:v>150000</c:v>
                </c:pt>
                <c:pt idx="63">
                  <c:v>20000</c:v>
                </c:pt>
                <c:pt idx="64">
                  <c:v>250000</c:v>
                </c:pt>
                <c:pt idx="65">
                  <c:v>570000</c:v>
                </c:pt>
                <c:pt idx="67">
                  <c:v>1600000</c:v>
                </c:pt>
                <c:pt idx="68">
                  <c:v>1300000</c:v>
                </c:pt>
                <c:pt idx="69">
                  <c:v>1500000</c:v>
                </c:pt>
                <c:pt idx="70">
                  <c:v>1200000</c:v>
                </c:pt>
                <c:pt idx="71">
                  <c:v>1100000</c:v>
                </c:pt>
                <c:pt idx="72">
                  <c:v>1500000</c:v>
                </c:pt>
                <c:pt idx="73">
                  <c:v>450000</c:v>
                </c:pt>
                <c:pt idx="74">
                  <c:v>1200000</c:v>
                </c:pt>
                <c:pt idx="75">
                  <c:v>2000000</c:v>
                </c:pt>
                <c:pt idx="76">
                  <c:v>350000</c:v>
                </c:pt>
                <c:pt idx="77">
                  <c:v>300000</c:v>
                </c:pt>
                <c:pt idx="78">
                  <c:v>129000</c:v>
                </c:pt>
                <c:pt idx="79">
                  <c:v>1500000</c:v>
                </c:pt>
                <c:pt idx="80">
                  <c:v>1200000</c:v>
                </c:pt>
                <c:pt idx="81">
                  <c:v>350000</c:v>
                </c:pt>
                <c:pt idx="82">
                  <c:v>1200000</c:v>
                </c:pt>
                <c:pt idx="83">
                  <c:v>650000</c:v>
                </c:pt>
                <c:pt idx="84">
                  <c:v>50000</c:v>
                </c:pt>
                <c:pt idx="85">
                  <c:v>1300000</c:v>
                </c:pt>
                <c:pt idx="86">
                  <c:v>350000</c:v>
                </c:pt>
                <c:pt idx="87">
                  <c:v>350000</c:v>
                </c:pt>
                <c:pt idx="88">
                  <c:v>1090909</c:v>
                </c:pt>
                <c:pt idx="89">
                  <c:v>1600000</c:v>
                </c:pt>
                <c:pt idx="90">
                  <c:v>1200000</c:v>
                </c:pt>
                <c:pt idx="91">
                  <c:v>198000</c:v>
                </c:pt>
                <c:pt idx="92">
                  <c:v>1500000</c:v>
                </c:pt>
                <c:pt idx="93">
                  <c:v>30000</c:v>
                </c:pt>
                <c:pt idx="94">
                  <c:v>1100000</c:v>
                </c:pt>
                <c:pt idx="95">
                  <c:v>20000</c:v>
                </c:pt>
                <c:pt idx="96">
                  <c:v>1100000</c:v>
                </c:pt>
                <c:pt idx="97">
                  <c:v>3500000</c:v>
                </c:pt>
                <c:pt idx="98">
                  <c:v>50000</c:v>
                </c:pt>
                <c:pt idx="99">
                  <c:v>1200000</c:v>
                </c:pt>
                <c:pt idx="100">
                  <c:v>800000</c:v>
                </c:pt>
                <c:pt idx="101">
                  <c:v>320000</c:v>
                </c:pt>
                <c:pt idx="102">
                  <c:v>340000</c:v>
                </c:pt>
                <c:pt idx="103">
                  <c:v>7727</c:v>
                </c:pt>
                <c:pt idx="104">
                  <c:v>1100000</c:v>
                </c:pt>
                <c:pt idx="105">
                  <c:v>572727</c:v>
                </c:pt>
                <c:pt idx="106">
                  <c:v>1000000</c:v>
                </c:pt>
                <c:pt idx="107">
                  <c:v>350000</c:v>
                </c:pt>
                <c:pt idx="108">
                  <c:v>129000</c:v>
                </c:pt>
                <c:pt idx="109">
                  <c:v>600000</c:v>
                </c:pt>
                <c:pt idx="110">
                  <c:v>1200000</c:v>
                </c:pt>
                <c:pt idx="111">
                  <c:v>1500000</c:v>
                </c:pt>
                <c:pt idx="112">
                  <c:v>610000</c:v>
                </c:pt>
                <c:pt idx="113">
                  <c:v>130000</c:v>
                </c:pt>
                <c:pt idx="114">
                  <c:v>35000</c:v>
                </c:pt>
                <c:pt idx="115">
                  <c:v>20000</c:v>
                </c:pt>
                <c:pt idx="116">
                  <c:v>2200000</c:v>
                </c:pt>
                <c:pt idx="117">
                  <c:v>2180000</c:v>
                </c:pt>
                <c:pt idx="118">
                  <c:v>2000000</c:v>
                </c:pt>
                <c:pt idx="119">
                  <c:v>381818</c:v>
                </c:pt>
                <c:pt idx="120">
                  <c:v>12000</c:v>
                </c:pt>
                <c:pt idx="121">
                  <c:v>381818</c:v>
                </c:pt>
                <c:pt idx="122">
                  <c:v>12000</c:v>
                </c:pt>
                <c:pt idx="123">
                  <c:v>27000</c:v>
                </c:pt>
                <c:pt idx="124">
                  <c:v>850000</c:v>
                </c:pt>
                <c:pt idx="125">
                  <c:v>1200000</c:v>
                </c:pt>
                <c:pt idx="126">
                  <c:v>350000</c:v>
                </c:pt>
                <c:pt idx="127">
                  <c:v>50000</c:v>
                </c:pt>
                <c:pt idx="128">
                  <c:v>1400000</c:v>
                </c:pt>
                <c:pt idx="129">
                  <c:v>1500000</c:v>
                </c:pt>
                <c:pt idx="130">
                  <c:v>30000</c:v>
                </c:pt>
                <c:pt idx="131">
                  <c:v>250000</c:v>
                </c:pt>
                <c:pt idx="132">
                  <c:v>2600000</c:v>
                </c:pt>
                <c:pt idx="133">
                  <c:v>600000</c:v>
                </c:pt>
                <c:pt idx="134">
                  <c:v>1850000</c:v>
                </c:pt>
                <c:pt idx="135">
                  <c:v>1550000</c:v>
                </c:pt>
                <c:pt idx="136">
                  <c:v>650000</c:v>
                </c:pt>
                <c:pt idx="139">
                  <c:v>25000</c:v>
                </c:pt>
                <c:pt idx="143">
                  <c:v>1550000</c:v>
                </c:pt>
                <c:pt idx="144">
                  <c:v>200000</c:v>
                </c:pt>
                <c:pt idx="145">
                  <c:v>150000</c:v>
                </c:pt>
                <c:pt idx="146">
                  <c:v>20000</c:v>
                </c:pt>
                <c:pt idx="147">
                  <c:v>129000</c:v>
                </c:pt>
                <c:pt idx="148">
                  <c:v>50000</c:v>
                </c:pt>
                <c:pt idx="149">
                  <c:v>50000</c:v>
                </c:pt>
                <c:pt idx="150">
                  <c:v>1550000</c:v>
                </c:pt>
                <c:pt idx="152">
                  <c:v>1200000</c:v>
                </c:pt>
                <c:pt idx="153">
                  <c:v>350000</c:v>
                </c:pt>
                <c:pt idx="154">
                  <c:v>650000</c:v>
                </c:pt>
                <c:pt idx="155">
                  <c:v>549000</c:v>
                </c:pt>
                <c:pt idx="156">
                  <c:v>75000</c:v>
                </c:pt>
                <c:pt idx="157">
                  <c:v>510000</c:v>
                </c:pt>
                <c:pt idx="158">
                  <c:v>1300000</c:v>
                </c:pt>
                <c:pt idx="159">
                  <c:v>600000</c:v>
                </c:pt>
                <c:pt idx="160">
                  <c:v>549000</c:v>
                </c:pt>
                <c:pt idx="161">
                  <c:v>50000</c:v>
                </c:pt>
                <c:pt idx="162">
                  <c:v>130000</c:v>
                </c:pt>
                <c:pt idx="163">
                  <c:v>510000</c:v>
                </c:pt>
                <c:pt idx="164">
                  <c:v>1200000</c:v>
                </c:pt>
                <c:pt idx="166">
                  <c:v>1500000</c:v>
                </c:pt>
                <c:pt idx="167">
                  <c:v>50000</c:v>
                </c:pt>
                <c:pt idx="168">
                  <c:v>1400000</c:v>
                </c:pt>
                <c:pt idx="169">
                  <c:v>150000</c:v>
                </c:pt>
                <c:pt idx="170">
                  <c:v>65000</c:v>
                </c:pt>
                <c:pt idx="171">
                  <c:v>25000</c:v>
                </c:pt>
                <c:pt idx="172">
                  <c:v>549000</c:v>
                </c:pt>
                <c:pt idx="173">
                  <c:v>650000</c:v>
                </c:pt>
                <c:pt idx="174">
                  <c:v>130000</c:v>
                </c:pt>
                <c:pt idx="175">
                  <c:v>10000</c:v>
                </c:pt>
                <c:pt idx="176">
                  <c:v>20000</c:v>
                </c:pt>
                <c:pt idx="177">
                  <c:v>1550000</c:v>
                </c:pt>
                <c:pt idx="178">
                  <c:v>1550000</c:v>
                </c:pt>
                <c:pt idx="179">
                  <c:v>499091</c:v>
                </c:pt>
                <c:pt idx="180">
                  <c:v>150000</c:v>
                </c:pt>
                <c:pt idx="181">
                  <c:v>150000</c:v>
                </c:pt>
                <c:pt idx="182">
                  <c:v>1200000</c:v>
                </c:pt>
                <c:pt idx="183">
                  <c:v>350000</c:v>
                </c:pt>
                <c:pt idx="184">
                  <c:v>1200000</c:v>
                </c:pt>
                <c:pt idx="185">
                  <c:v>50000</c:v>
                </c:pt>
                <c:pt idx="186">
                  <c:v>150000</c:v>
                </c:pt>
                <c:pt idx="187">
                  <c:v>30000</c:v>
                </c:pt>
                <c:pt idx="188">
                  <c:v>10000</c:v>
                </c:pt>
                <c:pt idx="189">
                  <c:v>210000</c:v>
                </c:pt>
                <c:pt idx="190">
                  <c:v>150000</c:v>
                </c:pt>
                <c:pt idx="191">
                  <c:v>1200000</c:v>
                </c:pt>
                <c:pt idx="192">
                  <c:v>680000</c:v>
                </c:pt>
                <c:pt idx="193">
                  <c:v>75000</c:v>
                </c:pt>
                <c:pt idx="194">
                  <c:v>1100000</c:v>
                </c:pt>
                <c:pt idx="195">
                  <c:v>3500000</c:v>
                </c:pt>
                <c:pt idx="196" formatCode="General">
                  <c:v>1500000</c:v>
                </c:pt>
                <c:pt idx="198" formatCode="General">
                  <c:v>1500000</c:v>
                </c:pt>
                <c:pt idx="200" formatCode="General">
                  <c:v>650000</c:v>
                </c:pt>
                <c:pt idx="201">
                  <c:v>10000</c:v>
                </c:pt>
                <c:pt idx="202" formatCode="General">
                  <c:v>1500000</c:v>
                </c:pt>
                <c:pt idx="203" formatCode="General">
                  <c:v>65000</c:v>
                </c:pt>
                <c:pt idx="204" formatCode="General">
                  <c:v>25000</c:v>
                </c:pt>
                <c:pt idx="205" formatCode="General">
                  <c:v>250000</c:v>
                </c:pt>
                <c:pt idx="206" formatCode="General">
                  <c:v>1200000</c:v>
                </c:pt>
                <c:pt idx="207" formatCode="General">
                  <c:v>1300000</c:v>
                </c:pt>
                <c:pt idx="208" formatCode="General">
                  <c:v>650000</c:v>
                </c:pt>
                <c:pt idx="209" formatCode="General">
                  <c:v>499091</c:v>
                </c:pt>
                <c:pt idx="210" formatCode="General">
                  <c:v>20000</c:v>
                </c:pt>
                <c:pt idx="211" formatCode="General">
                  <c:v>1000000</c:v>
                </c:pt>
                <c:pt idx="212" formatCode="General">
                  <c:v>2000000</c:v>
                </c:pt>
                <c:pt idx="213" formatCode="General">
                  <c:v>800000</c:v>
                </c:pt>
                <c:pt idx="214" formatCode="General">
                  <c:v>1200000</c:v>
                </c:pt>
                <c:pt idx="215" formatCode="General">
                  <c:v>350000</c:v>
                </c:pt>
                <c:pt idx="216" formatCode="General">
                  <c:v>1200000</c:v>
                </c:pt>
                <c:pt idx="217" formatCode="General">
                  <c:v>50000</c:v>
                </c:pt>
                <c:pt idx="218" formatCode="General">
                  <c:v>1400000</c:v>
                </c:pt>
                <c:pt idx="219" formatCode="General">
                  <c:v>30000</c:v>
                </c:pt>
                <c:pt idx="220" formatCode="General">
                  <c:v>600000</c:v>
                </c:pt>
                <c:pt idx="221" formatCode="General">
                  <c:v>20000</c:v>
                </c:pt>
                <c:pt idx="222" formatCode="General">
                  <c:v>1200000</c:v>
                </c:pt>
                <c:pt idx="223" formatCode="General">
                  <c:v>1000000</c:v>
                </c:pt>
                <c:pt idx="224" formatCode="General">
                  <c:v>1550000</c:v>
                </c:pt>
                <c:pt idx="225" formatCode="General">
                  <c:v>50000</c:v>
                </c:pt>
                <c:pt idx="226" formatCode="General">
                  <c:v>499091</c:v>
                </c:pt>
                <c:pt idx="227" formatCode="General">
                  <c:v>380000</c:v>
                </c:pt>
                <c:pt idx="228" formatCode="General">
                  <c:v>1500000</c:v>
                </c:pt>
                <c:pt idx="229" formatCode="General">
                  <c:v>50000</c:v>
                </c:pt>
                <c:pt idx="230" formatCode="General">
                  <c:v>50000</c:v>
                </c:pt>
                <c:pt idx="231" formatCode="General">
                  <c:v>1800000</c:v>
                </c:pt>
                <c:pt idx="232" formatCode="General">
                  <c:v>50000</c:v>
                </c:pt>
                <c:pt idx="233" formatCode="General">
                  <c:v>1600000</c:v>
                </c:pt>
                <c:pt idx="234" formatCode="General">
                  <c:v>1200000</c:v>
                </c:pt>
                <c:pt idx="235" formatCode="General">
                  <c:v>600000</c:v>
                </c:pt>
                <c:pt idx="236" formatCode="General">
                  <c:v>600000</c:v>
                </c:pt>
                <c:pt idx="237" formatCode="General">
                  <c:v>600000</c:v>
                </c:pt>
                <c:pt idx="238" formatCode="General">
                  <c:v>80000</c:v>
                </c:pt>
                <c:pt idx="239" formatCode="General">
                  <c:v>50000</c:v>
                </c:pt>
                <c:pt idx="240">
                  <c:v>50000</c:v>
                </c:pt>
                <c:pt idx="241">
                  <c:v>150000</c:v>
                </c:pt>
                <c:pt idx="244">
                  <c:v>450000</c:v>
                </c:pt>
                <c:pt idx="245">
                  <c:v>1000000</c:v>
                </c:pt>
                <c:pt idx="246">
                  <c:v>10000</c:v>
                </c:pt>
                <c:pt idx="247">
                  <c:v>130000</c:v>
                </c:pt>
                <c:pt idx="248">
                  <c:v>549000</c:v>
                </c:pt>
                <c:pt idx="251">
                  <c:v>549000</c:v>
                </c:pt>
                <c:pt idx="252">
                  <c:v>150000</c:v>
                </c:pt>
                <c:pt idx="253">
                  <c:v>350000</c:v>
                </c:pt>
                <c:pt idx="256">
                  <c:v>450000</c:v>
                </c:pt>
                <c:pt idx="258">
                  <c:v>500000</c:v>
                </c:pt>
                <c:pt idx="259">
                  <c:v>150000</c:v>
                </c:pt>
                <c:pt idx="260">
                  <c:v>1700000</c:v>
                </c:pt>
                <c:pt idx="262">
                  <c:v>650000</c:v>
                </c:pt>
                <c:pt idx="264">
                  <c:v>30000</c:v>
                </c:pt>
                <c:pt idx="265">
                  <c:v>10000</c:v>
                </c:pt>
                <c:pt idx="266">
                  <c:v>10000</c:v>
                </c:pt>
                <c:pt idx="267">
                  <c:v>549000</c:v>
                </c:pt>
                <c:pt idx="268">
                  <c:v>600000</c:v>
                </c:pt>
                <c:pt idx="269">
                  <c:v>75000</c:v>
                </c:pt>
                <c:pt idx="270">
                  <c:v>20000</c:v>
                </c:pt>
                <c:pt idx="272">
                  <c:v>1200000</c:v>
                </c:pt>
                <c:pt idx="273">
                  <c:v>350000</c:v>
                </c:pt>
                <c:pt idx="274">
                  <c:v>550000</c:v>
                </c:pt>
                <c:pt idx="275">
                  <c:v>1000000</c:v>
                </c:pt>
                <c:pt idx="276">
                  <c:v>1200000</c:v>
                </c:pt>
                <c:pt idx="277">
                  <c:v>50000</c:v>
                </c:pt>
                <c:pt idx="278">
                  <c:v>50000</c:v>
                </c:pt>
                <c:pt idx="279">
                  <c:v>84000</c:v>
                </c:pt>
                <c:pt idx="280">
                  <c:v>35000</c:v>
                </c:pt>
                <c:pt idx="281">
                  <c:v>50000</c:v>
                </c:pt>
                <c:pt idx="282">
                  <c:v>1000000</c:v>
                </c:pt>
                <c:pt idx="283">
                  <c:v>1200000</c:v>
                </c:pt>
                <c:pt idx="284">
                  <c:v>1500000</c:v>
                </c:pt>
                <c:pt idx="285">
                  <c:v>50000</c:v>
                </c:pt>
                <c:pt idx="286">
                  <c:v>60000</c:v>
                </c:pt>
                <c:pt idx="287">
                  <c:v>1000000</c:v>
                </c:pt>
                <c:pt idx="288">
                  <c:v>650000</c:v>
                </c:pt>
                <c:pt idx="289">
                  <c:v>900000</c:v>
                </c:pt>
                <c:pt idx="290">
                  <c:v>1600000</c:v>
                </c:pt>
                <c:pt idx="296">
                  <c:v>549000</c:v>
                </c:pt>
                <c:pt idx="305">
                  <c:v>1500000</c:v>
                </c:pt>
                <c:pt idx="306">
                  <c:v>50000</c:v>
                </c:pt>
                <c:pt idx="310">
                  <c:v>150000</c:v>
                </c:pt>
                <c:pt idx="311">
                  <c:v>50000</c:v>
                </c:pt>
                <c:pt idx="312">
                  <c:v>1000000</c:v>
                </c:pt>
                <c:pt idx="313">
                  <c:v>378000</c:v>
                </c:pt>
                <c:pt idx="314">
                  <c:v>1500000</c:v>
                </c:pt>
                <c:pt idx="317">
                  <c:v>1000000</c:v>
                </c:pt>
                <c:pt idx="318">
                  <c:v>1200000</c:v>
                </c:pt>
                <c:pt idx="319">
                  <c:v>140000</c:v>
                </c:pt>
                <c:pt idx="320">
                  <c:v>450000</c:v>
                </c:pt>
                <c:pt idx="321">
                  <c:v>1200000</c:v>
                </c:pt>
                <c:pt idx="322">
                  <c:v>350000</c:v>
                </c:pt>
                <c:pt idx="323">
                  <c:v>650000</c:v>
                </c:pt>
                <c:pt idx="325">
                  <c:v>1400000</c:v>
                </c:pt>
                <c:pt idx="326">
                  <c:v>549000</c:v>
                </c:pt>
                <c:pt idx="327">
                  <c:v>1500000</c:v>
                </c:pt>
                <c:pt idx="328">
                  <c:v>50000</c:v>
                </c:pt>
                <c:pt idx="333">
                  <c:v>450000</c:v>
                </c:pt>
                <c:pt idx="334">
                  <c:v>50000</c:v>
                </c:pt>
                <c:pt idx="335">
                  <c:v>1500000</c:v>
                </c:pt>
                <c:pt idx="336">
                  <c:v>50000</c:v>
                </c:pt>
                <c:pt idx="337">
                  <c:v>1500000</c:v>
                </c:pt>
                <c:pt idx="338">
                  <c:v>50000</c:v>
                </c:pt>
                <c:pt idx="339">
                  <c:v>60000</c:v>
                </c:pt>
                <c:pt idx="342">
                  <c:v>1000000</c:v>
                </c:pt>
                <c:pt idx="343">
                  <c:v>1500000</c:v>
                </c:pt>
                <c:pt idx="349">
                  <c:v>700000</c:v>
                </c:pt>
                <c:pt idx="350">
                  <c:v>1200000</c:v>
                </c:pt>
                <c:pt idx="351">
                  <c:v>50000</c:v>
                </c:pt>
                <c:pt idx="352">
                  <c:v>550000</c:v>
                </c:pt>
                <c:pt idx="357">
                  <c:v>650000</c:v>
                </c:pt>
                <c:pt idx="359">
                  <c:v>450000</c:v>
                </c:pt>
                <c:pt idx="360">
                  <c:v>1300000</c:v>
                </c:pt>
                <c:pt idx="361">
                  <c:v>499091</c:v>
                </c:pt>
                <c:pt idx="362">
                  <c:v>200000</c:v>
                </c:pt>
                <c:pt idx="363">
                  <c:v>250000</c:v>
                </c:pt>
                <c:pt idx="364">
                  <c:v>1100000</c:v>
                </c:pt>
                <c:pt idx="365">
                  <c:v>1500000</c:v>
                </c:pt>
                <c:pt idx="366">
                  <c:v>1650000</c:v>
                </c:pt>
                <c:pt idx="369">
                  <c:v>1000000</c:v>
                </c:pt>
                <c:pt idx="370">
                  <c:v>450000</c:v>
                </c:pt>
                <c:pt idx="371">
                  <c:v>500000</c:v>
                </c:pt>
                <c:pt idx="372">
                  <c:v>50000</c:v>
                </c:pt>
                <c:pt idx="373">
                  <c:v>200000</c:v>
                </c:pt>
                <c:pt idx="374">
                  <c:v>549000</c:v>
                </c:pt>
                <c:pt idx="375">
                  <c:v>129000</c:v>
                </c:pt>
                <c:pt idx="376">
                  <c:v>150000</c:v>
                </c:pt>
                <c:pt idx="377">
                  <c:v>1550000</c:v>
                </c:pt>
                <c:pt idx="378">
                  <c:v>990000</c:v>
                </c:pt>
                <c:pt idx="380">
                  <c:v>1000000</c:v>
                </c:pt>
                <c:pt idx="381">
                  <c:v>1200000</c:v>
                </c:pt>
                <c:pt idx="384">
                  <c:v>1200000</c:v>
                </c:pt>
                <c:pt idx="385">
                  <c:v>150000</c:v>
                </c:pt>
                <c:pt idx="388">
                  <c:v>1500000</c:v>
                </c:pt>
                <c:pt idx="389">
                  <c:v>422000</c:v>
                </c:pt>
                <c:pt idx="390">
                  <c:v>680000</c:v>
                </c:pt>
                <c:pt idx="391">
                  <c:v>1000000</c:v>
                </c:pt>
                <c:pt idx="393">
                  <c:v>499091</c:v>
                </c:pt>
                <c:pt idx="394">
                  <c:v>1500000</c:v>
                </c:pt>
                <c:pt idx="395">
                  <c:v>50000</c:v>
                </c:pt>
                <c:pt idx="397">
                  <c:v>2000000</c:v>
                </c:pt>
                <c:pt idx="399">
                  <c:v>75000</c:v>
                </c:pt>
                <c:pt idx="400">
                  <c:v>500000</c:v>
                </c:pt>
                <c:pt idx="401">
                  <c:v>1500000</c:v>
                </c:pt>
                <c:pt idx="402">
                  <c:v>50000</c:v>
                </c:pt>
                <c:pt idx="403">
                  <c:v>250000</c:v>
                </c:pt>
                <c:pt idx="405">
                  <c:v>250000</c:v>
                </c:pt>
                <c:pt idx="407">
                  <c:v>75000</c:v>
                </c:pt>
                <c:pt idx="408">
                  <c:v>130000</c:v>
                </c:pt>
                <c:pt idx="409">
                  <c:v>10000</c:v>
                </c:pt>
                <c:pt idx="410">
                  <c:v>150000</c:v>
                </c:pt>
                <c:pt idx="412">
                  <c:v>150000</c:v>
                </c:pt>
                <c:pt idx="413">
                  <c:v>20000</c:v>
                </c:pt>
                <c:pt idx="414">
                  <c:v>450000</c:v>
                </c:pt>
                <c:pt idx="415">
                  <c:v>450000</c:v>
                </c:pt>
                <c:pt idx="416">
                  <c:v>550000</c:v>
                </c:pt>
                <c:pt idx="417">
                  <c:v>1650000</c:v>
                </c:pt>
                <c:pt idx="421">
                  <c:v>1500000</c:v>
                </c:pt>
                <c:pt idx="422">
                  <c:v>50000</c:v>
                </c:pt>
                <c:pt idx="423">
                  <c:v>60000</c:v>
                </c:pt>
                <c:pt idx="424">
                  <c:v>800000</c:v>
                </c:pt>
                <c:pt idx="425">
                  <c:v>1100000</c:v>
                </c:pt>
                <c:pt idx="427">
                  <c:v>900000</c:v>
                </c:pt>
                <c:pt idx="428">
                  <c:v>1200000</c:v>
                </c:pt>
                <c:pt idx="430">
                  <c:v>800000</c:v>
                </c:pt>
                <c:pt idx="431">
                  <c:v>1500000</c:v>
                </c:pt>
                <c:pt idx="432">
                  <c:v>900000</c:v>
                </c:pt>
                <c:pt idx="436">
                  <c:v>900000</c:v>
                </c:pt>
                <c:pt idx="437">
                  <c:v>1500000</c:v>
                </c:pt>
                <c:pt idx="438">
                  <c:v>1800000</c:v>
                </c:pt>
                <c:pt idx="439">
                  <c:v>50000</c:v>
                </c:pt>
                <c:pt idx="440">
                  <c:v>150000</c:v>
                </c:pt>
                <c:pt idx="441">
                  <c:v>1500000</c:v>
                </c:pt>
                <c:pt idx="442">
                  <c:v>50000</c:v>
                </c:pt>
                <c:pt idx="443">
                  <c:v>1500000</c:v>
                </c:pt>
                <c:pt idx="444">
                  <c:v>50000</c:v>
                </c:pt>
                <c:pt idx="449">
                  <c:v>129000</c:v>
                </c:pt>
                <c:pt idx="450">
                  <c:v>450000</c:v>
                </c:pt>
                <c:pt idx="451">
                  <c:v>50000</c:v>
                </c:pt>
                <c:pt idx="452">
                  <c:v>100000</c:v>
                </c:pt>
                <c:pt idx="453">
                  <c:v>1100000</c:v>
                </c:pt>
                <c:pt idx="456">
                  <c:v>1200000</c:v>
                </c:pt>
                <c:pt idx="457">
                  <c:v>250000</c:v>
                </c:pt>
                <c:pt idx="458">
                  <c:v>445000</c:v>
                </c:pt>
                <c:pt idx="459">
                  <c:v>1650000</c:v>
                </c:pt>
                <c:pt idx="460">
                  <c:v>450000</c:v>
                </c:pt>
                <c:pt idx="461">
                  <c:v>75000</c:v>
                </c:pt>
                <c:pt idx="462">
                  <c:v>35000</c:v>
                </c:pt>
                <c:pt idx="463">
                  <c:v>10000</c:v>
                </c:pt>
                <c:pt idx="464">
                  <c:v>1600000</c:v>
                </c:pt>
                <c:pt idx="467">
                  <c:v>1000000</c:v>
                </c:pt>
                <c:pt idx="470">
                  <c:v>650000</c:v>
                </c:pt>
                <c:pt idx="474">
                  <c:v>517273</c:v>
                </c:pt>
                <c:pt idx="475">
                  <c:v>72728</c:v>
                </c:pt>
                <c:pt idx="476">
                  <c:v>32000</c:v>
                </c:pt>
                <c:pt idx="477">
                  <c:v>650000</c:v>
                </c:pt>
                <c:pt idx="478">
                  <c:v>350000</c:v>
                </c:pt>
                <c:pt idx="479">
                  <c:v>130000</c:v>
                </c:pt>
                <c:pt idx="480">
                  <c:v>350000</c:v>
                </c:pt>
                <c:pt idx="482">
                  <c:v>1500000</c:v>
                </c:pt>
                <c:pt idx="485">
                  <c:v>350000</c:v>
                </c:pt>
                <c:pt idx="487">
                  <c:v>1550000</c:v>
                </c:pt>
                <c:pt idx="488">
                  <c:v>450000</c:v>
                </c:pt>
                <c:pt idx="491">
                  <c:v>650000</c:v>
                </c:pt>
                <c:pt idx="492">
                  <c:v>1000000</c:v>
                </c:pt>
                <c:pt idx="494">
                  <c:v>150000</c:v>
                </c:pt>
                <c:pt idx="495">
                  <c:v>1200000</c:v>
                </c:pt>
                <c:pt idx="498">
                  <c:v>200000</c:v>
                </c:pt>
                <c:pt idx="499">
                  <c:v>800000</c:v>
                </c:pt>
                <c:pt idx="500">
                  <c:v>1000000</c:v>
                </c:pt>
                <c:pt idx="502">
                  <c:v>200000</c:v>
                </c:pt>
                <c:pt idx="506">
                  <c:v>650000</c:v>
                </c:pt>
                <c:pt idx="507" formatCode="General">
                  <c:v>350000</c:v>
                </c:pt>
                <c:pt idx="508" formatCode="General">
                  <c:v>20000</c:v>
                </c:pt>
                <c:pt idx="509">
                  <c:v>498000</c:v>
                </c:pt>
                <c:pt idx="510">
                  <c:v>1500000</c:v>
                </c:pt>
                <c:pt idx="512">
                  <c:v>200000</c:v>
                </c:pt>
                <c:pt idx="513">
                  <c:v>1200000</c:v>
                </c:pt>
                <c:pt idx="514">
                  <c:v>900000</c:v>
                </c:pt>
                <c:pt idx="515">
                  <c:v>1200000</c:v>
                </c:pt>
                <c:pt idx="516">
                  <c:v>350000</c:v>
                </c:pt>
                <c:pt idx="519">
                  <c:v>150000</c:v>
                </c:pt>
                <c:pt idx="520">
                  <c:v>1500000</c:v>
                </c:pt>
                <c:pt idx="523">
                  <c:v>400000</c:v>
                </c:pt>
                <c:pt idx="530">
                  <c:v>1000000</c:v>
                </c:pt>
                <c:pt idx="531">
                  <c:v>50000</c:v>
                </c:pt>
                <c:pt idx="532">
                  <c:v>517273</c:v>
                </c:pt>
                <c:pt idx="533">
                  <c:v>70000</c:v>
                </c:pt>
                <c:pt idx="535">
                  <c:v>150000</c:v>
                </c:pt>
                <c:pt idx="537">
                  <c:v>1200000</c:v>
                </c:pt>
                <c:pt idx="538">
                  <c:v>350000</c:v>
                </c:pt>
                <c:pt idx="539">
                  <c:v>129000</c:v>
                </c:pt>
                <c:pt idx="540">
                  <c:v>1500000</c:v>
                </c:pt>
                <c:pt idx="542">
                  <c:v>700000</c:v>
                </c:pt>
                <c:pt idx="543">
                  <c:v>200000</c:v>
                </c:pt>
                <c:pt idx="544">
                  <c:v>1818182</c:v>
                </c:pt>
                <c:pt idx="547">
                  <c:v>1500000</c:v>
                </c:pt>
                <c:pt idx="548">
                  <c:v>700000</c:v>
                </c:pt>
                <c:pt idx="552">
                  <c:v>450000</c:v>
                </c:pt>
                <c:pt idx="553">
                  <c:v>50000</c:v>
                </c:pt>
                <c:pt idx="556">
                  <c:v>569000</c:v>
                </c:pt>
                <c:pt idx="557">
                  <c:v>77000</c:v>
                </c:pt>
                <c:pt idx="558">
                  <c:v>130000</c:v>
                </c:pt>
                <c:pt idx="559">
                  <c:v>10000</c:v>
                </c:pt>
                <c:pt idx="560">
                  <c:v>35000</c:v>
                </c:pt>
                <c:pt idx="562">
                  <c:v>150000</c:v>
                </c:pt>
                <c:pt idx="563">
                  <c:v>450000</c:v>
                </c:pt>
                <c:pt idx="564">
                  <c:v>55000</c:v>
                </c:pt>
                <c:pt idx="565">
                  <c:v>600000</c:v>
                </c:pt>
                <c:pt idx="566">
                  <c:v>600000</c:v>
                </c:pt>
                <c:pt idx="568">
                  <c:v>200000</c:v>
                </c:pt>
                <c:pt idx="569">
                  <c:v>500000</c:v>
                </c:pt>
                <c:pt idx="570">
                  <c:v>2200000</c:v>
                </c:pt>
                <c:pt idx="571">
                  <c:v>1550000</c:v>
                </c:pt>
                <c:pt idx="572">
                  <c:v>650000</c:v>
                </c:pt>
                <c:pt idx="573">
                  <c:v>35000</c:v>
                </c:pt>
                <c:pt idx="574">
                  <c:v>20000</c:v>
                </c:pt>
                <c:pt idx="575">
                  <c:v>1100000</c:v>
                </c:pt>
                <c:pt idx="576">
                  <c:v>1100000</c:v>
                </c:pt>
                <c:pt idx="577">
                  <c:v>1500000</c:v>
                </c:pt>
                <c:pt idx="578">
                  <c:v>1500000</c:v>
                </c:pt>
                <c:pt idx="579">
                  <c:v>517273</c:v>
                </c:pt>
                <c:pt idx="580">
                  <c:v>130000</c:v>
                </c:pt>
                <c:pt idx="581">
                  <c:v>600000</c:v>
                </c:pt>
                <c:pt idx="583">
                  <c:v>590910</c:v>
                </c:pt>
                <c:pt idx="584">
                  <c:v>100000</c:v>
                </c:pt>
                <c:pt idx="585">
                  <c:v>20000</c:v>
                </c:pt>
                <c:pt idx="594">
                  <c:v>80000</c:v>
                </c:pt>
                <c:pt idx="597">
                  <c:v>3000000</c:v>
                </c:pt>
                <c:pt idx="598">
                  <c:v>75000</c:v>
                </c:pt>
                <c:pt idx="599">
                  <c:v>130000</c:v>
                </c:pt>
                <c:pt idx="600">
                  <c:v>340000</c:v>
                </c:pt>
                <c:pt idx="601">
                  <c:v>850000</c:v>
                </c:pt>
                <c:pt idx="602">
                  <c:v>1000000</c:v>
                </c:pt>
                <c:pt idx="603">
                  <c:v>1600000</c:v>
                </c:pt>
                <c:pt idx="604">
                  <c:v>20000</c:v>
                </c:pt>
                <c:pt idx="605">
                  <c:v>100000</c:v>
                </c:pt>
                <c:pt idx="606">
                  <c:v>100000</c:v>
                </c:pt>
                <c:pt idx="607">
                  <c:v>1200000</c:v>
                </c:pt>
                <c:pt idx="610">
                  <c:v>-1500000</c:v>
                </c:pt>
                <c:pt idx="613">
                  <c:v>1200000</c:v>
                </c:pt>
                <c:pt idx="614">
                  <c:v>1200000</c:v>
                </c:pt>
                <c:pt idx="615">
                  <c:v>600000</c:v>
                </c:pt>
                <c:pt idx="616">
                  <c:v>200000</c:v>
                </c:pt>
                <c:pt idx="617">
                  <c:v>1200000</c:v>
                </c:pt>
                <c:pt idx="622">
                  <c:v>1500000</c:v>
                </c:pt>
                <c:pt idx="623">
                  <c:v>50000</c:v>
                </c:pt>
                <c:pt idx="624">
                  <c:v>1500000</c:v>
                </c:pt>
                <c:pt idx="625">
                  <c:v>1100000</c:v>
                </c:pt>
                <c:pt idx="628">
                  <c:v>150000</c:v>
                </c:pt>
                <c:pt idx="631">
                  <c:v>35000</c:v>
                </c:pt>
                <c:pt idx="632">
                  <c:v>10000</c:v>
                </c:pt>
                <c:pt idx="633">
                  <c:v>1500000</c:v>
                </c:pt>
                <c:pt idx="634">
                  <c:v>1400000</c:v>
                </c:pt>
                <c:pt idx="635">
                  <c:v>1500000</c:v>
                </c:pt>
                <c:pt idx="636">
                  <c:v>50000</c:v>
                </c:pt>
                <c:pt idx="637">
                  <c:v>300000</c:v>
                </c:pt>
                <c:pt idx="638">
                  <c:v>150000</c:v>
                </c:pt>
                <c:pt idx="639">
                  <c:v>650000</c:v>
                </c:pt>
                <c:pt idx="640">
                  <c:v>350000</c:v>
                </c:pt>
                <c:pt idx="643">
                  <c:v>650000</c:v>
                </c:pt>
                <c:pt idx="645">
                  <c:v>1100000</c:v>
                </c:pt>
                <c:pt idx="647">
                  <c:v>250000</c:v>
                </c:pt>
                <c:pt idx="649">
                  <c:v>1400000</c:v>
                </c:pt>
                <c:pt idx="650">
                  <c:v>67500</c:v>
                </c:pt>
                <c:pt idx="651">
                  <c:v>1170000</c:v>
                </c:pt>
                <c:pt idx="652">
                  <c:v>450000</c:v>
                </c:pt>
                <c:pt idx="653">
                  <c:v>650000</c:v>
                </c:pt>
                <c:pt idx="656">
                  <c:v>1300000</c:v>
                </c:pt>
                <c:pt idx="657">
                  <c:v>350000</c:v>
                </c:pt>
                <c:pt idx="658">
                  <c:v>20000</c:v>
                </c:pt>
                <c:pt idx="660">
                  <c:v>2500000</c:v>
                </c:pt>
                <c:pt idx="662">
                  <c:v>650000</c:v>
                </c:pt>
                <c:pt idx="663">
                  <c:v>1500000</c:v>
                </c:pt>
                <c:pt idx="666">
                  <c:v>1350000</c:v>
                </c:pt>
                <c:pt idx="667">
                  <c:v>1000000</c:v>
                </c:pt>
                <c:pt idx="668">
                  <c:v>550000</c:v>
                </c:pt>
                <c:pt idx="669">
                  <c:v>1000000</c:v>
                </c:pt>
                <c:pt idx="670">
                  <c:v>20000</c:v>
                </c:pt>
                <c:pt idx="671">
                  <c:v>1000000</c:v>
                </c:pt>
                <c:pt idx="672">
                  <c:v>1000000</c:v>
                </c:pt>
                <c:pt idx="676">
                  <c:v>1350000</c:v>
                </c:pt>
                <c:pt idx="677">
                  <c:v>1200000</c:v>
                </c:pt>
                <c:pt idx="678">
                  <c:v>190000</c:v>
                </c:pt>
                <c:pt idx="679">
                  <c:v>1500000</c:v>
                </c:pt>
                <c:pt idx="680">
                  <c:v>1200000</c:v>
                </c:pt>
                <c:pt idx="681">
                  <c:v>1200000</c:v>
                </c:pt>
                <c:pt idx="683">
                  <c:v>1500000</c:v>
                </c:pt>
                <c:pt idx="684">
                  <c:v>50000</c:v>
                </c:pt>
                <c:pt idx="685">
                  <c:v>1500000</c:v>
                </c:pt>
                <c:pt idx="686">
                  <c:v>650000</c:v>
                </c:pt>
                <c:pt idx="687">
                  <c:v>1500000</c:v>
                </c:pt>
                <c:pt idx="688">
                  <c:v>500000</c:v>
                </c:pt>
                <c:pt idx="689">
                  <c:v>250000</c:v>
                </c:pt>
                <c:pt idx="690">
                  <c:v>59091</c:v>
                </c:pt>
                <c:pt idx="691">
                  <c:v>330000</c:v>
                </c:pt>
                <c:pt idx="694">
                  <c:v>1500000</c:v>
                </c:pt>
                <c:pt idx="695">
                  <c:v>50000</c:v>
                </c:pt>
                <c:pt idx="698">
                  <c:v>1200000</c:v>
                </c:pt>
                <c:pt idx="699">
                  <c:v>50000</c:v>
                </c:pt>
                <c:pt idx="700">
                  <c:v>1200000</c:v>
                </c:pt>
                <c:pt idx="701">
                  <c:v>350000</c:v>
                </c:pt>
                <c:pt idx="702">
                  <c:v>1200000</c:v>
                </c:pt>
                <c:pt idx="703">
                  <c:v>129000</c:v>
                </c:pt>
                <c:pt idx="704">
                  <c:v>350000</c:v>
                </c:pt>
                <c:pt idx="705">
                  <c:v>1300000</c:v>
                </c:pt>
                <c:pt idx="706">
                  <c:v>20000</c:v>
                </c:pt>
                <c:pt idx="707">
                  <c:v>50000</c:v>
                </c:pt>
                <c:pt idx="710">
                  <c:v>200000</c:v>
                </c:pt>
                <c:pt idx="713">
                  <c:v>650000</c:v>
                </c:pt>
                <c:pt idx="714">
                  <c:v>300000</c:v>
                </c:pt>
                <c:pt idx="715">
                  <c:v>1500000</c:v>
                </c:pt>
                <c:pt idx="718">
                  <c:v>600000</c:v>
                </c:pt>
                <c:pt idx="720">
                  <c:v>1100000</c:v>
                </c:pt>
                <c:pt idx="721">
                  <c:v>100000</c:v>
                </c:pt>
                <c:pt idx="723">
                  <c:v>350000</c:v>
                </c:pt>
                <c:pt idx="725">
                  <c:v>1500000</c:v>
                </c:pt>
                <c:pt idx="726">
                  <c:v>50000</c:v>
                </c:pt>
                <c:pt idx="727">
                  <c:v>1200000</c:v>
                </c:pt>
                <c:pt idx="728">
                  <c:v>129000</c:v>
                </c:pt>
                <c:pt idx="729">
                  <c:v>350000</c:v>
                </c:pt>
                <c:pt idx="730">
                  <c:v>1400000</c:v>
                </c:pt>
                <c:pt idx="731">
                  <c:v>50000</c:v>
                </c:pt>
                <c:pt idx="732">
                  <c:v>1500000</c:v>
                </c:pt>
                <c:pt idx="733">
                  <c:v>50000</c:v>
                </c:pt>
                <c:pt idx="734">
                  <c:v>1000000</c:v>
                </c:pt>
                <c:pt idx="735">
                  <c:v>1200000</c:v>
                </c:pt>
                <c:pt idx="736">
                  <c:v>1700000</c:v>
                </c:pt>
                <c:pt idx="737">
                  <c:v>600000</c:v>
                </c:pt>
                <c:pt idx="739">
                  <c:v>800000</c:v>
                </c:pt>
                <c:pt idx="740">
                  <c:v>650000</c:v>
                </c:pt>
                <c:pt idx="743">
                  <c:v>80000</c:v>
                </c:pt>
                <c:pt idx="744">
                  <c:v>10000</c:v>
                </c:pt>
                <c:pt idx="745">
                  <c:v>20000</c:v>
                </c:pt>
                <c:pt idx="746">
                  <c:v>1500000</c:v>
                </c:pt>
                <c:pt idx="747">
                  <c:v>50000</c:v>
                </c:pt>
                <c:pt idx="749">
                  <c:v>129000</c:v>
                </c:pt>
                <c:pt idx="750">
                  <c:v>25000</c:v>
                </c:pt>
                <c:pt idx="754">
                  <c:v>1100000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BF5F-4B11-A5E8-435494E0689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764465968"/>
        <c:axId val="764467408"/>
        <c:extLst>
          <c:ext xmlns:c15="http://schemas.microsoft.com/office/drawing/2012/chart" uri="{02D57815-91ED-43cb-92C2-25804820EDAC}">
            <c15:filteredBarSeries>
              <c15:ser>
                <c:idx val="0"/>
                <c:order val="0"/>
                <c:tx>
                  <c:strRef>
                    <c:extLst>
                      <c:ext uri="{02D57815-91ED-43cb-92C2-25804820EDAC}">
                        <c15:formulaRef>
                          <c15:sqref>주문_리스트!$A$1</c15:sqref>
                        </c15:formulaRef>
                      </c:ext>
                    </c:extLst>
                    <c:strCache>
                      <c:ptCount val="1"/>
                      <c:pt idx="0">
                        <c:v>ID</c:v>
                      </c:pt>
                    </c:strCache>
                  </c:strRef>
                </c:tx>
                <c:spPr>
                  <a:solidFill>
                    <a:schemeClr val="accent1"/>
                  </a:solidFill>
                  <a:ln>
                    <a:noFill/>
                  </a:ln>
                  <a:effectLst/>
                </c:spPr>
                <c:invertIfNegative val="0"/>
                <c:val>
                  <c:numRef>
                    <c:extLst>
                      <c:ext uri="{02D57815-91ED-43cb-92C2-25804820EDAC}">
                        <c15:formulaRef>
                          <c15:sqref>주문_리스트!$A$2:$A$756</c15:sqref>
                        </c15:formulaRef>
                      </c:ext>
                    </c:extLst>
                    <c:numCache>
                      <c:formatCode>0</c:formatCode>
                      <c:ptCount val="755"/>
                      <c:pt idx="0">
                        <c:v>1</c:v>
                      </c:pt>
                      <c:pt idx="1">
                        <c:v>2</c:v>
                      </c:pt>
                      <c:pt idx="2">
                        <c:v>3</c:v>
                      </c:pt>
                      <c:pt idx="3">
                        <c:v>4</c:v>
                      </c:pt>
                      <c:pt idx="4">
                        <c:v>5</c:v>
                      </c:pt>
                      <c:pt idx="5">
                        <c:v>6</c:v>
                      </c:pt>
                      <c:pt idx="6">
                        <c:v>7</c:v>
                      </c:pt>
                      <c:pt idx="7">
                        <c:v>8</c:v>
                      </c:pt>
                      <c:pt idx="8">
                        <c:v>9</c:v>
                      </c:pt>
                      <c:pt idx="9">
                        <c:v>10</c:v>
                      </c:pt>
                      <c:pt idx="10">
                        <c:v>11</c:v>
                      </c:pt>
                      <c:pt idx="11">
                        <c:v>12</c:v>
                      </c:pt>
                      <c:pt idx="12">
                        <c:v>13</c:v>
                      </c:pt>
                      <c:pt idx="13">
                        <c:v>14</c:v>
                      </c:pt>
                      <c:pt idx="14">
                        <c:v>15</c:v>
                      </c:pt>
                      <c:pt idx="15">
                        <c:v>16</c:v>
                      </c:pt>
                      <c:pt idx="16">
                        <c:v>17</c:v>
                      </c:pt>
                      <c:pt idx="17">
                        <c:v>18</c:v>
                      </c:pt>
                      <c:pt idx="18">
                        <c:v>19</c:v>
                      </c:pt>
                      <c:pt idx="19">
                        <c:v>20</c:v>
                      </c:pt>
                      <c:pt idx="20">
                        <c:v>21</c:v>
                      </c:pt>
                      <c:pt idx="21">
                        <c:v>22</c:v>
                      </c:pt>
                      <c:pt idx="22">
                        <c:v>23</c:v>
                      </c:pt>
                      <c:pt idx="23">
                        <c:v>24</c:v>
                      </c:pt>
                      <c:pt idx="24">
                        <c:v>25</c:v>
                      </c:pt>
                      <c:pt idx="25">
                        <c:v>26</c:v>
                      </c:pt>
                      <c:pt idx="26">
                        <c:v>27</c:v>
                      </c:pt>
                      <c:pt idx="27">
                        <c:v>28</c:v>
                      </c:pt>
                      <c:pt idx="28">
                        <c:v>29</c:v>
                      </c:pt>
                      <c:pt idx="29">
                        <c:v>30</c:v>
                      </c:pt>
                      <c:pt idx="30">
                        <c:v>31</c:v>
                      </c:pt>
                      <c:pt idx="31">
                        <c:v>32</c:v>
                      </c:pt>
                      <c:pt idx="32">
                        <c:v>33</c:v>
                      </c:pt>
                      <c:pt idx="33">
                        <c:v>34</c:v>
                      </c:pt>
                      <c:pt idx="34">
                        <c:v>35</c:v>
                      </c:pt>
                      <c:pt idx="35">
                        <c:v>36</c:v>
                      </c:pt>
                      <c:pt idx="36">
                        <c:v>37</c:v>
                      </c:pt>
                      <c:pt idx="37">
                        <c:v>38</c:v>
                      </c:pt>
                      <c:pt idx="38">
                        <c:v>39</c:v>
                      </c:pt>
                      <c:pt idx="39">
                        <c:v>40</c:v>
                      </c:pt>
                      <c:pt idx="40">
                        <c:v>41</c:v>
                      </c:pt>
                      <c:pt idx="41">
                        <c:v>42</c:v>
                      </c:pt>
                      <c:pt idx="42">
                        <c:v>43</c:v>
                      </c:pt>
                      <c:pt idx="43">
                        <c:v>44</c:v>
                      </c:pt>
                      <c:pt idx="44">
                        <c:v>45</c:v>
                      </c:pt>
                      <c:pt idx="45">
                        <c:v>46</c:v>
                      </c:pt>
                      <c:pt idx="46">
                        <c:v>47</c:v>
                      </c:pt>
                      <c:pt idx="47">
                        <c:v>48</c:v>
                      </c:pt>
                      <c:pt idx="48">
                        <c:v>49</c:v>
                      </c:pt>
                      <c:pt idx="49">
                        <c:v>50</c:v>
                      </c:pt>
                      <c:pt idx="50">
                        <c:v>51</c:v>
                      </c:pt>
                      <c:pt idx="51">
                        <c:v>52</c:v>
                      </c:pt>
                      <c:pt idx="52">
                        <c:v>53</c:v>
                      </c:pt>
                      <c:pt idx="53">
                        <c:v>54</c:v>
                      </c:pt>
                      <c:pt idx="54">
                        <c:v>55</c:v>
                      </c:pt>
                      <c:pt idx="55">
                        <c:v>56</c:v>
                      </c:pt>
                      <c:pt idx="56">
                        <c:v>57</c:v>
                      </c:pt>
                      <c:pt idx="57">
                        <c:v>58</c:v>
                      </c:pt>
                      <c:pt idx="58">
                        <c:v>59</c:v>
                      </c:pt>
                      <c:pt idx="59">
                        <c:v>60</c:v>
                      </c:pt>
                      <c:pt idx="60">
                        <c:v>61</c:v>
                      </c:pt>
                      <c:pt idx="61">
                        <c:v>62</c:v>
                      </c:pt>
                      <c:pt idx="62">
                        <c:v>63</c:v>
                      </c:pt>
                      <c:pt idx="63">
                        <c:v>64</c:v>
                      </c:pt>
                      <c:pt idx="64">
                        <c:v>65</c:v>
                      </c:pt>
                      <c:pt idx="65">
                        <c:v>66</c:v>
                      </c:pt>
                      <c:pt idx="66">
                        <c:v>67</c:v>
                      </c:pt>
                      <c:pt idx="67">
                        <c:v>68</c:v>
                      </c:pt>
                      <c:pt idx="68">
                        <c:v>69</c:v>
                      </c:pt>
                      <c:pt idx="69">
                        <c:v>70</c:v>
                      </c:pt>
                      <c:pt idx="70">
                        <c:v>71</c:v>
                      </c:pt>
                      <c:pt idx="71">
                        <c:v>72</c:v>
                      </c:pt>
                      <c:pt idx="72">
                        <c:v>73</c:v>
                      </c:pt>
                      <c:pt idx="73">
                        <c:v>74</c:v>
                      </c:pt>
                      <c:pt idx="74">
                        <c:v>75</c:v>
                      </c:pt>
                      <c:pt idx="75">
                        <c:v>76</c:v>
                      </c:pt>
                      <c:pt idx="76">
                        <c:v>77</c:v>
                      </c:pt>
                      <c:pt idx="77">
                        <c:v>78</c:v>
                      </c:pt>
                      <c:pt idx="78">
                        <c:v>79</c:v>
                      </c:pt>
                      <c:pt idx="79">
                        <c:v>80</c:v>
                      </c:pt>
                      <c:pt idx="80">
                        <c:v>81</c:v>
                      </c:pt>
                      <c:pt idx="81">
                        <c:v>82</c:v>
                      </c:pt>
                      <c:pt idx="82">
                        <c:v>83</c:v>
                      </c:pt>
                      <c:pt idx="83">
                        <c:v>84</c:v>
                      </c:pt>
                      <c:pt idx="84">
                        <c:v>85</c:v>
                      </c:pt>
                      <c:pt idx="85">
                        <c:v>86</c:v>
                      </c:pt>
                      <c:pt idx="86">
                        <c:v>87</c:v>
                      </c:pt>
                      <c:pt idx="87">
                        <c:v>88</c:v>
                      </c:pt>
                      <c:pt idx="88">
                        <c:v>89</c:v>
                      </c:pt>
                      <c:pt idx="89">
                        <c:v>90</c:v>
                      </c:pt>
                      <c:pt idx="90">
                        <c:v>91</c:v>
                      </c:pt>
                      <c:pt idx="91">
                        <c:v>92</c:v>
                      </c:pt>
                      <c:pt idx="92">
                        <c:v>93</c:v>
                      </c:pt>
                      <c:pt idx="93">
                        <c:v>94</c:v>
                      </c:pt>
                      <c:pt idx="94">
                        <c:v>95</c:v>
                      </c:pt>
                      <c:pt idx="95">
                        <c:v>96</c:v>
                      </c:pt>
                      <c:pt idx="96">
                        <c:v>97</c:v>
                      </c:pt>
                      <c:pt idx="97">
                        <c:v>98</c:v>
                      </c:pt>
                      <c:pt idx="98">
                        <c:v>99</c:v>
                      </c:pt>
                      <c:pt idx="99">
                        <c:v>100</c:v>
                      </c:pt>
                      <c:pt idx="100">
                        <c:v>101</c:v>
                      </c:pt>
                      <c:pt idx="101">
                        <c:v>102</c:v>
                      </c:pt>
                      <c:pt idx="102">
                        <c:v>103</c:v>
                      </c:pt>
                      <c:pt idx="103">
                        <c:v>104</c:v>
                      </c:pt>
                      <c:pt idx="104">
                        <c:v>105</c:v>
                      </c:pt>
                      <c:pt idx="105">
                        <c:v>106</c:v>
                      </c:pt>
                      <c:pt idx="106">
                        <c:v>107</c:v>
                      </c:pt>
                      <c:pt idx="107">
                        <c:v>108</c:v>
                      </c:pt>
                      <c:pt idx="108">
                        <c:v>109</c:v>
                      </c:pt>
                      <c:pt idx="109">
                        <c:v>110</c:v>
                      </c:pt>
                      <c:pt idx="110">
                        <c:v>111</c:v>
                      </c:pt>
                      <c:pt idx="111">
                        <c:v>112</c:v>
                      </c:pt>
                      <c:pt idx="112">
                        <c:v>113</c:v>
                      </c:pt>
                      <c:pt idx="113">
                        <c:v>114</c:v>
                      </c:pt>
                      <c:pt idx="114">
                        <c:v>115</c:v>
                      </c:pt>
                      <c:pt idx="115">
                        <c:v>116</c:v>
                      </c:pt>
                      <c:pt idx="116">
                        <c:v>117</c:v>
                      </c:pt>
                      <c:pt idx="117">
                        <c:v>118</c:v>
                      </c:pt>
                      <c:pt idx="118">
                        <c:v>119</c:v>
                      </c:pt>
                      <c:pt idx="119">
                        <c:v>120</c:v>
                      </c:pt>
                      <c:pt idx="120">
                        <c:v>121</c:v>
                      </c:pt>
                      <c:pt idx="121">
                        <c:v>122</c:v>
                      </c:pt>
                      <c:pt idx="122">
                        <c:v>123</c:v>
                      </c:pt>
                      <c:pt idx="123">
                        <c:v>124</c:v>
                      </c:pt>
                      <c:pt idx="124">
                        <c:v>125</c:v>
                      </c:pt>
                      <c:pt idx="125">
                        <c:v>126</c:v>
                      </c:pt>
                      <c:pt idx="126">
                        <c:v>127</c:v>
                      </c:pt>
                      <c:pt idx="127">
                        <c:v>128</c:v>
                      </c:pt>
                      <c:pt idx="128">
                        <c:v>129</c:v>
                      </c:pt>
                      <c:pt idx="129">
                        <c:v>130</c:v>
                      </c:pt>
                      <c:pt idx="130">
                        <c:v>131</c:v>
                      </c:pt>
                      <c:pt idx="131">
                        <c:v>132</c:v>
                      </c:pt>
                      <c:pt idx="132">
                        <c:v>133</c:v>
                      </c:pt>
                      <c:pt idx="133">
                        <c:v>134</c:v>
                      </c:pt>
                      <c:pt idx="134">
                        <c:v>135</c:v>
                      </c:pt>
                      <c:pt idx="135">
                        <c:v>136</c:v>
                      </c:pt>
                      <c:pt idx="136">
                        <c:v>137</c:v>
                      </c:pt>
                      <c:pt idx="137">
                        <c:v>138</c:v>
                      </c:pt>
                      <c:pt idx="138">
                        <c:v>139</c:v>
                      </c:pt>
                      <c:pt idx="139">
                        <c:v>140</c:v>
                      </c:pt>
                      <c:pt idx="140">
                        <c:v>141</c:v>
                      </c:pt>
                      <c:pt idx="141">
                        <c:v>142</c:v>
                      </c:pt>
                      <c:pt idx="142">
                        <c:v>143</c:v>
                      </c:pt>
                      <c:pt idx="143">
                        <c:v>144</c:v>
                      </c:pt>
                      <c:pt idx="144">
                        <c:v>145</c:v>
                      </c:pt>
                      <c:pt idx="145">
                        <c:v>146</c:v>
                      </c:pt>
                      <c:pt idx="146">
                        <c:v>147</c:v>
                      </c:pt>
                      <c:pt idx="147">
                        <c:v>148</c:v>
                      </c:pt>
                      <c:pt idx="148">
                        <c:v>149</c:v>
                      </c:pt>
                      <c:pt idx="149">
                        <c:v>150</c:v>
                      </c:pt>
                      <c:pt idx="150">
                        <c:v>151</c:v>
                      </c:pt>
                      <c:pt idx="151">
                        <c:v>152</c:v>
                      </c:pt>
                      <c:pt idx="152">
                        <c:v>153</c:v>
                      </c:pt>
                      <c:pt idx="153">
                        <c:v>154</c:v>
                      </c:pt>
                      <c:pt idx="154">
                        <c:v>155</c:v>
                      </c:pt>
                      <c:pt idx="155">
                        <c:v>156</c:v>
                      </c:pt>
                      <c:pt idx="156">
                        <c:v>157</c:v>
                      </c:pt>
                      <c:pt idx="157">
                        <c:v>158</c:v>
                      </c:pt>
                      <c:pt idx="158">
                        <c:v>159</c:v>
                      </c:pt>
                      <c:pt idx="159">
                        <c:v>160</c:v>
                      </c:pt>
                      <c:pt idx="160">
                        <c:v>161</c:v>
                      </c:pt>
                      <c:pt idx="161">
                        <c:v>162</c:v>
                      </c:pt>
                      <c:pt idx="162">
                        <c:v>163</c:v>
                      </c:pt>
                      <c:pt idx="163">
                        <c:v>164</c:v>
                      </c:pt>
                      <c:pt idx="164">
                        <c:v>165</c:v>
                      </c:pt>
                      <c:pt idx="165">
                        <c:v>166</c:v>
                      </c:pt>
                      <c:pt idx="166">
                        <c:v>167</c:v>
                      </c:pt>
                      <c:pt idx="167">
                        <c:v>168</c:v>
                      </c:pt>
                      <c:pt idx="168">
                        <c:v>169</c:v>
                      </c:pt>
                      <c:pt idx="169">
                        <c:v>170</c:v>
                      </c:pt>
                      <c:pt idx="170">
                        <c:v>171</c:v>
                      </c:pt>
                      <c:pt idx="171">
                        <c:v>172</c:v>
                      </c:pt>
                      <c:pt idx="172">
                        <c:v>173</c:v>
                      </c:pt>
                      <c:pt idx="173">
                        <c:v>174</c:v>
                      </c:pt>
                      <c:pt idx="174">
                        <c:v>175</c:v>
                      </c:pt>
                      <c:pt idx="175">
                        <c:v>176</c:v>
                      </c:pt>
                      <c:pt idx="176">
                        <c:v>177</c:v>
                      </c:pt>
                      <c:pt idx="177">
                        <c:v>178</c:v>
                      </c:pt>
                      <c:pt idx="178">
                        <c:v>179</c:v>
                      </c:pt>
                      <c:pt idx="179">
                        <c:v>180</c:v>
                      </c:pt>
                      <c:pt idx="180">
                        <c:v>181</c:v>
                      </c:pt>
                      <c:pt idx="181">
                        <c:v>182</c:v>
                      </c:pt>
                      <c:pt idx="182">
                        <c:v>183</c:v>
                      </c:pt>
                      <c:pt idx="183">
                        <c:v>184</c:v>
                      </c:pt>
                      <c:pt idx="184">
                        <c:v>185</c:v>
                      </c:pt>
                      <c:pt idx="185">
                        <c:v>186</c:v>
                      </c:pt>
                      <c:pt idx="186">
                        <c:v>187</c:v>
                      </c:pt>
                      <c:pt idx="187">
                        <c:v>188</c:v>
                      </c:pt>
                      <c:pt idx="188">
                        <c:v>189</c:v>
                      </c:pt>
                      <c:pt idx="189">
                        <c:v>190</c:v>
                      </c:pt>
                      <c:pt idx="190">
                        <c:v>191</c:v>
                      </c:pt>
                      <c:pt idx="191">
                        <c:v>192</c:v>
                      </c:pt>
                      <c:pt idx="192">
                        <c:v>193</c:v>
                      </c:pt>
                      <c:pt idx="193">
                        <c:v>194</c:v>
                      </c:pt>
                      <c:pt idx="194">
                        <c:v>195</c:v>
                      </c:pt>
                      <c:pt idx="195">
                        <c:v>196</c:v>
                      </c:pt>
                      <c:pt idx="196">
                        <c:v>197</c:v>
                      </c:pt>
                      <c:pt idx="197">
                        <c:v>198</c:v>
                      </c:pt>
                      <c:pt idx="198">
                        <c:v>199</c:v>
                      </c:pt>
                      <c:pt idx="199">
                        <c:v>200</c:v>
                      </c:pt>
                      <c:pt idx="200">
                        <c:v>201</c:v>
                      </c:pt>
                      <c:pt idx="201">
                        <c:v>202</c:v>
                      </c:pt>
                      <c:pt idx="202">
                        <c:v>203</c:v>
                      </c:pt>
                      <c:pt idx="203">
                        <c:v>204</c:v>
                      </c:pt>
                      <c:pt idx="204">
                        <c:v>205</c:v>
                      </c:pt>
                      <c:pt idx="205">
                        <c:v>206</c:v>
                      </c:pt>
                      <c:pt idx="206">
                        <c:v>207</c:v>
                      </c:pt>
                      <c:pt idx="207">
                        <c:v>208</c:v>
                      </c:pt>
                      <c:pt idx="208">
                        <c:v>209</c:v>
                      </c:pt>
                      <c:pt idx="209">
                        <c:v>210</c:v>
                      </c:pt>
                      <c:pt idx="210">
                        <c:v>211</c:v>
                      </c:pt>
                      <c:pt idx="211">
                        <c:v>212</c:v>
                      </c:pt>
                      <c:pt idx="212">
                        <c:v>213</c:v>
                      </c:pt>
                      <c:pt idx="213">
                        <c:v>214</c:v>
                      </c:pt>
                      <c:pt idx="214">
                        <c:v>215</c:v>
                      </c:pt>
                      <c:pt idx="215">
                        <c:v>216</c:v>
                      </c:pt>
                      <c:pt idx="216">
                        <c:v>217</c:v>
                      </c:pt>
                      <c:pt idx="217">
                        <c:v>218</c:v>
                      </c:pt>
                      <c:pt idx="218">
                        <c:v>219</c:v>
                      </c:pt>
                      <c:pt idx="219">
                        <c:v>220</c:v>
                      </c:pt>
                      <c:pt idx="220">
                        <c:v>221</c:v>
                      </c:pt>
                      <c:pt idx="221">
                        <c:v>222</c:v>
                      </c:pt>
                      <c:pt idx="222">
                        <c:v>223</c:v>
                      </c:pt>
                      <c:pt idx="223">
                        <c:v>224</c:v>
                      </c:pt>
                      <c:pt idx="224">
                        <c:v>225</c:v>
                      </c:pt>
                      <c:pt idx="225">
                        <c:v>226</c:v>
                      </c:pt>
                      <c:pt idx="226">
                        <c:v>227</c:v>
                      </c:pt>
                      <c:pt idx="227">
                        <c:v>228</c:v>
                      </c:pt>
                      <c:pt idx="228">
                        <c:v>229</c:v>
                      </c:pt>
                      <c:pt idx="229">
                        <c:v>230</c:v>
                      </c:pt>
                      <c:pt idx="230">
                        <c:v>231</c:v>
                      </c:pt>
                      <c:pt idx="231">
                        <c:v>232</c:v>
                      </c:pt>
                      <c:pt idx="232">
                        <c:v>233</c:v>
                      </c:pt>
                      <c:pt idx="233">
                        <c:v>234</c:v>
                      </c:pt>
                      <c:pt idx="234">
                        <c:v>235</c:v>
                      </c:pt>
                      <c:pt idx="235">
                        <c:v>236</c:v>
                      </c:pt>
                      <c:pt idx="236">
                        <c:v>237</c:v>
                      </c:pt>
                      <c:pt idx="237">
                        <c:v>238</c:v>
                      </c:pt>
                      <c:pt idx="238">
                        <c:v>239</c:v>
                      </c:pt>
                      <c:pt idx="239">
                        <c:v>240</c:v>
                      </c:pt>
                      <c:pt idx="240">
                        <c:v>241</c:v>
                      </c:pt>
                      <c:pt idx="241">
                        <c:v>242</c:v>
                      </c:pt>
                      <c:pt idx="242">
                        <c:v>243</c:v>
                      </c:pt>
                      <c:pt idx="243">
                        <c:v>244</c:v>
                      </c:pt>
                      <c:pt idx="244">
                        <c:v>245</c:v>
                      </c:pt>
                      <c:pt idx="245">
                        <c:v>246</c:v>
                      </c:pt>
                      <c:pt idx="246">
                        <c:v>247</c:v>
                      </c:pt>
                      <c:pt idx="247">
                        <c:v>248</c:v>
                      </c:pt>
                      <c:pt idx="248">
                        <c:v>249</c:v>
                      </c:pt>
                      <c:pt idx="249">
                        <c:v>250</c:v>
                      </c:pt>
                      <c:pt idx="250">
                        <c:v>251</c:v>
                      </c:pt>
                      <c:pt idx="251">
                        <c:v>252</c:v>
                      </c:pt>
                      <c:pt idx="252">
                        <c:v>253</c:v>
                      </c:pt>
                      <c:pt idx="253">
                        <c:v>254</c:v>
                      </c:pt>
                      <c:pt idx="254">
                        <c:v>255</c:v>
                      </c:pt>
                      <c:pt idx="255">
                        <c:v>256</c:v>
                      </c:pt>
                      <c:pt idx="256">
                        <c:v>257</c:v>
                      </c:pt>
                      <c:pt idx="257">
                        <c:v>258</c:v>
                      </c:pt>
                      <c:pt idx="258">
                        <c:v>259</c:v>
                      </c:pt>
                      <c:pt idx="259">
                        <c:v>260</c:v>
                      </c:pt>
                      <c:pt idx="260">
                        <c:v>261</c:v>
                      </c:pt>
                      <c:pt idx="261">
                        <c:v>262</c:v>
                      </c:pt>
                      <c:pt idx="262">
                        <c:v>263</c:v>
                      </c:pt>
                      <c:pt idx="263">
                        <c:v>264</c:v>
                      </c:pt>
                      <c:pt idx="264">
                        <c:v>265</c:v>
                      </c:pt>
                      <c:pt idx="265">
                        <c:v>266</c:v>
                      </c:pt>
                      <c:pt idx="266">
                        <c:v>267</c:v>
                      </c:pt>
                      <c:pt idx="267">
                        <c:v>268</c:v>
                      </c:pt>
                      <c:pt idx="268">
                        <c:v>269</c:v>
                      </c:pt>
                      <c:pt idx="269">
                        <c:v>270</c:v>
                      </c:pt>
                      <c:pt idx="270">
                        <c:v>271</c:v>
                      </c:pt>
                      <c:pt idx="271">
                        <c:v>272</c:v>
                      </c:pt>
                      <c:pt idx="272">
                        <c:v>273</c:v>
                      </c:pt>
                      <c:pt idx="273">
                        <c:v>274</c:v>
                      </c:pt>
                      <c:pt idx="274">
                        <c:v>275</c:v>
                      </c:pt>
                      <c:pt idx="275">
                        <c:v>276</c:v>
                      </c:pt>
                      <c:pt idx="276">
                        <c:v>277</c:v>
                      </c:pt>
                      <c:pt idx="277">
                        <c:v>278</c:v>
                      </c:pt>
                      <c:pt idx="278">
                        <c:v>279</c:v>
                      </c:pt>
                      <c:pt idx="279">
                        <c:v>280</c:v>
                      </c:pt>
                      <c:pt idx="280">
                        <c:v>281</c:v>
                      </c:pt>
                      <c:pt idx="281">
                        <c:v>282</c:v>
                      </c:pt>
                      <c:pt idx="282">
                        <c:v>283</c:v>
                      </c:pt>
                      <c:pt idx="283">
                        <c:v>284</c:v>
                      </c:pt>
                      <c:pt idx="284">
                        <c:v>285</c:v>
                      </c:pt>
                      <c:pt idx="285">
                        <c:v>286</c:v>
                      </c:pt>
                      <c:pt idx="286">
                        <c:v>287</c:v>
                      </c:pt>
                      <c:pt idx="287">
                        <c:v>288</c:v>
                      </c:pt>
                      <c:pt idx="288">
                        <c:v>289</c:v>
                      </c:pt>
                      <c:pt idx="289">
                        <c:v>290</c:v>
                      </c:pt>
                      <c:pt idx="290">
                        <c:v>291</c:v>
                      </c:pt>
                      <c:pt idx="291">
                        <c:v>292</c:v>
                      </c:pt>
                      <c:pt idx="292">
                        <c:v>293</c:v>
                      </c:pt>
                      <c:pt idx="293">
                        <c:v>294</c:v>
                      </c:pt>
                      <c:pt idx="294">
                        <c:v>295</c:v>
                      </c:pt>
                      <c:pt idx="295">
                        <c:v>296</c:v>
                      </c:pt>
                      <c:pt idx="296">
                        <c:v>297</c:v>
                      </c:pt>
                      <c:pt idx="297">
                        <c:v>298</c:v>
                      </c:pt>
                      <c:pt idx="298">
                        <c:v>299</c:v>
                      </c:pt>
                      <c:pt idx="299">
                        <c:v>300</c:v>
                      </c:pt>
                      <c:pt idx="300">
                        <c:v>301</c:v>
                      </c:pt>
                      <c:pt idx="301">
                        <c:v>302</c:v>
                      </c:pt>
                      <c:pt idx="302">
                        <c:v>303</c:v>
                      </c:pt>
                      <c:pt idx="303">
                        <c:v>304</c:v>
                      </c:pt>
                      <c:pt idx="304">
                        <c:v>305</c:v>
                      </c:pt>
                      <c:pt idx="305">
                        <c:v>306</c:v>
                      </c:pt>
                      <c:pt idx="306">
                        <c:v>307</c:v>
                      </c:pt>
                      <c:pt idx="307">
                        <c:v>308</c:v>
                      </c:pt>
                      <c:pt idx="308">
                        <c:v>309</c:v>
                      </c:pt>
                      <c:pt idx="309">
                        <c:v>310</c:v>
                      </c:pt>
                      <c:pt idx="310">
                        <c:v>311</c:v>
                      </c:pt>
                      <c:pt idx="311">
                        <c:v>312</c:v>
                      </c:pt>
                      <c:pt idx="312">
                        <c:v>313</c:v>
                      </c:pt>
                      <c:pt idx="313">
                        <c:v>314</c:v>
                      </c:pt>
                      <c:pt idx="314">
                        <c:v>315</c:v>
                      </c:pt>
                      <c:pt idx="315">
                        <c:v>316</c:v>
                      </c:pt>
                      <c:pt idx="316">
                        <c:v>317</c:v>
                      </c:pt>
                      <c:pt idx="317">
                        <c:v>318</c:v>
                      </c:pt>
                      <c:pt idx="318">
                        <c:v>319</c:v>
                      </c:pt>
                      <c:pt idx="319">
                        <c:v>320</c:v>
                      </c:pt>
                      <c:pt idx="320">
                        <c:v>321</c:v>
                      </c:pt>
                      <c:pt idx="321">
                        <c:v>322</c:v>
                      </c:pt>
                      <c:pt idx="322">
                        <c:v>323</c:v>
                      </c:pt>
                      <c:pt idx="323">
                        <c:v>324</c:v>
                      </c:pt>
                      <c:pt idx="324">
                        <c:v>325</c:v>
                      </c:pt>
                      <c:pt idx="325">
                        <c:v>326</c:v>
                      </c:pt>
                      <c:pt idx="326">
                        <c:v>327</c:v>
                      </c:pt>
                      <c:pt idx="327">
                        <c:v>328</c:v>
                      </c:pt>
                      <c:pt idx="328">
                        <c:v>329</c:v>
                      </c:pt>
                      <c:pt idx="329">
                        <c:v>330</c:v>
                      </c:pt>
                      <c:pt idx="330">
                        <c:v>331</c:v>
                      </c:pt>
                      <c:pt idx="331">
                        <c:v>332</c:v>
                      </c:pt>
                      <c:pt idx="332">
                        <c:v>333</c:v>
                      </c:pt>
                      <c:pt idx="333">
                        <c:v>334</c:v>
                      </c:pt>
                      <c:pt idx="334">
                        <c:v>335</c:v>
                      </c:pt>
                      <c:pt idx="335">
                        <c:v>336</c:v>
                      </c:pt>
                      <c:pt idx="336">
                        <c:v>337</c:v>
                      </c:pt>
                      <c:pt idx="337">
                        <c:v>338</c:v>
                      </c:pt>
                      <c:pt idx="338">
                        <c:v>339</c:v>
                      </c:pt>
                      <c:pt idx="339">
                        <c:v>340</c:v>
                      </c:pt>
                      <c:pt idx="340">
                        <c:v>341</c:v>
                      </c:pt>
                      <c:pt idx="341">
                        <c:v>342</c:v>
                      </c:pt>
                      <c:pt idx="342">
                        <c:v>343</c:v>
                      </c:pt>
                      <c:pt idx="343">
                        <c:v>344</c:v>
                      </c:pt>
                      <c:pt idx="344">
                        <c:v>345</c:v>
                      </c:pt>
                      <c:pt idx="345">
                        <c:v>346</c:v>
                      </c:pt>
                      <c:pt idx="346">
                        <c:v>347</c:v>
                      </c:pt>
                      <c:pt idx="347">
                        <c:v>348</c:v>
                      </c:pt>
                      <c:pt idx="348">
                        <c:v>349</c:v>
                      </c:pt>
                      <c:pt idx="349">
                        <c:v>350</c:v>
                      </c:pt>
                      <c:pt idx="350">
                        <c:v>351</c:v>
                      </c:pt>
                      <c:pt idx="351">
                        <c:v>352</c:v>
                      </c:pt>
                      <c:pt idx="352">
                        <c:v>353</c:v>
                      </c:pt>
                      <c:pt idx="353">
                        <c:v>354</c:v>
                      </c:pt>
                      <c:pt idx="354">
                        <c:v>355</c:v>
                      </c:pt>
                      <c:pt idx="355">
                        <c:v>356</c:v>
                      </c:pt>
                      <c:pt idx="356">
                        <c:v>357</c:v>
                      </c:pt>
                      <c:pt idx="357">
                        <c:v>358</c:v>
                      </c:pt>
                      <c:pt idx="358">
                        <c:v>359</c:v>
                      </c:pt>
                      <c:pt idx="359">
                        <c:v>360</c:v>
                      </c:pt>
                      <c:pt idx="360">
                        <c:v>361</c:v>
                      </c:pt>
                      <c:pt idx="361">
                        <c:v>362</c:v>
                      </c:pt>
                      <c:pt idx="362">
                        <c:v>363</c:v>
                      </c:pt>
                      <c:pt idx="363">
                        <c:v>364</c:v>
                      </c:pt>
                      <c:pt idx="364">
                        <c:v>365</c:v>
                      </c:pt>
                      <c:pt idx="365">
                        <c:v>366</c:v>
                      </c:pt>
                      <c:pt idx="366">
                        <c:v>367</c:v>
                      </c:pt>
                      <c:pt idx="367">
                        <c:v>368</c:v>
                      </c:pt>
                      <c:pt idx="368">
                        <c:v>369</c:v>
                      </c:pt>
                      <c:pt idx="369">
                        <c:v>370</c:v>
                      </c:pt>
                      <c:pt idx="370">
                        <c:v>371</c:v>
                      </c:pt>
                      <c:pt idx="371">
                        <c:v>372</c:v>
                      </c:pt>
                      <c:pt idx="372">
                        <c:v>373</c:v>
                      </c:pt>
                      <c:pt idx="373">
                        <c:v>374</c:v>
                      </c:pt>
                      <c:pt idx="374">
                        <c:v>375</c:v>
                      </c:pt>
                      <c:pt idx="375">
                        <c:v>376</c:v>
                      </c:pt>
                      <c:pt idx="376">
                        <c:v>377</c:v>
                      </c:pt>
                      <c:pt idx="377">
                        <c:v>378</c:v>
                      </c:pt>
                      <c:pt idx="378">
                        <c:v>379</c:v>
                      </c:pt>
                      <c:pt idx="379">
                        <c:v>380</c:v>
                      </c:pt>
                      <c:pt idx="380">
                        <c:v>381</c:v>
                      </c:pt>
                      <c:pt idx="381">
                        <c:v>382</c:v>
                      </c:pt>
                      <c:pt idx="382">
                        <c:v>383</c:v>
                      </c:pt>
                      <c:pt idx="383">
                        <c:v>384</c:v>
                      </c:pt>
                      <c:pt idx="384">
                        <c:v>385</c:v>
                      </c:pt>
                      <c:pt idx="385">
                        <c:v>386</c:v>
                      </c:pt>
                      <c:pt idx="386">
                        <c:v>387</c:v>
                      </c:pt>
                      <c:pt idx="387">
                        <c:v>388</c:v>
                      </c:pt>
                      <c:pt idx="388">
                        <c:v>389</c:v>
                      </c:pt>
                      <c:pt idx="389">
                        <c:v>390</c:v>
                      </c:pt>
                      <c:pt idx="390">
                        <c:v>391</c:v>
                      </c:pt>
                      <c:pt idx="391">
                        <c:v>392</c:v>
                      </c:pt>
                      <c:pt idx="392">
                        <c:v>393</c:v>
                      </c:pt>
                      <c:pt idx="393">
                        <c:v>394</c:v>
                      </c:pt>
                      <c:pt idx="394">
                        <c:v>395</c:v>
                      </c:pt>
                      <c:pt idx="395">
                        <c:v>396</c:v>
                      </c:pt>
                      <c:pt idx="396">
                        <c:v>397</c:v>
                      </c:pt>
                      <c:pt idx="397">
                        <c:v>398</c:v>
                      </c:pt>
                      <c:pt idx="398">
                        <c:v>399</c:v>
                      </c:pt>
                      <c:pt idx="399">
                        <c:v>400</c:v>
                      </c:pt>
                      <c:pt idx="400">
                        <c:v>401</c:v>
                      </c:pt>
                      <c:pt idx="401">
                        <c:v>402</c:v>
                      </c:pt>
                      <c:pt idx="402">
                        <c:v>403</c:v>
                      </c:pt>
                      <c:pt idx="403">
                        <c:v>404</c:v>
                      </c:pt>
                      <c:pt idx="404">
                        <c:v>405</c:v>
                      </c:pt>
                      <c:pt idx="405">
                        <c:v>406</c:v>
                      </c:pt>
                      <c:pt idx="406">
                        <c:v>407</c:v>
                      </c:pt>
                      <c:pt idx="407">
                        <c:v>408</c:v>
                      </c:pt>
                      <c:pt idx="408">
                        <c:v>409</c:v>
                      </c:pt>
                      <c:pt idx="409">
                        <c:v>410</c:v>
                      </c:pt>
                      <c:pt idx="410">
                        <c:v>411</c:v>
                      </c:pt>
                      <c:pt idx="411">
                        <c:v>412</c:v>
                      </c:pt>
                      <c:pt idx="412">
                        <c:v>413</c:v>
                      </c:pt>
                      <c:pt idx="413">
                        <c:v>414</c:v>
                      </c:pt>
                      <c:pt idx="414">
                        <c:v>415</c:v>
                      </c:pt>
                      <c:pt idx="415">
                        <c:v>416</c:v>
                      </c:pt>
                      <c:pt idx="416">
                        <c:v>417</c:v>
                      </c:pt>
                      <c:pt idx="417">
                        <c:v>418</c:v>
                      </c:pt>
                      <c:pt idx="418">
                        <c:v>419</c:v>
                      </c:pt>
                      <c:pt idx="419">
                        <c:v>420</c:v>
                      </c:pt>
                      <c:pt idx="420">
                        <c:v>421</c:v>
                      </c:pt>
                      <c:pt idx="421">
                        <c:v>422</c:v>
                      </c:pt>
                      <c:pt idx="422">
                        <c:v>423</c:v>
                      </c:pt>
                      <c:pt idx="423">
                        <c:v>424</c:v>
                      </c:pt>
                      <c:pt idx="424">
                        <c:v>425</c:v>
                      </c:pt>
                      <c:pt idx="425">
                        <c:v>426</c:v>
                      </c:pt>
                      <c:pt idx="426">
                        <c:v>427</c:v>
                      </c:pt>
                      <c:pt idx="427">
                        <c:v>428</c:v>
                      </c:pt>
                      <c:pt idx="428">
                        <c:v>429</c:v>
                      </c:pt>
                      <c:pt idx="429">
                        <c:v>430</c:v>
                      </c:pt>
                      <c:pt idx="430">
                        <c:v>431</c:v>
                      </c:pt>
                      <c:pt idx="431">
                        <c:v>432</c:v>
                      </c:pt>
                      <c:pt idx="432">
                        <c:v>433</c:v>
                      </c:pt>
                      <c:pt idx="433">
                        <c:v>434</c:v>
                      </c:pt>
                      <c:pt idx="434">
                        <c:v>435</c:v>
                      </c:pt>
                      <c:pt idx="435">
                        <c:v>436</c:v>
                      </c:pt>
                      <c:pt idx="436">
                        <c:v>437</c:v>
                      </c:pt>
                      <c:pt idx="437">
                        <c:v>438</c:v>
                      </c:pt>
                      <c:pt idx="438">
                        <c:v>439</c:v>
                      </c:pt>
                      <c:pt idx="439">
                        <c:v>440</c:v>
                      </c:pt>
                      <c:pt idx="440">
                        <c:v>441</c:v>
                      </c:pt>
                      <c:pt idx="441">
                        <c:v>442</c:v>
                      </c:pt>
                      <c:pt idx="442">
                        <c:v>443</c:v>
                      </c:pt>
                      <c:pt idx="443">
                        <c:v>444</c:v>
                      </c:pt>
                      <c:pt idx="444">
                        <c:v>445</c:v>
                      </c:pt>
                      <c:pt idx="445">
                        <c:v>446</c:v>
                      </c:pt>
                      <c:pt idx="446">
                        <c:v>447</c:v>
                      </c:pt>
                      <c:pt idx="447">
                        <c:v>448</c:v>
                      </c:pt>
                      <c:pt idx="448">
                        <c:v>449</c:v>
                      </c:pt>
                      <c:pt idx="449">
                        <c:v>450</c:v>
                      </c:pt>
                      <c:pt idx="450">
                        <c:v>451</c:v>
                      </c:pt>
                      <c:pt idx="451">
                        <c:v>452</c:v>
                      </c:pt>
                      <c:pt idx="452">
                        <c:v>453</c:v>
                      </c:pt>
                      <c:pt idx="453">
                        <c:v>454</c:v>
                      </c:pt>
                      <c:pt idx="454">
                        <c:v>455</c:v>
                      </c:pt>
                      <c:pt idx="455">
                        <c:v>456</c:v>
                      </c:pt>
                      <c:pt idx="456">
                        <c:v>457</c:v>
                      </c:pt>
                      <c:pt idx="457">
                        <c:v>458</c:v>
                      </c:pt>
                      <c:pt idx="458">
                        <c:v>459</c:v>
                      </c:pt>
                      <c:pt idx="459">
                        <c:v>460</c:v>
                      </c:pt>
                      <c:pt idx="460">
                        <c:v>461</c:v>
                      </c:pt>
                      <c:pt idx="461">
                        <c:v>462</c:v>
                      </c:pt>
                      <c:pt idx="462">
                        <c:v>463</c:v>
                      </c:pt>
                      <c:pt idx="463">
                        <c:v>464</c:v>
                      </c:pt>
                      <c:pt idx="464">
                        <c:v>465</c:v>
                      </c:pt>
                      <c:pt idx="465">
                        <c:v>466</c:v>
                      </c:pt>
                      <c:pt idx="466">
                        <c:v>467</c:v>
                      </c:pt>
                      <c:pt idx="467">
                        <c:v>468</c:v>
                      </c:pt>
                      <c:pt idx="468">
                        <c:v>469</c:v>
                      </c:pt>
                      <c:pt idx="469">
                        <c:v>470</c:v>
                      </c:pt>
                      <c:pt idx="470">
                        <c:v>471</c:v>
                      </c:pt>
                      <c:pt idx="471">
                        <c:v>472</c:v>
                      </c:pt>
                      <c:pt idx="472">
                        <c:v>473</c:v>
                      </c:pt>
                      <c:pt idx="473">
                        <c:v>474</c:v>
                      </c:pt>
                      <c:pt idx="474">
                        <c:v>475</c:v>
                      </c:pt>
                      <c:pt idx="475">
                        <c:v>476</c:v>
                      </c:pt>
                      <c:pt idx="476">
                        <c:v>477</c:v>
                      </c:pt>
                      <c:pt idx="477">
                        <c:v>478</c:v>
                      </c:pt>
                      <c:pt idx="478">
                        <c:v>479</c:v>
                      </c:pt>
                      <c:pt idx="479">
                        <c:v>480</c:v>
                      </c:pt>
                      <c:pt idx="480">
                        <c:v>481</c:v>
                      </c:pt>
                      <c:pt idx="481">
                        <c:v>482</c:v>
                      </c:pt>
                      <c:pt idx="482">
                        <c:v>483</c:v>
                      </c:pt>
                      <c:pt idx="483">
                        <c:v>484</c:v>
                      </c:pt>
                      <c:pt idx="484">
                        <c:v>485</c:v>
                      </c:pt>
                      <c:pt idx="485">
                        <c:v>486</c:v>
                      </c:pt>
                      <c:pt idx="486">
                        <c:v>487</c:v>
                      </c:pt>
                      <c:pt idx="487">
                        <c:v>488</c:v>
                      </c:pt>
                      <c:pt idx="488">
                        <c:v>489</c:v>
                      </c:pt>
                      <c:pt idx="489">
                        <c:v>490</c:v>
                      </c:pt>
                      <c:pt idx="490">
                        <c:v>491</c:v>
                      </c:pt>
                      <c:pt idx="491">
                        <c:v>492</c:v>
                      </c:pt>
                      <c:pt idx="492">
                        <c:v>493</c:v>
                      </c:pt>
                      <c:pt idx="493">
                        <c:v>494</c:v>
                      </c:pt>
                      <c:pt idx="494">
                        <c:v>495</c:v>
                      </c:pt>
                      <c:pt idx="495">
                        <c:v>496</c:v>
                      </c:pt>
                      <c:pt idx="496">
                        <c:v>497</c:v>
                      </c:pt>
                      <c:pt idx="497">
                        <c:v>498</c:v>
                      </c:pt>
                      <c:pt idx="498">
                        <c:v>499</c:v>
                      </c:pt>
                      <c:pt idx="499">
                        <c:v>500</c:v>
                      </c:pt>
                      <c:pt idx="500">
                        <c:v>501</c:v>
                      </c:pt>
                      <c:pt idx="501">
                        <c:v>502</c:v>
                      </c:pt>
                      <c:pt idx="502">
                        <c:v>503</c:v>
                      </c:pt>
                      <c:pt idx="503">
                        <c:v>504</c:v>
                      </c:pt>
                      <c:pt idx="504">
                        <c:v>505</c:v>
                      </c:pt>
                      <c:pt idx="505">
                        <c:v>506</c:v>
                      </c:pt>
                      <c:pt idx="506">
                        <c:v>507</c:v>
                      </c:pt>
                      <c:pt idx="507">
                        <c:v>508</c:v>
                      </c:pt>
                      <c:pt idx="508">
                        <c:v>509</c:v>
                      </c:pt>
                      <c:pt idx="509">
                        <c:v>510</c:v>
                      </c:pt>
                      <c:pt idx="510">
                        <c:v>511</c:v>
                      </c:pt>
                      <c:pt idx="511">
                        <c:v>512</c:v>
                      </c:pt>
                      <c:pt idx="512">
                        <c:v>513</c:v>
                      </c:pt>
                      <c:pt idx="513">
                        <c:v>514</c:v>
                      </c:pt>
                      <c:pt idx="514">
                        <c:v>515</c:v>
                      </c:pt>
                      <c:pt idx="515">
                        <c:v>516</c:v>
                      </c:pt>
                      <c:pt idx="516">
                        <c:v>517</c:v>
                      </c:pt>
                      <c:pt idx="517">
                        <c:v>518</c:v>
                      </c:pt>
                      <c:pt idx="518">
                        <c:v>520</c:v>
                      </c:pt>
                      <c:pt idx="519">
                        <c:v>521</c:v>
                      </c:pt>
                      <c:pt idx="520">
                        <c:v>522</c:v>
                      </c:pt>
                      <c:pt idx="521">
                        <c:v>523</c:v>
                      </c:pt>
                      <c:pt idx="522">
                        <c:v>524</c:v>
                      </c:pt>
                      <c:pt idx="523">
                        <c:v>525</c:v>
                      </c:pt>
                      <c:pt idx="524">
                        <c:v>526</c:v>
                      </c:pt>
                      <c:pt idx="525">
                        <c:v>527</c:v>
                      </c:pt>
                      <c:pt idx="526">
                        <c:v>528</c:v>
                      </c:pt>
                      <c:pt idx="527">
                        <c:v>529</c:v>
                      </c:pt>
                      <c:pt idx="528">
                        <c:v>530</c:v>
                      </c:pt>
                      <c:pt idx="529">
                        <c:v>531</c:v>
                      </c:pt>
                      <c:pt idx="530">
                        <c:v>532</c:v>
                      </c:pt>
                      <c:pt idx="531">
                        <c:v>533</c:v>
                      </c:pt>
                      <c:pt idx="532">
                        <c:v>534</c:v>
                      </c:pt>
                      <c:pt idx="533">
                        <c:v>535</c:v>
                      </c:pt>
                      <c:pt idx="534">
                        <c:v>536</c:v>
                      </c:pt>
                      <c:pt idx="535">
                        <c:v>537</c:v>
                      </c:pt>
                      <c:pt idx="536">
                        <c:v>538</c:v>
                      </c:pt>
                      <c:pt idx="537">
                        <c:v>539</c:v>
                      </c:pt>
                      <c:pt idx="538">
                        <c:v>540</c:v>
                      </c:pt>
                      <c:pt idx="539">
                        <c:v>541</c:v>
                      </c:pt>
                      <c:pt idx="540">
                        <c:v>542</c:v>
                      </c:pt>
                      <c:pt idx="541">
                        <c:v>543</c:v>
                      </c:pt>
                      <c:pt idx="542">
                        <c:v>544</c:v>
                      </c:pt>
                      <c:pt idx="543">
                        <c:v>545</c:v>
                      </c:pt>
                      <c:pt idx="544">
                        <c:v>546</c:v>
                      </c:pt>
                      <c:pt idx="545">
                        <c:v>547</c:v>
                      </c:pt>
                      <c:pt idx="546">
                        <c:v>548</c:v>
                      </c:pt>
                      <c:pt idx="547">
                        <c:v>549</c:v>
                      </c:pt>
                      <c:pt idx="548">
                        <c:v>550</c:v>
                      </c:pt>
                      <c:pt idx="549">
                        <c:v>551</c:v>
                      </c:pt>
                      <c:pt idx="550">
                        <c:v>552</c:v>
                      </c:pt>
                      <c:pt idx="551">
                        <c:v>553</c:v>
                      </c:pt>
                      <c:pt idx="552">
                        <c:v>554</c:v>
                      </c:pt>
                      <c:pt idx="553">
                        <c:v>555</c:v>
                      </c:pt>
                      <c:pt idx="554">
                        <c:v>556</c:v>
                      </c:pt>
                      <c:pt idx="555">
                        <c:v>557</c:v>
                      </c:pt>
                      <c:pt idx="556">
                        <c:v>558</c:v>
                      </c:pt>
                      <c:pt idx="557">
                        <c:v>559</c:v>
                      </c:pt>
                      <c:pt idx="558">
                        <c:v>560</c:v>
                      </c:pt>
                      <c:pt idx="559">
                        <c:v>561</c:v>
                      </c:pt>
                      <c:pt idx="560">
                        <c:v>562</c:v>
                      </c:pt>
                      <c:pt idx="561">
                        <c:v>563</c:v>
                      </c:pt>
                      <c:pt idx="562">
                        <c:v>564</c:v>
                      </c:pt>
                      <c:pt idx="563">
                        <c:v>565</c:v>
                      </c:pt>
                      <c:pt idx="564">
                        <c:v>566</c:v>
                      </c:pt>
                      <c:pt idx="565">
                        <c:v>567</c:v>
                      </c:pt>
                      <c:pt idx="566">
                        <c:v>568</c:v>
                      </c:pt>
                      <c:pt idx="567">
                        <c:v>569</c:v>
                      </c:pt>
                      <c:pt idx="568">
                        <c:v>570</c:v>
                      </c:pt>
                      <c:pt idx="569">
                        <c:v>571</c:v>
                      </c:pt>
                      <c:pt idx="570">
                        <c:v>572</c:v>
                      </c:pt>
                      <c:pt idx="571">
                        <c:v>573</c:v>
                      </c:pt>
                      <c:pt idx="572">
                        <c:v>574</c:v>
                      </c:pt>
                      <c:pt idx="573">
                        <c:v>575</c:v>
                      </c:pt>
                      <c:pt idx="574">
                        <c:v>576</c:v>
                      </c:pt>
                      <c:pt idx="575">
                        <c:v>577</c:v>
                      </c:pt>
                      <c:pt idx="576">
                        <c:v>578</c:v>
                      </c:pt>
                      <c:pt idx="577">
                        <c:v>579</c:v>
                      </c:pt>
                      <c:pt idx="578">
                        <c:v>580</c:v>
                      </c:pt>
                      <c:pt idx="579">
                        <c:v>581</c:v>
                      </c:pt>
                      <c:pt idx="580">
                        <c:v>582</c:v>
                      </c:pt>
                      <c:pt idx="581">
                        <c:v>583</c:v>
                      </c:pt>
                      <c:pt idx="582">
                        <c:v>584</c:v>
                      </c:pt>
                      <c:pt idx="583">
                        <c:v>585</c:v>
                      </c:pt>
                      <c:pt idx="584">
                        <c:v>586</c:v>
                      </c:pt>
                      <c:pt idx="585">
                        <c:v>587</c:v>
                      </c:pt>
                      <c:pt idx="586">
                        <c:v>588</c:v>
                      </c:pt>
                      <c:pt idx="587">
                        <c:v>589</c:v>
                      </c:pt>
                      <c:pt idx="588">
                        <c:v>590</c:v>
                      </c:pt>
                      <c:pt idx="589">
                        <c:v>591</c:v>
                      </c:pt>
                      <c:pt idx="590">
                        <c:v>592</c:v>
                      </c:pt>
                      <c:pt idx="591">
                        <c:v>593</c:v>
                      </c:pt>
                      <c:pt idx="592">
                        <c:v>594</c:v>
                      </c:pt>
                      <c:pt idx="593">
                        <c:v>595</c:v>
                      </c:pt>
                      <c:pt idx="594">
                        <c:v>596</c:v>
                      </c:pt>
                      <c:pt idx="595">
                        <c:v>597</c:v>
                      </c:pt>
                      <c:pt idx="596">
                        <c:v>598</c:v>
                      </c:pt>
                      <c:pt idx="597">
                        <c:v>599</c:v>
                      </c:pt>
                      <c:pt idx="598">
                        <c:v>600</c:v>
                      </c:pt>
                      <c:pt idx="599">
                        <c:v>601</c:v>
                      </c:pt>
                      <c:pt idx="600">
                        <c:v>602</c:v>
                      </c:pt>
                      <c:pt idx="601">
                        <c:v>603</c:v>
                      </c:pt>
                      <c:pt idx="602">
                        <c:v>604</c:v>
                      </c:pt>
                      <c:pt idx="603">
                        <c:v>605</c:v>
                      </c:pt>
                      <c:pt idx="604">
                        <c:v>606</c:v>
                      </c:pt>
                      <c:pt idx="605">
                        <c:v>607</c:v>
                      </c:pt>
                      <c:pt idx="606">
                        <c:v>608</c:v>
                      </c:pt>
                      <c:pt idx="607">
                        <c:v>609</c:v>
                      </c:pt>
                      <c:pt idx="608">
                        <c:v>610</c:v>
                      </c:pt>
                      <c:pt idx="609">
                        <c:v>611</c:v>
                      </c:pt>
                      <c:pt idx="610">
                        <c:v>612</c:v>
                      </c:pt>
                      <c:pt idx="611">
                        <c:v>613</c:v>
                      </c:pt>
                      <c:pt idx="612">
                        <c:v>614</c:v>
                      </c:pt>
                      <c:pt idx="613">
                        <c:v>615</c:v>
                      </c:pt>
                      <c:pt idx="614">
                        <c:v>616</c:v>
                      </c:pt>
                      <c:pt idx="615">
                        <c:v>617</c:v>
                      </c:pt>
                      <c:pt idx="616">
                        <c:v>618</c:v>
                      </c:pt>
                      <c:pt idx="617">
                        <c:v>619</c:v>
                      </c:pt>
                      <c:pt idx="618">
                        <c:v>620</c:v>
                      </c:pt>
                      <c:pt idx="619">
                        <c:v>621</c:v>
                      </c:pt>
                      <c:pt idx="620">
                        <c:v>622</c:v>
                      </c:pt>
                      <c:pt idx="621" formatCode="General">
                        <c:v>622</c:v>
                      </c:pt>
                      <c:pt idx="622" formatCode="General">
                        <c:v>623</c:v>
                      </c:pt>
                      <c:pt idx="623" formatCode="General">
                        <c:v>624</c:v>
                      </c:pt>
                      <c:pt idx="624" formatCode="General">
                        <c:v>625</c:v>
                      </c:pt>
                      <c:pt idx="625" formatCode="General">
                        <c:v>626</c:v>
                      </c:pt>
                      <c:pt idx="626" formatCode="General">
                        <c:v>627</c:v>
                      </c:pt>
                      <c:pt idx="627" formatCode="General">
                        <c:v>628</c:v>
                      </c:pt>
                      <c:pt idx="628" formatCode="General">
                        <c:v>629</c:v>
                      </c:pt>
                      <c:pt idx="629" formatCode="General">
                        <c:v>630</c:v>
                      </c:pt>
                      <c:pt idx="630" formatCode="General">
                        <c:v>631</c:v>
                      </c:pt>
                      <c:pt idx="631" formatCode="General">
                        <c:v>632</c:v>
                      </c:pt>
                      <c:pt idx="632" formatCode="General">
                        <c:v>633</c:v>
                      </c:pt>
                      <c:pt idx="633" formatCode="General">
                        <c:v>634</c:v>
                      </c:pt>
                      <c:pt idx="634" formatCode="General">
                        <c:v>635</c:v>
                      </c:pt>
                      <c:pt idx="635" formatCode="General">
                        <c:v>636</c:v>
                      </c:pt>
                      <c:pt idx="636" formatCode="General">
                        <c:v>637</c:v>
                      </c:pt>
                      <c:pt idx="637" formatCode="General">
                        <c:v>638</c:v>
                      </c:pt>
                      <c:pt idx="638" formatCode="General">
                        <c:v>639</c:v>
                      </c:pt>
                      <c:pt idx="639" formatCode="General">
                        <c:v>640</c:v>
                      </c:pt>
                      <c:pt idx="640" formatCode="General">
                        <c:v>641</c:v>
                      </c:pt>
                      <c:pt idx="641" formatCode="General">
                        <c:v>642</c:v>
                      </c:pt>
                      <c:pt idx="642" formatCode="General">
                        <c:v>643</c:v>
                      </c:pt>
                      <c:pt idx="643" formatCode="General">
                        <c:v>644</c:v>
                      </c:pt>
                      <c:pt idx="644" formatCode="General">
                        <c:v>645</c:v>
                      </c:pt>
                      <c:pt idx="645" formatCode="General">
                        <c:v>646</c:v>
                      </c:pt>
                      <c:pt idx="646" formatCode="General">
                        <c:v>647</c:v>
                      </c:pt>
                      <c:pt idx="647" formatCode="General">
                        <c:v>648</c:v>
                      </c:pt>
                      <c:pt idx="648" formatCode="General">
                        <c:v>649</c:v>
                      </c:pt>
                      <c:pt idx="649" formatCode="General">
                        <c:v>650</c:v>
                      </c:pt>
                      <c:pt idx="650" formatCode="General">
                        <c:v>651</c:v>
                      </c:pt>
                      <c:pt idx="651" formatCode="General">
                        <c:v>652</c:v>
                      </c:pt>
                      <c:pt idx="652" formatCode="General">
                        <c:v>653</c:v>
                      </c:pt>
                      <c:pt idx="653" formatCode="General">
                        <c:v>654</c:v>
                      </c:pt>
                      <c:pt idx="654" formatCode="General">
                        <c:v>655</c:v>
                      </c:pt>
                      <c:pt idx="655" formatCode="General">
                        <c:v>656</c:v>
                      </c:pt>
                      <c:pt idx="656" formatCode="General">
                        <c:v>657</c:v>
                      </c:pt>
                      <c:pt idx="657" formatCode="General">
                        <c:v>658</c:v>
                      </c:pt>
                      <c:pt idx="658" formatCode="General">
                        <c:v>659</c:v>
                      </c:pt>
                      <c:pt idx="659" formatCode="General">
                        <c:v>660</c:v>
                      </c:pt>
                      <c:pt idx="660" formatCode="General">
                        <c:v>661</c:v>
                      </c:pt>
                      <c:pt idx="661" formatCode="General">
                        <c:v>662</c:v>
                      </c:pt>
                      <c:pt idx="662" formatCode="General">
                        <c:v>663</c:v>
                      </c:pt>
                      <c:pt idx="663" formatCode="General">
                        <c:v>664</c:v>
                      </c:pt>
                      <c:pt idx="664" formatCode="General">
                        <c:v>665</c:v>
                      </c:pt>
                      <c:pt idx="665" formatCode="General">
                        <c:v>666</c:v>
                      </c:pt>
                      <c:pt idx="666" formatCode="General">
                        <c:v>667</c:v>
                      </c:pt>
                      <c:pt idx="667" formatCode="General">
                        <c:v>668</c:v>
                      </c:pt>
                      <c:pt idx="668" formatCode="General">
                        <c:v>669</c:v>
                      </c:pt>
                      <c:pt idx="669" formatCode="General">
                        <c:v>670</c:v>
                      </c:pt>
                      <c:pt idx="670" formatCode="General">
                        <c:v>671</c:v>
                      </c:pt>
                      <c:pt idx="671" formatCode="General">
                        <c:v>672</c:v>
                      </c:pt>
                      <c:pt idx="672" formatCode="General">
                        <c:v>673</c:v>
                      </c:pt>
                      <c:pt idx="673" formatCode="General">
                        <c:v>674</c:v>
                      </c:pt>
                      <c:pt idx="674" formatCode="General">
                        <c:v>675</c:v>
                      </c:pt>
                      <c:pt idx="675" formatCode="General">
                        <c:v>676</c:v>
                      </c:pt>
                      <c:pt idx="676" formatCode="General">
                        <c:v>677</c:v>
                      </c:pt>
                      <c:pt idx="677" formatCode="General">
                        <c:v>678</c:v>
                      </c:pt>
                      <c:pt idx="678" formatCode="General">
                        <c:v>679</c:v>
                      </c:pt>
                      <c:pt idx="679" formatCode="General">
                        <c:v>680</c:v>
                      </c:pt>
                      <c:pt idx="680" formatCode="General">
                        <c:v>681</c:v>
                      </c:pt>
                      <c:pt idx="681" formatCode="General">
                        <c:v>682</c:v>
                      </c:pt>
                      <c:pt idx="682" formatCode="General">
                        <c:v>683</c:v>
                      </c:pt>
                      <c:pt idx="683" formatCode="General">
                        <c:v>684</c:v>
                      </c:pt>
                      <c:pt idx="684" formatCode="General">
                        <c:v>685</c:v>
                      </c:pt>
                      <c:pt idx="685" formatCode="General">
                        <c:v>686</c:v>
                      </c:pt>
                      <c:pt idx="686" formatCode="General">
                        <c:v>687</c:v>
                      </c:pt>
                      <c:pt idx="687" formatCode="General">
                        <c:v>688</c:v>
                      </c:pt>
                      <c:pt idx="688" formatCode="General">
                        <c:v>689</c:v>
                      </c:pt>
                      <c:pt idx="689" formatCode="General">
                        <c:v>690</c:v>
                      </c:pt>
                      <c:pt idx="690" formatCode="General">
                        <c:v>691</c:v>
                      </c:pt>
                      <c:pt idx="691" formatCode="General">
                        <c:v>692</c:v>
                      </c:pt>
                      <c:pt idx="692" formatCode="General">
                        <c:v>693</c:v>
                      </c:pt>
                      <c:pt idx="693" formatCode="General">
                        <c:v>694</c:v>
                      </c:pt>
                      <c:pt idx="694" formatCode="General">
                        <c:v>695</c:v>
                      </c:pt>
                      <c:pt idx="695" formatCode="General">
                        <c:v>696</c:v>
                      </c:pt>
                      <c:pt idx="696" formatCode="General">
                        <c:v>697</c:v>
                      </c:pt>
                      <c:pt idx="697" formatCode="General">
                        <c:v>698</c:v>
                      </c:pt>
                      <c:pt idx="698" formatCode="General">
                        <c:v>699</c:v>
                      </c:pt>
                      <c:pt idx="699" formatCode="General">
                        <c:v>700</c:v>
                      </c:pt>
                      <c:pt idx="700" formatCode="General">
                        <c:v>701</c:v>
                      </c:pt>
                      <c:pt idx="701" formatCode="General">
                        <c:v>702</c:v>
                      </c:pt>
                      <c:pt idx="702" formatCode="General">
                        <c:v>703</c:v>
                      </c:pt>
                      <c:pt idx="703" formatCode="General">
                        <c:v>704</c:v>
                      </c:pt>
                      <c:pt idx="704" formatCode="General">
                        <c:v>705</c:v>
                      </c:pt>
                      <c:pt idx="705" formatCode="General">
                        <c:v>706</c:v>
                      </c:pt>
                      <c:pt idx="706" formatCode="General">
                        <c:v>707</c:v>
                      </c:pt>
                      <c:pt idx="707" formatCode="General">
                        <c:v>708</c:v>
                      </c:pt>
                      <c:pt idx="708" formatCode="General">
                        <c:v>709</c:v>
                      </c:pt>
                      <c:pt idx="709" formatCode="General">
                        <c:v>710</c:v>
                      </c:pt>
                      <c:pt idx="710" formatCode="General">
                        <c:v>711</c:v>
                      </c:pt>
                      <c:pt idx="711" formatCode="General">
                        <c:v>712</c:v>
                      </c:pt>
                      <c:pt idx="712" formatCode="General">
                        <c:v>713</c:v>
                      </c:pt>
                      <c:pt idx="713" formatCode="General">
                        <c:v>714</c:v>
                      </c:pt>
                      <c:pt idx="714" formatCode="General">
                        <c:v>715</c:v>
                      </c:pt>
                      <c:pt idx="715" formatCode="General">
                        <c:v>716</c:v>
                      </c:pt>
                      <c:pt idx="716" formatCode="General">
                        <c:v>717</c:v>
                      </c:pt>
                      <c:pt idx="717" formatCode="General">
                        <c:v>718</c:v>
                      </c:pt>
                      <c:pt idx="718" formatCode="General">
                        <c:v>719</c:v>
                      </c:pt>
                      <c:pt idx="719" formatCode="General">
                        <c:v>720</c:v>
                      </c:pt>
                      <c:pt idx="720" formatCode="General">
                        <c:v>721</c:v>
                      </c:pt>
                      <c:pt idx="721" formatCode="General">
                        <c:v>722</c:v>
                      </c:pt>
                      <c:pt idx="722" formatCode="General">
                        <c:v>723</c:v>
                      </c:pt>
                      <c:pt idx="723" formatCode="General">
                        <c:v>724</c:v>
                      </c:pt>
                      <c:pt idx="724" formatCode="General">
                        <c:v>725</c:v>
                      </c:pt>
                      <c:pt idx="725" formatCode="General">
                        <c:v>726</c:v>
                      </c:pt>
                      <c:pt idx="726" formatCode="General">
                        <c:v>727</c:v>
                      </c:pt>
                      <c:pt idx="727" formatCode="General">
                        <c:v>728</c:v>
                      </c:pt>
                      <c:pt idx="728" formatCode="General">
                        <c:v>729</c:v>
                      </c:pt>
                      <c:pt idx="729" formatCode="General">
                        <c:v>730</c:v>
                      </c:pt>
                      <c:pt idx="730" formatCode="General">
                        <c:v>731</c:v>
                      </c:pt>
                      <c:pt idx="731" formatCode="General">
                        <c:v>732</c:v>
                      </c:pt>
                      <c:pt idx="732" formatCode="General">
                        <c:v>733</c:v>
                      </c:pt>
                      <c:pt idx="733" formatCode="General">
                        <c:v>734</c:v>
                      </c:pt>
                      <c:pt idx="734" formatCode="General">
                        <c:v>735</c:v>
                      </c:pt>
                      <c:pt idx="735" formatCode="General">
                        <c:v>736</c:v>
                      </c:pt>
                      <c:pt idx="736" formatCode="General">
                        <c:v>737</c:v>
                      </c:pt>
                      <c:pt idx="737" formatCode="General">
                        <c:v>738</c:v>
                      </c:pt>
                      <c:pt idx="738" formatCode="General">
                        <c:v>739</c:v>
                      </c:pt>
                      <c:pt idx="739" formatCode="General">
                        <c:v>740</c:v>
                      </c:pt>
                      <c:pt idx="740" formatCode="General">
                        <c:v>741</c:v>
                      </c:pt>
                      <c:pt idx="741" formatCode="General">
                        <c:v>742</c:v>
                      </c:pt>
                      <c:pt idx="742" formatCode="General">
                        <c:v>743</c:v>
                      </c:pt>
                      <c:pt idx="743" formatCode="General">
                        <c:v>744</c:v>
                      </c:pt>
                      <c:pt idx="744" formatCode="General">
                        <c:v>745</c:v>
                      </c:pt>
                      <c:pt idx="745" formatCode="General">
                        <c:v>746</c:v>
                      </c:pt>
                      <c:pt idx="746" formatCode="General">
                        <c:v>747</c:v>
                      </c:pt>
                      <c:pt idx="747" formatCode="General">
                        <c:v>748</c:v>
                      </c:pt>
                      <c:pt idx="748" formatCode="General">
                        <c:v>749</c:v>
                      </c:pt>
                      <c:pt idx="749" formatCode="General">
                        <c:v>750</c:v>
                      </c:pt>
                      <c:pt idx="750" formatCode="General">
                        <c:v>751</c:v>
                      </c:pt>
                      <c:pt idx="751" formatCode="General">
                        <c:v>752</c:v>
                      </c:pt>
                      <c:pt idx="752" formatCode="General">
                        <c:v>753</c:v>
                      </c:pt>
                      <c:pt idx="753" formatCode="General">
                        <c:v>754</c:v>
                      </c:pt>
                      <c:pt idx="754" formatCode="General">
                        <c:v>755</c:v>
                      </c:pt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0-BF5F-4B11-A5E8-435494E0689B}"/>
                  </c:ext>
                </c:extLst>
              </c15:ser>
            </c15:filteredBarSeries>
            <c15:filteredBarSeries>
              <c15:ser>
                <c:idx val="3"/>
                <c:order val="3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주문_리스트!$D$1</c15:sqref>
                        </c15:formulaRef>
                      </c:ext>
                    </c:extLst>
                    <c:strCache>
                      <c:ptCount val="1"/>
                      <c:pt idx="0">
                        <c:v>제품코드</c:v>
                      </c:pt>
                    </c:strCache>
                  </c:strRef>
                </c:tx>
                <c:spPr>
                  <a:solidFill>
                    <a:schemeClr val="accent4"/>
                  </a:solidFill>
                  <a:ln>
                    <a:noFill/>
                  </a:ln>
                  <a:effectLst/>
                </c:spPr>
                <c:invertIfNegative val="0"/>
                <c: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주문_리스트!$D$2:$D$756</c15:sqref>
                        </c15:formulaRef>
                      </c:ext>
                    </c:extLst>
                    <c:numCache>
                      <c:formatCode>0</c:formatCode>
                      <c:ptCount val="755"/>
                      <c:pt idx="0">
                        <c:v>2821402</c:v>
                      </c:pt>
                      <c:pt idx="1">
                        <c:v>0</c:v>
                      </c:pt>
                      <c:pt idx="8">
                        <c:v>0</c:v>
                      </c:pt>
                      <c:pt idx="12">
                        <c:v>0</c:v>
                      </c:pt>
                      <c:pt idx="14">
                        <c:v>2821402</c:v>
                      </c:pt>
                      <c:pt idx="22">
                        <c:v>0</c:v>
                      </c:pt>
                      <c:pt idx="28">
                        <c:v>0</c:v>
                      </c:pt>
                      <c:pt idx="29">
                        <c:v>0</c:v>
                      </c:pt>
                      <c:pt idx="34">
                        <c:v>0</c:v>
                      </c:pt>
                      <c:pt idx="36">
                        <c:v>0</c:v>
                      </c:pt>
                      <c:pt idx="37">
                        <c:v>0</c:v>
                      </c:pt>
                      <c:pt idx="47">
                        <c:v>0</c:v>
                      </c:pt>
                      <c:pt idx="49">
                        <c:v>0</c:v>
                      </c:pt>
                      <c:pt idx="50">
                        <c:v>0</c:v>
                      </c:pt>
                      <c:pt idx="58">
                        <c:v>0</c:v>
                      </c:pt>
                      <c:pt idx="59">
                        <c:v>0</c:v>
                      </c:pt>
                      <c:pt idx="65">
                        <c:v>0</c:v>
                      </c:pt>
                      <c:pt idx="68">
                        <c:v>0</c:v>
                      </c:pt>
                      <c:pt idx="70">
                        <c:v>0</c:v>
                      </c:pt>
                      <c:pt idx="72">
                        <c:v>0</c:v>
                      </c:pt>
                      <c:pt idx="74">
                        <c:v>0</c:v>
                      </c:pt>
                      <c:pt idx="79">
                        <c:v>0</c:v>
                      </c:pt>
                      <c:pt idx="80">
                        <c:v>0</c:v>
                      </c:pt>
                      <c:pt idx="82">
                        <c:v>0</c:v>
                      </c:pt>
                      <c:pt idx="85">
                        <c:v>0</c:v>
                      </c:pt>
                      <c:pt idx="88">
                        <c:v>0</c:v>
                      </c:pt>
                      <c:pt idx="89">
                        <c:v>0</c:v>
                      </c:pt>
                      <c:pt idx="90">
                        <c:v>0</c:v>
                      </c:pt>
                      <c:pt idx="92">
                        <c:v>0</c:v>
                      </c:pt>
                      <c:pt idx="98">
                        <c:v>0</c:v>
                      </c:pt>
                      <c:pt idx="99">
                        <c:v>0</c:v>
                      </c:pt>
                      <c:pt idx="101">
                        <c:v>415054509</c:v>
                      </c:pt>
                      <c:pt idx="104">
                        <c:v>0</c:v>
                      </c:pt>
                      <c:pt idx="106">
                        <c:v>0</c:v>
                      </c:pt>
                      <c:pt idx="110">
                        <c:v>0</c:v>
                      </c:pt>
                      <c:pt idx="113">
                        <c:v>0</c:v>
                      </c:pt>
                      <c:pt idx="114">
                        <c:v>2821402</c:v>
                      </c:pt>
                      <c:pt idx="119">
                        <c:v>415072909</c:v>
                      </c:pt>
                      <c:pt idx="120">
                        <c:v>0</c:v>
                      </c:pt>
                      <c:pt idx="121">
                        <c:v>415072909</c:v>
                      </c:pt>
                      <c:pt idx="122">
                        <c:v>0</c:v>
                      </c:pt>
                      <c:pt idx="125">
                        <c:v>0</c:v>
                      </c:pt>
                      <c:pt idx="128">
                        <c:v>0</c:v>
                      </c:pt>
                      <c:pt idx="129">
                        <c:v>0</c:v>
                      </c:pt>
                      <c:pt idx="145">
                        <c:v>2800802</c:v>
                      </c:pt>
                      <c:pt idx="146">
                        <c:v>0</c:v>
                      </c:pt>
                      <c:pt idx="147">
                        <c:v>7252703114</c:v>
                      </c:pt>
                      <c:pt idx="148">
                        <c:v>0</c:v>
                      </c:pt>
                      <c:pt idx="149">
                        <c:v>0</c:v>
                      </c:pt>
                      <c:pt idx="152">
                        <c:v>0</c:v>
                      </c:pt>
                      <c:pt idx="155">
                        <c:v>0</c:v>
                      </c:pt>
                      <c:pt idx="156">
                        <c:v>50229</c:v>
                      </c:pt>
                      <c:pt idx="157">
                        <c:v>415090409</c:v>
                      </c:pt>
                      <c:pt idx="158">
                        <c:v>0</c:v>
                      </c:pt>
                      <c:pt idx="160">
                        <c:v>0</c:v>
                      </c:pt>
                      <c:pt idx="161">
                        <c:v>0</c:v>
                      </c:pt>
                      <c:pt idx="162">
                        <c:v>0</c:v>
                      </c:pt>
                      <c:pt idx="163">
                        <c:v>415090409</c:v>
                      </c:pt>
                      <c:pt idx="164">
                        <c:v>0</c:v>
                      </c:pt>
                      <c:pt idx="166">
                        <c:v>927156</c:v>
                      </c:pt>
                      <c:pt idx="167">
                        <c:v>0</c:v>
                      </c:pt>
                      <c:pt idx="168">
                        <c:v>0</c:v>
                      </c:pt>
                      <c:pt idx="169">
                        <c:v>2800802</c:v>
                      </c:pt>
                      <c:pt idx="170">
                        <c:v>0</c:v>
                      </c:pt>
                      <c:pt idx="171">
                        <c:v>0</c:v>
                      </c:pt>
                      <c:pt idx="172">
                        <c:v>0</c:v>
                      </c:pt>
                      <c:pt idx="174">
                        <c:v>0</c:v>
                      </c:pt>
                      <c:pt idx="175">
                        <c:v>0</c:v>
                      </c:pt>
                      <c:pt idx="176">
                        <c:v>0</c:v>
                      </c:pt>
                      <c:pt idx="179">
                        <c:v>0</c:v>
                      </c:pt>
                      <c:pt idx="182">
                        <c:v>0</c:v>
                      </c:pt>
                      <c:pt idx="184">
                        <c:v>0</c:v>
                      </c:pt>
                      <c:pt idx="185">
                        <c:v>0</c:v>
                      </c:pt>
                      <c:pt idx="186">
                        <c:v>2800802</c:v>
                      </c:pt>
                      <c:pt idx="187">
                        <c:v>0</c:v>
                      </c:pt>
                      <c:pt idx="188">
                        <c:v>0</c:v>
                      </c:pt>
                      <c:pt idx="189">
                        <c:v>0</c:v>
                      </c:pt>
                      <c:pt idx="190">
                        <c:v>2800801</c:v>
                      </c:pt>
                      <c:pt idx="191">
                        <c:v>0</c:v>
                      </c:pt>
                      <c:pt idx="192">
                        <c:v>415062109</c:v>
                      </c:pt>
                      <c:pt idx="193">
                        <c:v>50229</c:v>
                      </c:pt>
                      <c:pt idx="194">
                        <c:v>2830402</c:v>
                      </c:pt>
                      <c:pt idx="201">
                        <c:v>0</c:v>
                      </c:pt>
                      <c:pt idx="202">
                        <c:v>0</c:v>
                      </c:pt>
                      <c:pt idx="203">
                        <c:v>0</c:v>
                      </c:pt>
                      <c:pt idx="204">
                        <c:v>0</c:v>
                      </c:pt>
                      <c:pt idx="206">
                        <c:v>0</c:v>
                      </c:pt>
                      <c:pt idx="207">
                        <c:v>0</c:v>
                      </c:pt>
                      <c:pt idx="208">
                        <c:v>0</c:v>
                      </c:pt>
                      <c:pt idx="209">
                        <c:v>0</c:v>
                      </c:pt>
                      <c:pt idx="210">
                        <c:v>0</c:v>
                      </c:pt>
                      <c:pt idx="214">
                        <c:v>0</c:v>
                      </c:pt>
                      <c:pt idx="217">
                        <c:v>0</c:v>
                      </c:pt>
                      <c:pt idx="218">
                        <c:v>0</c:v>
                      </c:pt>
                      <c:pt idx="219">
                        <c:v>0</c:v>
                      </c:pt>
                      <c:pt idx="220">
                        <c:v>0</c:v>
                      </c:pt>
                      <c:pt idx="221">
                        <c:v>0</c:v>
                      </c:pt>
                      <c:pt idx="222">
                        <c:v>0</c:v>
                      </c:pt>
                      <c:pt idx="223">
                        <c:v>0</c:v>
                      </c:pt>
                      <c:pt idx="225">
                        <c:v>24152333903</c:v>
                      </c:pt>
                      <c:pt idx="226">
                        <c:v>0</c:v>
                      </c:pt>
                      <c:pt idx="227">
                        <c:v>415072909</c:v>
                      </c:pt>
                      <c:pt idx="228">
                        <c:v>0</c:v>
                      </c:pt>
                      <c:pt idx="229">
                        <c:v>0</c:v>
                      </c:pt>
                      <c:pt idx="231">
                        <c:v>0</c:v>
                      </c:pt>
                      <c:pt idx="232">
                        <c:v>0</c:v>
                      </c:pt>
                      <c:pt idx="234">
                        <c:v>2830402</c:v>
                      </c:pt>
                      <c:pt idx="237">
                        <c:v>0</c:v>
                      </c:pt>
                      <c:pt idx="238">
                        <c:v>50229</c:v>
                      </c:pt>
                      <c:pt idx="239">
                        <c:v>0</c:v>
                      </c:pt>
                      <c:pt idx="240">
                        <c:v>0</c:v>
                      </c:pt>
                      <c:pt idx="241">
                        <c:v>2800802</c:v>
                      </c:pt>
                      <c:pt idx="245">
                        <c:v>0</c:v>
                      </c:pt>
                      <c:pt idx="246">
                        <c:v>0</c:v>
                      </c:pt>
                      <c:pt idx="247">
                        <c:v>0</c:v>
                      </c:pt>
                      <c:pt idx="248">
                        <c:v>0</c:v>
                      </c:pt>
                      <c:pt idx="251">
                        <c:v>0</c:v>
                      </c:pt>
                      <c:pt idx="259">
                        <c:v>2800802</c:v>
                      </c:pt>
                      <c:pt idx="260">
                        <c:v>0</c:v>
                      </c:pt>
                      <c:pt idx="264">
                        <c:v>0</c:v>
                      </c:pt>
                      <c:pt idx="265">
                        <c:v>0</c:v>
                      </c:pt>
                      <c:pt idx="266">
                        <c:v>0</c:v>
                      </c:pt>
                      <c:pt idx="267">
                        <c:v>0</c:v>
                      </c:pt>
                      <c:pt idx="269">
                        <c:v>50229</c:v>
                      </c:pt>
                      <c:pt idx="270">
                        <c:v>0</c:v>
                      </c:pt>
                      <c:pt idx="272">
                        <c:v>0</c:v>
                      </c:pt>
                      <c:pt idx="274">
                        <c:v>0</c:v>
                      </c:pt>
                      <c:pt idx="275">
                        <c:v>0</c:v>
                      </c:pt>
                      <c:pt idx="276">
                        <c:v>0</c:v>
                      </c:pt>
                      <c:pt idx="277">
                        <c:v>0</c:v>
                      </c:pt>
                      <c:pt idx="278">
                        <c:v>0</c:v>
                      </c:pt>
                      <c:pt idx="280">
                        <c:v>0</c:v>
                      </c:pt>
                      <c:pt idx="281">
                        <c:v>24152333903</c:v>
                      </c:pt>
                      <c:pt idx="284">
                        <c:v>0</c:v>
                      </c:pt>
                      <c:pt idx="285">
                        <c:v>0</c:v>
                      </c:pt>
                      <c:pt idx="286">
                        <c:v>0</c:v>
                      </c:pt>
                      <c:pt idx="290">
                        <c:v>0</c:v>
                      </c:pt>
                      <c:pt idx="296">
                        <c:v>0</c:v>
                      </c:pt>
                      <c:pt idx="305">
                        <c:v>0</c:v>
                      </c:pt>
                      <c:pt idx="306">
                        <c:v>0</c:v>
                      </c:pt>
                      <c:pt idx="310">
                        <c:v>2800802</c:v>
                      </c:pt>
                      <c:pt idx="311">
                        <c:v>0</c:v>
                      </c:pt>
                      <c:pt idx="312">
                        <c:v>0</c:v>
                      </c:pt>
                      <c:pt idx="313">
                        <c:v>415072909</c:v>
                      </c:pt>
                      <c:pt idx="318">
                        <c:v>0</c:v>
                      </c:pt>
                      <c:pt idx="319">
                        <c:v>2800802</c:v>
                      </c:pt>
                      <c:pt idx="320">
                        <c:v>501220522</c:v>
                      </c:pt>
                      <c:pt idx="321">
                        <c:v>0</c:v>
                      </c:pt>
                      <c:pt idx="323">
                        <c:v>0</c:v>
                      </c:pt>
                      <c:pt idx="325">
                        <c:v>0</c:v>
                      </c:pt>
                      <c:pt idx="326">
                        <c:v>0</c:v>
                      </c:pt>
                      <c:pt idx="327">
                        <c:v>0</c:v>
                      </c:pt>
                      <c:pt idx="328">
                        <c:v>0</c:v>
                      </c:pt>
                      <c:pt idx="333">
                        <c:v>1068298046</c:v>
                      </c:pt>
                      <c:pt idx="334">
                        <c:v>24152333907</c:v>
                      </c:pt>
                      <c:pt idx="335">
                        <c:v>0</c:v>
                      </c:pt>
                      <c:pt idx="336">
                        <c:v>0</c:v>
                      </c:pt>
                      <c:pt idx="337">
                        <c:v>0</c:v>
                      </c:pt>
                      <c:pt idx="338">
                        <c:v>0</c:v>
                      </c:pt>
                      <c:pt idx="339">
                        <c:v>0</c:v>
                      </c:pt>
                      <c:pt idx="343">
                        <c:v>0</c:v>
                      </c:pt>
                      <c:pt idx="349">
                        <c:v>0</c:v>
                      </c:pt>
                      <c:pt idx="350">
                        <c:v>36050661</c:v>
                      </c:pt>
                      <c:pt idx="352">
                        <c:v>0</c:v>
                      </c:pt>
                      <c:pt idx="359">
                        <c:v>1068298046</c:v>
                      </c:pt>
                      <c:pt idx="360">
                        <c:v>0</c:v>
                      </c:pt>
                      <c:pt idx="361">
                        <c:v>0</c:v>
                      </c:pt>
                      <c:pt idx="365">
                        <c:v>0</c:v>
                      </c:pt>
                      <c:pt idx="370">
                        <c:v>1068298046</c:v>
                      </c:pt>
                      <c:pt idx="371">
                        <c:v>1068298046</c:v>
                      </c:pt>
                      <c:pt idx="372">
                        <c:v>24152333903</c:v>
                      </c:pt>
                      <c:pt idx="373">
                        <c:v>0</c:v>
                      </c:pt>
                      <c:pt idx="374">
                        <c:v>0</c:v>
                      </c:pt>
                      <c:pt idx="375">
                        <c:v>7252703114</c:v>
                      </c:pt>
                      <c:pt idx="376">
                        <c:v>2800802</c:v>
                      </c:pt>
                      <c:pt idx="388">
                        <c:v>0</c:v>
                      </c:pt>
                      <c:pt idx="389">
                        <c:v>2295001282</c:v>
                      </c:pt>
                      <c:pt idx="391">
                        <c:v>0</c:v>
                      </c:pt>
                      <c:pt idx="393">
                        <c:v>0</c:v>
                      </c:pt>
                      <c:pt idx="394">
                        <c:v>0</c:v>
                      </c:pt>
                      <c:pt idx="395">
                        <c:v>0</c:v>
                      </c:pt>
                      <c:pt idx="399">
                        <c:v>50229</c:v>
                      </c:pt>
                      <c:pt idx="401">
                        <c:v>0</c:v>
                      </c:pt>
                      <c:pt idx="402">
                        <c:v>0</c:v>
                      </c:pt>
                      <c:pt idx="403">
                        <c:v>0</c:v>
                      </c:pt>
                      <c:pt idx="405">
                        <c:v>0</c:v>
                      </c:pt>
                      <c:pt idx="407">
                        <c:v>50229</c:v>
                      </c:pt>
                      <c:pt idx="408">
                        <c:v>0</c:v>
                      </c:pt>
                      <c:pt idx="409">
                        <c:v>0</c:v>
                      </c:pt>
                      <c:pt idx="416">
                        <c:v>1087298388</c:v>
                      </c:pt>
                      <c:pt idx="417">
                        <c:v>0</c:v>
                      </c:pt>
                      <c:pt idx="421">
                        <c:v>0</c:v>
                      </c:pt>
                      <c:pt idx="422">
                        <c:v>0</c:v>
                      </c:pt>
                      <c:pt idx="423">
                        <c:v>0</c:v>
                      </c:pt>
                      <c:pt idx="428">
                        <c:v>0</c:v>
                      </c:pt>
                      <c:pt idx="430">
                        <c:v>0</c:v>
                      </c:pt>
                      <c:pt idx="431">
                        <c:v>0</c:v>
                      </c:pt>
                      <c:pt idx="432">
                        <c:v>0</c:v>
                      </c:pt>
                      <c:pt idx="437">
                        <c:v>0</c:v>
                      </c:pt>
                      <c:pt idx="438">
                        <c:v>0</c:v>
                      </c:pt>
                      <c:pt idx="439">
                        <c:v>0</c:v>
                      </c:pt>
                      <c:pt idx="441">
                        <c:v>0</c:v>
                      </c:pt>
                      <c:pt idx="442">
                        <c:v>0</c:v>
                      </c:pt>
                      <c:pt idx="443">
                        <c:v>0</c:v>
                      </c:pt>
                      <c:pt idx="444">
                        <c:v>0</c:v>
                      </c:pt>
                      <c:pt idx="449">
                        <c:v>7252703114</c:v>
                      </c:pt>
                      <c:pt idx="451">
                        <c:v>0</c:v>
                      </c:pt>
                      <c:pt idx="452">
                        <c:v>0</c:v>
                      </c:pt>
                      <c:pt idx="456">
                        <c:v>0</c:v>
                      </c:pt>
                      <c:pt idx="458">
                        <c:v>4150862090</c:v>
                      </c:pt>
                      <c:pt idx="460">
                        <c:v>4150862090</c:v>
                      </c:pt>
                      <c:pt idx="461">
                        <c:v>50229</c:v>
                      </c:pt>
                      <c:pt idx="463">
                        <c:v>0</c:v>
                      </c:pt>
                      <c:pt idx="467">
                        <c:v>0</c:v>
                      </c:pt>
                      <c:pt idx="474">
                        <c:v>0</c:v>
                      </c:pt>
                      <c:pt idx="475">
                        <c:v>50229</c:v>
                      </c:pt>
                      <c:pt idx="476">
                        <c:v>0</c:v>
                      </c:pt>
                      <c:pt idx="477">
                        <c:v>0</c:v>
                      </c:pt>
                      <c:pt idx="479">
                        <c:v>0</c:v>
                      </c:pt>
                      <c:pt idx="482">
                        <c:v>0</c:v>
                      </c:pt>
                      <c:pt idx="485">
                        <c:v>501220639</c:v>
                      </c:pt>
                      <c:pt idx="610">
                        <c:v>0</c:v>
                      </c:pt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3-BF5F-4B11-A5E8-435494E0689B}"/>
                  </c:ext>
                </c:extLst>
              </c15:ser>
            </c15:filteredBarSeries>
            <c15:filteredBarSeries>
              <c15:ser>
                <c:idx val="5"/>
                <c:order val="5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주문_리스트!$F$1</c15:sqref>
                        </c15:formulaRef>
                      </c:ext>
                    </c:extLst>
                    <c:strCache>
                      <c:ptCount val="1"/>
                      <c:pt idx="0">
                        <c:v>PartNo</c:v>
                      </c:pt>
                    </c:strCache>
                  </c:strRef>
                </c:tx>
                <c:spPr>
                  <a:solidFill>
                    <a:schemeClr val="accent6"/>
                  </a:solidFill>
                  <a:ln>
                    <a:noFill/>
                  </a:ln>
                  <a:effectLst/>
                </c:spPr>
                <c:invertIfNegative val="0"/>
                <c: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주문_리스트!$F$2:$F$756</c15:sqref>
                        </c15:formulaRef>
                      </c:ext>
                    </c:extLst>
                    <c:numCache>
                      <c:formatCode>0</c:formatCode>
                      <c:ptCount val="755"/>
                      <c:pt idx="0">
                        <c:v>2821402</c:v>
                      </c:pt>
                      <c:pt idx="1">
                        <c:v>0</c:v>
                      </c:pt>
                      <c:pt idx="8">
                        <c:v>0</c:v>
                      </c:pt>
                      <c:pt idx="11">
                        <c:v>602000700</c:v>
                      </c:pt>
                      <c:pt idx="14">
                        <c:v>2821402</c:v>
                      </c:pt>
                      <c:pt idx="22">
                        <c:v>0</c:v>
                      </c:pt>
                      <c:pt idx="28" formatCode="General">
                        <c:v>0</c:v>
                      </c:pt>
                      <c:pt idx="29" formatCode="General">
                        <c:v>0</c:v>
                      </c:pt>
                      <c:pt idx="34" formatCode="General">
                        <c:v>0</c:v>
                      </c:pt>
                      <c:pt idx="36" formatCode="General">
                        <c:v>0</c:v>
                      </c:pt>
                      <c:pt idx="37" formatCode="General">
                        <c:v>0</c:v>
                      </c:pt>
                      <c:pt idx="47" formatCode="General">
                        <c:v>0</c:v>
                      </c:pt>
                      <c:pt idx="49" formatCode="General">
                        <c:v>0</c:v>
                      </c:pt>
                      <c:pt idx="50" formatCode="General">
                        <c:v>0</c:v>
                      </c:pt>
                      <c:pt idx="58" formatCode="General">
                        <c:v>0</c:v>
                      </c:pt>
                      <c:pt idx="59" formatCode="General">
                        <c:v>0</c:v>
                      </c:pt>
                      <c:pt idx="65" formatCode="General">
                        <c:v>0</c:v>
                      </c:pt>
                      <c:pt idx="68" formatCode="General">
                        <c:v>0</c:v>
                      </c:pt>
                      <c:pt idx="70" formatCode="General">
                        <c:v>0</c:v>
                      </c:pt>
                      <c:pt idx="72" formatCode="General">
                        <c:v>0</c:v>
                      </c:pt>
                      <c:pt idx="74" formatCode="General">
                        <c:v>0</c:v>
                      </c:pt>
                      <c:pt idx="79" formatCode="General">
                        <c:v>0</c:v>
                      </c:pt>
                      <c:pt idx="80" formatCode="General">
                        <c:v>0</c:v>
                      </c:pt>
                      <c:pt idx="82" formatCode="General">
                        <c:v>0</c:v>
                      </c:pt>
                      <c:pt idx="85" formatCode="General">
                        <c:v>0</c:v>
                      </c:pt>
                      <c:pt idx="88" formatCode="General">
                        <c:v>0</c:v>
                      </c:pt>
                      <c:pt idx="89" formatCode="General">
                        <c:v>0</c:v>
                      </c:pt>
                      <c:pt idx="90" formatCode="General">
                        <c:v>0</c:v>
                      </c:pt>
                      <c:pt idx="92" formatCode="General">
                        <c:v>0</c:v>
                      </c:pt>
                      <c:pt idx="98" formatCode="General">
                        <c:v>0</c:v>
                      </c:pt>
                      <c:pt idx="99" formatCode="General">
                        <c:v>0</c:v>
                      </c:pt>
                      <c:pt idx="101" formatCode="General">
                        <c:v>415054509</c:v>
                      </c:pt>
                      <c:pt idx="104" formatCode="General">
                        <c:v>0</c:v>
                      </c:pt>
                      <c:pt idx="106" formatCode="General">
                        <c:v>0</c:v>
                      </c:pt>
                      <c:pt idx="110" formatCode="General">
                        <c:v>0</c:v>
                      </c:pt>
                      <c:pt idx="113" formatCode="General">
                        <c:v>0</c:v>
                      </c:pt>
                      <c:pt idx="114" formatCode="General">
                        <c:v>2821402</c:v>
                      </c:pt>
                      <c:pt idx="119" formatCode="General">
                        <c:v>415072909</c:v>
                      </c:pt>
                      <c:pt idx="120" formatCode="General">
                        <c:v>0</c:v>
                      </c:pt>
                      <c:pt idx="121" formatCode="General">
                        <c:v>415072909</c:v>
                      </c:pt>
                      <c:pt idx="122" formatCode="General">
                        <c:v>0</c:v>
                      </c:pt>
                      <c:pt idx="125" formatCode="General">
                        <c:v>0</c:v>
                      </c:pt>
                      <c:pt idx="128" formatCode="General">
                        <c:v>0</c:v>
                      </c:pt>
                      <c:pt idx="129" formatCode="General">
                        <c:v>0</c:v>
                      </c:pt>
                      <c:pt idx="145" formatCode="General">
                        <c:v>2800802</c:v>
                      </c:pt>
                      <c:pt idx="146" formatCode="General">
                        <c:v>0</c:v>
                      </c:pt>
                      <c:pt idx="147" formatCode="General">
                        <c:v>7252703114</c:v>
                      </c:pt>
                      <c:pt idx="148" formatCode="General">
                        <c:v>0</c:v>
                      </c:pt>
                      <c:pt idx="149" formatCode="General">
                        <c:v>0</c:v>
                      </c:pt>
                      <c:pt idx="152" formatCode="General">
                        <c:v>0</c:v>
                      </c:pt>
                      <c:pt idx="155" formatCode="General">
                        <c:v>0</c:v>
                      </c:pt>
                      <c:pt idx="156" formatCode="General">
                        <c:v>50229</c:v>
                      </c:pt>
                      <c:pt idx="157" formatCode="General">
                        <c:v>415090409</c:v>
                      </c:pt>
                      <c:pt idx="158" formatCode="General">
                        <c:v>0</c:v>
                      </c:pt>
                      <c:pt idx="159" formatCode="General">
                        <c:v>0</c:v>
                      </c:pt>
                      <c:pt idx="160" formatCode="General">
                        <c:v>0</c:v>
                      </c:pt>
                      <c:pt idx="161" formatCode="General">
                        <c:v>0</c:v>
                      </c:pt>
                      <c:pt idx="162" formatCode="General">
                        <c:v>0</c:v>
                      </c:pt>
                      <c:pt idx="163" formatCode="General">
                        <c:v>415090409</c:v>
                      </c:pt>
                      <c:pt idx="164" formatCode="General">
                        <c:v>0</c:v>
                      </c:pt>
                      <c:pt idx="166" formatCode="General">
                        <c:v>927156</c:v>
                      </c:pt>
                      <c:pt idx="167" formatCode="General">
                        <c:v>0</c:v>
                      </c:pt>
                      <c:pt idx="168" formatCode="General">
                        <c:v>0</c:v>
                      </c:pt>
                      <c:pt idx="169" formatCode="General">
                        <c:v>2800802</c:v>
                      </c:pt>
                      <c:pt idx="170" formatCode="General">
                        <c:v>0</c:v>
                      </c:pt>
                      <c:pt idx="171" formatCode="General">
                        <c:v>0</c:v>
                      </c:pt>
                      <c:pt idx="172" formatCode="General">
                        <c:v>0</c:v>
                      </c:pt>
                      <c:pt idx="174" formatCode="General">
                        <c:v>0</c:v>
                      </c:pt>
                      <c:pt idx="175" formatCode="General">
                        <c:v>0</c:v>
                      </c:pt>
                      <c:pt idx="176" formatCode="General">
                        <c:v>0</c:v>
                      </c:pt>
                      <c:pt idx="179" formatCode="General">
                        <c:v>0</c:v>
                      </c:pt>
                      <c:pt idx="182" formatCode="General">
                        <c:v>0</c:v>
                      </c:pt>
                      <c:pt idx="184" formatCode="General">
                        <c:v>0</c:v>
                      </c:pt>
                      <c:pt idx="185" formatCode="General">
                        <c:v>0</c:v>
                      </c:pt>
                      <c:pt idx="186" formatCode="General">
                        <c:v>2800802</c:v>
                      </c:pt>
                      <c:pt idx="187" formatCode="General">
                        <c:v>0</c:v>
                      </c:pt>
                      <c:pt idx="188" formatCode="General">
                        <c:v>0</c:v>
                      </c:pt>
                      <c:pt idx="189" formatCode="General">
                        <c:v>0</c:v>
                      </c:pt>
                      <c:pt idx="190" formatCode="General">
                        <c:v>2800801</c:v>
                      </c:pt>
                      <c:pt idx="191" formatCode="General">
                        <c:v>0</c:v>
                      </c:pt>
                      <c:pt idx="192" formatCode="General">
                        <c:v>415062109</c:v>
                      </c:pt>
                      <c:pt idx="193" formatCode="General">
                        <c:v>50229</c:v>
                      </c:pt>
                      <c:pt idx="194" formatCode="General">
                        <c:v>2830402</c:v>
                      </c:pt>
                      <c:pt idx="201" formatCode="General">
                        <c:v>0</c:v>
                      </c:pt>
                      <c:pt idx="202" formatCode="General">
                        <c:v>0</c:v>
                      </c:pt>
                      <c:pt idx="203" formatCode="General">
                        <c:v>0</c:v>
                      </c:pt>
                      <c:pt idx="204" formatCode="General">
                        <c:v>0</c:v>
                      </c:pt>
                      <c:pt idx="206" formatCode="General">
                        <c:v>0</c:v>
                      </c:pt>
                      <c:pt idx="207" formatCode="General">
                        <c:v>0</c:v>
                      </c:pt>
                      <c:pt idx="208" formatCode="General">
                        <c:v>0</c:v>
                      </c:pt>
                      <c:pt idx="209" formatCode="General">
                        <c:v>0</c:v>
                      </c:pt>
                      <c:pt idx="210" formatCode="General">
                        <c:v>0</c:v>
                      </c:pt>
                      <c:pt idx="214" formatCode="General">
                        <c:v>0</c:v>
                      </c:pt>
                      <c:pt idx="217" formatCode="General">
                        <c:v>0</c:v>
                      </c:pt>
                      <c:pt idx="218" formatCode="General">
                        <c:v>0</c:v>
                      </c:pt>
                      <c:pt idx="219" formatCode="General">
                        <c:v>0</c:v>
                      </c:pt>
                      <c:pt idx="220" formatCode="General">
                        <c:v>0</c:v>
                      </c:pt>
                      <c:pt idx="221" formatCode="General">
                        <c:v>0</c:v>
                      </c:pt>
                      <c:pt idx="222" formatCode="General">
                        <c:v>0</c:v>
                      </c:pt>
                      <c:pt idx="223" formatCode="General">
                        <c:v>0</c:v>
                      </c:pt>
                      <c:pt idx="225" formatCode="General">
                        <c:v>24152333903</c:v>
                      </c:pt>
                      <c:pt idx="226" formatCode="General">
                        <c:v>0</c:v>
                      </c:pt>
                      <c:pt idx="227" formatCode="General">
                        <c:v>415072909</c:v>
                      </c:pt>
                      <c:pt idx="228" formatCode="General">
                        <c:v>0</c:v>
                      </c:pt>
                      <c:pt idx="229" formatCode="General">
                        <c:v>0</c:v>
                      </c:pt>
                      <c:pt idx="231" formatCode="General">
                        <c:v>0</c:v>
                      </c:pt>
                      <c:pt idx="232" formatCode="General">
                        <c:v>0</c:v>
                      </c:pt>
                      <c:pt idx="234" formatCode="General">
                        <c:v>2830402</c:v>
                      </c:pt>
                      <c:pt idx="237" formatCode="General">
                        <c:v>0</c:v>
                      </c:pt>
                      <c:pt idx="238" formatCode="General">
                        <c:v>50229</c:v>
                      </c:pt>
                      <c:pt idx="239" formatCode="General">
                        <c:v>0</c:v>
                      </c:pt>
                      <c:pt idx="240" formatCode="General">
                        <c:v>0</c:v>
                      </c:pt>
                      <c:pt idx="241" formatCode="General">
                        <c:v>2800802</c:v>
                      </c:pt>
                      <c:pt idx="245" formatCode="General">
                        <c:v>0</c:v>
                      </c:pt>
                      <c:pt idx="246" formatCode="General">
                        <c:v>0</c:v>
                      </c:pt>
                      <c:pt idx="247" formatCode="General">
                        <c:v>0</c:v>
                      </c:pt>
                      <c:pt idx="248" formatCode="General">
                        <c:v>0</c:v>
                      </c:pt>
                      <c:pt idx="251" formatCode="General">
                        <c:v>0</c:v>
                      </c:pt>
                      <c:pt idx="259" formatCode="General">
                        <c:v>2800802</c:v>
                      </c:pt>
                      <c:pt idx="260" formatCode="General">
                        <c:v>0</c:v>
                      </c:pt>
                      <c:pt idx="264" formatCode="General">
                        <c:v>0</c:v>
                      </c:pt>
                      <c:pt idx="265" formatCode="General">
                        <c:v>0</c:v>
                      </c:pt>
                      <c:pt idx="266" formatCode="General">
                        <c:v>0</c:v>
                      </c:pt>
                      <c:pt idx="267" formatCode="General">
                        <c:v>0</c:v>
                      </c:pt>
                      <c:pt idx="269" formatCode="General">
                        <c:v>50229</c:v>
                      </c:pt>
                      <c:pt idx="270" formatCode="General">
                        <c:v>0</c:v>
                      </c:pt>
                      <c:pt idx="272" formatCode="General">
                        <c:v>0</c:v>
                      </c:pt>
                      <c:pt idx="274" formatCode="General">
                        <c:v>0</c:v>
                      </c:pt>
                      <c:pt idx="275" formatCode="General">
                        <c:v>0</c:v>
                      </c:pt>
                      <c:pt idx="276" formatCode="General">
                        <c:v>0</c:v>
                      </c:pt>
                      <c:pt idx="277" formatCode="General">
                        <c:v>0</c:v>
                      </c:pt>
                      <c:pt idx="278" formatCode="General">
                        <c:v>0</c:v>
                      </c:pt>
                      <c:pt idx="280" formatCode="General">
                        <c:v>0</c:v>
                      </c:pt>
                      <c:pt idx="281" formatCode="General">
                        <c:v>24152333903</c:v>
                      </c:pt>
                      <c:pt idx="284" formatCode="General">
                        <c:v>0</c:v>
                      </c:pt>
                      <c:pt idx="285" formatCode="General">
                        <c:v>0</c:v>
                      </c:pt>
                      <c:pt idx="286" formatCode="General">
                        <c:v>0</c:v>
                      </c:pt>
                      <c:pt idx="290" formatCode="General">
                        <c:v>0</c:v>
                      </c:pt>
                      <c:pt idx="296" formatCode="General">
                        <c:v>0</c:v>
                      </c:pt>
                      <c:pt idx="305" formatCode="General">
                        <c:v>0</c:v>
                      </c:pt>
                      <c:pt idx="306" formatCode="General">
                        <c:v>0</c:v>
                      </c:pt>
                      <c:pt idx="310" formatCode="General">
                        <c:v>2800802</c:v>
                      </c:pt>
                      <c:pt idx="311" formatCode="General">
                        <c:v>0</c:v>
                      </c:pt>
                      <c:pt idx="312" formatCode="General">
                        <c:v>0</c:v>
                      </c:pt>
                      <c:pt idx="313" formatCode="General">
                        <c:v>415072909</c:v>
                      </c:pt>
                      <c:pt idx="318" formatCode="General">
                        <c:v>0</c:v>
                      </c:pt>
                      <c:pt idx="319" formatCode="General">
                        <c:v>2800802</c:v>
                      </c:pt>
                      <c:pt idx="320" formatCode="General">
                        <c:v>501220522</c:v>
                      </c:pt>
                      <c:pt idx="321" formatCode="General">
                        <c:v>0</c:v>
                      </c:pt>
                      <c:pt idx="323" formatCode="General">
                        <c:v>0</c:v>
                      </c:pt>
                      <c:pt idx="325" formatCode="General">
                        <c:v>0</c:v>
                      </c:pt>
                      <c:pt idx="326" formatCode="General">
                        <c:v>0</c:v>
                      </c:pt>
                      <c:pt idx="327" formatCode="General">
                        <c:v>0</c:v>
                      </c:pt>
                      <c:pt idx="328" formatCode="General">
                        <c:v>0</c:v>
                      </c:pt>
                      <c:pt idx="333" formatCode="General">
                        <c:v>1068298046</c:v>
                      </c:pt>
                      <c:pt idx="334" formatCode="General">
                        <c:v>24152333907</c:v>
                      </c:pt>
                      <c:pt idx="335" formatCode="General">
                        <c:v>0</c:v>
                      </c:pt>
                      <c:pt idx="336" formatCode="General">
                        <c:v>0</c:v>
                      </c:pt>
                      <c:pt idx="337" formatCode="General">
                        <c:v>0</c:v>
                      </c:pt>
                      <c:pt idx="338" formatCode="General">
                        <c:v>0</c:v>
                      </c:pt>
                      <c:pt idx="339" formatCode="General">
                        <c:v>0</c:v>
                      </c:pt>
                      <c:pt idx="343" formatCode="General">
                        <c:v>0</c:v>
                      </c:pt>
                      <c:pt idx="349" formatCode="General">
                        <c:v>0</c:v>
                      </c:pt>
                      <c:pt idx="350" formatCode="General">
                        <c:v>36050661</c:v>
                      </c:pt>
                      <c:pt idx="352" formatCode="General">
                        <c:v>0</c:v>
                      </c:pt>
                      <c:pt idx="359" formatCode="General">
                        <c:v>1068298046</c:v>
                      </c:pt>
                      <c:pt idx="360" formatCode="General">
                        <c:v>0</c:v>
                      </c:pt>
                      <c:pt idx="361" formatCode="General">
                        <c:v>0</c:v>
                      </c:pt>
                      <c:pt idx="365" formatCode="General">
                        <c:v>0</c:v>
                      </c:pt>
                      <c:pt idx="370" formatCode="General">
                        <c:v>1068298046</c:v>
                      </c:pt>
                      <c:pt idx="371" formatCode="General">
                        <c:v>1068298046</c:v>
                      </c:pt>
                      <c:pt idx="372" formatCode="General">
                        <c:v>24152333903</c:v>
                      </c:pt>
                      <c:pt idx="373" formatCode="General">
                        <c:v>0</c:v>
                      </c:pt>
                      <c:pt idx="374" formatCode="General">
                        <c:v>0</c:v>
                      </c:pt>
                      <c:pt idx="375" formatCode="General">
                        <c:v>7252703114</c:v>
                      </c:pt>
                      <c:pt idx="376" formatCode="General">
                        <c:v>2800802</c:v>
                      </c:pt>
                      <c:pt idx="388" formatCode="General">
                        <c:v>0</c:v>
                      </c:pt>
                      <c:pt idx="389" formatCode="General">
                        <c:v>2295001282</c:v>
                      </c:pt>
                      <c:pt idx="391" formatCode="General">
                        <c:v>0</c:v>
                      </c:pt>
                      <c:pt idx="393" formatCode="General">
                        <c:v>0</c:v>
                      </c:pt>
                      <c:pt idx="394" formatCode="General">
                        <c:v>0</c:v>
                      </c:pt>
                      <c:pt idx="395" formatCode="General">
                        <c:v>0</c:v>
                      </c:pt>
                      <c:pt idx="399" formatCode="General">
                        <c:v>50229</c:v>
                      </c:pt>
                      <c:pt idx="401" formatCode="General">
                        <c:v>0</c:v>
                      </c:pt>
                      <c:pt idx="402" formatCode="General">
                        <c:v>0</c:v>
                      </c:pt>
                      <c:pt idx="403" formatCode="General">
                        <c:v>0</c:v>
                      </c:pt>
                      <c:pt idx="405" formatCode="General">
                        <c:v>0</c:v>
                      </c:pt>
                      <c:pt idx="407" formatCode="General">
                        <c:v>50229</c:v>
                      </c:pt>
                      <c:pt idx="408" formatCode="General">
                        <c:v>0</c:v>
                      </c:pt>
                      <c:pt idx="409" formatCode="General">
                        <c:v>0</c:v>
                      </c:pt>
                      <c:pt idx="416" formatCode="#,##0">
                        <c:v>1087298388</c:v>
                      </c:pt>
                      <c:pt idx="417" formatCode="General">
                        <c:v>0</c:v>
                      </c:pt>
                      <c:pt idx="421" formatCode="General">
                        <c:v>0</c:v>
                      </c:pt>
                      <c:pt idx="422" formatCode="General">
                        <c:v>0</c:v>
                      </c:pt>
                      <c:pt idx="423" formatCode="General">
                        <c:v>0</c:v>
                      </c:pt>
                      <c:pt idx="428" formatCode="General">
                        <c:v>0</c:v>
                      </c:pt>
                      <c:pt idx="430" formatCode="General">
                        <c:v>0</c:v>
                      </c:pt>
                      <c:pt idx="431" formatCode="General">
                        <c:v>0</c:v>
                      </c:pt>
                      <c:pt idx="432" formatCode="General">
                        <c:v>0</c:v>
                      </c:pt>
                      <c:pt idx="437" formatCode="General">
                        <c:v>0</c:v>
                      </c:pt>
                      <c:pt idx="438" formatCode="General">
                        <c:v>0</c:v>
                      </c:pt>
                      <c:pt idx="439" formatCode="General">
                        <c:v>0</c:v>
                      </c:pt>
                      <c:pt idx="441" formatCode="General">
                        <c:v>0</c:v>
                      </c:pt>
                      <c:pt idx="442" formatCode="General">
                        <c:v>0</c:v>
                      </c:pt>
                      <c:pt idx="443" formatCode="General">
                        <c:v>0</c:v>
                      </c:pt>
                      <c:pt idx="444" formatCode="General">
                        <c:v>0</c:v>
                      </c:pt>
                      <c:pt idx="449" formatCode="General">
                        <c:v>7252703114</c:v>
                      </c:pt>
                      <c:pt idx="451" formatCode="General">
                        <c:v>0</c:v>
                      </c:pt>
                      <c:pt idx="452" formatCode="General">
                        <c:v>0</c:v>
                      </c:pt>
                      <c:pt idx="456" formatCode="General">
                        <c:v>0</c:v>
                      </c:pt>
                      <c:pt idx="458" formatCode="General">
                        <c:v>4150862090</c:v>
                      </c:pt>
                      <c:pt idx="460" formatCode="General">
                        <c:v>4150862090</c:v>
                      </c:pt>
                      <c:pt idx="461" formatCode="General">
                        <c:v>50229</c:v>
                      </c:pt>
                      <c:pt idx="463" formatCode="General">
                        <c:v>0</c:v>
                      </c:pt>
                      <c:pt idx="467" formatCode="General">
                        <c:v>0</c:v>
                      </c:pt>
                      <c:pt idx="474" formatCode="General">
                        <c:v>0</c:v>
                      </c:pt>
                      <c:pt idx="475" formatCode="General">
                        <c:v>50229</c:v>
                      </c:pt>
                      <c:pt idx="476" formatCode="General">
                        <c:v>0</c:v>
                      </c:pt>
                      <c:pt idx="477" formatCode="General">
                        <c:v>0</c:v>
                      </c:pt>
                      <c:pt idx="479" formatCode="General">
                        <c:v>0</c:v>
                      </c:pt>
                      <c:pt idx="482" formatCode="General">
                        <c:v>0</c:v>
                      </c:pt>
                      <c:pt idx="485" formatCode="General">
                        <c:v>501220639</c:v>
                      </c:pt>
                      <c:pt idx="494" formatCode="General">
                        <c:v>2800801</c:v>
                      </c:pt>
                      <c:pt idx="500" formatCode="General">
                        <c:v>927769</c:v>
                      </c:pt>
                      <c:pt idx="502" formatCode="General">
                        <c:v>2800802</c:v>
                      </c:pt>
                      <c:pt idx="510" formatCode="General">
                        <c:v>0</c:v>
                      </c:pt>
                      <c:pt idx="512" formatCode="#,##0">
                        <c:v>2800802</c:v>
                      </c:pt>
                      <c:pt idx="513" formatCode="General">
                        <c:v>0</c:v>
                      </c:pt>
                      <c:pt idx="514" formatCode="General">
                        <c:v>0</c:v>
                      </c:pt>
                      <c:pt idx="515" formatCode="General">
                        <c:v>0</c:v>
                      </c:pt>
                      <c:pt idx="520" formatCode="General">
                        <c:v>0</c:v>
                      </c:pt>
                      <c:pt idx="523" formatCode="#,##0">
                        <c:v>1068298044</c:v>
                      </c:pt>
                      <c:pt idx="530" formatCode="General">
                        <c:v>0</c:v>
                      </c:pt>
                      <c:pt idx="531" formatCode="General">
                        <c:v>0</c:v>
                      </c:pt>
                      <c:pt idx="532" formatCode="General">
                        <c:v>0</c:v>
                      </c:pt>
                      <c:pt idx="533" formatCode="General">
                        <c:v>50229</c:v>
                      </c:pt>
                      <c:pt idx="535" formatCode="General">
                        <c:v>2800802</c:v>
                      </c:pt>
                      <c:pt idx="537" formatCode="General">
                        <c:v>0</c:v>
                      </c:pt>
                      <c:pt idx="539" formatCode="General">
                        <c:v>7252703114</c:v>
                      </c:pt>
                      <c:pt idx="548" formatCode="General">
                        <c:v>0</c:v>
                      </c:pt>
                      <c:pt idx="553" formatCode="General">
                        <c:v>24152333907</c:v>
                      </c:pt>
                      <c:pt idx="556" formatCode="General">
                        <c:v>0</c:v>
                      </c:pt>
                      <c:pt idx="557" formatCode="General">
                        <c:v>50229</c:v>
                      </c:pt>
                      <c:pt idx="558" formatCode="General">
                        <c:v>0</c:v>
                      </c:pt>
                      <c:pt idx="559" formatCode="General">
                        <c:v>0</c:v>
                      </c:pt>
                      <c:pt idx="560" formatCode="General">
                        <c:v>0</c:v>
                      </c:pt>
                      <c:pt idx="562" formatCode="General">
                        <c:v>2800802</c:v>
                      </c:pt>
                      <c:pt idx="564" formatCode="General">
                        <c:v>0</c:v>
                      </c:pt>
                      <c:pt idx="569" formatCode="General">
                        <c:v>0</c:v>
                      </c:pt>
                      <c:pt idx="570" formatCode="General">
                        <c:v>0</c:v>
                      </c:pt>
                      <c:pt idx="571" formatCode="General">
                        <c:v>0</c:v>
                      </c:pt>
                      <c:pt idx="572" formatCode="General">
                        <c:v>0</c:v>
                      </c:pt>
                      <c:pt idx="574" formatCode="General">
                        <c:v>0</c:v>
                      </c:pt>
                      <c:pt idx="579" formatCode="General">
                        <c:v>0</c:v>
                      </c:pt>
                      <c:pt idx="580" formatCode="General">
                        <c:v>0</c:v>
                      </c:pt>
                      <c:pt idx="583" formatCode="General">
                        <c:v>0</c:v>
                      </c:pt>
                      <c:pt idx="584" formatCode="General">
                        <c:v>0</c:v>
                      </c:pt>
                      <c:pt idx="585" formatCode="General">
                        <c:v>0</c:v>
                      </c:pt>
                      <c:pt idx="594" formatCode="General">
                        <c:v>1087298437</c:v>
                      </c:pt>
                      <c:pt idx="598" formatCode="General">
                        <c:v>50229</c:v>
                      </c:pt>
                      <c:pt idx="599" formatCode="General">
                        <c:v>0</c:v>
                      </c:pt>
                      <c:pt idx="600" formatCode="General">
                        <c:v>602000700</c:v>
                      </c:pt>
                      <c:pt idx="606" formatCode="General">
                        <c:v>0</c:v>
                      </c:pt>
                      <c:pt idx="607" formatCode="General">
                        <c:v>0</c:v>
                      </c:pt>
                      <c:pt idx="610" formatCode="General">
                        <c:v>0</c:v>
                      </c:pt>
                      <c:pt idx="613" formatCode="General">
                        <c:v>0</c:v>
                      </c:pt>
                      <c:pt idx="614" formatCode="General">
                        <c:v>0</c:v>
                      </c:pt>
                      <c:pt idx="615" formatCode="General">
                        <c:v>2850701</c:v>
                      </c:pt>
                      <c:pt idx="616" formatCode="General">
                        <c:v>2800802</c:v>
                      </c:pt>
                      <c:pt idx="617" formatCode="General">
                        <c:v>0</c:v>
                      </c:pt>
                      <c:pt idx="622" formatCode="General">
                        <c:v>0</c:v>
                      </c:pt>
                      <c:pt idx="623" formatCode="General">
                        <c:v>0</c:v>
                      </c:pt>
                      <c:pt idx="625" formatCode="General">
                        <c:v>0</c:v>
                      </c:pt>
                      <c:pt idx="628" formatCode="General">
                        <c:v>2800802</c:v>
                      </c:pt>
                      <c:pt idx="631" formatCode="General">
                        <c:v>0</c:v>
                      </c:pt>
                      <c:pt idx="632" formatCode="General">
                        <c:v>0</c:v>
                      </c:pt>
                      <c:pt idx="633" formatCode="General">
                        <c:v>0</c:v>
                      </c:pt>
                      <c:pt idx="634" formatCode="General">
                        <c:v>0</c:v>
                      </c:pt>
                      <c:pt idx="635" formatCode="General">
                        <c:v>0</c:v>
                      </c:pt>
                      <c:pt idx="636" formatCode="General">
                        <c:v>0</c:v>
                      </c:pt>
                      <c:pt idx="649" formatCode="General">
                        <c:v>0</c:v>
                      </c:pt>
                      <c:pt idx="650" formatCode="General">
                        <c:v>2463772400</c:v>
                      </c:pt>
                      <c:pt idx="651" formatCode="General">
                        <c:v>2462500901</c:v>
                      </c:pt>
                      <c:pt idx="652" formatCode="General">
                        <c:v>2810701</c:v>
                      </c:pt>
                      <c:pt idx="656" formatCode="General">
                        <c:v>0</c:v>
                      </c:pt>
                      <c:pt idx="663" formatCode="General">
                        <c:v>0</c:v>
                      </c:pt>
                      <c:pt idx="667" formatCode="General">
                        <c:v>0</c:v>
                      </c:pt>
                      <c:pt idx="668" formatCode="#,##0">
                        <c:v>1087298388</c:v>
                      </c:pt>
                      <c:pt idx="669" formatCode="General">
                        <c:v>0</c:v>
                      </c:pt>
                      <c:pt idx="671" formatCode="General">
                        <c:v>0</c:v>
                      </c:pt>
                      <c:pt idx="676" formatCode="General">
                        <c:v>28120411</c:v>
                      </c:pt>
                      <c:pt idx="677" formatCode="General">
                        <c:v>0</c:v>
                      </c:pt>
                      <c:pt idx="678" formatCode="General">
                        <c:v>0</c:v>
                      </c:pt>
                      <c:pt idx="680" formatCode="General">
                        <c:v>0</c:v>
                      </c:pt>
                      <c:pt idx="681" formatCode="General">
                        <c:v>0</c:v>
                      </c:pt>
                      <c:pt idx="683" formatCode="General">
                        <c:v>0</c:v>
                      </c:pt>
                      <c:pt idx="684" formatCode="General">
                        <c:v>0</c:v>
                      </c:pt>
                      <c:pt idx="685" formatCode="General">
                        <c:v>0</c:v>
                      </c:pt>
                      <c:pt idx="687" formatCode="General">
                        <c:v>0</c:v>
                      </c:pt>
                      <c:pt idx="689" formatCode="General">
                        <c:v>6172091600</c:v>
                      </c:pt>
                      <c:pt idx="690" formatCode="General">
                        <c:v>0</c:v>
                      </c:pt>
                      <c:pt idx="694" formatCode="General">
                        <c:v>0</c:v>
                      </c:pt>
                      <c:pt idx="695" formatCode="General">
                        <c:v>0</c:v>
                      </c:pt>
                      <c:pt idx="698" formatCode="General">
                        <c:v>0</c:v>
                      </c:pt>
                      <c:pt idx="699" formatCode="General">
                        <c:v>0</c:v>
                      </c:pt>
                      <c:pt idx="700" formatCode="General">
                        <c:v>0</c:v>
                      </c:pt>
                      <c:pt idx="702" formatCode="General">
                        <c:v>0</c:v>
                      </c:pt>
                      <c:pt idx="703" formatCode="General">
                        <c:v>7252703114</c:v>
                      </c:pt>
                      <c:pt idx="705" formatCode="General">
                        <c:v>0</c:v>
                      </c:pt>
                      <c:pt idx="707" formatCode="General">
                        <c:v>0</c:v>
                      </c:pt>
                      <c:pt idx="710" formatCode="General">
                        <c:v>2800802</c:v>
                      </c:pt>
                      <c:pt idx="715" formatCode="General">
                        <c:v>0</c:v>
                      </c:pt>
                      <c:pt idx="718" formatCode="General">
                        <c:v>0</c:v>
                      </c:pt>
                      <c:pt idx="725" formatCode="General">
                        <c:v>0</c:v>
                      </c:pt>
                      <c:pt idx="726" formatCode="General">
                        <c:v>0</c:v>
                      </c:pt>
                      <c:pt idx="727" formatCode="General">
                        <c:v>0</c:v>
                      </c:pt>
                      <c:pt idx="728" formatCode="#,##0">
                        <c:v>7252703114</c:v>
                      </c:pt>
                      <c:pt idx="730" formatCode="General">
                        <c:v>0</c:v>
                      </c:pt>
                      <c:pt idx="731" formatCode="General">
                        <c:v>0</c:v>
                      </c:pt>
                      <c:pt idx="732" formatCode="General">
                        <c:v>0</c:v>
                      </c:pt>
                      <c:pt idx="733" formatCode="General">
                        <c:v>0</c:v>
                      </c:pt>
                      <c:pt idx="734" formatCode="General">
                        <c:v>0</c:v>
                      </c:pt>
                      <c:pt idx="735" formatCode="General">
                        <c:v>0</c:v>
                      </c:pt>
                      <c:pt idx="743" formatCode="#,##0">
                        <c:v>1087298437</c:v>
                      </c:pt>
                      <c:pt idx="744" formatCode="General">
                        <c:v>0</c:v>
                      </c:pt>
                      <c:pt idx="745" formatCode="General">
                        <c:v>0</c:v>
                      </c:pt>
                      <c:pt idx="746" formatCode="General">
                        <c:v>0</c:v>
                      </c:pt>
                      <c:pt idx="747" formatCode="General">
                        <c:v>0</c:v>
                      </c:pt>
                      <c:pt idx="749" formatCode="General">
                        <c:v>7252703114</c:v>
                      </c:pt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5-BF5F-4B11-A5E8-435494E0689B}"/>
                  </c:ext>
                </c:extLst>
              </c15:ser>
            </c15:filteredBarSeries>
            <c15:filteredBarSeries>
              <c15:ser>
                <c:idx val="11"/>
                <c:order val="11"/>
                <c:tx>
                  <c:strRef>
                    <c:extLst>
                      <c:ext xmlns:c15="http://schemas.microsoft.com/office/drawing/2012/chart" uri="{02D57815-91ED-43cb-92C2-25804820EDAC}">
                        <c15:formulaRef>
                          <c15:sqref>주문_리스트!$L$1</c15:sqref>
                        </c15:formulaRef>
                      </c:ext>
                    </c:extLst>
                    <c:strCache>
                      <c:ptCount val="1"/>
                      <c:pt idx="0">
                        <c:v>결재</c:v>
                      </c:pt>
                    </c:strCache>
                  </c:strRef>
                </c:tx>
                <c:spPr>
                  <a:solidFill>
                    <a:schemeClr val="accent6">
                      <a:lumMod val="60000"/>
                    </a:schemeClr>
                  </a:solidFill>
                  <a:ln>
                    <a:noFill/>
                  </a:ln>
                  <a:effectLst/>
                </c:spPr>
                <c:invertIfNegative val="0"/>
                <c:val>
                  <c:numRef>
                    <c:extLst>
                      <c:ext xmlns:c15="http://schemas.microsoft.com/office/drawing/2012/chart" uri="{02D57815-91ED-43cb-92C2-25804820EDAC}">
                        <c15:formulaRef>
                          <c15:sqref>주문_리스트!$L$2:$L$756</c15:sqref>
                        </c15:formulaRef>
                      </c:ext>
                    </c:extLst>
                    <c:numCache>
                      <c:formatCode>#,##0;\-#,##0;\-;@</c:formatCode>
                      <c:ptCount val="755"/>
                      <c:pt idx="137">
                        <c:v>-220000</c:v>
                      </c:pt>
                      <c:pt idx="138">
                        <c:v>-1600000</c:v>
                      </c:pt>
                      <c:pt idx="140">
                        <c:v>-100000</c:v>
                      </c:pt>
                      <c:pt idx="141">
                        <c:v>-300000</c:v>
                      </c:pt>
                      <c:pt idx="142">
                        <c:v>-200000</c:v>
                      </c:pt>
                      <c:pt idx="151">
                        <c:v>-4000000</c:v>
                      </c:pt>
                      <c:pt idx="165">
                        <c:v>-2000000</c:v>
                      </c:pt>
                      <c:pt idx="197">
                        <c:v>-1500000</c:v>
                      </c:pt>
                      <c:pt idx="199">
                        <c:v>-1500000</c:v>
                      </c:pt>
                      <c:pt idx="242">
                        <c:v>-300000</c:v>
                      </c:pt>
                      <c:pt idx="243">
                        <c:v>-200000</c:v>
                      </c:pt>
                      <c:pt idx="249">
                        <c:v>-650000</c:v>
                      </c:pt>
                      <c:pt idx="250">
                        <c:v>-1850000</c:v>
                      </c:pt>
                      <c:pt idx="254">
                        <c:v>-450000</c:v>
                      </c:pt>
                      <c:pt idx="255">
                        <c:v>-1278000</c:v>
                      </c:pt>
                      <c:pt idx="257">
                        <c:v>-450000</c:v>
                      </c:pt>
                      <c:pt idx="261">
                        <c:v>-1700000</c:v>
                      </c:pt>
                      <c:pt idx="263">
                        <c:v>-300000</c:v>
                      </c:pt>
                      <c:pt idx="271">
                        <c:v>-350000</c:v>
                      </c:pt>
                      <c:pt idx="291">
                        <c:v>-1585000</c:v>
                      </c:pt>
                      <c:pt idx="292">
                        <c:v>-550000</c:v>
                      </c:pt>
                      <c:pt idx="293">
                        <c:v>-4620900</c:v>
                      </c:pt>
                      <c:pt idx="294">
                        <c:v>-1610000</c:v>
                      </c:pt>
                      <c:pt idx="295">
                        <c:v>-924000</c:v>
                      </c:pt>
                      <c:pt idx="297">
                        <c:v>-3443000</c:v>
                      </c:pt>
                      <c:pt idx="298">
                        <c:v>-1700000</c:v>
                      </c:pt>
                      <c:pt idx="299">
                        <c:v>-990000</c:v>
                      </c:pt>
                      <c:pt idx="300">
                        <c:v>-1100000</c:v>
                      </c:pt>
                      <c:pt idx="301">
                        <c:v>-10000000</c:v>
                      </c:pt>
                      <c:pt idx="302">
                        <c:v>-1400000</c:v>
                      </c:pt>
                      <c:pt idx="303">
                        <c:v>-1294000</c:v>
                      </c:pt>
                      <c:pt idx="304">
                        <c:v>-7200000</c:v>
                      </c:pt>
                      <c:pt idx="307">
                        <c:v>-1000000</c:v>
                      </c:pt>
                      <c:pt idx="308">
                        <c:v>-550000</c:v>
                      </c:pt>
                      <c:pt idx="309">
                        <c:v>-1200000</c:v>
                      </c:pt>
                      <c:pt idx="315">
                        <c:v>-1000000</c:v>
                      </c:pt>
                      <c:pt idx="316">
                        <c:v>-1815000</c:v>
                      </c:pt>
                      <c:pt idx="324">
                        <c:v>-1000000</c:v>
                      </c:pt>
                      <c:pt idx="329">
                        <c:v>-1949000</c:v>
                      </c:pt>
                      <c:pt idx="330">
                        <c:v>-100000</c:v>
                      </c:pt>
                      <c:pt idx="331">
                        <c:v>-1600000</c:v>
                      </c:pt>
                      <c:pt idx="332">
                        <c:v>-1705000</c:v>
                      </c:pt>
                      <c:pt idx="340">
                        <c:v>-1610000</c:v>
                      </c:pt>
                      <c:pt idx="341">
                        <c:v>-1705000</c:v>
                      </c:pt>
                      <c:pt idx="344">
                        <c:v>-1200000</c:v>
                      </c:pt>
                      <c:pt idx="345">
                        <c:v>-350000</c:v>
                      </c:pt>
                      <c:pt idx="346">
                        <c:v>-5172700</c:v>
                      </c:pt>
                      <c:pt idx="347">
                        <c:v>-650000</c:v>
                      </c:pt>
                      <c:pt idx="348">
                        <c:v>-1000000</c:v>
                      </c:pt>
                      <c:pt idx="353">
                        <c:v>-1190000</c:v>
                      </c:pt>
                      <c:pt idx="354">
                        <c:v>-700000</c:v>
                      </c:pt>
                      <c:pt idx="355">
                        <c:v>-1200000</c:v>
                      </c:pt>
                      <c:pt idx="356">
                        <c:v>-558000</c:v>
                      </c:pt>
                      <c:pt idx="358">
                        <c:v>-715000</c:v>
                      </c:pt>
                      <c:pt idx="367">
                        <c:v>-1650000</c:v>
                      </c:pt>
                      <c:pt idx="368">
                        <c:v>-549000</c:v>
                      </c:pt>
                      <c:pt idx="379">
                        <c:v>-129000</c:v>
                      </c:pt>
                      <c:pt idx="382">
                        <c:v>-1300000</c:v>
                      </c:pt>
                      <c:pt idx="383">
                        <c:v>-1200000</c:v>
                      </c:pt>
                      <c:pt idx="386">
                        <c:v>-1450000</c:v>
                      </c:pt>
                      <c:pt idx="387">
                        <c:v>-990000</c:v>
                      </c:pt>
                      <c:pt idx="392">
                        <c:v>-1000000</c:v>
                      </c:pt>
                      <c:pt idx="396">
                        <c:v>-1550000</c:v>
                      </c:pt>
                      <c:pt idx="398">
                        <c:v>-1000000</c:v>
                      </c:pt>
                      <c:pt idx="404">
                        <c:v>-1980000</c:v>
                      </c:pt>
                      <c:pt idx="406">
                        <c:v>-550000</c:v>
                      </c:pt>
                      <c:pt idx="411">
                        <c:v>-150000</c:v>
                      </c:pt>
                      <c:pt idx="418">
                        <c:v>-150000</c:v>
                      </c:pt>
                      <c:pt idx="419">
                        <c:v>-1100000</c:v>
                      </c:pt>
                      <c:pt idx="420">
                        <c:v>-200000</c:v>
                      </c:pt>
                      <c:pt idx="426">
                        <c:v>-600000</c:v>
                      </c:pt>
                      <c:pt idx="429">
                        <c:v>-1650000</c:v>
                      </c:pt>
                      <c:pt idx="433">
                        <c:v>-250000</c:v>
                      </c:pt>
                      <c:pt idx="434">
                        <c:v>-1815000</c:v>
                      </c:pt>
                      <c:pt idx="435">
                        <c:v>-1210000</c:v>
                      </c:pt>
                      <c:pt idx="445">
                        <c:v>-1550000</c:v>
                      </c:pt>
                      <c:pt idx="446">
                        <c:v>-1500000</c:v>
                      </c:pt>
                      <c:pt idx="447">
                        <c:v>-450000</c:v>
                      </c:pt>
                      <c:pt idx="448">
                        <c:v>-140000</c:v>
                      </c:pt>
                      <c:pt idx="454">
                        <c:v>-450000</c:v>
                      </c:pt>
                      <c:pt idx="455">
                        <c:v>-100000</c:v>
                      </c:pt>
                      <c:pt idx="465">
                        <c:v>-1600000</c:v>
                      </c:pt>
                      <c:pt idx="466">
                        <c:v>-900000</c:v>
                      </c:pt>
                      <c:pt idx="468">
                        <c:v>-1100000</c:v>
                      </c:pt>
                      <c:pt idx="469">
                        <c:v>-2000000</c:v>
                      </c:pt>
                      <c:pt idx="471">
                        <c:v>-250000</c:v>
                      </c:pt>
                      <c:pt idx="472">
                        <c:v>-2550000</c:v>
                      </c:pt>
                      <c:pt idx="473">
                        <c:v>-1350000</c:v>
                      </c:pt>
                      <c:pt idx="481">
                        <c:v>-2450000</c:v>
                      </c:pt>
                      <c:pt idx="483">
                        <c:v>-1100000</c:v>
                      </c:pt>
                      <c:pt idx="484">
                        <c:v>-35000</c:v>
                      </c:pt>
                      <c:pt idx="486">
                        <c:v>-549000</c:v>
                      </c:pt>
                      <c:pt idx="489">
                        <c:v>-1229000</c:v>
                      </c:pt>
                      <c:pt idx="490">
                        <c:v>-1200000</c:v>
                      </c:pt>
                      <c:pt idx="493">
                        <c:v>-50000</c:v>
                      </c:pt>
                      <c:pt idx="496">
                        <c:v>-2332000</c:v>
                      </c:pt>
                      <c:pt idx="497">
                        <c:v>-1650000</c:v>
                      </c:pt>
                      <c:pt idx="501">
                        <c:v>-1100000</c:v>
                      </c:pt>
                      <c:pt idx="503">
                        <c:v>-200000</c:v>
                      </c:pt>
                      <c:pt idx="504">
                        <c:v>-275000</c:v>
                      </c:pt>
                      <c:pt idx="505">
                        <c:v>-200000</c:v>
                      </c:pt>
                      <c:pt idx="511">
                        <c:v>-3400000</c:v>
                      </c:pt>
                      <c:pt idx="517">
                        <c:v>-1122000</c:v>
                      </c:pt>
                      <c:pt idx="518">
                        <c:v>-660000</c:v>
                      </c:pt>
                      <c:pt idx="521">
                        <c:v>-2200000</c:v>
                      </c:pt>
                      <c:pt idx="522">
                        <c:v>-650000</c:v>
                      </c:pt>
                      <c:pt idx="524">
                        <c:v>-1179000</c:v>
                      </c:pt>
                      <c:pt idx="525">
                        <c:v>-1815000</c:v>
                      </c:pt>
                      <c:pt idx="526">
                        <c:v>-220000</c:v>
                      </c:pt>
                      <c:pt idx="527">
                        <c:v>-498000</c:v>
                      </c:pt>
                      <c:pt idx="528">
                        <c:v>-2000000</c:v>
                      </c:pt>
                      <c:pt idx="529">
                        <c:v>-1500000</c:v>
                      </c:pt>
                      <c:pt idx="534">
                        <c:v>-646000</c:v>
                      </c:pt>
                      <c:pt idx="536">
                        <c:v>-10907000</c:v>
                      </c:pt>
                      <c:pt idx="541">
                        <c:v>-1000000</c:v>
                      </c:pt>
                      <c:pt idx="545">
                        <c:v>-200000</c:v>
                      </c:pt>
                      <c:pt idx="546">
                        <c:v>-990000</c:v>
                      </c:pt>
                      <c:pt idx="549">
                        <c:v>-150000</c:v>
                      </c:pt>
                      <c:pt idx="550">
                        <c:v>-2000000</c:v>
                      </c:pt>
                      <c:pt idx="551">
                        <c:v>-770000</c:v>
                      </c:pt>
                      <c:pt idx="554">
                        <c:v>-7000000</c:v>
                      </c:pt>
                      <c:pt idx="555">
                        <c:v>-805000</c:v>
                      </c:pt>
                      <c:pt idx="561">
                        <c:v>-1500000</c:v>
                      </c:pt>
                      <c:pt idx="567">
                        <c:v>-550000</c:v>
                      </c:pt>
                      <c:pt idx="586">
                        <c:v>-2420000</c:v>
                      </c:pt>
                      <c:pt idx="587">
                        <c:v>-500000</c:v>
                      </c:pt>
                      <c:pt idx="588">
                        <c:v>-300000</c:v>
                      </c:pt>
                      <c:pt idx="589">
                        <c:v>-300000</c:v>
                      </c:pt>
                      <c:pt idx="590">
                        <c:v>-380000</c:v>
                      </c:pt>
                      <c:pt idx="591">
                        <c:v>-2200000</c:v>
                      </c:pt>
                      <c:pt idx="592">
                        <c:v>-1500000</c:v>
                      </c:pt>
                      <c:pt idx="593">
                        <c:v>-2000000</c:v>
                      </c:pt>
                      <c:pt idx="595">
                        <c:v>-1550000</c:v>
                      </c:pt>
                      <c:pt idx="596">
                        <c:v>-700000</c:v>
                      </c:pt>
                      <c:pt idx="608">
                        <c:v>-1200000</c:v>
                      </c:pt>
                      <c:pt idx="609">
                        <c:v>-150000</c:v>
                      </c:pt>
                      <c:pt idx="611">
                        <c:v>-1850000</c:v>
                      </c:pt>
                      <c:pt idx="612">
                        <c:v>-5487000</c:v>
                      </c:pt>
                      <c:pt idx="618">
                        <c:v>-3000000</c:v>
                      </c:pt>
                      <c:pt idx="619">
                        <c:v>-220000</c:v>
                      </c:pt>
                      <c:pt idx="620">
                        <c:v>-100000</c:v>
                      </c:pt>
                      <c:pt idx="621">
                        <c:v>-1200000</c:v>
                      </c:pt>
                      <c:pt idx="626">
                        <c:v>-1320000</c:v>
                      </c:pt>
                      <c:pt idx="627">
                        <c:v>-900000</c:v>
                      </c:pt>
                      <c:pt idx="629">
                        <c:v>-1200000</c:v>
                      </c:pt>
                      <c:pt idx="630">
                        <c:v>-1500000</c:v>
                      </c:pt>
                      <c:pt idx="641">
                        <c:v>-1550000</c:v>
                      </c:pt>
                      <c:pt idx="642">
                        <c:v>-1400000</c:v>
                      </c:pt>
                      <c:pt idx="644">
                        <c:v>-150000</c:v>
                      </c:pt>
                      <c:pt idx="646">
                        <c:v>-1550000</c:v>
                      </c:pt>
                      <c:pt idx="648">
                        <c:v>-1000000</c:v>
                      </c:pt>
                      <c:pt idx="654">
                        <c:v>-650000</c:v>
                      </c:pt>
                      <c:pt idx="655">
                        <c:v>-2000000</c:v>
                      </c:pt>
                      <c:pt idx="659">
                        <c:v>-1670000</c:v>
                      </c:pt>
                      <c:pt idx="661">
                        <c:v>-2500000</c:v>
                      </c:pt>
                      <c:pt idx="664">
                        <c:v>-1500000</c:v>
                      </c:pt>
                      <c:pt idx="665">
                        <c:v>-1320000</c:v>
                      </c:pt>
                      <c:pt idx="673">
                        <c:v>-1100000</c:v>
                      </c:pt>
                      <c:pt idx="674">
                        <c:v>-250000</c:v>
                      </c:pt>
                      <c:pt idx="675">
                        <c:v>-2020000</c:v>
                      </c:pt>
                      <c:pt idx="682">
                        <c:v>-1320000</c:v>
                      </c:pt>
                      <c:pt idx="692">
                        <c:v>-1650000</c:v>
                      </c:pt>
                      <c:pt idx="693">
                        <c:v>-1500000</c:v>
                      </c:pt>
                      <c:pt idx="696">
                        <c:v>-1650000</c:v>
                      </c:pt>
                      <c:pt idx="697">
                        <c:v>-3000000</c:v>
                      </c:pt>
                      <c:pt idx="708">
                        <c:v>-1200000</c:v>
                      </c:pt>
                      <c:pt idx="709">
                        <c:v>-2285000</c:v>
                      </c:pt>
                      <c:pt idx="711">
                        <c:v>-200000</c:v>
                      </c:pt>
                      <c:pt idx="712">
                        <c:v>-1705000</c:v>
                      </c:pt>
                      <c:pt idx="716">
                        <c:v>-308000</c:v>
                      </c:pt>
                      <c:pt idx="717">
                        <c:v>-1320000</c:v>
                      </c:pt>
                      <c:pt idx="719">
                        <c:v>-600000</c:v>
                      </c:pt>
                      <c:pt idx="722">
                        <c:v>-300000</c:v>
                      </c:pt>
                      <c:pt idx="738">
                        <c:v>-1870000</c:v>
                      </c:pt>
                      <c:pt idx="741">
                        <c:v>-1320000</c:v>
                      </c:pt>
                      <c:pt idx="742">
                        <c:v>-385000</c:v>
                      </c:pt>
                      <c:pt idx="748">
                        <c:v>-1100000</c:v>
                      </c:pt>
                      <c:pt idx="751">
                        <c:v>-1550000</c:v>
                      </c:pt>
                      <c:pt idx="752">
                        <c:v>-330000</c:v>
                      </c:pt>
                      <c:pt idx="753">
                        <c:v>-2671900</c:v>
                      </c:pt>
                    </c:numCache>
                  </c:numRef>
                </c:val>
                <c:extLst>
                  <c:ext xmlns:c16="http://schemas.microsoft.com/office/drawing/2014/chart" uri="{C3380CC4-5D6E-409C-BE32-E72D297353CC}">
                    <c16:uniqueId val="{0000000B-BF5F-4B11-A5E8-435494E0689B}"/>
                  </c:ext>
                </c:extLst>
              </c15:ser>
            </c15:filteredBarSeries>
          </c:ext>
        </c:extLst>
      </c:barChart>
      <c:catAx>
        <c:axId val="764465968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764467408"/>
        <c:crosses val="autoZero"/>
        <c:auto val="1"/>
        <c:lblAlgn val="ctr"/>
        <c:lblOffset val="100"/>
        <c:noMultiLvlLbl val="0"/>
      </c:catAx>
      <c:valAx>
        <c:axId val="76446740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m/d/yyyy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76446596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ko-KR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svg"/><Relationship Id="rId2" Type="http://schemas.openxmlformats.org/officeDocument/2006/relationships/image" Target="../media/image2.png"/><Relationship Id="rId1" Type="http://schemas.openxmlformats.org/officeDocument/2006/relationships/image" Target="../media/image1.jpg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image" Target="../media/image11.svg"/><Relationship Id="rId13" Type="http://schemas.openxmlformats.org/officeDocument/2006/relationships/image" Target="../media/image14.png"/><Relationship Id="rId3" Type="http://schemas.openxmlformats.org/officeDocument/2006/relationships/image" Target="../media/image6.png"/><Relationship Id="rId7" Type="http://schemas.openxmlformats.org/officeDocument/2006/relationships/image" Target="../media/image10.png"/><Relationship Id="rId12" Type="http://schemas.openxmlformats.org/officeDocument/2006/relationships/image" Target="../media/image3.svg"/><Relationship Id="rId2" Type="http://schemas.openxmlformats.org/officeDocument/2006/relationships/image" Target="../media/image5.svg"/><Relationship Id="rId1" Type="http://schemas.openxmlformats.org/officeDocument/2006/relationships/image" Target="../media/image4.png"/><Relationship Id="rId6" Type="http://schemas.openxmlformats.org/officeDocument/2006/relationships/image" Target="../media/image9.svg"/><Relationship Id="rId11" Type="http://schemas.openxmlformats.org/officeDocument/2006/relationships/image" Target="../media/image2.png"/><Relationship Id="rId5" Type="http://schemas.openxmlformats.org/officeDocument/2006/relationships/image" Target="../media/image8.png"/><Relationship Id="rId10" Type="http://schemas.openxmlformats.org/officeDocument/2006/relationships/image" Target="../media/image13.svg"/><Relationship Id="rId4" Type="http://schemas.openxmlformats.org/officeDocument/2006/relationships/image" Target="../media/image7.svg"/><Relationship Id="rId9" Type="http://schemas.openxmlformats.org/officeDocument/2006/relationships/image" Target="../media/image12.png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image" Target="../media/image17.png"/><Relationship Id="rId1" Type="http://schemas.openxmlformats.org/officeDocument/2006/relationships/image" Target="../media/image16.pn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image" Target="../media/image20.png"/><Relationship Id="rId2" Type="http://schemas.openxmlformats.org/officeDocument/2006/relationships/image" Target="../media/image19.svg"/><Relationship Id="rId1" Type="http://schemas.openxmlformats.org/officeDocument/2006/relationships/image" Target="../media/image18.png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image" Target="../media/image19.svg"/><Relationship Id="rId2" Type="http://schemas.openxmlformats.org/officeDocument/2006/relationships/image" Target="../media/image18.png"/><Relationship Id="rId1" Type="http://schemas.openxmlformats.org/officeDocument/2006/relationships/image" Target="../media/image20.png"/></Relationships>
</file>

<file path=xl/drawings/_rels/drawing10.xml.rels><?xml version="1.0" encoding="UTF-8" standalone="yes"?>
<Relationships xmlns="http://schemas.openxmlformats.org/package/2006/relationships"><Relationship Id="rId8" Type="http://schemas.openxmlformats.org/officeDocument/2006/relationships/image" Target="../media/image7.svg"/><Relationship Id="rId13" Type="http://schemas.openxmlformats.org/officeDocument/2006/relationships/image" Target="../media/image12.png"/><Relationship Id="rId18" Type="http://schemas.openxmlformats.org/officeDocument/2006/relationships/image" Target="../media/image24.svg"/><Relationship Id="rId3" Type="http://schemas.openxmlformats.org/officeDocument/2006/relationships/image" Target="../media/image18.png"/><Relationship Id="rId21" Type="http://schemas.openxmlformats.org/officeDocument/2006/relationships/image" Target="../media/image20.png"/><Relationship Id="rId7" Type="http://schemas.openxmlformats.org/officeDocument/2006/relationships/image" Target="../media/image6.png"/><Relationship Id="rId12" Type="http://schemas.openxmlformats.org/officeDocument/2006/relationships/image" Target="../media/image11.svg"/><Relationship Id="rId17" Type="http://schemas.openxmlformats.org/officeDocument/2006/relationships/image" Target="../media/image23.png"/><Relationship Id="rId2" Type="http://schemas.openxmlformats.org/officeDocument/2006/relationships/image" Target="../media/image5.svg"/><Relationship Id="rId16" Type="http://schemas.openxmlformats.org/officeDocument/2006/relationships/image" Target="../media/image3.svg"/><Relationship Id="rId20" Type="http://schemas.openxmlformats.org/officeDocument/2006/relationships/image" Target="../media/image26.svg"/><Relationship Id="rId1" Type="http://schemas.openxmlformats.org/officeDocument/2006/relationships/image" Target="../media/image4.png"/><Relationship Id="rId6" Type="http://schemas.openxmlformats.org/officeDocument/2006/relationships/image" Target="../media/image22.svg"/><Relationship Id="rId11" Type="http://schemas.openxmlformats.org/officeDocument/2006/relationships/image" Target="../media/image10.png"/><Relationship Id="rId5" Type="http://schemas.openxmlformats.org/officeDocument/2006/relationships/image" Target="../media/image21.png"/><Relationship Id="rId15" Type="http://schemas.openxmlformats.org/officeDocument/2006/relationships/image" Target="../media/image2.png"/><Relationship Id="rId10" Type="http://schemas.openxmlformats.org/officeDocument/2006/relationships/image" Target="../media/image9.svg"/><Relationship Id="rId19" Type="http://schemas.openxmlformats.org/officeDocument/2006/relationships/image" Target="../media/image25.png"/><Relationship Id="rId4" Type="http://schemas.openxmlformats.org/officeDocument/2006/relationships/image" Target="../media/image19.svg"/><Relationship Id="rId9" Type="http://schemas.openxmlformats.org/officeDocument/2006/relationships/image" Target="../media/image8.png"/><Relationship Id="rId14" Type="http://schemas.openxmlformats.org/officeDocument/2006/relationships/image" Target="../media/image13.svg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image" Target="../media/image27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6</xdr:row>
      <xdr:rowOff>0</xdr:rowOff>
    </xdr:from>
    <xdr:to>
      <xdr:col>17</xdr:col>
      <xdr:colOff>0</xdr:colOff>
      <xdr:row>6</xdr:row>
      <xdr:rowOff>0</xdr:rowOff>
    </xdr:to>
    <xdr:cxnSp macro="">
      <xdr:nvCxnSpPr>
        <xdr:cNvPr id="9" name="직선 연결선 8">
          <a:extLst>
            <a:ext uri="{FF2B5EF4-FFF2-40B4-BE49-F238E27FC236}">
              <a16:creationId xmlns:a16="http://schemas.microsoft.com/office/drawing/2014/main" id="{84BB77A7-7BA3-1443-7DB1-C1E28312F72C}"/>
            </a:ext>
          </a:extLst>
        </xdr:cNvPr>
        <xdr:cNvCxnSpPr/>
      </xdr:nvCxnSpPr>
      <xdr:spPr>
        <a:xfrm>
          <a:off x="1371600" y="1257300"/>
          <a:ext cx="10287000" cy="0"/>
        </a:xfrm>
        <a:prstGeom prst="line">
          <a:avLst/>
        </a:prstGeom>
        <a:ln w="28575">
          <a:solidFill>
            <a:schemeClr val="bg1">
              <a:lumMod val="65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371475</xdr:colOff>
      <xdr:row>5</xdr:row>
      <xdr:rowOff>200025</xdr:rowOff>
    </xdr:from>
    <xdr:to>
      <xdr:col>6</xdr:col>
      <xdr:colOff>371475</xdr:colOff>
      <xdr:row>24</xdr:row>
      <xdr:rowOff>190500</xdr:rowOff>
    </xdr:to>
    <xdr:cxnSp macro="">
      <xdr:nvCxnSpPr>
        <xdr:cNvPr id="18" name="직선 연결선 17">
          <a:extLst>
            <a:ext uri="{FF2B5EF4-FFF2-40B4-BE49-F238E27FC236}">
              <a16:creationId xmlns:a16="http://schemas.microsoft.com/office/drawing/2014/main" id="{E547B113-01A4-4BB2-9F28-59382E46A68A}"/>
            </a:ext>
          </a:extLst>
        </xdr:cNvPr>
        <xdr:cNvCxnSpPr/>
      </xdr:nvCxnSpPr>
      <xdr:spPr>
        <a:xfrm>
          <a:off x="4486275" y="1247775"/>
          <a:ext cx="0" cy="3971925"/>
        </a:xfrm>
        <a:prstGeom prst="line">
          <a:avLst/>
        </a:prstGeom>
        <a:ln w="28575">
          <a:solidFill>
            <a:schemeClr val="bg1">
              <a:lumMod val="65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542925</xdr:colOff>
      <xdr:row>6</xdr:row>
      <xdr:rowOff>0</xdr:rowOff>
    </xdr:from>
    <xdr:to>
      <xdr:col>11</xdr:col>
      <xdr:colOff>542925</xdr:colOff>
      <xdr:row>24</xdr:row>
      <xdr:rowOff>200025</xdr:rowOff>
    </xdr:to>
    <xdr:cxnSp macro="">
      <xdr:nvCxnSpPr>
        <xdr:cNvPr id="30" name="직선 연결선 29">
          <a:extLst>
            <a:ext uri="{FF2B5EF4-FFF2-40B4-BE49-F238E27FC236}">
              <a16:creationId xmlns:a16="http://schemas.microsoft.com/office/drawing/2014/main" id="{44FF4F7F-BD88-4F6E-A7A9-80D5CC8B6F84}"/>
            </a:ext>
          </a:extLst>
        </xdr:cNvPr>
        <xdr:cNvCxnSpPr/>
      </xdr:nvCxnSpPr>
      <xdr:spPr>
        <a:xfrm>
          <a:off x="8086725" y="1257300"/>
          <a:ext cx="0" cy="3971925"/>
        </a:xfrm>
        <a:prstGeom prst="line">
          <a:avLst/>
        </a:prstGeom>
        <a:ln w="28575">
          <a:solidFill>
            <a:schemeClr val="bg1">
              <a:lumMod val="65000"/>
            </a:schemeClr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0</xdr:col>
      <xdr:colOff>0</xdr:colOff>
      <xdr:row>0</xdr:row>
      <xdr:rowOff>0</xdr:rowOff>
    </xdr:from>
    <xdr:to>
      <xdr:col>17</xdr:col>
      <xdr:colOff>647699</xdr:colOff>
      <xdr:row>32</xdr:row>
      <xdr:rowOff>0</xdr:rowOff>
    </xdr:to>
    <xdr:grpSp>
      <xdr:nvGrpSpPr>
        <xdr:cNvPr id="43" name="그룹 42">
          <a:extLst>
            <a:ext uri="{FF2B5EF4-FFF2-40B4-BE49-F238E27FC236}">
              <a16:creationId xmlns:a16="http://schemas.microsoft.com/office/drawing/2014/main" id="{B7CD441C-39E6-A85F-24BB-18A80407B500}"/>
            </a:ext>
          </a:extLst>
        </xdr:cNvPr>
        <xdr:cNvGrpSpPr/>
      </xdr:nvGrpSpPr>
      <xdr:grpSpPr>
        <a:xfrm>
          <a:off x="0" y="0"/>
          <a:ext cx="10934699" cy="6076950"/>
          <a:chOff x="1543878" y="1600200"/>
          <a:chExt cx="10696575" cy="5823499"/>
        </a:xfrm>
      </xdr:grpSpPr>
      <xdr:grpSp>
        <xdr:nvGrpSpPr>
          <xdr:cNvPr id="42" name="그룹 41">
            <a:extLst>
              <a:ext uri="{FF2B5EF4-FFF2-40B4-BE49-F238E27FC236}">
                <a16:creationId xmlns:a16="http://schemas.microsoft.com/office/drawing/2014/main" id="{C499FBA4-AB41-B691-3A56-348899FD4C58}"/>
              </a:ext>
            </a:extLst>
          </xdr:cNvPr>
          <xdr:cNvGrpSpPr/>
        </xdr:nvGrpSpPr>
        <xdr:grpSpPr>
          <a:xfrm>
            <a:off x="1543878" y="1600200"/>
            <a:ext cx="10696575" cy="5823499"/>
            <a:chOff x="1058103" y="133350"/>
            <a:chExt cx="10696575" cy="5823499"/>
          </a:xfrm>
        </xdr:grpSpPr>
        <xdr:pic>
          <xdr:nvPicPr>
            <xdr:cNvPr id="32" name="그림 31">
              <a:extLst>
                <a:ext uri="{FF2B5EF4-FFF2-40B4-BE49-F238E27FC236}">
                  <a16:creationId xmlns:a16="http://schemas.microsoft.com/office/drawing/2014/main" id="{950FE8C6-76A1-AD1F-9A24-E009B20146AB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">
              <a:alphaModFix/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1058103" y="133350"/>
              <a:ext cx="10696575" cy="5823499"/>
            </a:xfrm>
            <a:prstGeom prst="rect">
              <a:avLst/>
            </a:prstGeom>
          </xdr:spPr>
        </xdr:pic>
        <xdr:grpSp>
          <xdr:nvGrpSpPr>
            <xdr:cNvPr id="7" name="그룹 6">
              <a:extLst>
                <a:ext uri="{FF2B5EF4-FFF2-40B4-BE49-F238E27FC236}">
                  <a16:creationId xmlns:a16="http://schemas.microsoft.com/office/drawing/2014/main" id="{0447E312-AB2F-C4E6-C485-B80A25650D3C}"/>
                </a:ext>
              </a:extLst>
            </xdr:cNvPr>
            <xdr:cNvGrpSpPr/>
          </xdr:nvGrpSpPr>
          <xdr:grpSpPr>
            <a:xfrm>
              <a:off x="2057400" y="1762126"/>
              <a:ext cx="1724025" cy="457200"/>
              <a:chOff x="1666875" y="952501"/>
              <a:chExt cx="1724025" cy="457200"/>
            </a:xfrm>
          </xdr:grpSpPr>
          <xdr:sp macro="[0]!주문_이동" textlink="">
            <xdr:nvSpPr>
              <xdr:cNvPr id="2" name="직사각형 1">
                <a:extLst>
                  <a:ext uri="{FF2B5EF4-FFF2-40B4-BE49-F238E27FC236}">
                    <a16:creationId xmlns:a16="http://schemas.microsoft.com/office/drawing/2014/main" id="{ADFF894C-3C03-4F41-74B5-D844C1CEB796}"/>
                  </a:ext>
                </a:extLst>
              </xdr:cNvPr>
              <xdr:cNvSpPr/>
            </xdr:nvSpPr>
            <xdr:spPr>
              <a:xfrm>
                <a:off x="1666875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     주문</a:t>
                </a:r>
                <a:r>
                  <a:rPr lang="ko-KR" altLang="en-US" sz="1100" baseline="0">
                    <a:solidFill>
                      <a:sysClr val="windowText" lastClr="000000"/>
                    </a:solidFill>
                  </a:rPr>
                  <a:t> </a:t>
                </a:r>
                <a:r>
                  <a:rPr lang="en-US" altLang="ko-KR" sz="1100">
                    <a:solidFill>
                      <a:sysClr val="windowText" lastClr="000000"/>
                    </a:solidFill>
                  </a:rPr>
                  <a:t>(Ctrl</a:t>
                </a:r>
                <a:r>
                  <a:rPr lang="en-US" altLang="ko-KR" sz="1100" baseline="0">
                    <a:solidFill>
                      <a:sysClr val="windowText" lastClr="000000"/>
                    </a:solidFill>
                  </a:rPr>
                  <a:t> + W)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 macro="[0]!주문_이동">
            <xdr:nvPicPr>
              <xdr:cNvPr id="5" name="Graphic 9" descr="Document">
                <a:extLst>
                  <a:ext uri="{FF2B5EF4-FFF2-40B4-BE49-F238E27FC236}">
                    <a16:creationId xmlns:a16="http://schemas.microsoft.com/office/drawing/2014/main" id="{C94BB103-DCFA-6E38-E10D-5ABB8578B228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12" name="그룹 11">
              <a:extLst>
                <a:ext uri="{FF2B5EF4-FFF2-40B4-BE49-F238E27FC236}">
                  <a16:creationId xmlns:a16="http://schemas.microsoft.com/office/drawing/2014/main" id="{CD24940B-6891-4F8B-96B2-7671631E9D3F}"/>
                </a:ext>
              </a:extLst>
            </xdr:cNvPr>
            <xdr:cNvGrpSpPr/>
          </xdr:nvGrpSpPr>
          <xdr:grpSpPr>
            <a:xfrm>
              <a:off x="2038350" y="2419351"/>
              <a:ext cx="1724025" cy="457200"/>
              <a:chOff x="1676400" y="952501"/>
              <a:chExt cx="1724025" cy="457200"/>
            </a:xfrm>
          </xdr:grpSpPr>
          <xdr:sp macro="[0]!거래리스트_이동" textlink="">
            <xdr:nvSpPr>
              <xdr:cNvPr id="13" name="직사각형 12">
                <a:extLst>
                  <a:ext uri="{FF2B5EF4-FFF2-40B4-BE49-F238E27FC236}">
                    <a16:creationId xmlns:a16="http://schemas.microsoft.com/office/drawing/2014/main" id="{F40DD120-1268-B097-594E-E69DB9206F71}"/>
                  </a:ext>
                </a:extLst>
              </xdr:cNvPr>
              <xdr:cNvSpPr/>
            </xdr:nvSpPr>
            <xdr:spPr>
              <a:xfrm>
                <a:off x="1676400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주문내역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14" name="Graphic 9" descr="Document">
                <a:extLst>
                  <a:ext uri="{FF2B5EF4-FFF2-40B4-BE49-F238E27FC236}">
                    <a16:creationId xmlns:a16="http://schemas.microsoft.com/office/drawing/2014/main" id="{A583B4B2-7817-900F-29BD-D6A6A4348B41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15" name="그룹 14">
              <a:extLst>
                <a:ext uri="{FF2B5EF4-FFF2-40B4-BE49-F238E27FC236}">
                  <a16:creationId xmlns:a16="http://schemas.microsoft.com/office/drawing/2014/main" id="{06E71499-EC86-40D0-A6BE-B7A469B9A0E8}"/>
                </a:ext>
              </a:extLst>
            </xdr:cNvPr>
            <xdr:cNvGrpSpPr/>
          </xdr:nvGrpSpPr>
          <xdr:grpSpPr>
            <a:xfrm>
              <a:off x="2038350" y="3076576"/>
              <a:ext cx="1724025" cy="457200"/>
              <a:chOff x="1666875" y="952501"/>
              <a:chExt cx="1724025" cy="457200"/>
            </a:xfrm>
          </xdr:grpSpPr>
          <xdr:sp macro="[0]!거래내역서_이동" textlink="">
            <xdr:nvSpPr>
              <xdr:cNvPr id="16" name="직사각형 15">
                <a:extLst>
                  <a:ext uri="{FF2B5EF4-FFF2-40B4-BE49-F238E27FC236}">
                    <a16:creationId xmlns:a16="http://schemas.microsoft.com/office/drawing/2014/main" id="{7E2FCC6C-9034-4C3B-4185-5F2CE6D65428}"/>
                  </a:ext>
                </a:extLst>
              </xdr:cNvPr>
              <xdr:cNvSpPr/>
            </xdr:nvSpPr>
            <xdr:spPr>
              <a:xfrm>
                <a:off x="1666875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거래내역서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17" name="Graphic 9" descr="Document">
                <a:extLst>
                  <a:ext uri="{FF2B5EF4-FFF2-40B4-BE49-F238E27FC236}">
                    <a16:creationId xmlns:a16="http://schemas.microsoft.com/office/drawing/2014/main" id="{DDF4EB59-818B-339C-EB8D-466DF6D4D691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21" name="그룹 20">
              <a:extLst>
                <a:ext uri="{FF2B5EF4-FFF2-40B4-BE49-F238E27FC236}">
                  <a16:creationId xmlns:a16="http://schemas.microsoft.com/office/drawing/2014/main" id="{984B8297-105E-4BC2-BB75-153BC76618B2}"/>
                </a:ext>
              </a:extLst>
            </xdr:cNvPr>
            <xdr:cNvGrpSpPr/>
          </xdr:nvGrpSpPr>
          <xdr:grpSpPr>
            <a:xfrm>
              <a:off x="5362575" y="1762126"/>
              <a:ext cx="1724025" cy="457200"/>
              <a:chOff x="1666875" y="952501"/>
              <a:chExt cx="1724025" cy="457200"/>
            </a:xfrm>
          </xdr:grpSpPr>
          <xdr:sp macro="[0]!거래처_이동" textlink="">
            <xdr:nvSpPr>
              <xdr:cNvPr id="22" name="직사각형 21">
                <a:extLst>
                  <a:ext uri="{FF2B5EF4-FFF2-40B4-BE49-F238E27FC236}">
                    <a16:creationId xmlns:a16="http://schemas.microsoft.com/office/drawing/2014/main" id="{3D96BC54-8EF1-7CF4-AA8C-E617C78BEB41}"/>
                  </a:ext>
                </a:extLst>
              </xdr:cNvPr>
              <xdr:cNvSpPr/>
            </xdr:nvSpPr>
            <xdr:spPr>
              <a:xfrm>
                <a:off x="1666875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         거래처관리</a:t>
                </a:r>
                <a:r>
                  <a:rPr lang="en-US" altLang="ko-KR" sz="1100">
                    <a:solidFill>
                      <a:sysClr val="windowText" lastClr="000000"/>
                    </a:solidFill>
                  </a:rPr>
                  <a:t>(Ctrl</a:t>
                </a:r>
                <a:r>
                  <a:rPr lang="en-US" altLang="ko-KR" sz="1100" baseline="0">
                    <a:solidFill>
                      <a:sysClr val="windowText" lastClr="000000"/>
                    </a:solidFill>
                  </a:rPr>
                  <a:t> + E)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23" name="Graphic 9" descr="Document">
                <a:extLst>
                  <a:ext uri="{FF2B5EF4-FFF2-40B4-BE49-F238E27FC236}">
                    <a16:creationId xmlns:a16="http://schemas.microsoft.com/office/drawing/2014/main" id="{BC193453-54D3-28CA-BF0B-7E51AFA50645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24" name="그룹 23">
              <a:extLst>
                <a:ext uri="{FF2B5EF4-FFF2-40B4-BE49-F238E27FC236}">
                  <a16:creationId xmlns:a16="http://schemas.microsoft.com/office/drawing/2014/main" id="{6625431C-4606-4421-AC68-F29F09FD2357}"/>
                </a:ext>
              </a:extLst>
            </xdr:cNvPr>
            <xdr:cNvGrpSpPr/>
          </xdr:nvGrpSpPr>
          <xdr:grpSpPr>
            <a:xfrm>
              <a:off x="5381625" y="2419351"/>
              <a:ext cx="1724025" cy="457200"/>
              <a:chOff x="1666875" y="952501"/>
              <a:chExt cx="1724025" cy="457200"/>
            </a:xfrm>
          </xdr:grpSpPr>
          <xdr:sp macro="[0]!제품리스트_이동" textlink="">
            <xdr:nvSpPr>
              <xdr:cNvPr id="25" name="직사각형 24">
                <a:extLst>
                  <a:ext uri="{FF2B5EF4-FFF2-40B4-BE49-F238E27FC236}">
                    <a16:creationId xmlns:a16="http://schemas.microsoft.com/office/drawing/2014/main" id="{83D03AC7-1CA7-4BCE-506B-441E9F6A9536}"/>
                  </a:ext>
                </a:extLst>
              </xdr:cNvPr>
              <xdr:cNvSpPr/>
            </xdr:nvSpPr>
            <xdr:spPr>
              <a:xfrm>
                <a:off x="1666875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제품관리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26" name="Graphic 9" descr="Document">
                <a:extLst>
                  <a:ext uri="{FF2B5EF4-FFF2-40B4-BE49-F238E27FC236}">
                    <a16:creationId xmlns:a16="http://schemas.microsoft.com/office/drawing/2014/main" id="{03B39079-084F-3F63-36C3-764524EFF7C1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33" name="그룹 32">
              <a:extLst>
                <a:ext uri="{FF2B5EF4-FFF2-40B4-BE49-F238E27FC236}">
                  <a16:creationId xmlns:a16="http://schemas.microsoft.com/office/drawing/2014/main" id="{955AB0B2-A2DD-4B43-A959-829A25CE7907}"/>
                </a:ext>
              </a:extLst>
            </xdr:cNvPr>
            <xdr:cNvGrpSpPr/>
          </xdr:nvGrpSpPr>
          <xdr:grpSpPr>
            <a:xfrm>
              <a:off x="5353391" y="3048741"/>
              <a:ext cx="1724025" cy="457200"/>
              <a:chOff x="-1771309" y="2248641"/>
              <a:chExt cx="1724025" cy="457200"/>
            </a:xfrm>
          </xdr:grpSpPr>
          <xdr:sp macro="[0]!매출관리_이동" textlink="">
            <xdr:nvSpPr>
              <xdr:cNvPr id="34" name="직사각형 33">
                <a:extLst>
                  <a:ext uri="{FF2B5EF4-FFF2-40B4-BE49-F238E27FC236}">
                    <a16:creationId xmlns:a16="http://schemas.microsoft.com/office/drawing/2014/main" id="{0B603061-4549-765E-8AF8-26C3674329A3}"/>
                  </a:ext>
                </a:extLst>
              </xdr:cNvPr>
              <xdr:cNvSpPr/>
            </xdr:nvSpPr>
            <xdr:spPr>
              <a:xfrm>
                <a:off x="-1771309" y="224864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       매출관리</a:t>
                </a:r>
                <a:r>
                  <a:rPr lang="en-US" altLang="ko-KR" sz="1100">
                    <a:solidFill>
                      <a:sysClr val="windowText" lastClr="000000"/>
                    </a:solidFill>
                  </a:rPr>
                  <a:t>(Ctrl</a:t>
                </a:r>
                <a:r>
                  <a:rPr lang="en-US" altLang="ko-KR" sz="1100" baseline="0">
                    <a:solidFill>
                      <a:sysClr val="windowText" lastClr="000000"/>
                    </a:solidFill>
                  </a:rPr>
                  <a:t> + R)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35" name="Graphic 9" descr="Document">
                <a:extLst>
                  <a:ext uri="{FF2B5EF4-FFF2-40B4-BE49-F238E27FC236}">
                    <a16:creationId xmlns:a16="http://schemas.microsoft.com/office/drawing/2014/main" id="{CF0FAE1D-DFDE-3270-9DC2-3EF8589CB5A8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-1682383" y="2319950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36" name="그룹 35">
              <a:extLst>
                <a:ext uri="{FF2B5EF4-FFF2-40B4-BE49-F238E27FC236}">
                  <a16:creationId xmlns:a16="http://schemas.microsoft.com/office/drawing/2014/main" id="{3AF14D37-3623-406E-8914-7D64CEC8B192}"/>
                </a:ext>
              </a:extLst>
            </xdr:cNvPr>
            <xdr:cNvGrpSpPr/>
          </xdr:nvGrpSpPr>
          <xdr:grpSpPr>
            <a:xfrm>
              <a:off x="5372025" y="3678979"/>
              <a:ext cx="1724025" cy="457200"/>
              <a:chOff x="-1752675" y="2212129"/>
              <a:chExt cx="1724025" cy="457200"/>
            </a:xfrm>
          </xdr:grpSpPr>
          <xdr:sp macro="[0]!미수금" textlink="">
            <xdr:nvSpPr>
              <xdr:cNvPr id="37" name="직사각형 36">
                <a:extLst>
                  <a:ext uri="{FF2B5EF4-FFF2-40B4-BE49-F238E27FC236}">
                    <a16:creationId xmlns:a16="http://schemas.microsoft.com/office/drawing/2014/main" id="{B73D7EB2-3C55-14D6-FFAF-93B3039CE02A}"/>
                  </a:ext>
                </a:extLst>
              </xdr:cNvPr>
              <xdr:cNvSpPr/>
            </xdr:nvSpPr>
            <xdr:spPr>
              <a:xfrm>
                <a:off x="-1752675" y="2212129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미수금관리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38" name="Graphic 9" descr="Document">
                <a:extLst>
                  <a:ext uri="{FF2B5EF4-FFF2-40B4-BE49-F238E27FC236}">
                    <a16:creationId xmlns:a16="http://schemas.microsoft.com/office/drawing/2014/main" id="{B8F4086F-6241-A2FA-7D9D-41FA2768DD38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-1663747" y="2283441"/>
                <a:ext cx="306625" cy="320514"/>
              </a:xfrm>
              <a:prstGeom prst="rect">
                <a:avLst/>
              </a:prstGeom>
            </xdr:spPr>
          </xdr:pic>
        </xdr:grpSp>
        <xdr:grpSp>
          <xdr:nvGrpSpPr>
            <xdr:cNvPr id="39" name="그룹 38">
              <a:extLst>
                <a:ext uri="{FF2B5EF4-FFF2-40B4-BE49-F238E27FC236}">
                  <a16:creationId xmlns:a16="http://schemas.microsoft.com/office/drawing/2014/main" id="{41380357-08E0-404A-B3D0-ECE06301D0A8}"/>
                </a:ext>
              </a:extLst>
            </xdr:cNvPr>
            <xdr:cNvGrpSpPr/>
          </xdr:nvGrpSpPr>
          <xdr:grpSpPr>
            <a:xfrm>
              <a:off x="2047875" y="3724276"/>
              <a:ext cx="1724025" cy="457200"/>
              <a:chOff x="1666875" y="952501"/>
              <a:chExt cx="1724025" cy="457200"/>
            </a:xfrm>
          </xdr:grpSpPr>
          <xdr:sp macro="[0]!경비처리_이동" textlink="">
            <xdr:nvSpPr>
              <xdr:cNvPr id="40" name="직사각형 39">
                <a:extLst>
                  <a:ext uri="{FF2B5EF4-FFF2-40B4-BE49-F238E27FC236}">
                    <a16:creationId xmlns:a16="http://schemas.microsoft.com/office/drawing/2014/main" id="{5054E457-1CA9-7F88-2B3D-5B3656A38007}"/>
                  </a:ext>
                </a:extLst>
              </xdr:cNvPr>
              <xdr:cNvSpPr/>
            </xdr:nvSpPr>
            <xdr:spPr>
              <a:xfrm>
                <a:off x="1666875" y="952501"/>
                <a:ext cx="1724025" cy="457200"/>
              </a:xfrm>
              <a:prstGeom prst="rect">
                <a:avLst/>
              </a:prstGeom>
              <a:solidFill>
                <a:schemeClr val="bg1"/>
              </a:solidFill>
              <a:ln>
                <a:noFill/>
              </a:ln>
            </xdr:spPr>
            <xdr:style>
              <a:lnRef idx="2">
                <a:schemeClr val="accent1">
                  <a:shade val="15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ctr"/>
              <a:lstStyle/>
              <a:p>
                <a:pPr algn="ctr"/>
                <a:r>
                  <a:rPr lang="ko-KR" altLang="en-US" sz="1100">
                    <a:solidFill>
                      <a:sysClr val="windowText" lastClr="000000"/>
                    </a:solidFill>
                  </a:rPr>
                  <a:t>경비처리</a:t>
                </a:r>
                <a:endParaRPr lang="en-US" altLang="ko-KR" sz="1100">
                  <a:solidFill>
                    <a:sysClr val="windowText" lastClr="000000"/>
                  </a:solidFill>
                </a:endParaRPr>
              </a:p>
            </xdr:txBody>
          </xdr:sp>
          <xdr:pic>
            <xdr:nvPicPr>
              <xdr:cNvPr id="41" name="Graphic 9" descr="Document">
                <a:extLst>
                  <a:ext uri="{FF2B5EF4-FFF2-40B4-BE49-F238E27FC236}">
                    <a16:creationId xmlns:a16="http://schemas.microsoft.com/office/drawing/2014/main" id="{8B63A8DE-02B5-FD30-231F-260A77FCC1F1}"/>
                  </a:ext>
                </a:extLst>
              </xdr:cNvPr>
              <xdr:cNvPicPr>
                <a:picLocks noChangeAspect="1"/>
              </xdr:cNvPicPr>
            </xdr:nvPicPr>
            <xdr:blipFill>
              <a:blip xmlns:r="http://schemas.openxmlformats.org/officeDocument/2006/relationships" r:embed="rId2" cstate="print">
                <a:extLst>
                  <a:ext uri="{28A0092B-C50C-407E-A947-70E740481C1C}">
                    <a14:useLocalDpi xmlns:a14="http://schemas.microsoft.com/office/drawing/2010/main" val="0"/>
                  </a:ext>
                  <a:ext uri="{96DAC541-7B7A-43D3-8B79-37D633B846F1}">
                    <asvg:svgBlip xmlns:asvg="http://schemas.microsoft.com/office/drawing/2016/SVG/main" r:embed="rId3"/>
                  </a:ext>
                </a:extLst>
              </a:blip>
              <a:stretch>
                <a:fillRect/>
              </a:stretch>
            </xdr:blipFill>
            <xdr:spPr>
              <a:xfrm>
                <a:off x="1755802" y="1023811"/>
                <a:ext cx="306625" cy="320514"/>
              </a:xfrm>
              <a:prstGeom prst="rect">
                <a:avLst/>
              </a:prstGeom>
            </xdr:spPr>
          </xdr:pic>
        </xdr:grpSp>
      </xdr:grpSp>
      <xdr:sp macro="" textlink="">
        <xdr:nvSpPr>
          <xdr:cNvPr id="11" name="TextBox 10">
            <a:extLst>
              <a:ext uri="{FF2B5EF4-FFF2-40B4-BE49-F238E27FC236}">
                <a16:creationId xmlns:a16="http://schemas.microsoft.com/office/drawing/2014/main" id="{90924AE9-6300-28DB-82B8-EB0A4194ADB7}"/>
              </a:ext>
            </a:extLst>
          </xdr:cNvPr>
          <xdr:cNvSpPr txBox="1"/>
        </xdr:nvSpPr>
        <xdr:spPr>
          <a:xfrm>
            <a:off x="4800600" y="1647825"/>
            <a:ext cx="4251228" cy="82586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4400">
                <a:solidFill>
                  <a:schemeClr val="bg1"/>
                </a:solidFill>
                <a:latin typeface="HY헤드라인M" panose="02030600000101010101" pitchFamily="18" charset="-127"/>
                <a:ea typeface="HY헤드라인M" panose="02030600000101010101" pitchFamily="18" charset="-127"/>
              </a:rPr>
              <a:t>BTS&amp;</a:t>
            </a:r>
            <a:r>
              <a:rPr lang="en-US" altLang="ko-KR" sz="4400" baseline="0">
                <a:solidFill>
                  <a:schemeClr val="bg1"/>
                </a:solidFill>
                <a:latin typeface="HY헤드라인M" panose="02030600000101010101" pitchFamily="18" charset="-127"/>
                <a:ea typeface="HY헤드라인M" panose="02030600000101010101" pitchFamily="18" charset="-127"/>
              </a:rPr>
              <a:t>P </a:t>
            </a:r>
            <a:r>
              <a:rPr lang="ko-KR" altLang="en-US" sz="4400" baseline="0">
                <a:solidFill>
                  <a:schemeClr val="bg1"/>
                </a:solidFill>
                <a:latin typeface="HY헤드라인M" panose="02030600000101010101" pitchFamily="18" charset="-127"/>
                <a:ea typeface="HY헤드라인M" panose="02030600000101010101" pitchFamily="18" charset="-127"/>
              </a:rPr>
              <a:t>매출관리</a:t>
            </a:r>
            <a:endParaRPr lang="ko-KR" altLang="en-US" sz="4400">
              <a:solidFill>
                <a:schemeClr val="bg1"/>
              </a:solidFill>
              <a:latin typeface="HY헤드라인M" panose="02030600000101010101" pitchFamily="18" charset="-127"/>
              <a:ea typeface="HY헤드라인M" panose="02030600000101010101" pitchFamily="18" charset="-127"/>
            </a:endParaRPr>
          </a:p>
        </xdr:txBody>
      </xdr:sp>
    </xdr:grpSp>
    <xdr:clientData/>
  </xdr:twoCellAnchor>
  <xdr:twoCellAnchor>
    <xdr:from>
      <xdr:col>3</xdr:col>
      <xdr:colOff>323849</xdr:colOff>
      <xdr:row>24</xdr:row>
      <xdr:rowOff>9525</xdr:rowOff>
    </xdr:from>
    <xdr:to>
      <xdr:col>5</xdr:col>
      <xdr:colOff>676274</xdr:colOff>
      <xdr:row>26</xdr:row>
      <xdr:rowOff>47625</xdr:rowOff>
    </xdr:to>
    <xdr:sp macro="[0]!거래명세서_이동" textlink="">
      <xdr:nvSpPr>
        <xdr:cNvPr id="10" name="직사각형 9">
          <a:extLst>
            <a:ext uri="{FF2B5EF4-FFF2-40B4-BE49-F238E27FC236}">
              <a16:creationId xmlns:a16="http://schemas.microsoft.com/office/drawing/2014/main" id="{D0BFE49E-C3F9-470C-89AB-CF66C8636BD8}"/>
            </a:ext>
          </a:extLst>
        </xdr:cNvPr>
        <xdr:cNvSpPr/>
      </xdr:nvSpPr>
      <xdr:spPr>
        <a:xfrm>
          <a:off x="1009649" y="4410075"/>
          <a:ext cx="1724025" cy="457200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100">
              <a:solidFill>
                <a:sysClr val="windowText" lastClr="000000"/>
              </a:solidFill>
            </a:rPr>
            <a:t>거래명세서</a:t>
          </a:r>
          <a:endParaRPr lang="en-US" altLang="ko-KR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3</xdr:col>
      <xdr:colOff>371474</xdr:colOff>
      <xdr:row>24</xdr:row>
      <xdr:rowOff>66675</xdr:rowOff>
    </xdr:from>
    <xdr:to>
      <xdr:col>3</xdr:col>
      <xdr:colOff>678099</xdr:colOff>
      <xdr:row>25</xdr:row>
      <xdr:rowOff>177639</xdr:rowOff>
    </xdr:to>
    <xdr:pic>
      <xdr:nvPicPr>
        <xdr:cNvPr id="19" name="Graphic 9" descr="Document">
          <a:extLst>
            <a:ext uri="{FF2B5EF4-FFF2-40B4-BE49-F238E27FC236}">
              <a16:creationId xmlns:a16="http://schemas.microsoft.com/office/drawing/2014/main" id="{C250252F-D6A2-4826-8796-289CB8C0D52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1057274" y="4467225"/>
          <a:ext cx="306625" cy="320514"/>
        </a:xfrm>
        <a:prstGeom prst="rect">
          <a:avLst/>
        </a:prstGeom>
      </xdr:spPr>
    </xdr:pic>
    <xdr:clientData/>
  </xdr:twoCellAnchor>
  <xdr:twoCellAnchor>
    <xdr:from>
      <xdr:col>13</xdr:col>
      <xdr:colOff>123825</xdr:colOff>
      <xdr:row>11</xdr:row>
      <xdr:rowOff>9525</xdr:rowOff>
    </xdr:from>
    <xdr:to>
      <xdr:col>15</xdr:col>
      <xdr:colOff>514630</xdr:colOff>
      <xdr:row>13</xdr:row>
      <xdr:rowOff>67523</xdr:rowOff>
    </xdr:to>
    <xdr:sp macro="[0]!FastGrage매입장_이동" textlink="">
      <xdr:nvSpPr>
        <xdr:cNvPr id="3" name="직사각형 2">
          <a:extLst>
            <a:ext uri="{FF2B5EF4-FFF2-40B4-BE49-F238E27FC236}">
              <a16:creationId xmlns:a16="http://schemas.microsoft.com/office/drawing/2014/main" id="{AE5D023C-3347-4917-8266-4D6A1BE39387}"/>
            </a:ext>
          </a:extLst>
        </xdr:cNvPr>
        <xdr:cNvSpPr/>
      </xdr:nvSpPr>
      <xdr:spPr>
        <a:xfrm>
          <a:off x="7667625" y="1685925"/>
          <a:ext cx="1762405" cy="477098"/>
        </a:xfrm>
        <a:prstGeom prst="rect">
          <a:avLst/>
        </a:prstGeom>
        <a:solidFill>
          <a:schemeClr val="bg1"/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100">
              <a:solidFill>
                <a:sysClr val="windowText" lastClr="000000"/>
              </a:solidFill>
            </a:rPr>
            <a:t>FastGrage </a:t>
          </a:r>
          <a:r>
            <a:rPr lang="ko-KR" altLang="en-US" sz="1100">
              <a:solidFill>
                <a:sysClr val="windowText" lastClr="000000"/>
              </a:solidFill>
            </a:rPr>
            <a:t>매입장</a:t>
          </a:r>
          <a:endParaRPr lang="en-US" altLang="ko-KR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13</xdr:col>
      <xdr:colOff>204995</xdr:colOff>
      <xdr:row>11</xdr:row>
      <xdr:rowOff>83939</xdr:rowOff>
    </xdr:from>
    <xdr:to>
      <xdr:col>13</xdr:col>
      <xdr:colOff>518446</xdr:colOff>
      <xdr:row>12</xdr:row>
      <xdr:rowOff>208852</xdr:rowOff>
    </xdr:to>
    <xdr:pic>
      <xdr:nvPicPr>
        <xdr:cNvPr id="4" name="Graphic 9" descr="Document">
          <a:extLst>
            <a:ext uri="{FF2B5EF4-FFF2-40B4-BE49-F238E27FC236}">
              <a16:creationId xmlns:a16="http://schemas.microsoft.com/office/drawing/2014/main" id="{89BCE509-D058-4F85-9B22-171A4BFF399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3"/>
            </a:ext>
          </a:extLst>
        </a:blip>
        <a:stretch>
          <a:fillRect/>
        </a:stretch>
      </xdr:blipFill>
      <xdr:spPr>
        <a:xfrm>
          <a:off x="7748795" y="1760339"/>
          <a:ext cx="313451" cy="334463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19051</xdr:colOff>
      <xdr:row>0</xdr:row>
      <xdr:rowOff>19050</xdr:rowOff>
    </xdr:from>
    <xdr:to>
      <xdr:col>17</xdr:col>
      <xdr:colOff>38101</xdr:colOff>
      <xdr:row>1</xdr:row>
      <xdr:rowOff>0</xdr:rowOff>
    </xdr:to>
    <xdr:sp macro="[0]!홈_이동" textlink="">
      <xdr:nvSpPr>
        <xdr:cNvPr id="2" name="직사각형 1">
          <a:extLst>
            <a:ext uri="{FF2B5EF4-FFF2-40B4-BE49-F238E27FC236}">
              <a16:creationId xmlns:a16="http://schemas.microsoft.com/office/drawing/2014/main" id="{8EF58ED0-DB4C-4314-9C95-9E948030FE39}"/>
            </a:ext>
          </a:extLst>
        </xdr:cNvPr>
        <xdr:cNvSpPr/>
      </xdr:nvSpPr>
      <xdr:spPr>
        <a:xfrm>
          <a:off x="19051" y="19050"/>
          <a:ext cx="5010150" cy="28575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19051</xdr:colOff>
      <xdr:row>0</xdr:row>
      <xdr:rowOff>19050</xdr:rowOff>
    </xdr:from>
    <xdr:to>
      <xdr:col>17</xdr:col>
      <xdr:colOff>38101</xdr:colOff>
      <xdr:row>1</xdr:row>
      <xdr:rowOff>0</xdr:rowOff>
    </xdr:to>
    <xdr:sp macro="" textlink="">
      <xdr:nvSpPr>
        <xdr:cNvPr id="5" name="직사각형 4">
          <a:extLst>
            <a:ext uri="{FF2B5EF4-FFF2-40B4-BE49-F238E27FC236}">
              <a16:creationId xmlns:a16="http://schemas.microsoft.com/office/drawing/2014/main" id="{7C7B4260-ED6C-44C7-8E02-E1BB66C6A46B}"/>
            </a:ext>
          </a:extLst>
        </xdr:cNvPr>
        <xdr:cNvSpPr/>
      </xdr:nvSpPr>
      <xdr:spPr>
        <a:xfrm>
          <a:off x="19051" y="19050"/>
          <a:ext cx="5010150" cy="28575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19051</xdr:colOff>
      <xdr:row>23</xdr:row>
      <xdr:rowOff>19050</xdr:rowOff>
    </xdr:from>
    <xdr:to>
      <xdr:col>17</xdr:col>
      <xdr:colOff>38101</xdr:colOff>
      <xdr:row>24</xdr:row>
      <xdr:rowOff>0</xdr:rowOff>
    </xdr:to>
    <xdr:sp macro="" textlink="">
      <xdr:nvSpPr>
        <xdr:cNvPr id="6" name="직사각형 5">
          <a:extLst>
            <a:ext uri="{FF2B5EF4-FFF2-40B4-BE49-F238E27FC236}">
              <a16:creationId xmlns:a16="http://schemas.microsoft.com/office/drawing/2014/main" id="{2F4C7C27-8F5B-434B-9D94-10F267CA3764}"/>
            </a:ext>
          </a:extLst>
        </xdr:cNvPr>
        <xdr:cNvSpPr/>
      </xdr:nvSpPr>
      <xdr:spPr>
        <a:xfrm>
          <a:off x="19051" y="4724400"/>
          <a:ext cx="5010150" cy="28575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16565</xdr:rowOff>
    </xdr:from>
    <xdr:to>
      <xdr:col>27</xdr:col>
      <xdr:colOff>470647</xdr:colOff>
      <xdr:row>1</xdr:row>
      <xdr:rowOff>236830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E4937043-C812-4D55-A650-0886434E9D4E}"/>
            </a:ext>
          </a:extLst>
        </xdr:cNvPr>
        <xdr:cNvSpPr/>
      </xdr:nvSpPr>
      <xdr:spPr>
        <a:xfrm>
          <a:off x="0" y="16565"/>
          <a:ext cx="27910930" cy="452178"/>
        </a:xfrm>
        <a:prstGeom prst="rect">
          <a:avLst/>
        </a:prstGeom>
        <a:solidFill>
          <a:schemeClr val="bg1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absolute">
    <xdr:from>
      <xdr:col>2</xdr:col>
      <xdr:colOff>436629</xdr:colOff>
      <xdr:row>2</xdr:row>
      <xdr:rowOff>54994</xdr:rowOff>
    </xdr:from>
    <xdr:to>
      <xdr:col>2</xdr:col>
      <xdr:colOff>1393903</xdr:colOff>
      <xdr:row>2</xdr:row>
      <xdr:rowOff>321966</xdr:rowOff>
    </xdr:to>
    <xdr:grpSp>
      <xdr:nvGrpSpPr>
        <xdr:cNvPr id="3" name="Group 37">
          <a:extLst>
            <a:ext uri="{FF2B5EF4-FFF2-40B4-BE49-F238E27FC236}">
              <a16:creationId xmlns:a16="http://schemas.microsoft.com/office/drawing/2014/main" id="{BA3C667D-3598-42DD-A240-26A79FD2F276}"/>
            </a:ext>
          </a:extLst>
        </xdr:cNvPr>
        <xdr:cNvGrpSpPr/>
      </xdr:nvGrpSpPr>
      <xdr:grpSpPr>
        <a:xfrm>
          <a:off x="1608204" y="607444"/>
          <a:ext cx="957274" cy="266972"/>
          <a:chOff x="274468" y="503963"/>
          <a:chExt cx="942891" cy="291737"/>
        </a:xfrm>
      </xdr:grpSpPr>
      <xdr:sp macro="[0]!OpenfrmCustomer" textlink="">
        <xdr:nvSpPr>
          <xdr:cNvPr id="4" name="Rectangle 19">
            <a:extLst>
              <a:ext uri="{FF2B5EF4-FFF2-40B4-BE49-F238E27FC236}">
                <a16:creationId xmlns:a16="http://schemas.microsoft.com/office/drawing/2014/main" id="{6C7C87B7-5E20-8789-4F23-0997C50D4289}"/>
              </a:ext>
            </a:extLst>
          </xdr:cNvPr>
          <xdr:cNvSpPr/>
        </xdr:nvSpPr>
        <xdr:spPr>
          <a:xfrm>
            <a:off x="274468" y="506140"/>
            <a:ext cx="629008" cy="287383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800" b="1">
                <a:solidFill>
                  <a:schemeClr val="tx1">
                    <a:lumMod val="85000"/>
                    <a:lumOff val="15000"/>
                  </a:schemeClr>
                </a:solidFill>
              </a:rPr>
              <a:t>거래처관리</a:t>
            </a:r>
          </a:p>
        </xdr:txBody>
      </xdr:sp>
      <xdr:grpSp>
        <xdr:nvGrpSpPr>
          <xdr:cNvPr id="5" name="Group 36">
            <a:extLst>
              <a:ext uri="{FF2B5EF4-FFF2-40B4-BE49-F238E27FC236}">
                <a16:creationId xmlns:a16="http://schemas.microsoft.com/office/drawing/2014/main" id="{A2158F0C-6D72-04C5-E67C-CEEE26F60E69}"/>
              </a:ext>
            </a:extLst>
          </xdr:cNvPr>
          <xdr:cNvGrpSpPr/>
        </xdr:nvGrpSpPr>
        <xdr:grpSpPr>
          <a:xfrm>
            <a:off x="909271" y="503963"/>
            <a:ext cx="308088" cy="291737"/>
            <a:chOff x="1009716" y="503963"/>
            <a:chExt cx="308088" cy="291737"/>
          </a:xfrm>
        </xdr:grpSpPr>
        <xdr:sp macro="[0]!OpenfrmCustomer" textlink="">
          <xdr:nvSpPr>
            <xdr:cNvPr id="6" name="Rectangle 20">
              <a:extLst>
                <a:ext uri="{FF2B5EF4-FFF2-40B4-BE49-F238E27FC236}">
                  <a16:creationId xmlns:a16="http://schemas.microsoft.com/office/drawing/2014/main" id="{F27CC46E-91E7-9EAD-9854-E0852E0256A8}"/>
                </a:ext>
              </a:extLst>
            </xdr:cNvPr>
            <xdr:cNvSpPr/>
          </xdr:nvSpPr>
          <xdr:spPr>
            <a:xfrm>
              <a:off x="1009716" y="506140"/>
              <a:ext cx="308088" cy="287383"/>
            </a:xfrm>
            <a:prstGeom prst="rect">
              <a:avLst/>
            </a:prstGeom>
            <a:solidFill>
              <a:schemeClr val="tx1">
                <a:lumMod val="65000"/>
                <a:lumOff val="35000"/>
              </a:schemeClr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endParaRPr lang="ko-KR" altLang="en-US" sz="900"/>
            </a:p>
          </xdr:txBody>
        </xdr:sp>
        <xdr:pic macro="[0]!OpenfrmCustomer">
          <xdr:nvPicPr>
            <xdr:cNvPr id="7" name="Graphic 22" descr="User">
              <a:extLst>
                <a:ext uri="{FF2B5EF4-FFF2-40B4-BE49-F238E27FC236}">
                  <a16:creationId xmlns:a16="http://schemas.microsoft.com/office/drawing/2014/main" id="{DA3CB890-DA1E-2E94-5311-E4910FEC570F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" cstate="print">
              <a:extLst>
                <a:ext uri="{28A0092B-C50C-407E-A947-70E740481C1C}">
                  <a14:useLocalDpi xmlns:a14="http://schemas.microsoft.com/office/drawing/2010/main" val="0"/>
                </a:ext>
                <a:ext uri="{96DAC541-7B7A-43D3-8B79-37D633B846F1}">
                  <asvg:svgBlip xmlns:asvg="http://schemas.microsoft.com/office/drawing/2016/SVG/main" r:embed="rId2"/>
                </a:ext>
              </a:extLst>
            </a:blip>
            <a:stretch>
              <a:fillRect/>
            </a:stretch>
          </xdr:blipFill>
          <xdr:spPr>
            <a:xfrm>
              <a:off x="1018425" y="503963"/>
              <a:ext cx="290671" cy="291737"/>
            </a:xfrm>
            <a:prstGeom prst="rect">
              <a:avLst/>
            </a:prstGeom>
          </xdr:spPr>
        </xdr:pic>
      </xdr:grpSp>
    </xdr:grpSp>
    <xdr:clientData/>
  </xdr:twoCellAnchor>
  <xdr:twoCellAnchor>
    <xdr:from>
      <xdr:col>1</xdr:col>
      <xdr:colOff>15725</xdr:colOff>
      <xdr:row>2</xdr:row>
      <xdr:rowOff>49133</xdr:rowOff>
    </xdr:from>
    <xdr:to>
      <xdr:col>2</xdr:col>
      <xdr:colOff>17739</xdr:colOff>
      <xdr:row>2</xdr:row>
      <xdr:rowOff>339143</xdr:rowOff>
    </xdr:to>
    <xdr:grpSp>
      <xdr:nvGrpSpPr>
        <xdr:cNvPr id="16" name="Group 3">
          <a:extLst>
            <a:ext uri="{FF2B5EF4-FFF2-40B4-BE49-F238E27FC236}">
              <a16:creationId xmlns:a16="http://schemas.microsoft.com/office/drawing/2014/main" id="{CEF6249A-40DF-4E62-89D9-1187231A5D93}"/>
            </a:ext>
          </a:extLst>
        </xdr:cNvPr>
        <xdr:cNvGrpSpPr/>
      </xdr:nvGrpSpPr>
      <xdr:grpSpPr>
        <a:xfrm>
          <a:off x="263375" y="601583"/>
          <a:ext cx="925939" cy="290010"/>
          <a:chOff x="263734" y="509208"/>
          <a:chExt cx="925760" cy="290010"/>
        </a:xfrm>
      </xdr:grpSpPr>
      <xdr:grpSp>
        <xdr:nvGrpSpPr>
          <xdr:cNvPr id="17" name="Group 98">
            <a:extLst>
              <a:ext uri="{FF2B5EF4-FFF2-40B4-BE49-F238E27FC236}">
                <a16:creationId xmlns:a16="http://schemas.microsoft.com/office/drawing/2014/main" id="{5D01BC37-D2DF-BF3F-FC93-193D90DBB417}"/>
              </a:ext>
            </a:extLst>
          </xdr:cNvPr>
          <xdr:cNvGrpSpPr/>
        </xdr:nvGrpSpPr>
        <xdr:grpSpPr>
          <a:xfrm>
            <a:off x="263734" y="509208"/>
            <a:ext cx="925760" cy="290010"/>
            <a:chOff x="1896634" y="510050"/>
            <a:chExt cx="921367" cy="290010"/>
          </a:xfrm>
        </xdr:grpSpPr>
        <xdr:sp macro="[0]!OpenfrmProduct" textlink="">
          <xdr:nvSpPr>
            <xdr:cNvPr id="19" name="Rectangle 93">
              <a:extLst>
                <a:ext uri="{FF2B5EF4-FFF2-40B4-BE49-F238E27FC236}">
                  <a16:creationId xmlns:a16="http://schemas.microsoft.com/office/drawing/2014/main" id="{33EE088A-7150-38F7-938A-AF6675E3EDC8}"/>
                </a:ext>
              </a:extLst>
            </xdr:cNvPr>
            <xdr:cNvSpPr/>
          </xdr:nvSpPr>
          <xdr:spPr>
            <a:xfrm>
              <a:off x="1896634" y="510067"/>
              <a:ext cx="627093" cy="289978"/>
            </a:xfrm>
            <a:prstGeom prst="rect">
              <a:avLst/>
            </a:prstGeom>
            <a:solidFill>
              <a:schemeClr val="bg1"/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r>
                <a:rPr lang="ko-KR" altLang="en-US" sz="900" b="1">
                  <a:solidFill>
                    <a:schemeClr val="tx1">
                      <a:lumMod val="85000"/>
                      <a:lumOff val="15000"/>
                    </a:schemeClr>
                  </a:solidFill>
                </a:rPr>
                <a:t>제품관리</a:t>
              </a:r>
            </a:p>
          </xdr:txBody>
        </xdr:sp>
        <xdr:sp macro="[0]!OpenfrmProduct" textlink="">
          <xdr:nvSpPr>
            <xdr:cNvPr id="20" name="Rectangle 94">
              <a:extLst>
                <a:ext uri="{FF2B5EF4-FFF2-40B4-BE49-F238E27FC236}">
                  <a16:creationId xmlns:a16="http://schemas.microsoft.com/office/drawing/2014/main" id="{A91A6C3A-CF10-679B-24DF-861E2602F076}"/>
                </a:ext>
              </a:extLst>
            </xdr:cNvPr>
            <xdr:cNvSpPr/>
          </xdr:nvSpPr>
          <xdr:spPr>
            <a:xfrm>
              <a:off x="2510516" y="510050"/>
              <a:ext cx="307485" cy="290010"/>
            </a:xfrm>
            <a:prstGeom prst="rect">
              <a:avLst/>
            </a:prstGeom>
            <a:solidFill>
              <a:schemeClr val="tx1">
                <a:lumMod val="65000"/>
                <a:lumOff val="35000"/>
              </a:schemeClr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endParaRPr lang="ko-KR" altLang="en-US" sz="900"/>
            </a:p>
          </xdr:txBody>
        </xdr:sp>
      </xdr:grpSp>
      <xdr:pic macro="[0]!OpenfrmProduct">
        <xdr:nvPicPr>
          <xdr:cNvPr id="18" name="Graphic 2" descr="Inventory with solid fill">
            <a:extLst>
              <a:ext uri="{FF2B5EF4-FFF2-40B4-BE49-F238E27FC236}">
                <a16:creationId xmlns:a16="http://schemas.microsoft.com/office/drawing/2014/main" id="{4D14E076-858F-DE51-0AC2-BA13993E4D8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901931" y="519195"/>
            <a:ext cx="273418" cy="273418"/>
          </a:xfrm>
          <a:prstGeom prst="rect">
            <a:avLst/>
          </a:prstGeom>
        </xdr:spPr>
      </xdr:pic>
    </xdr:grpSp>
    <xdr:clientData/>
  </xdr:twoCellAnchor>
  <xdr:twoCellAnchor editAs="absolute">
    <xdr:from>
      <xdr:col>1</xdr:col>
      <xdr:colOff>706525</xdr:colOff>
      <xdr:row>5</xdr:row>
      <xdr:rowOff>22373</xdr:rowOff>
    </xdr:from>
    <xdr:to>
      <xdr:col>1</xdr:col>
      <xdr:colOff>896784</xdr:colOff>
      <xdr:row>5</xdr:row>
      <xdr:rowOff>205937</xdr:rowOff>
    </xdr:to>
    <xdr:grpSp>
      <xdr:nvGrpSpPr>
        <xdr:cNvPr id="21" name="Group 21">
          <a:extLst>
            <a:ext uri="{FF2B5EF4-FFF2-40B4-BE49-F238E27FC236}">
              <a16:creationId xmlns:a16="http://schemas.microsoft.com/office/drawing/2014/main" id="{FD773007-22C6-4991-ABB4-1846ED1776AD}"/>
            </a:ext>
          </a:extLst>
        </xdr:cNvPr>
        <xdr:cNvGrpSpPr/>
      </xdr:nvGrpSpPr>
      <xdr:grpSpPr>
        <a:xfrm>
          <a:off x="954175" y="1413023"/>
          <a:ext cx="190259" cy="183564"/>
          <a:chOff x="1584047" y="912421"/>
          <a:chExt cx="167563" cy="169966"/>
        </a:xfrm>
      </xdr:grpSpPr>
      <xdr:sp macro="[0]!OpenfrmCustomerSelect" textlink="">
        <xdr:nvSpPr>
          <xdr:cNvPr id="22" name="직사각형 1">
            <a:extLst>
              <a:ext uri="{FF2B5EF4-FFF2-40B4-BE49-F238E27FC236}">
                <a16:creationId xmlns:a16="http://schemas.microsoft.com/office/drawing/2014/main" id="{EA2DBE97-B6E5-334D-5183-0FE0E07D9883}"/>
              </a:ext>
            </a:extLst>
          </xdr:cNvPr>
          <xdr:cNvSpPr/>
        </xdr:nvSpPr>
        <xdr:spPr>
          <a:xfrm>
            <a:off x="1584047" y="912421"/>
            <a:ext cx="167563" cy="169966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penfrmCustomerSelect">
        <xdr:nvPicPr>
          <xdr:cNvPr id="23" name="Graphic 24" descr="Magnifying glass">
            <a:extLst>
              <a:ext uri="{FF2B5EF4-FFF2-40B4-BE49-F238E27FC236}">
                <a16:creationId xmlns:a16="http://schemas.microsoft.com/office/drawing/2014/main" id="{AA098FC9-77F0-D369-D964-18FAD7DC5393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tretch>
            <a:fillRect/>
          </a:stretch>
        </xdr:blipFill>
        <xdr:spPr>
          <a:xfrm>
            <a:off x="1591628" y="921204"/>
            <a:ext cx="152400" cy="152400"/>
          </a:xfrm>
          <a:prstGeom prst="rect">
            <a:avLst/>
          </a:prstGeom>
        </xdr:spPr>
      </xdr:pic>
    </xdr:grpSp>
    <xdr:clientData/>
  </xdr:twoCellAnchor>
  <xdr:twoCellAnchor editAs="absolute">
    <xdr:from>
      <xdr:col>2</xdr:col>
      <xdr:colOff>2149961</xdr:colOff>
      <xdr:row>5</xdr:row>
      <xdr:rowOff>21711</xdr:rowOff>
    </xdr:from>
    <xdr:to>
      <xdr:col>2</xdr:col>
      <xdr:colOff>2340220</xdr:colOff>
      <xdr:row>5</xdr:row>
      <xdr:rowOff>207180</xdr:rowOff>
    </xdr:to>
    <xdr:grpSp>
      <xdr:nvGrpSpPr>
        <xdr:cNvPr id="24" name="Group 25">
          <a:extLst>
            <a:ext uri="{FF2B5EF4-FFF2-40B4-BE49-F238E27FC236}">
              <a16:creationId xmlns:a16="http://schemas.microsoft.com/office/drawing/2014/main" id="{EC282668-A262-4B32-B2BB-194D42336D9D}"/>
            </a:ext>
          </a:extLst>
        </xdr:cNvPr>
        <xdr:cNvGrpSpPr/>
      </xdr:nvGrpSpPr>
      <xdr:grpSpPr>
        <a:xfrm>
          <a:off x="3321536" y="1412361"/>
          <a:ext cx="190259" cy="185469"/>
          <a:chOff x="2710677" y="1097978"/>
          <a:chExt cx="190259" cy="191184"/>
        </a:xfrm>
      </xdr:grpSpPr>
      <xdr:sp macro="[0]!OrderCustomerDelete" textlink="">
        <xdr:nvSpPr>
          <xdr:cNvPr id="25" name="직사각형 1">
            <a:extLst>
              <a:ext uri="{FF2B5EF4-FFF2-40B4-BE49-F238E27FC236}">
                <a16:creationId xmlns:a16="http://schemas.microsoft.com/office/drawing/2014/main" id="{861E93B2-9660-BFB8-8AD7-3A8C1206EAE4}"/>
              </a:ext>
            </a:extLst>
          </xdr:cNvPr>
          <xdr:cNvSpPr/>
        </xdr:nvSpPr>
        <xdr:spPr>
          <a:xfrm>
            <a:off x="2710677" y="1097978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rderCustomerDelete">
        <xdr:nvPicPr>
          <xdr:cNvPr id="26" name="Graphic 27" descr="Garbage">
            <a:extLst>
              <a:ext uri="{FF2B5EF4-FFF2-40B4-BE49-F238E27FC236}">
                <a16:creationId xmlns:a16="http://schemas.microsoft.com/office/drawing/2014/main" id="{8E691F1C-C041-993C-6AF2-DA55B06960F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2719120" y="1107170"/>
            <a:ext cx="173372" cy="172800"/>
          </a:xfrm>
          <a:prstGeom prst="rect">
            <a:avLst/>
          </a:prstGeom>
        </xdr:spPr>
      </xdr:pic>
    </xdr:grpSp>
    <xdr:clientData/>
  </xdr:twoCellAnchor>
  <xdr:twoCellAnchor>
    <xdr:from>
      <xdr:col>1</xdr:col>
      <xdr:colOff>706525</xdr:colOff>
      <xdr:row>4</xdr:row>
      <xdr:rowOff>14753</xdr:rowOff>
    </xdr:from>
    <xdr:to>
      <xdr:col>1</xdr:col>
      <xdr:colOff>896784</xdr:colOff>
      <xdr:row>4</xdr:row>
      <xdr:rowOff>206330</xdr:rowOff>
    </xdr:to>
    <xdr:grpSp>
      <xdr:nvGrpSpPr>
        <xdr:cNvPr id="27" name="그룹 26">
          <a:extLst>
            <a:ext uri="{FF2B5EF4-FFF2-40B4-BE49-F238E27FC236}">
              <a16:creationId xmlns:a16="http://schemas.microsoft.com/office/drawing/2014/main" id="{67849550-C4E4-4A06-A52F-8A7619FE969C}"/>
            </a:ext>
          </a:extLst>
        </xdr:cNvPr>
        <xdr:cNvGrpSpPr/>
      </xdr:nvGrpSpPr>
      <xdr:grpSpPr>
        <a:xfrm>
          <a:off x="954175" y="1176803"/>
          <a:ext cx="190259" cy="191577"/>
          <a:chOff x="955144" y="1177126"/>
          <a:chExt cx="190259" cy="191577"/>
        </a:xfrm>
      </xdr:grpSpPr>
      <xdr:sp macro="[0]!OrderDate" textlink="">
        <xdr:nvSpPr>
          <xdr:cNvPr id="28" name="직사각형 1">
            <a:extLst>
              <a:ext uri="{FF2B5EF4-FFF2-40B4-BE49-F238E27FC236}">
                <a16:creationId xmlns:a16="http://schemas.microsoft.com/office/drawing/2014/main" id="{A52767EE-9901-A3FE-84E7-157A4C2E9C46}"/>
              </a:ext>
            </a:extLst>
          </xdr:cNvPr>
          <xdr:cNvSpPr/>
        </xdr:nvSpPr>
        <xdr:spPr>
          <a:xfrm>
            <a:off x="955144" y="1177126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rderDate">
        <xdr:nvPicPr>
          <xdr:cNvPr id="29" name="그래픽 28" descr="일일 일정표 단색으로 채워진">
            <a:extLst>
              <a:ext uri="{FF2B5EF4-FFF2-40B4-BE49-F238E27FC236}">
                <a16:creationId xmlns:a16="http://schemas.microsoft.com/office/drawing/2014/main" id="{3AC8623C-ACB0-68CA-867A-3C1950692A9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0"/>
              </a:ext>
            </a:extLst>
          </a:blip>
          <a:stretch>
            <a:fillRect/>
          </a:stretch>
        </xdr:blipFill>
        <xdr:spPr>
          <a:xfrm>
            <a:off x="957382" y="1181275"/>
            <a:ext cx="185853" cy="187428"/>
          </a:xfrm>
          <a:prstGeom prst="rect">
            <a:avLst/>
          </a:prstGeom>
        </xdr:spPr>
      </xdr:pic>
    </xdr:grpSp>
    <xdr:clientData/>
  </xdr:twoCellAnchor>
  <xdr:twoCellAnchor editAs="absolute">
    <xdr:from>
      <xdr:col>5</xdr:col>
      <xdr:colOff>249688</xdr:colOff>
      <xdr:row>3</xdr:row>
      <xdr:rowOff>0</xdr:rowOff>
    </xdr:from>
    <xdr:to>
      <xdr:col>7</xdr:col>
      <xdr:colOff>0</xdr:colOff>
      <xdr:row>4</xdr:row>
      <xdr:rowOff>132155</xdr:rowOff>
    </xdr:to>
    <xdr:grpSp>
      <xdr:nvGrpSpPr>
        <xdr:cNvPr id="30" name="Group 12">
          <a:extLst>
            <a:ext uri="{FF2B5EF4-FFF2-40B4-BE49-F238E27FC236}">
              <a16:creationId xmlns:a16="http://schemas.microsoft.com/office/drawing/2014/main" id="{BDBEDF0B-6969-4255-ACB3-2F317E102A5E}"/>
            </a:ext>
          </a:extLst>
        </xdr:cNvPr>
        <xdr:cNvGrpSpPr/>
      </xdr:nvGrpSpPr>
      <xdr:grpSpPr>
        <a:xfrm>
          <a:off x="6364738" y="933450"/>
          <a:ext cx="1426712" cy="360755"/>
          <a:chOff x="1412631" y="4347613"/>
          <a:chExt cx="1418492" cy="365062"/>
        </a:xfrm>
      </xdr:grpSpPr>
      <xdr:sp macro="[0]!Insert_Order" textlink="">
        <xdr:nvSpPr>
          <xdr:cNvPr id="31" name="직사각형 1">
            <a:extLst>
              <a:ext uri="{FF2B5EF4-FFF2-40B4-BE49-F238E27FC236}">
                <a16:creationId xmlns:a16="http://schemas.microsoft.com/office/drawing/2014/main" id="{EAA89A17-8843-226E-EE51-E66B0828B4AC}"/>
              </a:ext>
            </a:extLst>
          </xdr:cNvPr>
          <xdr:cNvSpPr/>
        </xdr:nvSpPr>
        <xdr:spPr>
          <a:xfrm>
            <a:off x="1412631" y="4347613"/>
            <a:ext cx="1418492" cy="365062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lvl="0" algn="ctr"/>
            <a:r>
              <a:rPr lang="ko-KR" altLang="en-US" sz="1100" b="1">
                <a:solidFill>
                  <a:schemeClr val="tx1">
                    <a:lumMod val="75000"/>
                    <a:lumOff val="25000"/>
                  </a:schemeClr>
                </a:solidFill>
              </a:rPr>
              <a:t>추가</a:t>
            </a:r>
          </a:p>
        </xdr:txBody>
      </xdr:sp>
      <xdr:pic macro="[0]!Insert_Inventory">
        <xdr:nvPicPr>
          <xdr:cNvPr id="32" name="Graphic 9" descr="Document">
            <a:extLst>
              <a:ext uri="{FF2B5EF4-FFF2-40B4-BE49-F238E27FC236}">
                <a16:creationId xmlns:a16="http://schemas.microsoft.com/office/drawing/2014/main" id="{17F63233-580C-F3FB-BA0F-8FD9EDF30CE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2"/>
              </a:ext>
            </a:extLst>
          </a:blip>
          <a:stretch>
            <a:fillRect/>
          </a:stretch>
        </xdr:blipFill>
        <xdr:spPr>
          <a:xfrm>
            <a:off x="1603665" y="4378947"/>
            <a:ext cx="302401" cy="302401"/>
          </a:xfrm>
          <a:prstGeom prst="rect">
            <a:avLst/>
          </a:prstGeom>
        </xdr:spPr>
      </xdr:pic>
    </xdr:grpSp>
    <xdr:clientData/>
  </xdr:twoCellAnchor>
  <xdr:twoCellAnchor editAs="absolute">
    <xdr:from>
      <xdr:col>5</xdr:col>
      <xdr:colOff>249026</xdr:colOff>
      <xdr:row>5</xdr:row>
      <xdr:rowOff>17227</xdr:rowOff>
    </xdr:from>
    <xdr:to>
      <xdr:col>7</xdr:col>
      <xdr:colOff>0</xdr:colOff>
      <xdr:row>6</xdr:row>
      <xdr:rowOff>174147</xdr:rowOff>
    </xdr:to>
    <xdr:grpSp>
      <xdr:nvGrpSpPr>
        <xdr:cNvPr id="42" name="Group 12">
          <a:extLst>
            <a:ext uri="{FF2B5EF4-FFF2-40B4-BE49-F238E27FC236}">
              <a16:creationId xmlns:a16="http://schemas.microsoft.com/office/drawing/2014/main" id="{E857279E-9457-73E9-1F96-00101373EC35}"/>
            </a:ext>
          </a:extLst>
        </xdr:cNvPr>
        <xdr:cNvGrpSpPr/>
      </xdr:nvGrpSpPr>
      <xdr:grpSpPr>
        <a:xfrm>
          <a:off x="6364076" y="1407877"/>
          <a:ext cx="1427374" cy="385520"/>
          <a:chOff x="1412631" y="4347613"/>
          <a:chExt cx="1418492" cy="365062"/>
        </a:xfrm>
      </xdr:grpSpPr>
      <xdr:sp macro="[0]!All_Clear_order_list" textlink="">
        <xdr:nvSpPr>
          <xdr:cNvPr id="43" name="직사각형 1">
            <a:extLst>
              <a:ext uri="{FF2B5EF4-FFF2-40B4-BE49-F238E27FC236}">
                <a16:creationId xmlns:a16="http://schemas.microsoft.com/office/drawing/2014/main" id="{40755952-41FB-96D5-60F3-44743A870A19}"/>
              </a:ext>
            </a:extLst>
          </xdr:cNvPr>
          <xdr:cNvSpPr/>
        </xdr:nvSpPr>
        <xdr:spPr>
          <a:xfrm>
            <a:off x="1412631" y="4347613"/>
            <a:ext cx="1418492" cy="365062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lvl="0" algn="ctr"/>
            <a:r>
              <a:rPr lang="ko-KR" altLang="en-US" sz="1100" b="1">
                <a:solidFill>
                  <a:schemeClr val="tx1">
                    <a:lumMod val="75000"/>
                    <a:lumOff val="25000"/>
                  </a:schemeClr>
                </a:solidFill>
              </a:rPr>
              <a:t>             전체 초기화</a:t>
            </a:r>
          </a:p>
        </xdr:txBody>
      </xdr:sp>
      <xdr:pic macro="[0]!Insert_Inventory">
        <xdr:nvPicPr>
          <xdr:cNvPr id="44" name="Graphic 9" descr="Document">
            <a:extLst>
              <a:ext uri="{FF2B5EF4-FFF2-40B4-BE49-F238E27FC236}">
                <a16:creationId xmlns:a16="http://schemas.microsoft.com/office/drawing/2014/main" id="{27F1AE1D-F928-BB7F-27E2-2BAFF0A7BAD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2"/>
              </a:ext>
            </a:extLst>
          </a:blip>
          <a:stretch>
            <a:fillRect/>
          </a:stretch>
        </xdr:blipFill>
        <xdr:spPr>
          <a:xfrm>
            <a:off x="1603665" y="4378947"/>
            <a:ext cx="302401" cy="302401"/>
          </a:xfrm>
          <a:prstGeom prst="rect">
            <a:avLst/>
          </a:prstGeom>
        </xdr:spPr>
      </xdr:pic>
    </xdr:grpSp>
    <xdr:clientData/>
  </xdr:twoCellAnchor>
  <xdr:twoCellAnchor editAs="absolute">
    <xdr:from>
      <xdr:col>5</xdr:col>
      <xdr:colOff>249688</xdr:colOff>
      <xdr:row>7</xdr:row>
      <xdr:rowOff>76899</xdr:rowOff>
    </xdr:from>
    <xdr:to>
      <xdr:col>7</xdr:col>
      <xdr:colOff>0</xdr:colOff>
      <xdr:row>9</xdr:row>
      <xdr:rowOff>1</xdr:rowOff>
    </xdr:to>
    <xdr:grpSp>
      <xdr:nvGrpSpPr>
        <xdr:cNvPr id="45" name="Group 12">
          <a:extLst>
            <a:ext uri="{FF2B5EF4-FFF2-40B4-BE49-F238E27FC236}">
              <a16:creationId xmlns:a16="http://schemas.microsoft.com/office/drawing/2014/main" id="{8C574871-E992-C2C9-8E2B-CCF1D64F6660}"/>
            </a:ext>
          </a:extLst>
        </xdr:cNvPr>
        <xdr:cNvGrpSpPr/>
      </xdr:nvGrpSpPr>
      <xdr:grpSpPr>
        <a:xfrm>
          <a:off x="6364738" y="1924749"/>
          <a:ext cx="1426712" cy="380302"/>
          <a:chOff x="1412632" y="4347614"/>
          <a:chExt cx="1418492" cy="365062"/>
        </a:xfrm>
      </xdr:grpSpPr>
      <xdr:sp macro="[0]!인쇄" textlink="">
        <xdr:nvSpPr>
          <xdr:cNvPr id="49" name="직사각형 1">
            <a:extLst>
              <a:ext uri="{FF2B5EF4-FFF2-40B4-BE49-F238E27FC236}">
                <a16:creationId xmlns:a16="http://schemas.microsoft.com/office/drawing/2014/main" id="{497E923C-A6CD-A293-C33F-ACB3FF637F26}"/>
              </a:ext>
            </a:extLst>
          </xdr:cNvPr>
          <xdr:cNvSpPr/>
        </xdr:nvSpPr>
        <xdr:spPr>
          <a:xfrm>
            <a:off x="1412632" y="4347614"/>
            <a:ext cx="1418492" cy="365062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lvl="0" algn="ctr"/>
            <a:r>
              <a:rPr lang="ko-KR" altLang="en-US" sz="1100" b="1">
                <a:solidFill>
                  <a:schemeClr val="tx1">
                    <a:lumMod val="75000"/>
                    <a:lumOff val="25000"/>
                  </a:schemeClr>
                </a:solidFill>
              </a:rPr>
              <a:t>주문</a:t>
            </a:r>
          </a:p>
        </xdr:txBody>
      </xdr:sp>
      <xdr:pic macro="[0]!Group12_Click">
        <xdr:nvPicPr>
          <xdr:cNvPr id="50" name="Graphic 9" descr="Document">
            <a:extLst>
              <a:ext uri="{FF2B5EF4-FFF2-40B4-BE49-F238E27FC236}">
                <a16:creationId xmlns:a16="http://schemas.microsoft.com/office/drawing/2014/main" id="{420257FC-6DAF-E952-DEC7-6119AED6C2BE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2"/>
              </a:ext>
            </a:extLst>
          </a:blip>
          <a:stretch>
            <a:fillRect/>
          </a:stretch>
        </xdr:blipFill>
        <xdr:spPr>
          <a:xfrm>
            <a:off x="1603665" y="4378947"/>
            <a:ext cx="302401" cy="302401"/>
          </a:xfrm>
          <a:prstGeom prst="rect">
            <a:avLst/>
          </a:prstGeom>
        </xdr:spPr>
      </xdr:pic>
    </xdr:grpSp>
    <xdr:clientData/>
  </xdr:twoCellAnchor>
  <xdr:twoCellAnchor editAs="absolute">
    <xdr:from>
      <xdr:col>3</xdr:col>
      <xdr:colOff>783056</xdr:colOff>
      <xdr:row>4</xdr:row>
      <xdr:rowOff>18729</xdr:rowOff>
    </xdr:from>
    <xdr:to>
      <xdr:col>3</xdr:col>
      <xdr:colOff>973315</xdr:colOff>
      <xdr:row>4</xdr:row>
      <xdr:rowOff>211818</xdr:rowOff>
    </xdr:to>
    <xdr:grpSp>
      <xdr:nvGrpSpPr>
        <xdr:cNvPr id="46" name="Group 21">
          <a:extLst>
            <a:ext uri="{FF2B5EF4-FFF2-40B4-BE49-F238E27FC236}">
              <a16:creationId xmlns:a16="http://schemas.microsoft.com/office/drawing/2014/main" id="{76C7989E-20BA-46F5-9295-5194A6F4A5F1}"/>
            </a:ext>
          </a:extLst>
        </xdr:cNvPr>
        <xdr:cNvGrpSpPr/>
      </xdr:nvGrpSpPr>
      <xdr:grpSpPr>
        <a:xfrm>
          <a:off x="4373981" y="1180779"/>
          <a:ext cx="190259" cy="193089"/>
          <a:chOff x="1584047" y="912421"/>
          <a:chExt cx="167563" cy="169966"/>
        </a:xfrm>
      </xdr:grpSpPr>
      <xdr:sp macro="[0]!OpenfrmOrderSelect" textlink="">
        <xdr:nvSpPr>
          <xdr:cNvPr id="47" name="직사각형 1">
            <a:extLst>
              <a:ext uri="{FF2B5EF4-FFF2-40B4-BE49-F238E27FC236}">
                <a16:creationId xmlns:a16="http://schemas.microsoft.com/office/drawing/2014/main" id="{2DA1D06D-3BA1-E09A-A65C-268340226DBE}"/>
              </a:ext>
            </a:extLst>
          </xdr:cNvPr>
          <xdr:cNvSpPr/>
        </xdr:nvSpPr>
        <xdr:spPr>
          <a:xfrm>
            <a:off x="1584047" y="912421"/>
            <a:ext cx="167563" cy="169966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penfrmOrderSelect">
        <xdr:nvPicPr>
          <xdr:cNvPr id="48" name="Graphic 24" descr="Magnifying glass">
            <a:extLst>
              <a:ext uri="{FF2B5EF4-FFF2-40B4-BE49-F238E27FC236}">
                <a16:creationId xmlns:a16="http://schemas.microsoft.com/office/drawing/2014/main" id="{BC10A921-5221-C977-4759-37E8843C8EA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tretch>
            <a:fillRect/>
          </a:stretch>
        </xdr:blipFill>
        <xdr:spPr>
          <a:xfrm>
            <a:off x="1591628" y="921204"/>
            <a:ext cx="152400" cy="152400"/>
          </a:xfrm>
          <a:prstGeom prst="rect">
            <a:avLst/>
          </a:prstGeom>
        </xdr:spPr>
      </xdr:pic>
    </xdr:grpSp>
    <xdr:clientData/>
  </xdr:twoCellAnchor>
  <xdr:twoCellAnchor editAs="absolute">
    <xdr:from>
      <xdr:col>4</xdr:col>
      <xdr:colOff>1183380</xdr:colOff>
      <xdr:row>4</xdr:row>
      <xdr:rowOff>18728</xdr:rowOff>
    </xdr:from>
    <xdr:to>
      <xdr:col>4</xdr:col>
      <xdr:colOff>1373639</xdr:colOff>
      <xdr:row>4</xdr:row>
      <xdr:rowOff>211817</xdr:rowOff>
    </xdr:to>
    <xdr:grpSp>
      <xdr:nvGrpSpPr>
        <xdr:cNvPr id="51" name="Group 25">
          <a:extLst>
            <a:ext uri="{FF2B5EF4-FFF2-40B4-BE49-F238E27FC236}">
              <a16:creationId xmlns:a16="http://schemas.microsoft.com/office/drawing/2014/main" id="{EABE89DB-E2AA-44F1-9066-636D1883F539}"/>
            </a:ext>
          </a:extLst>
        </xdr:cNvPr>
        <xdr:cNvGrpSpPr/>
      </xdr:nvGrpSpPr>
      <xdr:grpSpPr>
        <a:xfrm>
          <a:off x="5888730" y="1180778"/>
          <a:ext cx="190259" cy="193089"/>
          <a:chOff x="2710677" y="1097978"/>
          <a:chExt cx="190259" cy="191184"/>
        </a:xfrm>
      </xdr:grpSpPr>
      <xdr:sp macro="[0]!OrderItemDelete" textlink="">
        <xdr:nvSpPr>
          <xdr:cNvPr id="52" name="직사각형 1">
            <a:extLst>
              <a:ext uri="{FF2B5EF4-FFF2-40B4-BE49-F238E27FC236}">
                <a16:creationId xmlns:a16="http://schemas.microsoft.com/office/drawing/2014/main" id="{DB42F37B-2071-6F57-D35C-E8C3354799B3}"/>
              </a:ext>
            </a:extLst>
          </xdr:cNvPr>
          <xdr:cNvSpPr/>
        </xdr:nvSpPr>
        <xdr:spPr>
          <a:xfrm>
            <a:off x="2710677" y="1097978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rderItemDelete">
        <xdr:nvPicPr>
          <xdr:cNvPr id="53" name="Graphic 27" descr="Garbage">
            <a:extLst>
              <a:ext uri="{FF2B5EF4-FFF2-40B4-BE49-F238E27FC236}">
                <a16:creationId xmlns:a16="http://schemas.microsoft.com/office/drawing/2014/main" id="{4E205D33-4651-E0FA-433B-B4E5D9D276C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2719120" y="1107170"/>
            <a:ext cx="173372" cy="172800"/>
          </a:xfrm>
          <a:prstGeom prst="rect">
            <a:avLst/>
          </a:prstGeom>
        </xdr:spPr>
      </xdr:pic>
    </xdr:grpSp>
    <xdr:clientData/>
  </xdr:twoCellAnchor>
  <xdr:twoCellAnchor>
    <xdr:from>
      <xdr:col>3</xdr:col>
      <xdr:colOff>0</xdr:colOff>
      <xdr:row>10</xdr:row>
      <xdr:rowOff>0</xdr:rowOff>
    </xdr:from>
    <xdr:to>
      <xdr:col>5</xdr:col>
      <xdr:colOff>0</xdr:colOff>
      <xdr:row>11</xdr:row>
      <xdr:rowOff>0</xdr:rowOff>
    </xdr:to>
    <xdr:sp macro="[0]!vatopen" textlink="">
      <xdr:nvSpPr>
        <xdr:cNvPr id="9" name="직사각형 8">
          <a:extLst>
            <a:ext uri="{FF2B5EF4-FFF2-40B4-BE49-F238E27FC236}">
              <a16:creationId xmlns:a16="http://schemas.microsoft.com/office/drawing/2014/main" id="{EF2A5708-8C0A-9A39-9E61-69D7D2F19AC5}"/>
            </a:ext>
          </a:extLst>
        </xdr:cNvPr>
        <xdr:cNvSpPr/>
      </xdr:nvSpPr>
      <xdr:spPr>
        <a:xfrm>
          <a:off x="3188804" y="2559326"/>
          <a:ext cx="2385392" cy="231913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absolute">
    <xdr:from>
      <xdr:col>8</xdr:col>
      <xdr:colOff>202967</xdr:colOff>
      <xdr:row>8</xdr:row>
      <xdr:rowOff>57657</xdr:rowOff>
    </xdr:from>
    <xdr:to>
      <xdr:col>8</xdr:col>
      <xdr:colOff>393226</xdr:colOff>
      <xdr:row>9</xdr:row>
      <xdr:rowOff>13118</xdr:rowOff>
    </xdr:to>
    <xdr:grpSp>
      <xdr:nvGrpSpPr>
        <xdr:cNvPr id="8" name="Group 25">
          <a:extLst>
            <a:ext uri="{FF2B5EF4-FFF2-40B4-BE49-F238E27FC236}">
              <a16:creationId xmlns:a16="http://schemas.microsoft.com/office/drawing/2014/main" id="{B6F96221-DAF6-47E1-B481-8A73833C3598}"/>
            </a:ext>
          </a:extLst>
        </xdr:cNvPr>
        <xdr:cNvGrpSpPr/>
      </xdr:nvGrpSpPr>
      <xdr:grpSpPr>
        <a:xfrm>
          <a:off x="7994417" y="2134107"/>
          <a:ext cx="190259" cy="184061"/>
          <a:chOff x="2710677" y="1097978"/>
          <a:chExt cx="190259" cy="191184"/>
        </a:xfrm>
      </xdr:grpSpPr>
      <xdr:sp macro="[0]!Clearorderlist" textlink="">
        <xdr:nvSpPr>
          <xdr:cNvPr id="10" name="직사각형 1">
            <a:extLst>
              <a:ext uri="{FF2B5EF4-FFF2-40B4-BE49-F238E27FC236}">
                <a16:creationId xmlns:a16="http://schemas.microsoft.com/office/drawing/2014/main" id="{F40E3D7A-95F7-C46F-96E4-B0EC12289532}"/>
              </a:ext>
            </a:extLst>
          </xdr:cNvPr>
          <xdr:cNvSpPr/>
        </xdr:nvSpPr>
        <xdr:spPr>
          <a:xfrm>
            <a:off x="2710677" y="1097978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Clearorderlist">
        <xdr:nvPicPr>
          <xdr:cNvPr id="11" name="Graphic 27" descr="Garbage">
            <a:extLst>
              <a:ext uri="{FF2B5EF4-FFF2-40B4-BE49-F238E27FC236}">
                <a16:creationId xmlns:a16="http://schemas.microsoft.com/office/drawing/2014/main" id="{DF0A7163-BAD0-1EF5-2BED-E752F8719F6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2719120" y="1107170"/>
            <a:ext cx="173372" cy="172800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81997</xdr:colOff>
      <xdr:row>0</xdr:row>
      <xdr:rowOff>92351</xdr:rowOff>
    </xdr:from>
    <xdr:to>
      <xdr:col>1</xdr:col>
      <xdr:colOff>782457</xdr:colOff>
      <xdr:row>1</xdr:row>
      <xdr:rowOff>185851</xdr:rowOff>
    </xdr:to>
    <xdr:grpSp>
      <xdr:nvGrpSpPr>
        <xdr:cNvPr id="15" name="그룹 14">
          <a:extLst>
            <a:ext uri="{FF2B5EF4-FFF2-40B4-BE49-F238E27FC236}">
              <a16:creationId xmlns:a16="http://schemas.microsoft.com/office/drawing/2014/main" id="{0C560206-38F8-FC3B-E8B6-0F12AB5DBE5D}"/>
            </a:ext>
          </a:extLst>
        </xdr:cNvPr>
        <xdr:cNvGrpSpPr/>
      </xdr:nvGrpSpPr>
      <xdr:grpSpPr>
        <a:xfrm>
          <a:off x="81997" y="92351"/>
          <a:ext cx="948110" cy="322100"/>
          <a:chOff x="273325" y="82826"/>
          <a:chExt cx="951837" cy="325413"/>
        </a:xfrm>
      </xdr:grpSpPr>
      <xdr:pic>
        <xdr:nvPicPr>
          <xdr:cNvPr id="13" name="그림 12">
            <a:extLst>
              <a:ext uri="{FF2B5EF4-FFF2-40B4-BE49-F238E27FC236}">
                <a16:creationId xmlns:a16="http://schemas.microsoft.com/office/drawing/2014/main" id="{76B5878D-7370-E523-AF4E-3980EFE593F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73325" y="82826"/>
            <a:ext cx="323022" cy="323022"/>
          </a:xfrm>
          <a:prstGeom prst="rect">
            <a:avLst/>
          </a:prstGeom>
        </xdr:spPr>
      </xdr:pic>
      <xdr:sp macro="[0]!홈_이동" textlink="">
        <xdr:nvSpPr>
          <xdr:cNvPr id="14" name="TextBox 13">
            <a:extLst>
              <a:ext uri="{FF2B5EF4-FFF2-40B4-BE49-F238E27FC236}">
                <a16:creationId xmlns:a16="http://schemas.microsoft.com/office/drawing/2014/main" id="{3FC4D30A-44E8-D6EA-4929-D76ACED3B128}"/>
              </a:ext>
            </a:extLst>
          </xdr:cNvPr>
          <xdr:cNvSpPr txBox="1"/>
        </xdr:nvSpPr>
        <xdr:spPr>
          <a:xfrm>
            <a:off x="588065" y="132522"/>
            <a:ext cx="637097" cy="27571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1100">
                <a:latin typeface="HY견고딕" panose="02030600000101010101" pitchFamily="18" charset="-127"/>
                <a:ea typeface="HY견고딕" panose="02030600000101010101" pitchFamily="18" charset="-127"/>
              </a:rPr>
              <a:t>HOME</a:t>
            </a:r>
            <a:endParaRPr lang="ko-KR" altLang="en-US" sz="1100">
              <a:latin typeface="HY견고딕" panose="02030600000101010101" pitchFamily="18" charset="-127"/>
              <a:ea typeface="HY견고딕" panose="02030600000101010101" pitchFamily="18" charset="-127"/>
            </a:endParaRPr>
          </a:p>
        </xdr:txBody>
      </xdr:sp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oneCellAnchor>
    <xdr:from>
      <xdr:col>5</xdr:col>
      <xdr:colOff>161924</xdr:colOff>
      <xdr:row>9</xdr:row>
      <xdr:rowOff>47625</xdr:rowOff>
    </xdr:from>
    <xdr:ext cx="314325" cy="321988"/>
    <xdr:pic>
      <xdr:nvPicPr>
        <xdr:cNvPr id="3" name="그림 2">
          <a:extLst>
            <a:ext uri="{FF2B5EF4-FFF2-40B4-BE49-F238E27FC236}">
              <a16:creationId xmlns:a16="http://schemas.microsoft.com/office/drawing/2014/main" id="{3136DB28-7F51-4362-9A65-8C3F98695E5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590924" y="2400300"/>
          <a:ext cx="314325" cy="321988"/>
        </a:xfrm>
        <a:prstGeom prst="rect">
          <a:avLst/>
        </a:prstGeom>
      </xdr:spPr>
    </xdr:pic>
    <xdr:clientData/>
  </xdr:oneCellAnchor>
  <xdr:oneCellAnchor>
    <xdr:from>
      <xdr:col>5</xdr:col>
      <xdr:colOff>152399</xdr:colOff>
      <xdr:row>11</xdr:row>
      <xdr:rowOff>57150</xdr:rowOff>
    </xdr:from>
    <xdr:ext cx="303163" cy="295275"/>
    <xdr:pic>
      <xdr:nvPicPr>
        <xdr:cNvPr id="4" name="그림 3">
          <a:extLst>
            <a:ext uri="{FF2B5EF4-FFF2-40B4-BE49-F238E27FC236}">
              <a16:creationId xmlns:a16="http://schemas.microsoft.com/office/drawing/2014/main" id="{95DB26B9-373D-48FA-A913-FFB8A7110B8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581399" y="3038475"/>
          <a:ext cx="303163" cy="295275"/>
        </a:xfrm>
        <a:prstGeom prst="rect">
          <a:avLst/>
        </a:prstGeom>
      </xdr:spPr>
    </xdr:pic>
    <xdr:clientData/>
  </xdr:oneCellAnchor>
  <xdr:twoCellAnchor>
    <xdr:from>
      <xdr:col>5</xdr:col>
      <xdr:colOff>190500</xdr:colOff>
      <xdr:row>14</xdr:row>
      <xdr:rowOff>95250</xdr:rowOff>
    </xdr:from>
    <xdr:to>
      <xdr:col>9</xdr:col>
      <xdr:colOff>409575</xdr:colOff>
      <xdr:row>16</xdr:row>
      <xdr:rowOff>95250</xdr:rowOff>
    </xdr:to>
    <xdr:sp macro="[0]!shtLogin.Login_Verification" textlink="">
      <xdr:nvSpPr>
        <xdr:cNvPr id="5" name="직사각형 4">
          <a:extLst>
            <a:ext uri="{FF2B5EF4-FFF2-40B4-BE49-F238E27FC236}">
              <a16:creationId xmlns:a16="http://schemas.microsoft.com/office/drawing/2014/main" id="{DD4146D4-347A-DAA5-D1A7-DFC68FEB070B}"/>
            </a:ext>
          </a:extLst>
        </xdr:cNvPr>
        <xdr:cNvSpPr/>
      </xdr:nvSpPr>
      <xdr:spPr>
        <a:xfrm>
          <a:off x="3619500" y="3905250"/>
          <a:ext cx="2962275" cy="419100"/>
        </a:xfrm>
        <a:prstGeom prst="rect">
          <a:avLst/>
        </a:prstGeom>
        <a:solidFill>
          <a:schemeClr val="tx1">
            <a:lumMod val="50000"/>
            <a:lumOff val="50000"/>
          </a:schemeClr>
        </a:solidFill>
      </xdr:spPr>
      <xdr:style>
        <a:lnRef idx="2">
          <a:schemeClr val="accent3">
            <a:shade val="15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ko-KR" altLang="en-US" sz="1400" b="1"/>
            <a:t>로그인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704850</xdr:colOff>
      <xdr:row>694</xdr:row>
      <xdr:rowOff>133355</xdr:rowOff>
    </xdr:from>
    <xdr:to>
      <xdr:col>12</xdr:col>
      <xdr:colOff>233362</xdr:colOff>
      <xdr:row>716</xdr:row>
      <xdr:rowOff>104774</xdr:rowOff>
    </xdr:to>
    <xdr:graphicFrame macro="">
      <xdr:nvGraphicFramePr>
        <xdr:cNvPr id="2" name="차트 1">
          <a:extLst>
            <a:ext uri="{FF2B5EF4-FFF2-40B4-BE49-F238E27FC236}">
              <a16:creationId xmlns:a16="http://schemas.microsoft.com/office/drawing/2014/main" id="{70D29717-0BC8-4505-0752-02E7165ADD3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28575</xdr:colOff>
      <xdr:row>0</xdr:row>
      <xdr:rowOff>0</xdr:rowOff>
    </xdr:from>
    <xdr:to>
      <xdr:col>18</xdr:col>
      <xdr:colOff>499222</xdr:colOff>
      <xdr:row>1</xdr:row>
      <xdr:rowOff>220265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28E739C8-D493-40C6-8A67-DB6D88E236B5}"/>
            </a:ext>
          </a:extLst>
        </xdr:cNvPr>
        <xdr:cNvSpPr/>
      </xdr:nvSpPr>
      <xdr:spPr>
        <a:xfrm>
          <a:off x="28575" y="0"/>
          <a:ext cx="18158572" cy="448865"/>
        </a:xfrm>
        <a:prstGeom prst="rect">
          <a:avLst/>
        </a:prstGeom>
        <a:solidFill>
          <a:schemeClr val="bg1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absolute">
    <xdr:from>
      <xdr:col>7</xdr:col>
      <xdr:colOff>66675</xdr:colOff>
      <xdr:row>0</xdr:row>
      <xdr:rowOff>64770</xdr:rowOff>
    </xdr:from>
    <xdr:to>
      <xdr:col>8</xdr:col>
      <xdr:colOff>88153</xdr:colOff>
      <xdr:row>1</xdr:row>
      <xdr:rowOff>123055</xdr:rowOff>
    </xdr:to>
    <xdr:grpSp>
      <xdr:nvGrpSpPr>
        <xdr:cNvPr id="11" name="Group 89">
          <a:extLst>
            <a:ext uri="{FF2B5EF4-FFF2-40B4-BE49-F238E27FC236}">
              <a16:creationId xmlns:a16="http://schemas.microsoft.com/office/drawing/2014/main" id="{76764572-922E-4694-B723-44C0EE8502D1}"/>
            </a:ext>
          </a:extLst>
        </xdr:cNvPr>
        <xdr:cNvGrpSpPr/>
      </xdr:nvGrpSpPr>
      <xdr:grpSpPr>
        <a:xfrm>
          <a:off x="7877175" y="64770"/>
          <a:ext cx="916828" cy="286885"/>
          <a:chOff x="5379271" y="83099"/>
          <a:chExt cx="922738" cy="287382"/>
        </a:xfrm>
      </xdr:grpSpPr>
      <xdr:sp macro="[0]!OpenSalesSearch" textlink="">
        <xdr:nvSpPr>
          <xdr:cNvPr id="12" name="Rectangle 57">
            <a:extLst>
              <a:ext uri="{FF2B5EF4-FFF2-40B4-BE49-F238E27FC236}">
                <a16:creationId xmlns:a16="http://schemas.microsoft.com/office/drawing/2014/main" id="{E2CCD3C9-6B0D-3D55-5E95-4DBA43DE4E7C}"/>
              </a:ext>
            </a:extLst>
          </xdr:cNvPr>
          <xdr:cNvSpPr/>
        </xdr:nvSpPr>
        <xdr:spPr>
          <a:xfrm>
            <a:off x="5379271" y="83116"/>
            <a:ext cx="628274" cy="287350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900" b="1">
                <a:solidFill>
                  <a:schemeClr val="tx1">
                    <a:lumMod val="85000"/>
                    <a:lumOff val="15000"/>
                  </a:schemeClr>
                </a:solidFill>
              </a:rPr>
              <a:t>상세검색</a:t>
            </a:r>
          </a:p>
        </xdr:txBody>
      </xdr:sp>
      <xdr:sp macro="[0]!OpenfrmInventorySearch" textlink="">
        <xdr:nvSpPr>
          <xdr:cNvPr id="13" name="Rectangle 59">
            <a:extLst>
              <a:ext uri="{FF2B5EF4-FFF2-40B4-BE49-F238E27FC236}">
                <a16:creationId xmlns:a16="http://schemas.microsoft.com/office/drawing/2014/main" id="{DED4DB9F-1D54-1587-52CB-7E590551A993}"/>
              </a:ext>
            </a:extLst>
          </xdr:cNvPr>
          <xdr:cNvSpPr/>
        </xdr:nvSpPr>
        <xdr:spPr>
          <a:xfrm>
            <a:off x="5994281" y="83099"/>
            <a:ext cx="307728" cy="287382"/>
          </a:xfrm>
          <a:prstGeom prst="rect">
            <a:avLst/>
          </a:prstGeom>
          <a:solidFill>
            <a:schemeClr val="tx1">
              <a:lumMod val="65000"/>
              <a:lumOff val="35000"/>
            </a:schemeClr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endParaRPr lang="ko-KR" altLang="en-US" sz="900"/>
          </a:p>
        </xdr:txBody>
      </xdr:sp>
      <xdr:pic macro="[0]!OpenfrmInventorySearch">
        <xdr:nvPicPr>
          <xdr:cNvPr id="14" name="Graphic 73" descr="Eraser">
            <a:extLst>
              <a:ext uri="{FF2B5EF4-FFF2-40B4-BE49-F238E27FC236}">
                <a16:creationId xmlns:a16="http://schemas.microsoft.com/office/drawing/2014/main" id="{69233455-CC0E-CEB7-E727-6FDEA086DB72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"/>
              </a:ext>
            </a:extLst>
          </a:blip>
          <a:stretch>
            <a:fillRect/>
          </a:stretch>
        </xdr:blipFill>
        <xdr:spPr>
          <a:xfrm>
            <a:off x="6007517" y="90487"/>
            <a:ext cx="271463" cy="271463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161925</xdr:colOff>
      <xdr:row>0</xdr:row>
      <xdr:rowOff>57150</xdr:rowOff>
    </xdr:from>
    <xdr:to>
      <xdr:col>1</xdr:col>
      <xdr:colOff>589887</xdr:colOff>
      <xdr:row>1</xdr:row>
      <xdr:rowOff>153963</xdr:rowOff>
    </xdr:to>
    <xdr:grpSp>
      <xdr:nvGrpSpPr>
        <xdr:cNvPr id="6" name="그룹 5">
          <a:extLst>
            <a:ext uri="{FF2B5EF4-FFF2-40B4-BE49-F238E27FC236}">
              <a16:creationId xmlns:a16="http://schemas.microsoft.com/office/drawing/2014/main" id="{30F564BD-DA66-4CFE-B12B-8A00DA731393}"/>
            </a:ext>
          </a:extLst>
        </xdr:cNvPr>
        <xdr:cNvGrpSpPr/>
      </xdr:nvGrpSpPr>
      <xdr:grpSpPr>
        <a:xfrm>
          <a:off x="161925" y="57150"/>
          <a:ext cx="951837" cy="325413"/>
          <a:chOff x="273325" y="82826"/>
          <a:chExt cx="951837" cy="325413"/>
        </a:xfrm>
      </xdr:grpSpPr>
      <xdr:pic>
        <xdr:nvPicPr>
          <xdr:cNvPr id="7" name="그림 6">
            <a:extLst>
              <a:ext uri="{FF2B5EF4-FFF2-40B4-BE49-F238E27FC236}">
                <a16:creationId xmlns:a16="http://schemas.microsoft.com/office/drawing/2014/main" id="{8943DBFE-5C92-2459-F8CB-C1AF577F3B29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73325" y="82826"/>
            <a:ext cx="323022" cy="323022"/>
          </a:xfrm>
          <a:prstGeom prst="rect">
            <a:avLst/>
          </a:prstGeom>
        </xdr:spPr>
      </xdr:pic>
      <xdr:sp macro="[0]!홈_이동" textlink="">
        <xdr:nvSpPr>
          <xdr:cNvPr id="8" name="TextBox 7">
            <a:extLst>
              <a:ext uri="{FF2B5EF4-FFF2-40B4-BE49-F238E27FC236}">
                <a16:creationId xmlns:a16="http://schemas.microsoft.com/office/drawing/2014/main" id="{5E16B9D1-0E1A-5BDF-7119-594BF6F165FB}"/>
              </a:ext>
            </a:extLst>
          </xdr:cNvPr>
          <xdr:cNvSpPr txBox="1"/>
        </xdr:nvSpPr>
        <xdr:spPr>
          <a:xfrm>
            <a:off x="588065" y="132522"/>
            <a:ext cx="637097" cy="27571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1100">
                <a:latin typeface="HY견고딕" panose="02030600000101010101" pitchFamily="18" charset="-127"/>
                <a:ea typeface="HY견고딕" panose="02030600000101010101" pitchFamily="18" charset="-127"/>
              </a:rPr>
              <a:t>HOME</a:t>
            </a:r>
            <a:endParaRPr lang="ko-KR" altLang="en-US" sz="1100">
              <a:latin typeface="HY견고딕" panose="02030600000101010101" pitchFamily="18" charset="-127"/>
              <a:ea typeface="HY견고딕" panose="02030600000101010101" pitchFamily="18" charset="-127"/>
            </a:endParaRPr>
          </a:p>
        </xdr:txBody>
      </xdr:sp>
    </xdr:grpSp>
    <xdr:clientData/>
  </xdr:twoCellAnchor>
  <xdr:twoCellAnchor>
    <xdr:from>
      <xdr:col>0</xdr:col>
      <xdr:colOff>0</xdr:colOff>
      <xdr:row>2</xdr:row>
      <xdr:rowOff>0</xdr:rowOff>
    </xdr:from>
    <xdr:to>
      <xdr:col>1</xdr:col>
      <xdr:colOff>0</xdr:colOff>
      <xdr:row>5</xdr:row>
      <xdr:rowOff>0</xdr:rowOff>
    </xdr:to>
    <xdr:sp macro="[0]!OrderDate" textlink="">
      <xdr:nvSpPr>
        <xdr:cNvPr id="3" name="직사각형 2">
          <a:extLst>
            <a:ext uri="{FF2B5EF4-FFF2-40B4-BE49-F238E27FC236}">
              <a16:creationId xmlns:a16="http://schemas.microsoft.com/office/drawing/2014/main" id="{4C51327C-C54F-D638-5F52-6DFEC01B8798}"/>
            </a:ext>
          </a:extLst>
        </xdr:cNvPr>
        <xdr:cNvSpPr/>
      </xdr:nvSpPr>
      <xdr:spPr>
        <a:xfrm>
          <a:off x="0" y="552450"/>
          <a:ext cx="523875" cy="600075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28575</xdr:colOff>
      <xdr:row>0</xdr:row>
      <xdr:rowOff>0</xdr:rowOff>
    </xdr:from>
    <xdr:to>
      <xdr:col>14</xdr:col>
      <xdr:colOff>499222</xdr:colOff>
      <xdr:row>1</xdr:row>
      <xdr:rowOff>220265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60CBE96F-2C6F-4201-8BA7-5F794FEE9355}"/>
            </a:ext>
          </a:extLst>
        </xdr:cNvPr>
        <xdr:cNvSpPr/>
      </xdr:nvSpPr>
      <xdr:spPr>
        <a:xfrm>
          <a:off x="28575" y="0"/>
          <a:ext cx="19511122" cy="448865"/>
        </a:xfrm>
        <a:prstGeom prst="rect">
          <a:avLst/>
        </a:prstGeom>
        <a:solidFill>
          <a:schemeClr val="bg1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0</xdr:col>
      <xdr:colOff>161925</xdr:colOff>
      <xdr:row>0</xdr:row>
      <xdr:rowOff>57150</xdr:rowOff>
    </xdr:from>
    <xdr:to>
      <xdr:col>1</xdr:col>
      <xdr:colOff>589887</xdr:colOff>
      <xdr:row>1</xdr:row>
      <xdr:rowOff>153963</xdr:rowOff>
    </xdr:to>
    <xdr:grpSp>
      <xdr:nvGrpSpPr>
        <xdr:cNvPr id="3" name="그룹 2">
          <a:extLst>
            <a:ext uri="{FF2B5EF4-FFF2-40B4-BE49-F238E27FC236}">
              <a16:creationId xmlns:a16="http://schemas.microsoft.com/office/drawing/2014/main" id="{283E8353-CFB6-4250-A254-DA883E36E333}"/>
            </a:ext>
          </a:extLst>
        </xdr:cNvPr>
        <xdr:cNvGrpSpPr/>
      </xdr:nvGrpSpPr>
      <xdr:grpSpPr>
        <a:xfrm>
          <a:off x="161925" y="57150"/>
          <a:ext cx="951837" cy="325413"/>
          <a:chOff x="273325" y="82826"/>
          <a:chExt cx="951837" cy="325413"/>
        </a:xfrm>
      </xdr:grpSpPr>
      <xdr:pic>
        <xdr:nvPicPr>
          <xdr:cNvPr id="4" name="그림 3">
            <a:extLst>
              <a:ext uri="{FF2B5EF4-FFF2-40B4-BE49-F238E27FC236}">
                <a16:creationId xmlns:a16="http://schemas.microsoft.com/office/drawing/2014/main" id="{BD3C6BFC-5269-037E-2E5C-1BC35AAF19AA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73325" y="82826"/>
            <a:ext cx="323022" cy="323022"/>
          </a:xfrm>
          <a:prstGeom prst="rect">
            <a:avLst/>
          </a:prstGeom>
        </xdr:spPr>
      </xdr:pic>
      <xdr:sp macro="[0]!홈_이동" textlink="">
        <xdr:nvSpPr>
          <xdr:cNvPr id="5" name="TextBox 4">
            <a:extLst>
              <a:ext uri="{FF2B5EF4-FFF2-40B4-BE49-F238E27FC236}">
                <a16:creationId xmlns:a16="http://schemas.microsoft.com/office/drawing/2014/main" id="{440122C3-7910-C0EB-3290-D26988009AD1}"/>
              </a:ext>
            </a:extLst>
          </xdr:cNvPr>
          <xdr:cNvSpPr txBox="1"/>
        </xdr:nvSpPr>
        <xdr:spPr>
          <a:xfrm>
            <a:off x="588065" y="132522"/>
            <a:ext cx="637097" cy="27571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1100">
                <a:latin typeface="HY견고딕" panose="02030600000101010101" pitchFamily="18" charset="-127"/>
                <a:ea typeface="HY견고딕" panose="02030600000101010101" pitchFamily="18" charset="-127"/>
              </a:rPr>
              <a:t>HOME</a:t>
            </a:r>
            <a:endParaRPr lang="ko-KR" altLang="en-US" sz="1100">
              <a:latin typeface="HY견고딕" panose="02030600000101010101" pitchFamily="18" charset="-127"/>
              <a:ea typeface="HY견고딕" panose="02030600000101010101" pitchFamily="18" charset="-127"/>
            </a:endParaRPr>
          </a:p>
        </xdr:txBody>
      </xdr:sp>
    </xdr:grpSp>
    <xdr:clientData/>
  </xdr:twoCellAnchor>
  <xdr:twoCellAnchor>
    <xdr:from>
      <xdr:col>0</xdr:col>
      <xdr:colOff>0</xdr:colOff>
      <xdr:row>2</xdr:row>
      <xdr:rowOff>0</xdr:rowOff>
    </xdr:from>
    <xdr:to>
      <xdr:col>1</xdr:col>
      <xdr:colOff>0</xdr:colOff>
      <xdr:row>5</xdr:row>
      <xdr:rowOff>0</xdr:rowOff>
    </xdr:to>
    <xdr:sp macro="[0]!OrderDate" textlink="">
      <xdr:nvSpPr>
        <xdr:cNvPr id="6" name="직사각형 5">
          <a:extLst>
            <a:ext uri="{FF2B5EF4-FFF2-40B4-BE49-F238E27FC236}">
              <a16:creationId xmlns:a16="http://schemas.microsoft.com/office/drawing/2014/main" id="{5CD32588-1CC0-42B4-A481-3CC7983F9435}"/>
            </a:ext>
          </a:extLst>
        </xdr:cNvPr>
        <xdr:cNvSpPr/>
      </xdr:nvSpPr>
      <xdr:spPr>
        <a:xfrm>
          <a:off x="0" y="552450"/>
          <a:ext cx="523875" cy="600075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absolute">
    <xdr:from>
      <xdr:col>11</xdr:col>
      <xdr:colOff>66675</xdr:colOff>
      <xdr:row>0</xdr:row>
      <xdr:rowOff>76200</xdr:rowOff>
    </xdr:from>
    <xdr:to>
      <xdr:col>12</xdr:col>
      <xdr:colOff>31003</xdr:colOff>
      <xdr:row>1</xdr:row>
      <xdr:rowOff>134485</xdr:rowOff>
    </xdr:to>
    <xdr:grpSp>
      <xdr:nvGrpSpPr>
        <xdr:cNvPr id="7" name="Group 89">
          <a:extLst>
            <a:ext uri="{FF2B5EF4-FFF2-40B4-BE49-F238E27FC236}">
              <a16:creationId xmlns:a16="http://schemas.microsoft.com/office/drawing/2014/main" id="{A6A03845-CC20-44CD-84CA-9BE5270592BC}"/>
            </a:ext>
          </a:extLst>
        </xdr:cNvPr>
        <xdr:cNvGrpSpPr/>
      </xdr:nvGrpSpPr>
      <xdr:grpSpPr>
        <a:xfrm>
          <a:off x="11649075" y="76200"/>
          <a:ext cx="916828" cy="286885"/>
          <a:chOff x="5379271" y="83099"/>
          <a:chExt cx="922738" cy="287382"/>
        </a:xfrm>
      </xdr:grpSpPr>
      <xdr:sp macro="[0]!OpenFastSalesSearch" textlink="">
        <xdr:nvSpPr>
          <xdr:cNvPr id="8" name="Rectangle 57">
            <a:extLst>
              <a:ext uri="{FF2B5EF4-FFF2-40B4-BE49-F238E27FC236}">
                <a16:creationId xmlns:a16="http://schemas.microsoft.com/office/drawing/2014/main" id="{49B9946F-AF25-4E58-3797-BEC99359A5AD}"/>
              </a:ext>
            </a:extLst>
          </xdr:cNvPr>
          <xdr:cNvSpPr/>
        </xdr:nvSpPr>
        <xdr:spPr>
          <a:xfrm>
            <a:off x="5379271" y="83116"/>
            <a:ext cx="628274" cy="287350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900" b="1">
                <a:solidFill>
                  <a:schemeClr val="tx1">
                    <a:lumMod val="85000"/>
                    <a:lumOff val="15000"/>
                  </a:schemeClr>
                </a:solidFill>
              </a:rPr>
              <a:t>상세검색</a:t>
            </a:r>
          </a:p>
        </xdr:txBody>
      </xdr:sp>
      <xdr:sp macro="[0]!OpenfrmInventorySearch" textlink="">
        <xdr:nvSpPr>
          <xdr:cNvPr id="9" name="Rectangle 59">
            <a:extLst>
              <a:ext uri="{FF2B5EF4-FFF2-40B4-BE49-F238E27FC236}">
                <a16:creationId xmlns:a16="http://schemas.microsoft.com/office/drawing/2014/main" id="{1AA9FEFA-8845-53AE-CA86-3D79F3670674}"/>
              </a:ext>
            </a:extLst>
          </xdr:cNvPr>
          <xdr:cNvSpPr/>
        </xdr:nvSpPr>
        <xdr:spPr>
          <a:xfrm>
            <a:off x="5994281" y="83099"/>
            <a:ext cx="307728" cy="287382"/>
          </a:xfrm>
          <a:prstGeom prst="rect">
            <a:avLst/>
          </a:prstGeom>
          <a:solidFill>
            <a:schemeClr val="tx1">
              <a:lumMod val="65000"/>
              <a:lumOff val="35000"/>
            </a:schemeClr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endParaRPr lang="ko-KR" altLang="en-US" sz="900"/>
          </a:p>
        </xdr:txBody>
      </xdr:sp>
      <xdr:pic macro="[0]!OpenfrmInventorySearch">
        <xdr:nvPicPr>
          <xdr:cNvPr id="10" name="Graphic 73" descr="Eraser">
            <a:extLst>
              <a:ext uri="{FF2B5EF4-FFF2-40B4-BE49-F238E27FC236}">
                <a16:creationId xmlns:a16="http://schemas.microsoft.com/office/drawing/2014/main" id="{A1890D19-BCFC-85E7-8C96-F630D607F84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3"/>
              </a:ext>
            </a:extLst>
          </a:blip>
          <a:stretch>
            <a:fillRect/>
          </a:stretch>
        </xdr:blipFill>
        <xdr:spPr>
          <a:xfrm>
            <a:off x="6007517" y="90487"/>
            <a:ext cx="271463" cy="271463"/>
          </a:xfrm>
          <a:prstGeom prst="rect">
            <a:avLst/>
          </a:prstGeom>
        </xdr:spPr>
      </xdr:pic>
    </xdr:grp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19051</xdr:colOff>
      <xdr:row>0</xdr:row>
      <xdr:rowOff>19050</xdr:rowOff>
    </xdr:from>
    <xdr:to>
      <xdr:col>17</xdr:col>
      <xdr:colOff>38101</xdr:colOff>
      <xdr:row>1</xdr:row>
      <xdr:rowOff>0</xdr:rowOff>
    </xdr:to>
    <xdr:sp macro="[0]!홈_이동" textlink="">
      <xdr:nvSpPr>
        <xdr:cNvPr id="5" name="직사각형 4">
          <a:extLst>
            <a:ext uri="{FF2B5EF4-FFF2-40B4-BE49-F238E27FC236}">
              <a16:creationId xmlns:a16="http://schemas.microsoft.com/office/drawing/2014/main" id="{6FBB6484-99B4-CF8B-DC64-D7DB99D323DD}"/>
            </a:ext>
          </a:extLst>
        </xdr:cNvPr>
        <xdr:cNvSpPr/>
      </xdr:nvSpPr>
      <xdr:spPr>
        <a:xfrm>
          <a:off x="19051" y="19050"/>
          <a:ext cx="5010150" cy="285750"/>
        </a:xfrm>
        <a:prstGeom prst="rect">
          <a:avLst/>
        </a:prstGeom>
        <a:noFill/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0</xdr:colOff>
      <xdr:row>0</xdr:row>
      <xdr:rowOff>0</xdr:rowOff>
    </xdr:from>
    <xdr:to>
      <xdr:col>9</xdr:col>
      <xdr:colOff>0</xdr:colOff>
      <xdr:row>1</xdr:row>
      <xdr:rowOff>0</xdr:rowOff>
    </xdr:to>
    <xdr:sp macro="[0]!미수금확인" textlink="">
      <xdr:nvSpPr>
        <xdr:cNvPr id="2" name="직사각형 1">
          <a:extLst>
            <a:ext uri="{FF2B5EF4-FFF2-40B4-BE49-F238E27FC236}">
              <a16:creationId xmlns:a16="http://schemas.microsoft.com/office/drawing/2014/main" id="{2F209612-4B2E-A775-9616-16391CD932E1}"/>
            </a:ext>
          </a:extLst>
        </xdr:cNvPr>
        <xdr:cNvSpPr/>
      </xdr:nvSpPr>
      <xdr:spPr>
        <a:xfrm>
          <a:off x="13077825" y="0"/>
          <a:ext cx="2190750" cy="219075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>
    <xdr:from>
      <xdr:col>9</xdr:col>
      <xdr:colOff>0</xdr:colOff>
      <xdr:row>0</xdr:row>
      <xdr:rowOff>0</xdr:rowOff>
    </xdr:from>
    <xdr:to>
      <xdr:col>10</xdr:col>
      <xdr:colOff>0</xdr:colOff>
      <xdr:row>1</xdr:row>
      <xdr:rowOff>0</xdr:rowOff>
    </xdr:to>
    <xdr:sp macro="[0]!미수금해제" textlink="">
      <xdr:nvSpPr>
        <xdr:cNvPr id="3" name="직사각형 2">
          <a:extLst>
            <a:ext uri="{FF2B5EF4-FFF2-40B4-BE49-F238E27FC236}">
              <a16:creationId xmlns:a16="http://schemas.microsoft.com/office/drawing/2014/main" id="{7D5F6909-AA3C-4DC0-A96E-8C732532B3D5}"/>
            </a:ext>
          </a:extLst>
        </xdr:cNvPr>
        <xdr:cNvSpPr/>
      </xdr:nvSpPr>
      <xdr:spPr>
        <a:xfrm>
          <a:off x="15268575" y="0"/>
          <a:ext cx="885825" cy="219075"/>
        </a:xfrm>
        <a:prstGeom prst="rect">
          <a:avLst/>
        </a:prstGeom>
        <a:noFill/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30</xdr:col>
      <xdr:colOff>470647</xdr:colOff>
      <xdr:row>1</xdr:row>
      <xdr:rowOff>220265</xdr:rowOff>
    </xdr:to>
    <xdr:sp macro="" textlink="">
      <xdr:nvSpPr>
        <xdr:cNvPr id="2" name="Rectangle 1">
          <a:extLst>
            <a:ext uri="{FF2B5EF4-FFF2-40B4-BE49-F238E27FC236}">
              <a16:creationId xmlns:a16="http://schemas.microsoft.com/office/drawing/2014/main" id="{30CDEC94-DD6E-4BFB-BAB3-2F9E4CB0F29E}"/>
            </a:ext>
          </a:extLst>
        </xdr:cNvPr>
        <xdr:cNvSpPr/>
      </xdr:nvSpPr>
      <xdr:spPr>
        <a:xfrm>
          <a:off x="0" y="0"/>
          <a:ext cx="21018143" cy="452178"/>
        </a:xfrm>
        <a:prstGeom prst="rect">
          <a:avLst/>
        </a:prstGeom>
        <a:solidFill>
          <a:schemeClr val="bg1">
            <a:lumMod val="50000"/>
          </a:schemeClr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  <xdr:twoCellAnchor editAs="absolute">
    <xdr:from>
      <xdr:col>2</xdr:col>
      <xdr:colOff>436629</xdr:colOff>
      <xdr:row>2</xdr:row>
      <xdr:rowOff>54994</xdr:rowOff>
    </xdr:from>
    <xdr:to>
      <xdr:col>2</xdr:col>
      <xdr:colOff>1393903</xdr:colOff>
      <xdr:row>2</xdr:row>
      <xdr:rowOff>321966</xdr:rowOff>
    </xdr:to>
    <xdr:grpSp>
      <xdr:nvGrpSpPr>
        <xdr:cNvPr id="38" name="Group 37">
          <a:extLst>
            <a:ext uri="{FF2B5EF4-FFF2-40B4-BE49-F238E27FC236}">
              <a16:creationId xmlns:a16="http://schemas.microsoft.com/office/drawing/2014/main" id="{23193C83-BA1C-4E1D-9318-C09B9B0E13D4}"/>
            </a:ext>
          </a:extLst>
        </xdr:cNvPr>
        <xdr:cNvGrpSpPr/>
      </xdr:nvGrpSpPr>
      <xdr:grpSpPr>
        <a:xfrm>
          <a:off x="1608204" y="607444"/>
          <a:ext cx="957274" cy="266972"/>
          <a:chOff x="274468" y="503963"/>
          <a:chExt cx="942891" cy="291737"/>
        </a:xfrm>
      </xdr:grpSpPr>
      <xdr:sp macro="[0]!OpenfrmCustomer" textlink="">
        <xdr:nvSpPr>
          <xdr:cNvPr id="20" name="Rectangle 19">
            <a:extLst>
              <a:ext uri="{FF2B5EF4-FFF2-40B4-BE49-F238E27FC236}">
                <a16:creationId xmlns:a16="http://schemas.microsoft.com/office/drawing/2014/main" id="{C5D89302-06CF-4C62-914B-D80C5ED78D5E}"/>
              </a:ext>
            </a:extLst>
          </xdr:cNvPr>
          <xdr:cNvSpPr/>
        </xdr:nvSpPr>
        <xdr:spPr>
          <a:xfrm>
            <a:off x="274468" y="506140"/>
            <a:ext cx="629008" cy="287383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800" b="1">
                <a:solidFill>
                  <a:schemeClr val="tx1">
                    <a:lumMod val="85000"/>
                    <a:lumOff val="15000"/>
                  </a:schemeClr>
                </a:solidFill>
              </a:rPr>
              <a:t>거래처관리</a:t>
            </a:r>
          </a:p>
        </xdr:txBody>
      </xdr:sp>
      <xdr:grpSp>
        <xdr:nvGrpSpPr>
          <xdr:cNvPr id="37" name="Group 36">
            <a:extLst>
              <a:ext uri="{FF2B5EF4-FFF2-40B4-BE49-F238E27FC236}">
                <a16:creationId xmlns:a16="http://schemas.microsoft.com/office/drawing/2014/main" id="{3E2CDE0A-51B6-417B-8BF9-3121F8E10B6C}"/>
              </a:ext>
            </a:extLst>
          </xdr:cNvPr>
          <xdr:cNvGrpSpPr/>
        </xdr:nvGrpSpPr>
        <xdr:grpSpPr>
          <a:xfrm>
            <a:off x="909271" y="503963"/>
            <a:ext cx="308088" cy="291737"/>
            <a:chOff x="1009716" y="503963"/>
            <a:chExt cx="308088" cy="291737"/>
          </a:xfrm>
        </xdr:grpSpPr>
        <xdr:sp macro="[0]!OpenfrmCustomer" textlink="">
          <xdr:nvSpPr>
            <xdr:cNvPr id="21" name="Rectangle 20">
              <a:extLst>
                <a:ext uri="{FF2B5EF4-FFF2-40B4-BE49-F238E27FC236}">
                  <a16:creationId xmlns:a16="http://schemas.microsoft.com/office/drawing/2014/main" id="{BBF9C909-57C7-4F3B-9286-0CAEF9069DE2}"/>
                </a:ext>
              </a:extLst>
            </xdr:cNvPr>
            <xdr:cNvSpPr/>
          </xdr:nvSpPr>
          <xdr:spPr>
            <a:xfrm>
              <a:off x="1009716" y="506140"/>
              <a:ext cx="308088" cy="287383"/>
            </a:xfrm>
            <a:prstGeom prst="rect">
              <a:avLst/>
            </a:prstGeom>
            <a:solidFill>
              <a:schemeClr val="tx1">
                <a:lumMod val="65000"/>
                <a:lumOff val="35000"/>
              </a:schemeClr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endParaRPr lang="ko-KR" altLang="en-US" sz="900"/>
            </a:p>
          </xdr:txBody>
        </xdr:sp>
        <xdr:pic macro="[0]!OpenfrmCustomer">
          <xdr:nvPicPr>
            <xdr:cNvPr id="23" name="Graphic 22" descr="User">
              <a:extLst>
                <a:ext uri="{FF2B5EF4-FFF2-40B4-BE49-F238E27FC236}">
                  <a16:creationId xmlns:a16="http://schemas.microsoft.com/office/drawing/2014/main" id="{B0FD12BB-08FD-4DD8-9CCD-8CE0E81D4561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" cstate="print">
              <a:extLst>
                <a:ext uri="{28A0092B-C50C-407E-A947-70E740481C1C}">
                  <a14:useLocalDpi xmlns:a14="http://schemas.microsoft.com/office/drawing/2010/main" val="0"/>
                </a:ext>
                <a:ext uri="{96DAC541-7B7A-43D3-8B79-37D633B846F1}">
                  <asvg:svgBlip xmlns:asvg="http://schemas.microsoft.com/office/drawing/2016/SVG/main" r:embed="rId2"/>
                </a:ext>
              </a:extLst>
            </a:blip>
            <a:stretch>
              <a:fillRect/>
            </a:stretch>
          </xdr:blipFill>
          <xdr:spPr>
            <a:xfrm>
              <a:off x="1018425" y="503963"/>
              <a:ext cx="290671" cy="291737"/>
            </a:xfrm>
            <a:prstGeom prst="rect">
              <a:avLst/>
            </a:prstGeom>
          </xdr:spPr>
        </xdr:pic>
      </xdr:grpSp>
    </xdr:grpSp>
    <xdr:clientData/>
  </xdr:twoCellAnchor>
  <xdr:twoCellAnchor editAs="absolute">
    <xdr:from>
      <xdr:col>8</xdr:col>
      <xdr:colOff>702109</xdr:colOff>
      <xdr:row>0</xdr:row>
      <xdr:rowOff>98452</xdr:rowOff>
    </xdr:from>
    <xdr:to>
      <xdr:col>9</xdr:col>
      <xdr:colOff>703462</xdr:colOff>
      <xdr:row>1</xdr:row>
      <xdr:rowOff>149614</xdr:rowOff>
    </xdr:to>
    <xdr:grpSp>
      <xdr:nvGrpSpPr>
        <xdr:cNvPr id="90" name="Group 89">
          <a:extLst>
            <a:ext uri="{FF2B5EF4-FFF2-40B4-BE49-F238E27FC236}">
              <a16:creationId xmlns:a16="http://schemas.microsoft.com/office/drawing/2014/main" id="{B1E84428-845E-4102-BB25-E1B5D44732B5}"/>
            </a:ext>
          </a:extLst>
        </xdr:cNvPr>
        <xdr:cNvGrpSpPr/>
      </xdr:nvGrpSpPr>
      <xdr:grpSpPr>
        <a:xfrm>
          <a:off x="6236134" y="98452"/>
          <a:ext cx="868128" cy="279762"/>
          <a:chOff x="5379271" y="83099"/>
          <a:chExt cx="922738" cy="287382"/>
        </a:xfrm>
      </xdr:grpSpPr>
      <xdr:sp macro="[0]!OpenfrmInventoryEdit" textlink="">
        <xdr:nvSpPr>
          <xdr:cNvPr id="58" name="Rectangle 57">
            <a:extLst>
              <a:ext uri="{FF2B5EF4-FFF2-40B4-BE49-F238E27FC236}">
                <a16:creationId xmlns:a16="http://schemas.microsoft.com/office/drawing/2014/main" id="{A7D4256C-277C-4719-8F60-748E9B4D3F2D}"/>
              </a:ext>
            </a:extLst>
          </xdr:cNvPr>
          <xdr:cNvSpPr/>
        </xdr:nvSpPr>
        <xdr:spPr>
          <a:xfrm>
            <a:off x="5379271" y="83116"/>
            <a:ext cx="628274" cy="287350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900" b="1">
                <a:solidFill>
                  <a:schemeClr val="tx1">
                    <a:lumMod val="85000"/>
                    <a:lumOff val="15000"/>
                  </a:schemeClr>
                </a:solidFill>
              </a:rPr>
              <a:t>수정</a:t>
            </a:r>
          </a:p>
        </xdr:txBody>
      </xdr:sp>
      <xdr:sp macro="[0]!OpenfrmInventoryEdit" textlink="">
        <xdr:nvSpPr>
          <xdr:cNvPr id="60" name="Rectangle 59">
            <a:extLst>
              <a:ext uri="{FF2B5EF4-FFF2-40B4-BE49-F238E27FC236}">
                <a16:creationId xmlns:a16="http://schemas.microsoft.com/office/drawing/2014/main" id="{690BDA4E-DF6B-42E2-996B-EC358851C8C4}"/>
              </a:ext>
            </a:extLst>
          </xdr:cNvPr>
          <xdr:cNvSpPr/>
        </xdr:nvSpPr>
        <xdr:spPr>
          <a:xfrm>
            <a:off x="5994281" y="83099"/>
            <a:ext cx="307728" cy="287382"/>
          </a:xfrm>
          <a:prstGeom prst="rect">
            <a:avLst/>
          </a:prstGeom>
          <a:solidFill>
            <a:schemeClr val="tx1">
              <a:lumMod val="65000"/>
              <a:lumOff val="35000"/>
            </a:schemeClr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endParaRPr lang="ko-KR" altLang="en-US" sz="900"/>
          </a:p>
        </xdr:txBody>
      </xdr:sp>
      <xdr:pic macro="[0]!OpenfrmInventoryEdit">
        <xdr:nvPicPr>
          <xdr:cNvPr id="74" name="Graphic 73" descr="Eraser">
            <a:extLst>
              <a:ext uri="{FF2B5EF4-FFF2-40B4-BE49-F238E27FC236}">
                <a16:creationId xmlns:a16="http://schemas.microsoft.com/office/drawing/2014/main" id="{DC9A8667-28EB-4482-924B-150517AE645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6007517" y="90487"/>
            <a:ext cx="271463" cy="271463"/>
          </a:xfrm>
          <a:prstGeom prst="rect">
            <a:avLst/>
          </a:prstGeom>
        </xdr:spPr>
      </xdr:pic>
    </xdr:grpSp>
    <xdr:clientData/>
  </xdr:twoCellAnchor>
  <xdr:twoCellAnchor editAs="absolute">
    <xdr:from>
      <xdr:col>9</xdr:col>
      <xdr:colOff>855998</xdr:colOff>
      <xdr:row>0</xdr:row>
      <xdr:rowOff>98452</xdr:rowOff>
    </xdr:from>
    <xdr:to>
      <xdr:col>10</xdr:col>
      <xdr:colOff>440791</xdr:colOff>
      <xdr:row>1</xdr:row>
      <xdr:rowOff>149614</xdr:rowOff>
    </xdr:to>
    <xdr:grpSp>
      <xdr:nvGrpSpPr>
        <xdr:cNvPr id="89" name="Group 88">
          <a:extLst>
            <a:ext uri="{FF2B5EF4-FFF2-40B4-BE49-F238E27FC236}">
              <a16:creationId xmlns:a16="http://schemas.microsoft.com/office/drawing/2014/main" id="{945F4570-D5DE-4D89-8B45-038CF14DDB36}"/>
            </a:ext>
          </a:extLst>
        </xdr:cNvPr>
        <xdr:cNvGrpSpPr/>
      </xdr:nvGrpSpPr>
      <xdr:grpSpPr>
        <a:xfrm>
          <a:off x="7256798" y="98452"/>
          <a:ext cx="908768" cy="279762"/>
          <a:chOff x="6424299" y="83099"/>
          <a:chExt cx="922738" cy="287382"/>
        </a:xfrm>
      </xdr:grpSpPr>
      <xdr:sp macro="[0]!Delete_Inventory" textlink="">
        <xdr:nvSpPr>
          <xdr:cNvPr id="63" name="Rectangle 62">
            <a:extLst>
              <a:ext uri="{FF2B5EF4-FFF2-40B4-BE49-F238E27FC236}">
                <a16:creationId xmlns:a16="http://schemas.microsoft.com/office/drawing/2014/main" id="{246E492F-856B-44D5-A9B8-62346C078991}"/>
              </a:ext>
            </a:extLst>
          </xdr:cNvPr>
          <xdr:cNvSpPr/>
        </xdr:nvSpPr>
        <xdr:spPr>
          <a:xfrm>
            <a:off x="6424299" y="83116"/>
            <a:ext cx="628274" cy="287350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900" b="1">
                <a:solidFill>
                  <a:schemeClr val="tx1">
                    <a:lumMod val="85000"/>
                    <a:lumOff val="15000"/>
                  </a:schemeClr>
                </a:solidFill>
              </a:rPr>
              <a:t>삭제</a:t>
            </a:r>
          </a:p>
        </xdr:txBody>
      </xdr:sp>
      <xdr:sp macro="[0]!Delete_Inventory" textlink="">
        <xdr:nvSpPr>
          <xdr:cNvPr id="65" name="Rectangle 64">
            <a:extLst>
              <a:ext uri="{FF2B5EF4-FFF2-40B4-BE49-F238E27FC236}">
                <a16:creationId xmlns:a16="http://schemas.microsoft.com/office/drawing/2014/main" id="{3A94D6D5-9D78-480F-8544-A0EAAD15693D}"/>
              </a:ext>
            </a:extLst>
          </xdr:cNvPr>
          <xdr:cNvSpPr/>
        </xdr:nvSpPr>
        <xdr:spPr>
          <a:xfrm>
            <a:off x="7039309" y="83099"/>
            <a:ext cx="307728" cy="287382"/>
          </a:xfrm>
          <a:prstGeom prst="rect">
            <a:avLst/>
          </a:prstGeom>
          <a:solidFill>
            <a:schemeClr val="tx1">
              <a:lumMod val="65000"/>
              <a:lumOff val="35000"/>
            </a:schemeClr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endParaRPr lang="ko-KR" altLang="en-US" sz="900"/>
          </a:p>
        </xdr:txBody>
      </xdr:sp>
      <xdr:pic macro="[0]!Delete_Inventory">
        <xdr:nvPicPr>
          <xdr:cNvPr id="76" name="Graphic 75" descr="Garbage">
            <a:extLst>
              <a:ext uri="{FF2B5EF4-FFF2-40B4-BE49-F238E27FC236}">
                <a16:creationId xmlns:a16="http://schemas.microsoft.com/office/drawing/2014/main" id="{82957D15-CF3A-4727-8A5B-AB16039C002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6"/>
              </a:ext>
            </a:extLst>
          </a:blip>
          <a:stretch>
            <a:fillRect/>
          </a:stretch>
        </xdr:blipFill>
        <xdr:spPr>
          <a:xfrm>
            <a:off x="7064792" y="95252"/>
            <a:ext cx="261938" cy="261938"/>
          </a:xfrm>
          <a:prstGeom prst="rect">
            <a:avLst/>
          </a:prstGeom>
        </xdr:spPr>
      </xdr:pic>
    </xdr:grpSp>
    <xdr:clientData/>
  </xdr:twoCellAnchor>
  <xdr:twoCellAnchor>
    <xdr:from>
      <xdr:col>1</xdr:col>
      <xdr:colOff>15725</xdr:colOff>
      <xdr:row>2</xdr:row>
      <xdr:rowOff>49133</xdr:rowOff>
    </xdr:from>
    <xdr:to>
      <xdr:col>2</xdr:col>
      <xdr:colOff>17739</xdr:colOff>
      <xdr:row>2</xdr:row>
      <xdr:rowOff>339143</xdr:rowOff>
    </xdr:to>
    <xdr:grpSp>
      <xdr:nvGrpSpPr>
        <xdr:cNvPr id="4" name="Group 3">
          <a:extLst>
            <a:ext uri="{FF2B5EF4-FFF2-40B4-BE49-F238E27FC236}">
              <a16:creationId xmlns:a16="http://schemas.microsoft.com/office/drawing/2014/main" id="{3FA1F486-00E7-4099-BA1C-BC21754BB0ED}"/>
            </a:ext>
          </a:extLst>
        </xdr:cNvPr>
        <xdr:cNvGrpSpPr/>
      </xdr:nvGrpSpPr>
      <xdr:grpSpPr>
        <a:xfrm>
          <a:off x="263375" y="601583"/>
          <a:ext cx="925939" cy="290010"/>
          <a:chOff x="263734" y="509208"/>
          <a:chExt cx="925760" cy="290010"/>
        </a:xfrm>
      </xdr:grpSpPr>
      <xdr:grpSp>
        <xdr:nvGrpSpPr>
          <xdr:cNvPr id="99" name="Group 98">
            <a:extLst>
              <a:ext uri="{FF2B5EF4-FFF2-40B4-BE49-F238E27FC236}">
                <a16:creationId xmlns:a16="http://schemas.microsoft.com/office/drawing/2014/main" id="{2FB073F8-EB19-42BB-9DEE-A686A2075E6C}"/>
              </a:ext>
            </a:extLst>
          </xdr:cNvPr>
          <xdr:cNvGrpSpPr/>
        </xdr:nvGrpSpPr>
        <xdr:grpSpPr>
          <a:xfrm>
            <a:off x="263734" y="509208"/>
            <a:ext cx="925760" cy="290010"/>
            <a:chOff x="1896634" y="510050"/>
            <a:chExt cx="921367" cy="290010"/>
          </a:xfrm>
        </xdr:grpSpPr>
        <xdr:sp macro="[0]!OpenfrmProduct" textlink="">
          <xdr:nvSpPr>
            <xdr:cNvPr id="94" name="Rectangle 93">
              <a:extLst>
                <a:ext uri="{FF2B5EF4-FFF2-40B4-BE49-F238E27FC236}">
                  <a16:creationId xmlns:a16="http://schemas.microsoft.com/office/drawing/2014/main" id="{236B508C-EF29-43EC-BB4C-AEDC87675DF2}"/>
                </a:ext>
              </a:extLst>
            </xdr:cNvPr>
            <xdr:cNvSpPr/>
          </xdr:nvSpPr>
          <xdr:spPr>
            <a:xfrm>
              <a:off x="1896634" y="510067"/>
              <a:ext cx="627093" cy="289978"/>
            </a:xfrm>
            <a:prstGeom prst="rect">
              <a:avLst/>
            </a:prstGeom>
            <a:solidFill>
              <a:schemeClr val="bg1"/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r>
                <a:rPr lang="ko-KR" altLang="en-US" sz="900" b="1">
                  <a:solidFill>
                    <a:schemeClr val="tx1">
                      <a:lumMod val="85000"/>
                      <a:lumOff val="15000"/>
                    </a:schemeClr>
                  </a:solidFill>
                </a:rPr>
                <a:t>제품관리</a:t>
              </a:r>
            </a:p>
          </xdr:txBody>
        </xdr:sp>
        <xdr:sp macro="[0]!OpenfrmProduct" textlink="">
          <xdr:nvSpPr>
            <xdr:cNvPr id="95" name="Rectangle 94">
              <a:extLst>
                <a:ext uri="{FF2B5EF4-FFF2-40B4-BE49-F238E27FC236}">
                  <a16:creationId xmlns:a16="http://schemas.microsoft.com/office/drawing/2014/main" id="{E887DC1F-74B3-4402-BA44-826380B27737}"/>
                </a:ext>
              </a:extLst>
            </xdr:cNvPr>
            <xdr:cNvSpPr/>
          </xdr:nvSpPr>
          <xdr:spPr>
            <a:xfrm>
              <a:off x="2510516" y="510050"/>
              <a:ext cx="307485" cy="290010"/>
            </a:xfrm>
            <a:prstGeom prst="rect">
              <a:avLst/>
            </a:prstGeom>
            <a:solidFill>
              <a:schemeClr val="tx1">
                <a:lumMod val="65000"/>
                <a:lumOff val="35000"/>
              </a:schemeClr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endParaRPr lang="ko-KR" altLang="en-US" sz="900"/>
            </a:p>
          </xdr:txBody>
        </xdr:sp>
      </xdr:grpSp>
      <xdr:pic macro="[0]!OpenfrmProduct">
        <xdr:nvPicPr>
          <xdr:cNvPr id="3" name="Graphic 2" descr="Inventory with solid fill">
            <a:extLst>
              <a:ext uri="{FF2B5EF4-FFF2-40B4-BE49-F238E27FC236}">
                <a16:creationId xmlns:a16="http://schemas.microsoft.com/office/drawing/2014/main" id="{A323DD4D-1FB6-4FBE-A7E3-2A0A60AA37C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8"/>
              </a:ext>
            </a:extLst>
          </a:blip>
          <a:stretch>
            <a:fillRect/>
          </a:stretch>
        </xdr:blipFill>
        <xdr:spPr>
          <a:xfrm>
            <a:off x="901931" y="519195"/>
            <a:ext cx="273418" cy="273418"/>
          </a:xfrm>
          <a:prstGeom prst="rect">
            <a:avLst/>
          </a:prstGeom>
        </xdr:spPr>
      </xdr:pic>
    </xdr:grpSp>
    <xdr:clientData/>
  </xdr:twoCellAnchor>
  <xdr:twoCellAnchor editAs="absolute">
    <xdr:from>
      <xdr:col>1</xdr:col>
      <xdr:colOff>706525</xdr:colOff>
      <xdr:row>5</xdr:row>
      <xdr:rowOff>22373</xdr:rowOff>
    </xdr:from>
    <xdr:to>
      <xdr:col>1</xdr:col>
      <xdr:colOff>896784</xdr:colOff>
      <xdr:row>5</xdr:row>
      <xdr:rowOff>205937</xdr:rowOff>
    </xdr:to>
    <xdr:grpSp>
      <xdr:nvGrpSpPr>
        <xdr:cNvPr id="22" name="Group 21">
          <a:extLst>
            <a:ext uri="{FF2B5EF4-FFF2-40B4-BE49-F238E27FC236}">
              <a16:creationId xmlns:a16="http://schemas.microsoft.com/office/drawing/2014/main" id="{535B623C-AA10-431F-8B90-4A787952BD88}"/>
            </a:ext>
          </a:extLst>
        </xdr:cNvPr>
        <xdr:cNvGrpSpPr/>
      </xdr:nvGrpSpPr>
      <xdr:grpSpPr>
        <a:xfrm>
          <a:off x="954175" y="1413023"/>
          <a:ext cx="190259" cy="183564"/>
          <a:chOff x="1584047" y="912421"/>
          <a:chExt cx="167563" cy="169966"/>
        </a:xfrm>
      </xdr:grpSpPr>
      <xdr:sp macro="[0]!OpenfrmProductSelect" textlink="">
        <xdr:nvSpPr>
          <xdr:cNvPr id="24" name="직사각형 1">
            <a:extLst>
              <a:ext uri="{FF2B5EF4-FFF2-40B4-BE49-F238E27FC236}">
                <a16:creationId xmlns:a16="http://schemas.microsoft.com/office/drawing/2014/main" id="{FFF1639D-9BD8-470C-943C-48EB016F9C49}"/>
              </a:ext>
            </a:extLst>
          </xdr:cNvPr>
          <xdr:cNvSpPr/>
        </xdr:nvSpPr>
        <xdr:spPr>
          <a:xfrm>
            <a:off x="1584047" y="912421"/>
            <a:ext cx="167563" cy="169966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OpenfrmProductSelect">
        <xdr:nvPicPr>
          <xdr:cNvPr id="25" name="Graphic 24" descr="Magnifying glass">
            <a:extLst>
              <a:ext uri="{FF2B5EF4-FFF2-40B4-BE49-F238E27FC236}">
                <a16:creationId xmlns:a16="http://schemas.microsoft.com/office/drawing/2014/main" id="{00B0EE73-5517-4BDB-ADA4-774A09A2BD1F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0"/>
              </a:ext>
            </a:extLst>
          </a:blip>
          <a:stretch>
            <a:fillRect/>
          </a:stretch>
        </xdr:blipFill>
        <xdr:spPr>
          <a:xfrm>
            <a:off x="1591628" y="921204"/>
            <a:ext cx="152400" cy="152400"/>
          </a:xfrm>
          <a:prstGeom prst="rect">
            <a:avLst/>
          </a:prstGeom>
        </xdr:spPr>
      </xdr:pic>
    </xdr:grpSp>
    <xdr:clientData/>
  </xdr:twoCellAnchor>
  <xdr:twoCellAnchor editAs="absolute">
    <xdr:from>
      <xdr:col>2</xdr:col>
      <xdr:colOff>1159858</xdr:colOff>
      <xdr:row>5</xdr:row>
      <xdr:rowOff>15416</xdr:rowOff>
    </xdr:from>
    <xdr:to>
      <xdr:col>2</xdr:col>
      <xdr:colOff>1350117</xdr:colOff>
      <xdr:row>5</xdr:row>
      <xdr:rowOff>206600</xdr:rowOff>
    </xdr:to>
    <xdr:grpSp>
      <xdr:nvGrpSpPr>
        <xdr:cNvPr id="26" name="Group 25">
          <a:extLst>
            <a:ext uri="{FF2B5EF4-FFF2-40B4-BE49-F238E27FC236}">
              <a16:creationId xmlns:a16="http://schemas.microsoft.com/office/drawing/2014/main" id="{2F92FAC2-C5B5-4487-B96A-F99182E94527}"/>
            </a:ext>
          </a:extLst>
        </xdr:cNvPr>
        <xdr:cNvGrpSpPr/>
      </xdr:nvGrpSpPr>
      <xdr:grpSpPr>
        <a:xfrm>
          <a:off x="2331433" y="1406066"/>
          <a:ext cx="190259" cy="191184"/>
          <a:chOff x="2710677" y="1097978"/>
          <a:chExt cx="190259" cy="191184"/>
        </a:xfrm>
      </xdr:grpSpPr>
      <xdr:sp macro="[0]!ClearProductData" textlink="">
        <xdr:nvSpPr>
          <xdr:cNvPr id="27" name="직사각형 1">
            <a:extLst>
              <a:ext uri="{FF2B5EF4-FFF2-40B4-BE49-F238E27FC236}">
                <a16:creationId xmlns:a16="http://schemas.microsoft.com/office/drawing/2014/main" id="{8C28A1DD-07FA-4E75-8F60-0A3E58F9149D}"/>
              </a:ext>
            </a:extLst>
          </xdr:cNvPr>
          <xdr:cNvSpPr/>
        </xdr:nvSpPr>
        <xdr:spPr>
          <a:xfrm>
            <a:off x="2710677" y="1097978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ClearProductData">
        <xdr:nvPicPr>
          <xdr:cNvPr id="28" name="Graphic 27" descr="Garbage">
            <a:extLst>
              <a:ext uri="{FF2B5EF4-FFF2-40B4-BE49-F238E27FC236}">
                <a16:creationId xmlns:a16="http://schemas.microsoft.com/office/drawing/2014/main" id="{98503D1C-5D95-4D50-8F21-484D0CD10FE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2"/>
              </a:ext>
            </a:extLst>
          </a:blip>
          <a:stretch>
            <a:fillRect/>
          </a:stretch>
        </xdr:blipFill>
        <xdr:spPr>
          <a:xfrm>
            <a:off x="2719120" y="1107170"/>
            <a:ext cx="173372" cy="172800"/>
          </a:xfrm>
          <a:prstGeom prst="rect">
            <a:avLst/>
          </a:prstGeom>
        </xdr:spPr>
      </xdr:pic>
    </xdr:grpSp>
    <xdr:clientData/>
  </xdr:twoCellAnchor>
  <xdr:twoCellAnchor>
    <xdr:from>
      <xdr:col>1</xdr:col>
      <xdr:colOff>706525</xdr:colOff>
      <xdr:row>4</xdr:row>
      <xdr:rowOff>14753</xdr:rowOff>
    </xdr:from>
    <xdr:to>
      <xdr:col>1</xdr:col>
      <xdr:colOff>896784</xdr:colOff>
      <xdr:row>4</xdr:row>
      <xdr:rowOff>206330</xdr:rowOff>
    </xdr:to>
    <xdr:grpSp>
      <xdr:nvGrpSpPr>
        <xdr:cNvPr id="8" name="그룹 7">
          <a:extLst>
            <a:ext uri="{FF2B5EF4-FFF2-40B4-BE49-F238E27FC236}">
              <a16:creationId xmlns:a16="http://schemas.microsoft.com/office/drawing/2014/main" id="{C7E436E6-EDE1-45CE-A018-AAAEF6F614BA}"/>
            </a:ext>
          </a:extLst>
        </xdr:cNvPr>
        <xdr:cNvGrpSpPr/>
      </xdr:nvGrpSpPr>
      <xdr:grpSpPr>
        <a:xfrm>
          <a:off x="954175" y="1176803"/>
          <a:ext cx="190259" cy="191577"/>
          <a:chOff x="955144" y="1177126"/>
          <a:chExt cx="190259" cy="191577"/>
        </a:xfrm>
      </xdr:grpSpPr>
      <xdr:sp macro="[0]!InventoryDate" textlink="">
        <xdr:nvSpPr>
          <xdr:cNvPr id="30" name="직사각형 1">
            <a:extLst>
              <a:ext uri="{FF2B5EF4-FFF2-40B4-BE49-F238E27FC236}">
                <a16:creationId xmlns:a16="http://schemas.microsoft.com/office/drawing/2014/main" id="{40F81FC3-96E4-4B6C-B84F-6E1486C45BC7}"/>
              </a:ext>
            </a:extLst>
          </xdr:cNvPr>
          <xdr:cNvSpPr/>
        </xdr:nvSpPr>
        <xdr:spPr>
          <a:xfrm>
            <a:off x="955144" y="1177126"/>
            <a:ext cx="190259" cy="191184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ko-KR" altLang="en-US" sz="1100"/>
          </a:p>
        </xdr:txBody>
      </xdr:sp>
      <xdr:pic macro="[0]!InventoryDate">
        <xdr:nvPicPr>
          <xdr:cNvPr id="6" name="그래픽 5" descr="일일 일정표 단색으로 채워진">
            <a:extLst>
              <a:ext uri="{FF2B5EF4-FFF2-40B4-BE49-F238E27FC236}">
                <a16:creationId xmlns:a16="http://schemas.microsoft.com/office/drawing/2014/main" id="{F8EA33F6-D273-41CC-9699-3E891D2B9E8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4"/>
              </a:ext>
            </a:extLst>
          </a:blip>
          <a:stretch>
            <a:fillRect/>
          </a:stretch>
        </xdr:blipFill>
        <xdr:spPr>
          <a:xfrm>
            <a:off x="957382" y="1181275"/>
            <a:ext cx="185853" cy="187428"/>
          </a:xfrm>
          <a:prstGeom prst="rect">
            <a:avLst/>
          </a:prstGeom>
        </xdr:spPr>
      </xdr:pic>
    </xdr:grpSp>
    <xdr:clientData/>
  </xdr:twoCellAnchor>
  <xdr:twoCellAnchor editAs="absolute">
    <xdr:from>
      <xdr:col>1</xdr:col>
      <xdr:colOff>898631</xdr:colOff>
      <xdr:row>13</xdr:row>
      <xdr:rowOff>92138</xdr:rowOff>
    </xdr:from>
    <xdr:to>
      <xdr:col>3</xdr:col>
      <xdr:colOff>0</xdr:colOff>
      <xdr:row>15</xdr:row>
      <xdr:rowOff>0</xdr:rowOff>
    </xdr:to>
    <xdr:grpSp>
      <xdr:nvGrpSpPr>
        <xdr:cNvPr id="31" name="Group 12">
          <a:extLst>
            <a:ext uri="{FF2B5EF4-FFF2-40B4-BE49-F238E27FC236}">
              <a16:creationId xmlns:a16="http://schemas.microsoft.com/office/drawing/2014/main" id="{C8A19ECE-3F92-4ED3-8193-68FF25DA2DEE}"/>
            </a:ext>
          </a:extLst>
        </xdr:cNvPr>
        <xdr:cNvGrpSpPr/>
      </xdr:nvGrpSpPr>
      <xdr:grpSpPr>
        <a:xfrm>
          <a:off x="1146281" y="3311588"/>
          <a:ext cx="1425469" cy="365062"/>
          <a:chOff x="1412631" y="4347616"/>
          <a:chExt cx="1418492" cy="365062"/>
        </a:xfrm>
      </xdr:grpSpPr>
      <xdr:sp macro="[0]!Insert_Inventory" textlink="">
        <xdr:nvSpPr>
          <xdr:cNvPr id="32" name="직사각형 1">
            <a:extLst>
              <a:ext uri="{FF2B5EF4-FFF2-40B4-BE49-F238E27FC236}">
                <a16:creationId xmlns:a16="http://schemas.microsoft.com/office/drawing/2014/main" id="{94412D87-4BEA-4934-B1E7-8C74206F1381}"/>
              </a:ext>
            </a:extLst>
          </xdr:cNvPr>
          <xdr:cNvSpPr/>
        </xdr:nvSpPr>
        <xdr:spPr>
          <a:xfrm>
            <a:off x="1412631" y="4347616"/>
            <a:ext cx="1418492" cy="365062"/>
          </a:xfrm>
          <a:prstGeom prst="rect">
            <a:avLst/>
          </a:prstGeom>
          <a:solidFill>
            <a:schemeClr val="bg1"/>
          </a:solidFill>
          <a:ln w="6350">
            <a:solidFill>
              <a:schemeClr val="bg1">
                <a:lumMod val="6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lvl="0" algn="ctr"/>
            <a:r>
              <a:rPr lang="ko-KR" altLang="en-US" sz="1100" b="1">
                <a:solidFill>
                  <a:schemeClr val="tx1">
                    <a:lumMod val="75000"/>
                    <a:lumOff val="25000"/>
                  </a:schemeClr>
                </a:solidFill>
              </a:rPr>
              <a:t>      자료 추가</a:t>
            </a:r>
          </a:p>
        </xdr:txBody>
      </xdr:sp>
      <xdr:pic macro="[0]!Insert_Inventory">
        <xdr:nvPicPr>
          <xdr:cNvPr id="33" name="Graphic 9" descr="Document">
            <a:extLst>
              <a:ext uri="{FF2B5EF4-FFF2-40B4-BE49-F238E27FC236}">
                <a16:creationId xmlns:a16="http://schemas.microsoft.com/office/drawing/2014/main" id="{F5143DD0-2999-4751-8061-B47A36D512E8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5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6"/>
              </a:ext>
            </a:extLst>
          </a:blip>
          <a:stretch>
            <a:fillRect/>
          </a:stretch>
        </xdr:blipFill>
        <xdr:spPr>
          <a:xfrm>
            <a:off x="1603665" y="4378947"/>
            <a:ext cx="302401" cy="302401"/>
          </a:xfrm>
          <a:prstGeom prst="rect">
            <a:avLst/>
          </a:prstGeom>
        </xdr:spPr>
      </xdr:pic>
    </xdr:grpSp>
    <xdr:clientData/>
  </xdr:twoCellAnchor>
  <xdr:twoCellAnchor editAs="absolute">
    <xdr:from>
      <xdr:col>5</xdr:col>
      <xdr:colOff>559739</xdr:colOff>
      <xdr:row>0</xdr:row>
      <xdr:rowOff>98452</xdr:rowOff>
    </xdr:from>
    <xdr:to>
      <xdr:col>6</xdr:col>
      <xdr:colOff>722849</xdr:colOff>
      <xdr:row>1</xdr:row>
      <xdr:rowOff>149614</xdr:rowOff>
    </xdr:to>
    <xdr:grpSp>
      <xdr:nvGrpSpPr>
        <xdr:cNvPr id="34" name="Group 89">
          <a:extLst>
            <a:ext uri="{FF2B5EF4-FFF2-40B4-BE49-F238E27FC236}">
              <a16:creationId xmlns:a16="http://schemas.microsoft.com/office/drawing/2014/main" id="{7317D1CA-4F49-4CD5-BBC4-E6B5D0D8C0A4}"/>
            </a:ext>
          </a:extLst>
        </xdr:cNvPr>
        <xdr:cNvGrpSpPr/>
      </xdr:nvGrpSpPr>
      <xdr:grpSpPr>
        <a:xfrm>
          <a:off x="4122089" y="98452"/>
          <a:ext cx="915585" cy="279762"/>
          <a:chOff x="5379271" y="83099"/>
          <a:chExt cx="922738" cy="287382"/>
        </a:xfrm>
      </xdr:grpSpPr>
      <xdr:sp macro="[0]!OpenfrmInventorySearch" textlink="">
        <xdr:nvSpPr>
          <xdr:cNvPr id="35" name="Rectangle 57">
            <a:extLst>
              <a:ext uri="{FF2B5EF4-FFF2-40B4-BE49-F238E27FC236}">
                <a16:creationId xmlns:a16="http://schemas.microsoft.com/office/drawing/2014/main" id="{D689A912-AE3D-462F-8929-4E39901ACC73}"/>
              </a:ext>
            </a:extLst>
          </xdr:cNvPr>
          <xdr:cNvSpPr/>
        </xdr:nvSpPr>
        <xdr:spPr>
          <a:xfrm>
            <a:off x="5379271" y="83116"/>
            <a:ext cx="628274" cy="287350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900" b="1">
                <a:solidFill>
                  <a:schemeClr val="tx1">
                    <a:lumMod val="85000"/>
                    <a:lumOff val="15000"/>
                  </a:schemeClr>
                </a:solidFill>
              </a:rPr>
              <a:t>상세검색</a:t>
            </a:r>
          </a:p>
        </xdr:txBody>
      </xdr:sp>
      <xdr:sp macro="[0]!OpenfrmInventorySearch" textlink="">
        <xdr:nvSpPr>
          <xdr:cNvPr id="36" name="Rectangle 59">
            <a:extLst>
              <a:ext uri="{FF2B5EF4-FFF2-40B4-BE49-F238E27FC236}">
                <a16:creationId xmlns:a16="http://schemas.microsoft.com/office/drawing/2014/main" id="{36759876-3326-4FFC-A185-CA977A5E0F78}"/>
              </a:ext>
            </a:extLst>
          </xdr:cNvPr>
          <xdr:cNvSpPr/>
        </xdr:nvSpPr>
        <xdr:spPr>
          <a:xfrm>
            <a:off x="5994281" y="83099"/>
            <a:ext cx="307728" cy="287382"/>
          </a:xfrm>
          <a:prstGeom prst="rect">
            <a:avLst/>
          </a:prstGeom>
          <a:solidFill>
            <a:schemeClr val="tx1">
              <a:lumMod val="65000"/>
              <a:lumOff val="35000"/>
            </a:schemeClr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endParaRPr lang="ko-KR" altLang="en-US" sz="900"/>
          </a:p>
        </xdr:txBody>
      </xdr:sp>
      <xdr:pic macro="[0]!OpenfrmInventorySearch">
        <xdr:nvPicPr>
          <xdr:cNvPr id="39" name="Graphic 73" descr="Eraser">
            <a:extLst>
              <a:ext uri="{FF2B5EF4-FFF2-40B4-BE49-F238E27FC236}">
                <a16:creationId xmlns:a16="http://schemas.microsoft.com/office/drawing/2014/main" id="{C3D38097-E65D-4299-A46B-D57D4646539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4"/>
              </a:ext>
            </a:extLst>
          </a:blip>
          <a:stretch>
            <a:fillRect/>
          </a:stretch>
        </xdr:blipFill>
        <xdr:spPr>
          <a:xfrm>
            <a:off x="6007517" y="90487"/>
            <a:ext cx="271463" cy="271463"/>
          </a:xfrm>
          <a:prstGeom prst="rect">
            <a:avLst/>
          </a:prstGeom>
        </xdr:spPr>
      </xdr:pic>
    </xdr:grpSp>
    <xdr:clientData/>
  </xdr:twoCellAnchor>
  <xdr:twoCellAnchor editAs="absolute">
    <xdr:from>
      <xdr:col>7</xdr:col>
      <xdr:colOff>98810</xdr:colOff>
      <xdr:row>0</xdr:row>
      <xdr:rowOff>98452</xdr:rowOff>
    </xdr:from>
    <xdr:to>
      <xdr:col>8</xdr:col>
      <xdr:colOff>551663</xdr:colOff>
      <xdr:row>1</xdr:row>
      <xdr:rowOff>149614</xdr:rowOff>
    </xdr:to>
    <xdr:grpSp>
      <xdr:nvGrpSpPr>
        <xdr:cNvPr id="40" name="그룹 39">
          <a:extLst>
            <a:ext uri="{FF2B5EF4-FFF2-40B4-BE49-F238E27FC236}">
              <a16:creationId xmlns:a16="http://schemas.microsoft.com/office/drawing/2014/main" id="{17DDD6D8-5BED-40F0-9464-4F1A4F304F11}"/>
            </a:ext>
          </a:extLst>
        </xdr:cNvPr>
        <xdr:cNvGrpSpPr/>
      </xdr:nvGrpSpPr>
      <xdr:grpSpPr>
        <a:xfrm>
          <a:off x="5166110" y="98452"/>
          <a:ext cx="919578" cy="279762"/>
          <a:chOff x="4109954" y="94747"/>
          <a:chExt cx="911399" cy="285001"/>
        </a:xfrm>
      </xdr:grpSpPr>
      <xdr:grpSp>
        <xdr:nvGrpSpPr>
          <xdr:cNvPr id="41" name="Group 88">
            <a:extLst>
              <a:ext uri="{FF2B5EF4-FFF2-40B4-BE49-F238E27FC236}">
                <a16:creationId xmlns:a16="http://schemas.microsoft.com/office/drawing/2014/main" id="{E34EDF91-141C-484C-A2B5-3F17173EF353}"/>
              </a:ext>
            </a:extLst>
          </xdr:cNvPr>
          <xdr:cNvGrpSpPr/>
        </xdr:nvGrpSpPr>
        <xdr:grpSpPr>
          <a:xfrm>
            <a:off x="4109954" y="94747"/>
            <a:ext cx="911399" cy="285001"/>
            <a:chOff x="6424299" y="83099"/>
            <a:chExt cx="922738" cy="287382"/>
          </a:xfrm>
        </xdr:grpSpPr>
        <xdr:sp macro="[0]!ClearInventoryData" textlink="">
          <xdr:nvSpPr>
            <xdr:cNvPr id="43" name="Rectangle 62">
              <a:extLst>
                <a:ext uri="{FF2B5EF4-FFF2-40B4-BE49-F238E27FC236}">
                  <a16:creationId xmlns:a16="http://schemas.microsoft.com/office/drawing/2014/main" id="{B069C7B8-2BBE-44D9-8B73-FF5A3C0648FB}"/>
                </a:ext>
              </a:extLst>
            </xdr:cNvPr>
            <xdr:cNvSpPr/>
          </xdr:nvSpPr>
          <xdr:spPr>
            <a:xfrm>
              <a:off x="6424299" y="83116"/>
              <a:ext cx="628274" cy="287350"/>
            </a:xfrm>
            <a:prstGeom prst="rect">
              <a:avLst/>
            </a:prstGeom>
            <a:solidFill>
              <a:schemeClr val="bg1"/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r>
                <a:rPr lang="ko-KR" altLang="en-US" sz="900" b="1">
                  <a:solidFill>
                    <a:schemeClr val="tx1">
                      <a:lumMod val="85000"/>
                      <a:lumOff val="15000"/>
                    </a:schemeClr>
                  </a:solidFill>
                </a:rPr>
                <a:t>초기화</a:t>
              </a:r>
            </a:p>
          </xdr:txBody>
        </xdr:sp>
        <xdr:sp macro="[0]!ClearInventoryData" textlink="">
          <xdr:nvSpPr>
            <xdr:cNvPr id="44" name="Rectangle 64">
              <a:extLst>
                <a:ext uri="{FF2B5EF4-FFF2-40B4-BE49-F238E27FC236}">
                  <a16:creationId xmlns:a16="http://schemas.microsoft.com/office/drawing/2014/main" id="{FFDE8B91-8F3B-4017-83B8-87826CF597C4}"/>
                </a:ext>
              </a:extLst>
            </xdr:cNvPr>
            <xdr:cNvSpPr/>
          </xdr:nvSpPr>
          <xdr:spPr>
            <a:xfrm>
              <a:off x="7039309" y="83099"/>
              <a:ext cx="307728" cy="287382"/>
            </a:xfrm>
            <a:prstGeom prst="rect">
              <a:avLst/>
            </a:prstGeom>
            <a:solidFill>
              <a:schemeClr val="tx1">
                <a:lumMod val="65000"/>
                <a:lumOff val="35000"/>
              </a:schemeClr>
            </a:solidFill>
            <a:ln w="6350">
              <a:solidFill>
                <a:schemeClr val="tx1">
                  <a:lumMod val="65000"/>
                  <a:lumOff val="35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lIns="0" tIns="0" rIns="0" bIns="0" rtlCol="0" anchor="ctr"/>
            <a:lstStyle/>
            <a:p>
              <a:pPr algn="ctr"/>
              <a:endParaRPr lang="ko-KR" altLang="en-US" sz="900"/>
            </a:p>
          </xdr:txBody>
        </xdr:sp>
      </xdr:grpSp>
      <xdr:pic macro="[0]!ClearInventoryData">
        <xdr:nvPicPr>
          <xdr:cNvPr id="42" name="그래픽 41" descr="마법 지팡이 자동 단색으로 채워진">
            <a:extLst>
              <a:ext uri="{FF2B5EF4-FFF2-40B4-BE49-F238E27FC236}">
                <a16:creationId xmlns:a16="http://schemas.microsoft.com/office/drawing/2014/main" id="{69DF3107-4E9B-42E5-8CE9-3407C3125F6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7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18"/>
              </a:ext>
            </a:extLst>
          </a:blip>
          <a:stretch>
            <a:fillRect/>
          </a:stretch>
        </xdr:blipFill>
        <xdr:spPr>
          <a:xfrm>
            <a:off x="4738689" y="107158"/>
            <a:ext cx="267889" cy="267889"/>
          </a:xfrm>
          <a:prstGeom prst="rect">
            <a:avLst/>
          </a:prstGeom>
        </xdr:spPr>
      </xdr:pic>
    </xdr:grpSp>
    <xdr:clientData/>
  </xdr:twoCellAnchor>
  <xdr:twoCellAnchor editAs="absolute">
    <xdr:from>
      <xdr:col>4</xdr:col>
      <xdr:colOff>285998</xdr:colOff>
      <xdr:row>0</xdr:row>
      <xdr:rowOff>98452</xdr:rowOff>
    </xdr:from>
    <xdr:to>
      <xdr:col>5</xdr:col>
      <xdr:colOff>422441</xdr:colOff>
      <xdr:row>1</xdr:row>
      <xdr:rowOff>149614</xdr:rowOff>
    </xdr:to>
    <xdr:grpSp>
      <xdr:nvGrpSpPr>
        <xdr:cNvPr id="83" name="그룹 82">
          <a:extLst>
            <a:ext uri="{FF2B5EF4-FFF2-40B4-BE49-F238E27FC236}">
              <a16:creationId xmlns:a16="http://schemas.microsoft.com/office/drawing/2014/main" id="{8A9823C8-3EA8-47BF-85E1-04004FFEB36F}"/>
            </a:ext>
          </a:extLst>
        </xdr:cNvPr>
        <xdr:cNvGrpSpPr/>
      </xdr:nvGrpSpPr>
      <xdr:grpSpPr>
        <a:xfrm>
          <a:off x="3095873" y="98452"/>
          <a:ext cx="888918" cy="279762"/>
          <a:chOff x="3080757" y="90832"/>
          <a:chExt cx="904389" cy="286453"/>
        </a:xfrm>
      </xdr:grpSpPr>
      <xdr:sp macro="[0]!GetCurrentBalance" textlink="">
        <xdr:nvSpPr>
          <xdr:cNvPr id="87" name="Rectangle 57">
            <a:extLst>
              <a:ext uri="{FF2B5EF4-FFF2-40B4-BE49-F238E27FC236}">
                <a16:creationId xmlns:a16="http://schemas.microsoft.com/office/drawing/2014/main" id="{CB60F8EF-7611-41D7-B5B5-86721B2A7041}"/>
              </a:ext>
            </a:extLst>
          </xdr:cNvPr>
          <xdr:cNvSpPr/>
        </xdr:nvSpPr>
        <xdr:spPr>
          <a:xfrm>
            <a:off x="3080757" y="90849"/>
            <a:ext cx="615781" cy="286421"/>
          </a:xfrm>
          <a:prstGeom prst="rect">
            <a:avLst/>
          </a:prstGeom>
          <a:solidFill>
            <a:schemeClr val="bg1"/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r>
              <a:rPr lang="ko-KR" altLang="en-US" sz="800" b="1">
                <a:solidFill>
                  <a:schemeClr val="tx1">
                    <a:lumMod val="85000"/>
                    <a:lumOff val="15000"/>
                  </a:schemeClr>
                </a:solidFill>
              </a:rPr>
              <a:t>현재고조회</a:t>
            </a:r>
          </a:p>
        </xdr:txBody>
      </xdr:sp>
      <xdr:sp macro="[0]!GetCurrentBalance" textlink="">
        <xdr:nvSpPr>
          <xdr:cNvPr id="88" name="Rectangle 59">
            <a:extLst>
              <a:ext uri="{FF2B5EF4-FFF2-40B4-BE49-F238E27FC236}">
                <a16:creationId xmlns:a16="http://schemas.microsoft.com/office/drawing/2014/main" id="{5290D81F-003D-4E93-9529-8074343C6CB2}"/>
              </a:ext>
            </a:extLst>
          </xdr:cNvPr>
          <xdr:cNvSpPr/>
        </xdr:nvSpPr>
        <xdr:spPr>
          <a:xfrm>
            <a:off x="3683537" y="90832"/>
            <a:ext cx="301609" cy="286453"/>
          </a:xfrm>
          <a:prstGeom prst="rect">
            <a:avLst/>
          </a:prstGeom>
          <a:solidFill>
            <a:schemeClr val="tx1">
              <a:lumMod val="65000"/>
              <a:lumOff val="35000"/>
            </a:schemeClr>
          </a:solidFill>
          <a:ln w="6350">
            <a:solidFill>
              <a:schemeClr val="tx1">
                <a:lumMod val="65000"/>
                <a:lumOff val="35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/>
          <a:lstStyle/>
          <a:p>
            <a:pPr algn="ctr"/>
            <a:endParaRPr lang="ko-KR" altLang="en-US" sz="900"/>
          </a:p>
        </xdr:txBody>
      </xdr:sp>
      <xdr:pic macro="[0]!GetCurrentBalance">
        <xdr:nvPicPr>
          <xdr:cNvPr id="82" name="그래픽 81" descr="재고 검색 단색으로 채워진">
            <a:extLst>
              <a:ext uri="{FF2B5EF4-FFF2-40B4-BE49-F238E27FC236}">
                <a16:creationId xmlns:a16="http://schemas.microsoft.com/office/drawing/2014/main" id="{E0C8F54E-5FA3-41CD-8F1D-0CA4262BE3D6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9" cstate="print">
            <a:extLst>
              <a:ext uri="{28A0092B-C50C-407E-A947-70E740481C1C}">
                <a14:useLocalDpi xmlns:a14="http://schemas.microsoft.com/office/drawing/2010/main" val="0"/>
              </a:ext>
              <a:ext uri="{96DAC541-7B7A-43D3-8B79-37D633B846F1}">
                <asvg:svgBlip xmlns:asvg="http://schemas.microsoft.com/office/drawing/2016/SVG/main" r:embed="rId20"/>
              </a:ext>
            </a:extLst>
          </a:blip>
          <a:stretch>
            <a:fillRect/>
          </a:stretch>
        </xdr:blipFill>
        <xdr:spPr>
          <a:xfrm>
            <a:off x="3712428" y="106867"/>
            <a:ext cx="255549" cy="255549"/>
          </a:xfrm>
          <a:prstGeom prst="rect">
            <a:avLst/>
          </a:prstGeom>
        </xdr:spPr>
      </xdr:pic>
    </xdr:grpSp>
    <xdr:clientData/>
  </xdr:twoCellAnchor>
  <xdr:twoCellAnchor>
    <xdr:from>
      <xdr:col>0</xdr:col>
      <xdr:colOff>47625</xdr:colOff>
      <xdr:row>0</xdr:row>
      <xdr:rowOff>47625</xdr:rowOff>
    </xdr:from>
    <xdr:to>
      <xdr:col>1</xdr:col>
      <xdr:colOff>751812</xdr:colOff>
      <xdr:row>1</xdr:row>
      <xdr:rowOff>144438</xdr:rowOff>
    </xdr:to>
    <xdr:grpSp>
      <xdr:nvGrpSpPr>
        <xdr:cNvPr id="5" name="그룹 4">
          <a:extLst>
            <a:ext uri="{FF2B5EF4-FFF2-40B4-BE49-F238E27FC236}">
              <a16:creationId xmlns:a16="http://schemas.microsoft.com/office/drawing/2014/main" id="{3B3DE0FA-BFEA-43A3-8DF9-80D54185F886}"/>
            </a:ext>
          </a:extLst>
        </xdr:cNvPr>
        <xdr:cNvGrpSpPr/>
      </xdr:nvGrpSpPr>
      <xdr:grpSpPr>
        <a:xfrm>
          <a:off x="47625" y="47625"/>
          <a:ext cx="951837" cy="325413"/>
          <a:chOff x="273325" y="82826"/>
          <a:chExt cx="951837" cy="325413"/>
        </a:xfrm>
      </xdr:grpSpPr>
      <xdr:pic>
        <xdr:nvPicPr>
          <xdr:cNvPr id="7" name="그림 6">
            <a:extLst>
              <a:ext uri="{FF2B5EF4-FFF2-40B4-BE49-F238E27FC236}">
                <a16:creationId xmlns:a16="http://schemas.microsoft.com/office/drawing/2014/main" id="{60B2D765-0671-0110-A0E2-320D0568979F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1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73325" y="82826"/>
            <a:ext cx="323022" cy="323022"/>
          </a:xfrm>
          <a:prstGeom prst="rect">
            <a:avLst/>
          </a:prstGeom>
        </xdr:spPr>
      </xdr:pic>
      <xdr:sp macro="[0]!홈_이동" textlink="">
        <xdr:nvSpPr>
          <xdr:cNvPr id="9" name="TextBox 8">
            <a:extLst>
              <a:ext uri="{FF2B5EF4-FFF2-40B4-BE49-F238E27FC236}">
                <a16:creationId xmlns:a16="http://schemas.microsoft.com/office/drawing/2014/main" id="{856625EE-ECED-B70E-10C5-742C8D4D4B0C}"/>
              </a:ext>
            </a:extLst>
          </xdr:cNvPr>
          <xdr:cNvSpPr txBox="1"/>
        </xdr:nvSpPr>
        <xdr:spPr>
          <a:xfrm>
            <a:off x="588065" y="132522"/>
            <a:ext cx="637097" cy="275717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en-US" altLang="ko-KR" sz="1100">
                <a:latin typeface="HY견고딕" panose="02030600000101010101" pitchFamily="18" charset="-127"/>
                <a:ea typeface="HY견고딕" panose="02030600000101010101" pitchFamily="18" charset="-127"/>
              </a:rPr>
              <a:t>HOME</a:t>
            </a:r>
            <a:endParaRPr lang="ko-KR" altLang="en-US" sz="1100">
              <a:latin typeface="HY견고딕" panose="02030600000101010101" pitchFamily="18" charset="-127"/>
              <a:ea typeface="HY견고딕" panose="02030600000101010101" pitchFamily="18" charset="-127"/>
            </a:endParaRPr>
          </a:p>
        </xdr:txBody>
      </xdr:sp>
    </xdr:grp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352424</xdr:colOff>
      <xdr:row>1</xdr:row>
      <xdr:rowOff>333443</xdr:rowOff>
    </xdr:from>
    <xdr:to>
      <xdr:col>4</xdr:col>
      <xdr:colOff>657224</xdr:colOff>
      <xdr:row>3</xdr:row>
      <xdr:rowOff>312501</xdr:rowOff>
    </xdr:to>
    <xdr:pic>
      <xdr:nvPicPr>
        <xdr:cNvPr id="2" name="그림 1">
          <a:extLst>
            <a:ext uri="{FF2B5EF4-FFF2-40B4-BE49-F238E27FC236}">
              <a16:creationId xmlns:a16="http://schemas.microsoft.com/office/drawing/2014/main" id="{1D1B0E5D-C889-78CF-A6A1-CD110D323E5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438399" y="685868"/>
          <a:ext cx="1000125" cy="683908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2013 - 2022 테마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../Users/User/AppData/Roaming/Microsoft/&#48120;&#47476;&#50724;&#53664;_250319_142233.xlsx" TargetMode="Externa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image" Target="../media/image15.jpeg"/><Relationship Id="rId1" Type="http://schemas.openxmlformats.org/officeDocument/2006/relationships/drawing" Target="../drawings/drawing4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3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4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5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2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3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9.bin"/></Relationships>
</file>

<file path=xl/worksheets/_rels/sheet3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3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1.bin"/></Relationships>
</file>

<file path=xl/worksheets/_rels/sheet3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D4A73F-06D4-4F7E-BAF4-64163DCE1D78}">
  <sheetPr codeName="shtHome"/>
  <dimension ref="C2:S38"/>
  <sheetViews>
    <sheetView tabSelected="1" topLeftCell="C4" workbookViewId="0">
      <selection activeCell="Q4" sqref="Q1:Q1048576"/>
    </sheetView>
  </sheetViews>
  <sheetFormatPr defaultColWidth="0" defaultRowHeight="16.5" zeroHeight="1"/>
  <cols>
    <col min="1" max="2" width="9" style="104" hidden="1" customWidth="1"/>
    <col min="3" max="18" width="9" style="104" customWidth="1"/>
    <col min="19" max="19" width="9" style="104" hidden="1" customWidth="1"/>
    <col min="20" max="16384" width="9" style="104" hidden="1"/>
  </cols>
  <sheetData>
    <row r="2" spans="14:14" hidden="1">
      <c r="N2" s="104" t="s">
        <v>2489</v>
      </c>
    </row>
    <row r="4" spans="14:14"/>
    <row r="5" spans="14:14"/>
    <row r="6" spans="14:14"/>
    <row r="7" spans="14:14"/>
    <row r="8" spans="14:14"/>
    <row r="9" spans="14:14"/>
    <row r="10" spans="14:14"/>
    <row r="11" spans="14:14"/>
    <row r="12" spans="14:14"/>
    <row r="13" spans="14:14"/>
    <row r="14" spans="14:14"/>
    <row r="15" spans="14:14"/>
    <row r="16" spans="14:14"/>
    <row r="17" spans="10:19"/>
    <row r="18" spans="10:19"/>
    <row r="19" spans="10:19"/>
    <row r="20" spans="10:19"/>
    <row r="21" spans="10:19">
      <c r="J21" s="104" t="s">
        <v>2489</v>
      </c>
      <c r="Q21" s="239"/>
    </row>
    <row r="22" spans="10:19"/>
    <row r="23" spans="10:19"/>
    <row r="24" spans="10:19"/>
    <row r="25" spans="10:19"/>
    <row r="26" spans="10:19"/>
    <row r="27" spans="10:19"/>
    <row r="28" spans="10:19">
      <c r="S28" s="104" t="s">
        <v>2489</v>
      </c>
    </row>
    <row r="29" spans="10:19"/>
    <row r="30" spans="10:19"/>
    <row r="31" spans="10:19"/>
    <row r="32" spans="10:19"/>
    <row r="33" s="104" customFormat="1" hidden="1"/>
    <row r="34" s="104" customFormat="1" hidden="1"/>
    <row r="35" s="104" customFormat="1" hidden="1"/>
    <row r="36" s="104" customFormat="1" hidden="1"/>
    <row r="37" s="104" customFormat="1" hidden="1"/>
    <row r="38" s="104" customFormat="1" hidden="1"/>
  </sheetData>
  <phoneticPr fontId="2" type="noConversion"/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58D172-5C30-4803-ADB6-E10ED6712AA7}">
  <sheetPr codeName="shtpost"/>
  <dimension ref="A1:G107"/>
  <sheetViews>
    <sheetView topLeftCell="A77" workbookViewId="0">
      <selection activeCell="D96" sqref="D96"/>
    </sheetView>
  </sheetViews>
  <sheetFormatPr defaultRowHeight="16.5"/>
  <cols>
    <col min="1" max="1" width="4.5" bestFit="1" customWidth="1"/>
    <col min="2" max="2" width="12.75" customWidth="1"/>
    <col min="3" max="3" width="16" customWidth="1"/>
    <col min="4" max="4" width="7.125" bestFit="1" customWidth="1"/>
    <col min="5" max="5" width="16" customWidth="1"/>
    <col min="6" max="6" width="20.625" bestFit="1" customWidth="1"/>
  </cols>
  <sheetData>
    <row r="1" spans="1:7">
      <c r="A1" s="192" t="s">
        <v>2</v>
      </c>
      <c r="B1" s="192" t="s">
        <v>14</v>
      </c>
      <c r="C1" s="192" t="s">
        <v>1675</v>
      </c>
      <c r="D1" s="192" t="s">
        <v>40</v>
      </c>
      <c r="E1" s="192" t="s">
        <v>1676</v>
      </c>
      <c r="F1" s="192" t="s">
        <v>4</v>
      </c>
      <c r="G1" s="105">
        <v>107</v>
      </c>
    </row>
    <row r="2" spans="1:7">
      <c r="A2">
        <v>1</v>
      </c>
      <c r="B2" s="13">
        <v>45748</v>
      </c>
      <c r="C2" t="s">
        <v>2092</v>
      </c>
      <c r="D2" t="s">
        <v>2086</v>
      </c>
      <c r="E2" s="238">
        <v>21000</v>
      </c>
    </row>
    <row r="3" spans="1:7">
      <c r="A3">
        <v>2</v>
      </c>
      <c r="B3" s="13">
        <v>45747</v>
      </c>
      <c r="C3" t="s">
        <v>2093</v>
      </c>
      <c r="D3" t="s">
        <v>2090</v>
      </c>
      <c r="E3" s="238">
        <v>48210</v>
      </c>
    </row>
    <row r="4" spans="1:7">
      <c r="A4">
        <v>3</v>
      </c>
      <c r="B4" s="13">
        <v>45749</v>
      </c>
      <c r="C4" t="s">
        <v>2089</v>
      </c>
      <c r="D4" t="s">
        <v>2089</v>
      </c>
      <c r="E4" s="238">
        <v>16600</v>
      </c>
      <c r="F4" t="s">
        <v>2094</v>
      </c>
    </row>
    <row r="5" spans="1:7">
      <c r="A5">
        <v>4</v>
      </c>
      <c r="B5" s="13">
        <v>45749</v>
      </c>
      <c r="C5" t="s">
        <v>1690</v>
      </c>
      <c r="D5" t="s">
        <v>2087</v>
      </c>
      <c r="E5">
        <v>19500</v>
      </c>
    </row>
    <row r="6" spans="1:7">
      <c r="A6">
        <v>5</v>
      </c>
      <c r="B6" s="13">
        <v>45749</v>
      </c>
      <c r="C6" t="s">
        <v>2089</v>
      </c>
      <c r="D6" t="s">
        <v>1687</v>
      </c>
      <c r="E6">
        <v>8000</v>
      </c>
      <c r="F6" t="s">
        <v>2095</v>
      </c>
    </row>
    <row r="7" spans="1:7">
      <c r="A7">
        <v>6</v>
      </c>
      <c r="B7" s="13">
        <v>45750</v>
      </c>
      <c r="C7" t="s">
        <v>1690</v>
      </c>
      <c r="D7" t="s">
        <v>2087</v>
      </c>
      <c r="E7">
        <v>22000</v>
      </c>
    </row>
    <row r="8" spans="1:7">
      <c r="A8">
        <v>7</v>
      </c>
      <c r="B8" s="13">
        <v>45751</v>
      </c>
      <c r="C8" t="s">
        <v>1761</v>
      </c>
      <c r="D8" t="s">
        <v>2087</v>
      </c>
      <c r="E8">
        <v>7900</v>
      </c>
    </row>
    <row r="9" spans="1:7">
      <c r="A9">
        <v>8</v>
      </c>
      <c r="B9" s="13">
        <v>45751</v>
      </c>
      <c r="C9" t="s">
        <v>1778</v>
      </c>
      <c r="D9" t="s">
        <v>2087</v>
      </c>
      <c r="E9">
        <v>5400</v>
      </c>
      <c r="F9" t="s">
        <v>1779</v>
      </c>
    </row>
    <row r="10" spans="1:7">
      <c r="A10">
        <v>9</v>
      </c>
      <c r="B10" s="13">
        <v>45754</v>
      </c>
      <c r="C10" t="s">
        <v>1565</v>
      </c>
      <c r="D10" t="s">
        <v>2089</v>
      </c>
      <c r="E10">
        <v>8000</v>
      </c>
      <c r="F10" t="s">
        <v>1821</v>
      </c>
    </row>
    <row r="11" spans="1:7">
      <c r="A11">
        <v>10</v>
      </c>
      <c r="B11" s="13">
        <v>45754</v>
      </c>
      <c r="C11" t="s">
        <v>1690</v>
      </c>
      <c r="D11" t="s">
        <v>2087</v>
      </c>
      <c r="E11">
        <v>11000</v>
      </c>
    </row>
    <row r="12" spans="1:7">
      <c r="A12">
        <v>11</v>
      </c>
      <c r="B12" s="13">
        <v>45754</v>
      </c>
      <c r="C12" t="s">
        <v>1674</v>
      </c>
      <c r="D12" t="s">
        <v>2091</v>
      </c>
      <c r="E12">
        <v>47970</v>
      </c>
    </row>
    <row r="13" spans="1:7">
      <c r="A13">
        <v>12</v>
      </c>
      <c r="B13" s="13">
        <v>45755</v>
      </c>
      <c r="C13" t="s">
        <v>1778</v>
      </c>
      <c r="D13" t="s">
        <v>2087</v>
      </c>
      <c r="E13">
        <v>5400</v>
      </c>
      <c r="F13" t="s">
        <v>1877</v>
      </c>
    </row>
    <row r="14" spans="1:7">
      <c r="A14">
        <v>13</v>
      </c>
      <c r="B14" s="13">
        <v>45756</v>
      </c>
      <c r="C14" t="s">
        <v>1904</v>
      </c>
      <c r="D14" t="s">
        <v>2088</v>
      </c>
      <c r="E14">
        <v>44600</v>
      </c>
    </row>
    <row r="15" spans="1:7">
      <c r="A15">
        <v>14</v>
      </c>
      <c r="B15" s="13">
        <v>45756</v>
      </c>
      <c r="C15" t="s">
        <v>1690</v>
      </c>
      <c r="D15" t="s">
        <v>2087</v>
      </c>
      <c r="E15">
        <v>11000</v>
      </c>
    </row>
    <row r="16" spans="1:7">
      <c r="A16">
        <v>15</v>
      </c>
      <c r="B16" s="13">
        <v>45758</v>
      </c>
      <c r="C16" t="s">
        <v>1761</v>
      </c>
      <c r="D16" t="s">
        <v>2087</v>
      </c>
      <c r="E16">
        <v>7900</v>
      </c>
    </row>
    <row r="17" spans="1:6">
      <c r="A17">
        <v>16</v>
      </c>
      <c r="B17" s="13">
        <v>45762</v>
      </c>
      <c r="C17" t="s">
        <v>1674</v>
      </c>
      <c r="D17" t="s">
        <v>2091</v>
      </c>
      <c r="E17">
        <v>47550</v>
      </c>
    </row>
    <row r="18" spans="1:6">
      <c r="A18">
        <v>17</v>
      </c>
      <c r="B18" s="13">
        <v>45762</v>
      </c>
      <c r="C18" t="s">
        <v>1674</v>
      </c>
      <c r="D18" t="s">
        <v>2091</v>
      </c>
      <c r="E18">
        <v>5000</v>
      </c>
      <c r="F18" t="s">
        <v>1966</v>
      </c>
    </row>
    <row r="19" spans="1:6">
      <c r="A19">
        <v>18</v>
      </c>
      <c r="B19" s="13">
        <v>45762</v>
      </c>
      <c r="C19" t="s">
        <v>1967</v>
      </c>
      <c r="D19" t="s">
        <v>2087</v>
      </c>
      <c r="E19">
        <v>40600</v>
      </c>
    </row>
    <row r="20" spans="1:6">
      <c r="A20">
        <v>19</v>
      </c>
      <c r="B20" s="13">
        <v>45771</v>
      </c>
      <c r="C20" t="s">
        <v>1674</v>
      </c>
      <c r="D20" t="s">
        <v>2091</v>
      </c>
      <c r="E20">
        <v>47550</v>
      </c>
    </row>
    <row r="21" spans="1:6">
      <c r="A21">
        <v>20</v>
      </c>
      <c r="B21" s="13">
        <v>45771</v>
      </c>
      <c r="C21" t="s">
        <v>2056</v>
      </c>
      <c r="D21" t="s">
        <v>2091</v>
      </c>
      <c r="E21">
        <v>5000</v>
      </c>
      <c r="F21" t="s">
        <v>1966</v>
      </c>
    </row>
    <row r="22" spans="1:6">
      <c r="A22">
        <v>21</v>
      </c>
      <c r="B22" s="13">
        <v>45772</v>
      </c>
      <c r="C22" t="s">
        <v>1565</v>
      </c>
      <c r="D22" t="s">
        <v>2089</v>
      </c>
      <c r="E22">
        <v>7000</v>
      </c>
      <c r="F22" t="s">
        <v>2074</v>
      </c>
    </row>
    <row r="23" spans="1:6">
      <c r="A23">
        <v>22</v>
      </c>
      <c r="B23" s="13">
        <v>45775</v>
      </c>
      <c r="C23" t="s">
        <v>2082</v>
      </c>
      <c r="D23" t="s">
        <v>2087</v>
      </c>
      <c r="E23">
        <v>8000</v>
      </c>
    </row>
    <row r="24" spans="1:6">
      <c r="A24">
        <v>23</v>
      </c>
      <c r="B24" s="13">
        <v>45775</v>
      </c>
      <c r="C24" t="s">
        <v>1565</v>
      </c>
      <c r="D24" t="s">
        <v>2089</v>
      </c>
      <c r="E24">
        <v>5000</v>
      </c>
      <c r="F24" t="s">
        <v>1183</v>
      </c>
    </row>
    <row r="25" spans="1:6">
      <c r="A25">
        <v>24</v>
      </c>
      <c r="B25" s="13">
        <v>45778</v>
      </c>
      <c r="C25" t="s">
        <v>2146</v>
      </c>
      <c r="D25" t="s">
        <v>1859</v>
      </c>
      <c r="E25">
        <v>2000</v>
      </c>
      <c r="F25" t="s">
        <v>2147</v>
      </c>
    </row>
    <row r="26" spans="1:6">
      <c r="A26">
        <v>25</v>
      </c>
      <c r="B26" s="13">
        <v>45778</v>
      </c>
      <c r="C26" t="s">
        <v>2146</v>
      </c>
      <c r="D26" t="s">
        <v>1859</v>
      </c>
      <c r="E26">
        <v>2000</v>
      </c>
      <c r="F26" t="s">
        <v>2147</v>
      </c>
    </row>
    <row r="27" spans="1:6">
      <c r="A27">
        <v>26</v>
      </c>
      <c r="B27" s="13">
        <v>45777</v>
      </c>
      <c r="C27" t="s">
        <v>2149</v>
      </c>
      <c r="D27" t="s">
        <v>2086</v>
      </c>
      <c r="E27">
        <v>32000</v>
      </c>
    </row>
    <row r="28" spans="1:6">
      <c r="A28">
        <v>27</v>
      </c>
      <c r="B28" s="13">
        <v>45778</v>
      </c>
      <c r="C28" t="s">
        <v>2082</v>
      </c>
      <c r="D28" t="s">
        <v>2086</v>
      </c>
      <c r="E28" s="238">
        <v>8000</v>
      </c>
    </row>
    <row r="29" spans="1:6">
      <c r="A29">
        <v>28</v>
      </c>
      <c r="B29" s="13">
        <v>45779</v>
      </c>
      <c r="C29" t="s">
        <v>2146</v>
      </c>
      <c r="D29" t="s">
        <v>1859</v>
      </c>
      <c r="E29">
        <v>6000</v>
      </c>
      <c r="F29" t="s">
        <v>2152</v>
      </c>
    </row>
    <row r="30" spans="1:6">
      <c r="A30">
        <v>29</v>
      </c>
      <c r="B30" s="13">
        <v>45779</v>
      </c>
      <c r="C30" t="s">
        <v>2163</v>
      </c>
      <c r="D30" t="s">
        <v>2085</v>
      </c>
      <c r="E30">
        <v>74100</v>
      </c>
      <c r="F30" t="s">
        <v>2164</v>
      </c>
    </row>
    <row r="31" spans="1:6">
      <c r="A31">
        <v>30</v>
      </c>
      <c r="B31" s="13">
        <v>45780</v>
      </c>
      <c r="C31" t="s">
        <v>2161</v>
      </c>
      <c r="D31" t="s">
        <v>2085</v>
      </c>
      <c r="E31">
        <v>7000</v>
      </c>
      <c r="F31" t="s">
        <v>2162</v>
      </c>
    </row>
    <row r="32" spans="1:6">
      <c r="A32">
        <v>31</v>
      </c>
      <c r="B32" s="13">
        <v>45780</v>
      </c>
      <c r="C32" t="s">
        <v>2146</v>
      </c>
      <c r="D32" t="s">
        <v>1859</v>
      </c>
      <c r="E32">
        <v>7000</v>
      </c>
      <c r="F32" t="s">
        <v>1974</v>
      </c>
    </row>
    <row r="33" spans="1:6">
      <c r="A33">
        <v>32</v>
      </c>
      <c r="B33" s="13">
        <v>45784</v>
      </c>
      <c r="C33" t="s">
        <v>1690</v>
      </c>
      <c r="D33" t="s">
        <v>2086</v>
      </c>
      <c r="E33">
        <v>9500</v>
      </c>
    </row>
    <row r="34" spans="1:6">
      <c r="A34">
        <v>33</v>
      </c>
      <c r="B34" s="13">
        <v>45785</v>
      </c>
      <c r="C34" t="s">
        <v>2211</v>
      </c>
      <c r="D34" t="s">
        <v>2086</v>
      </c>
      <c r="E34">
        <v>14000</v>
      </c>
    </row>
    <row r="35" spans="1:6">
      <c r="A35">
        <v>34</v>
      </c>
      <c r="B35" s="13">
        <v>45786</v>
      </c>
      <c r="C35" t="s">
        <v>2211</v>
      </c>
      <c r="D35" t="s">
        <v>2086</v>
      </c>
      <c r="E35">
        <v>14000</v>
      </c>
    </row>
    <row r="36" spans="1:6">
      <c r="A36">
        <v>35</v>
      </c>
      <c r="B36" s="13">
        <v>45789</v>
      </c>
      <c r="C36" t="s">
        <v>2146</v>
      </c>
      <c r="D36" t="s">
        <v>1859</v>
      </c>
      <c r="E36">
        <v>2000</v>
      </c>
      <c r="F36" t="s">
        <v>2213</v>
      </c>
    </row>
    <row r="37" spans="1:6">
      <c r="A37">
        <v>36</v>
      </c>
      <c r="B37" s="13">
        <v>45789</v>
      </c>
      <c r="C37" t="s">
        <v>2146</v>
      </c>
      <c r="D37" t="s">
        <v>1859</v>
      </c>
      <c r="E37">
        <v>4500</v>
      </c>
    </row>
    <row r="38" spans="1:6">
      <c r="A38">
        <v>37</v>
      </c>
      <c r="B38" s="13">
        <v>45790</v>
      </c>
    </row>
    <row r="39" spans="1:6">
      <c r="A39">
        <v>38</v>
      </c>
      <c r="B39" s="13">
        <v>45790</v>
      </c>
      <c r="C39" t="s">
        <v>2211</v>
      </c>
      <c r="D39" t="s">
        <v>2086</v>
      </c>
      <c r="E39">
        <v>14000</v>
      </c>
    </row>
    <row r="40" spans="1:6">
      <c r="A40">
        <v>39</v>
      </c>
      <c r="B40" s="13">
        <v>45790</v>
      </c>
      <c r="C40" t="s">
        <v>1778</v>
      </c>
      <c r="D40" t="s">
        <v>2086</v>
      </c>
      <c r="E40">
        <v>9600</v>
      </c>
    </row>
    <row r="41" spans="1:6">
      <c r="A41">
        <v>40</v>
      </c>
      <c r="B41" s="13">
        <v>45790</v>
      </c>
      <c r="C41" t="s">
        <v>2267</v>
      </c>
      <c r="D41" t="s">
        <v>2089</v>
      </c>
      <c r="E41">
        <v>7000</v>
      </c>
      <c r="F41" t="s">
        <v>2268</v>
      </c>
    </row>
    <row r="42" spans="1:6">
      <c r="A42">
        <v>41</v>
      </c>
      <c r="B42" s="13">
        <v>45790</v>
      </c>
      <c r="C42" t="s">
        <v>2265</v>
      </c>
      <c r="D42" t="s">
        <v>1859</v>
      </c>
      <c r="E42">
        <v>14000</v>
      </c>
      <c r="F42" t="s">
        <v>2266</v>
      </c>
    </row>
    <row r="43" spans="1:6">
      <c r="A43">
        <v>42</v>
      </c>
      <c r="B43" s="13">
        <v>45791</v>
      </c>
      <c r="C43" t="s">
        <v>2146</v>
      </c>
      <c r="D43" t="s">
        <v>1859</v>
      </c>
      <c r="E43">
        <v>6000</v>
      </c>
      <c r="F43" t="s">
        <v>2269</v>
      </c>
    </row>
    <row r="44" spans="1:6">
      <c r="A44">
        <v>43</v>
      </c>
      <c r="B44" s="13">
        <v>45791</v>
      </c>
      <c r="C44" t="s">
        <v>2146</v>
      </c>
      <c r="D44" t="s">
        <v>1859</v>
      </c>
      <c r="E44">
        <v>6000</v>
      </c>
      <c r="F44" t="s">
        <v>2270</v>
      </c>
    </row>
    <row r="45" spans="1:6">
      <c r="A45">
        <v>44</v>
      </c>
      <c r="B45" s="13">
        <v>45791</v>
      </c>
      <c r="C45" t="s">
        <v>2273</v>
      </c>
      <c r="D45" t="s">
        <v>2090</v>
      </c>
      <c r="E45">
        <v>46590</v>
      </c>
    </row>
    <row r="46" spans="1:6">
      <c r="A46">
        <v>45</v>
      </c>
      <c r="B46" s="13">
        <v>45791</v>
      </c>
      <c r="C46" t="s">
        <v>1565</v>
      </c>
      <c r="D46" t="s">
        <v>1687</v>
      </c>
      <c r="E46">
        <v>7000</v>
      </c>
      <c r="F46" t="s">
        <v>2264</v>
      </c>
    </row>
    <row r="47" spans="1:6">
      <c r="A47">
        <v>46</v>
      </c>
      <c r="B47" s="13">
        <v>45791</v>
      </c>
      <c r="C47" t="s">
        <v>2146</v>
      </c>
      <c r="D47" t="s">
        <v>1859</v>
      </c>
      <c r="E47">
        <v>4100</v>
      </c>
      <c r="F47" t="s">
        <v>2269</v>
      </c>
    </row>
    <row r="48" spans="1:6">
      <c r="A48">
        <v>47</v>
      </c>
      <c r="B48" s="13">
        <v>45792</v>
      </c>
      <c r="C48" t="s">
        <v>2146</v>
      </c>
      <c r="D48" t="s">
        <v>1859</v>
      </c>
      <c r="E48">
        <v>6000</v>
      </c>
      <c r="F48" t="s">
        <v>2307</v>
      </c>
    </row>
    <row r="49" spans="1:6">
      <c r="A49">
        <v>48</v>
      </c>
      <c r="B49" s="13">
        <v>45793</v>
      </c>
      <c r="C49" t="s">
        <v>1778</v>
      </c>
      <c r="D49" t="s">
        <v>2086</v>
      </c>
      <c r="E49">
        <v>5400</v>
      </c>
    </row>
    <row r="50" spans="1:6">
      <c r="A50">
        <v>49</v>
      </c>
      <c r="B50" s="13">
        <v>45794</v>
      </c>
      <c r="C50" t="s">
        <v>2335</v>
      </c>
      <c r="D50" t="s">
        <v>1859</v>
      </c>
      <c r="E50">
        <v>8000</v>
      </c>
      <c r="F50" t="s">
        <v>2336</v>
      </c>
    </row>
    <row r="51" spans="1:6">
      <c r="A51">
        <v>50</v>
      </c>
      <c r="B51" s="13">
        <v>45796</v>
      </c>
      <c r="C51" t="s">
        <v>2082</v>
      </c>
      <c r="D51" t="s">
        <v>2086</v>
      </c>
      <c r="E51">
        <v>8000</v>
      </c>
    </row>
    <row r="52" spans="1:6">
      <c r="A52">
        <v>51</v>
      </c>
      <c r="B52" s="13">
        <v>45796</v>
      </c>
      <c r="C52" t="s">
        <v>2273</v>
      </c>
      <c r="D52" t="s">
        <v>2090</v>
      </c>
      <c r="E52">
        <v>46300</v>
      </c>
    </row>
    <row r="53" spans="1:6">
      <c r="A53">
        <v>52</v>
      </c>
      <c r="B53" s="13">
        <v>45796</v>
      </c>
      <c r="C53" t="s">
        <v>2350</v>
      </c>
      <c r="D53" t="s">
        <v>2086</v>
      </c>
      <c r="E53">
        <v>1800</v>
      </c>
    </row>
    <row r="54" spans="1:6">
      <c r="A54">
        <v>53</v>
      </c>
      <c r="B54" s="13">
        <v>45797</v>
      </c>
      <c r="C54" t="s">
        <v>2082</v>
      </c>
      <c r="D54" t="s">
        <v>2086</v>
      </c>
      <c r="E54" s="238">
        <v>8000</v>
      </c>
    </row>
    <row r="55" spans="1:6">
      <c r="A55">
        <v>54</v>
      </c>
      <c r="B55" s="13">
        <v>45798</v>
      </c>
      <c r="C55" t="s">
        <v>2082</v>
      </c>
      <c r="D55" t="s">
        <v>2086</v>
      </c>
      <c r="E55">
        <v>8000</v>
      </c>
    </row>
    <row r="56" spans="1:6">
      <c r="A56">
        <v>55</v>
      </c>
      <c r="B56" s="13">
        <v>45798</v>
      </c>
      <c r="C56" t="s">
        <v>2146</v>
      </c>
      <c r="D56" t="s">
        <v>1859</v>
      </c>
      <c r="E56">
        <v>6500</v>
      </c>
    </row>
    <row r="57" spans="1:6">
      <c r="A57">
        <v>56</v>
      </c>
      <c r="B57" s="13">
        <v>45799</v>
      </c>
      <c r="C57" t="s">
        <v>2410</v>
      </c>
      <c r="D57" t="s">
        <v>2087</v>
      </c>
      <c r="E57">
        <v>9500</v>
      </c>
    </row>
    <row r="58" spans="1:6">
      <c r="A58">
        <v>57</v>
      </c>
      <c r="B58" s="13">
        <v>45800</v>
      </c>
      <c r="C58" t="s">
        <v>2082</v>
      </c>
      <c r="D58" t="s">
        <v>2086</v>
      </c>
      <c r="E58">
        <v>8000</v>
      </c>
    </row>
    <row r="59" spans="1:6">
      <c r="A59">
        <v>58</v>
      </c>
      <c r="B59" s="13">
        <v>45803</v>
      </c>
      <c r="C59" t="s">
        <v>2411</v>
      </c>
      <c r="D59" t="s">
        <v>2086</v>
      </c>
      <c r="E59">
        <v>7500</v>
      </c>
    </row>
    <row r="60" spans="1:6">
      <c r="A60">
        <v>59</v>
      </c>
      <c r="B60" s="13">
        <v>45804</v>
      </c>
      <c r="C60" t="s">
        <v>1690</v>
      </c>
      <c r="D60" t="s">
        <v>2086</v>
      </c>
      <c r="E60">
        <v>10000</v>
      </c>
    </row>
    <row r="61" spans="1:6">
      <c r="A61">
        <v>60</v>
      </c>
      <c r="B61" s="13">
        <v>45805</v>
      </c>
      <c r="C61" t="s">
        <v>2082</v>
      </c>
      <c r="D61" t="s">
        <v>2086</v>
      </c>
      <c r="E61">
        <v>8000</v>
      </c>
    </row>
    <row r="62" spans="1:6">
      <c r="A62">
        <v>61</v>
      </c>
      <c r="B62" s="13">
        <v>45806</v>
      </c>
      <c r="C62" t="s">
        <v>2146</v>
      </c>
      <c r="D62" t="s">
        <v>1859</v>
      </c>
      <c r="E62">
        <v>11000</v>
      </c>
    </row>
    <row r="63" spans="1:6">
      <c r="A63">
        <v>62</v>
      </c>
      <c r="B63" s="13">
        <v>45806</v>
      </c>
      <c r="C63" t="s">
        <v>2082</v>
      </c>
      <c r="D63" t="s">
        <v>2086</v>
      </c>
      <c r="E63">
        <v>8000</v>
      </c>
    </row>
    <row r="64" spans="1:6">
      <c r="A64">
        <v>63</v>
      </c>
      <c r="B64" s="13">
        <v>45807</v>
      </c>
      <c r="C64" t="s">
        <v>1674</v>
      </c>
      <c r="D64" t="s">
        <v>2090</v>
      </c>
      <c r="E64">
        <v>46950</v>
      </c>
    </row>
    <row r="65" spans="1:6">
      <c r="A65">
        <v>64</v>
      </c>
      <c r="B65" s="13">
        <v>45807</v>
      </c>
      <c r="C65" t="s">
        <v>2439</v>
      </c>
      <c r="D65" t="s">
        <v>1859</v>
      </c>
      <c r="E65">
        <v>6000</v>
      </c>
      <c r="F65" t="s">
        <v>2270</v>
      </c>
    </row>
    <row r="66" spans="1:6">
      <c r="A66">
        <v>65</v>
      </c>
      <c r="B66" s="13">
        <v>45807</v>
      </c>
      <c r="C66" t="s">
        <v>2146</v>
      </c>
      <c r="D66" t="s">
        <v>1859</v>
      </c>
      <c r="E66">
        <v>6000</v>
      </c>
      <c r="F66" t="s">
        <v>2040</v>
      </c>
    </row>
    <row r="67" spans="1:6">
      <c r="A67">
        <v>66</v>
      </c>
      <c r="B67" s="13">
        <v>45812</v>
      </c>
      <c r="C67" t="s">
        <v>2146</v>
      </c>
      <c r="D67" t="s">
        <v>1859</v>
      </c>
      <c r="E67">
        <v>6000</v>
      </c>
    </row>
    <row r="68" spans="1:6">
      <c r="A68">
        <v>67</v>
      </c>
      <c r="B68" s="13">
        <v>45811</v>
      </c>
      <c r="C68" t="s">
        <v>2082</v>
      </c>
      <c r="D68" t="s">
        <v>2086</v>
      </c>
      <c r="E68">
        <v>8000</v>
      </c>
    </row>
    <row r="69" spans="1:6">
      <c r="A69">
        <v>68</v>
      </c>
      <c r="B69" s="13">
        <v>45817</v>
      </c>
      <c r="C69" t="s">
        <v>2146</v>
      </c>
      <c r="D69" t="s">
        <v>1859</v>
      </c>
      <c r="E69">
        <v>6000</v>
      </c>
      <c r="F69" t="s">
        <v>2533</v>
      </c>
    </row>
    <row r="70" spans="1:6">
      <c r="A70">
        <v>69</v>
      </c>
      <c r="B70" s="13">
        <v>45815</v>
      </c>
      <c r="C70" t="s">
        <v>2146</v>
      </c>
      <c r="D70" t="s">
        <v>1859</v>
      </c>
      <c r="E70">
        <v>6000</v>
      </c>
      <c r="F70" t="s">
        <v>2533</v>
      </c>
    </row>
    <row r="71" spans="1:6">
      <c r="A71">
        <v>70</v>
      </c>
      <c r="B71" s="13">
        <v>45813</v>
      </c>
      <c r="C71" t="s">
        <v>2146</v>
      </c>
      <c r="D71" t="s">
        <v>1859</v>
      </c>
      <c r="E71">
        <v>4000</v>
      </c>
      <c r="F71" t="s">
        <v>2270</v>
      </c>
    </row>
    <row r="72" spans="1:6">
      <c r="A72">
        <v>71</v>
      </c>
      <c r="B72" s="13">
        <v>45817</v>
      </c>
      <c r="C72" t="s">
        <v>2146</v>
      </c>
      <c r="D72" t="s">
        <v>1859</v>
      </c>
      <c r="E72">
        <v>4600</v>
      </c>
      <c r="F72" t="s">
        <v>2579</v>
      </c>
    </row>
    <row r="73" spans="1:6">
      <c r="A73">
        <v>72</v>
      </c>
      <c r="B73" s="13">
        <v>45817</v>
      </c>
      <c r="C73" t="s">
        <v>2146</v>
      </c>
      <c r="D73" t="s">
        <v>1859</v>
      </c>
      <c r="E73">
        <v>9600</v>
      </c>
      <c r="F73" t="s">
        <v>2580</v>
      </c>
    </row>
    <row r="74" spans="1:6">
      <c r="A74">
        <v>73</v>
      </c>
      <c r="B74" s="13">
        <v>45818</v>
      </c>
      <c r="C74" t="s">
        <v>2146</v>
      </c>
      <c r="D74" t="s">
        <v>1859</v>
      </c>
      <c r="E74">
        <v>6000</v>
      </c>
      <c r="F74" t="s">
        <v>2581</v>
      </c>
    </row>
    <row r="75" spans="1:6">
      <c r="A75">
        <v>74</v>
      </c>
      <c r="B75" s="13">
        <v>45818</v>
      </c>
      <c r="C75" t="s">
        <v>2350</v>
      </c>
      <c r="D75" t="s">
        <v>2086</v>
      </c>
      <c r="E75">
        <v>2200</v>
      </c>
    </row>
    <row r="76" spans="1:6">
      <c r="A76">
        <v>75</v>
      </c>
      <c r="B76" s="13">
        <v>45818</v>
      </c>
      <c r="C76" t="s">
        <v>2335</v>
      </c>
      <c r="D76" t="s">
        <v>1687</v>
      </c>
      <c r="E76">
        <v>10000</v>
      </c>
      <c r="F76" t="s">
        <v>2582</v>
      </c>
    </row>
    <row r="77" spans="1:6">
      <c r="A77">
        <v>76</v>
      </c>
      <c r="B77" s="13">
        <v>45818</v>
      </c>
      <c r="C77" t="s">
        <v>2146</v>
      </c>
      <c r="D77" t="s">
        <v>1859</v>
      </c>
      <c r="E77" s="238">
        <v>6000</v>
      </c>
      <c r="F77" t="s">
        <v>997</v>
      </c>
    </row>
    <row r="78" spans="1:6">
      <c r="A78">
        <v>77</v>
      </c>
      <c r="B78" s="13">
        <v>45819</v>
      </c>
      <c r="C78" t="s">
        <v>2265</v>
      </c>
      <c r="D78" t="s">
        <v>1859</v>
      </c>
      <c r="E78">
        <v>6000</v>
      </c>
      <c r="F78" t="s">
        <v>2616</v>
      </c>
    </row>
    <row r="79" spans="1:6">
      <c r="A79">
        <v>78</v>
      </c>
      <c r="B79" s="13">
        <v>45820</v>
      </c>
      <c r="C79" t="s">
        <v>2146</v>
      </c>
      <c r="D79" t="s">
        <v>1859</v>
      </c>
      <c r="E79" s="238">
        <v>6000</v>
      </c>
      <c r="F79" t="s">
        <v>1900</v>
      </c>
    </row>
    <row r="80" spans="1:6">
      <c r="A80">
        <v>79</v>
      </c>
      <c r="B80" s="13">
        <v>45820</v>
      </c>
      <c r="C80" t="s">
        <v>2146</v>
      </c>
      <c r="D80" t="s">
        <v>1859</v>
      </c>
      <c r="E80">
        <v>7600</v>
      </c>
      <c r="F80" t="s">
        <v>2534</v>
      </c>
    </row>
    <row r="81" spans="1:6">
      <c r="A81">
        <v>80</v>
      </c>
      <c r="B81" s="13">
        <v>45824</v>
      </c>
      <c r="C81" t="s">
        <v>2273</v>
      </c>
      <c r="D81" t="s">
        <v>2090</v>
      </c>
      <c r="E81">
        <v>47970</v>
      </c>
    </row>
    <row r="82" spans="1:6">
      <c r="A82">
        <v>81</v>
      </c>
      <c r="B82" s="13">
        <v>45824</v>
      </c>
      <c r="C82" t="s">
        <v>2082</v>
      </c>
      <c r="D82" t="s">
        <v>2086</v>
      </c>
      <c r="E82">
        <v>8000</v>
      </c>
    </row>
    <row r="83" spans="1:6">
      <c r="A83">
        <v>82</v>
      </c>
      <c r="B83" s="13">
        <v>45824</v>
      </c>
      <c r="C83" t="s">
        <v>2146</v>
      </c>
      <c r="D83" t="s">
        <v>1859</v>
      </c>
      <c r="E83">
        <v>4600</v>
      </c>
      <c r="F83" t="s">
        <v>2651</v>
      </c>
    </row>
    <row r="84" spans="1:6">
      <c r="A84">
        <v>83</v>
      </c>
      <c r="B84" s="13">
        <v>45825</v>
      </c>
      <c r="C84" t="s">
        <v>1424</v>
      </c>
      <c r="D84" t="s">
        <v>1859</v>
      </c>
      <c r="E84">
        <v>7000</v>
      </c>
      <c r="F84" t="s">
        <v>2658</v>
      </c>
    </row>
    <row r="85" spans="1:6">
      <c r="A85">
        <v>84</v>
      </c>
      <c r="B85" s="13">
        <v>45825</v>
      </c>
      <c r="C85" t="s">
        <v>2335</v>
      </c>
      <c r="D85" t="s">
        <v>1687</v>
      </c>
      <c r="E85">
        <v>9000</v>
      </c>
      <c r="F85" t="s">
        <v>2658</v>
      </c>
    </row>
    <row r="86" spans="1:6">
      <c r="A86">
        <v>85</v>
      </c>
      <c r="B86" s="13">
        <v>45825</v>
      </c>
      <c r="C86" t="s">
        <v>1761</v>
      </c>
      <c r="D86" t="s">
        <v>2086</v>
      </c>
      <c r="E86">
        <v>7000</v>
      </c>
    </row>
    <row r="87" spans="1:6">
      <c r="A87">
        <v>86</v>
      </c>
      <c r="B87" s="13">
        <v>45826</v>
      </c>
      <c r="C87" t="s">
        <v>2146</v>
      </c>
      <c r="D87" t="s">
        <v>1859</v>
      </c>
      <c r="E87">
        <v>2000</v>
      </c>
      <c r="F87" t="s">
        <v>2534</v>
      </c>
    </row>
    <row r="88" spans="1:6">
      <c r="A88">
        <v>87</v>
      </c>
      <c r="B88" s="13">
        <v>45826</v>
      </c>
      <c r="C88" t="s">
        <v>2146</v>
      </c>
      <c r="D88" t="s">
        <v>1859</v>
      </c>
      <c r="E88">
        <v>2000</v>
      </c>
      <c r="F88" t="s">
        <v>2534</v>
      </c>
    </row>
    <row r="89" spans="1:6">
      <c r="A89">
        <v>88</v>
      </c>
      <c r="B89" s="13">
        <v>45826</v>
      </c>
      <c r="C89" t="s">
        <v>2146</v>
      </c>
      <c r="D89" t="s">
        <v>1859</v>
      </c>
      <c r="E89">
        <v>7500</v>
      </c>
      <c r="F89" t="s">
        <v>2707</v>
      </c>
    </row>
    <row r="90" spans="1:6">
      <c r="A90">
        <v>89</v>
      </c>
      <c r="B90" s="13">
        <v>45826</v>
      </c>
      <c r="C90" t="s">
        <v>1690</v>
      </c>
      <c r="D90" t="s">
        <v>2086</v>
      </c>
      <c r="E90">
        <v>9500</v>
      </c>
    </row>
    <row r="91" spans="1:6">
      <c r="A91">
        <v>90</v>
      </c>
      <c r="B91" s="13">
        <v>45827</v>
      </c>
      <c r="C91" t="s">
        <v>2146</v>
      </c>
      <c r="D91" t="s">
        <v>1859</v>
      </c>
      <c r="E91">
        <v>6000</v>
      </c>
      <c r="F91" t="s">
        <v>2581</v>
      </c>
    </row>
    <row r="92" spans="1:6">
      <c r="A92">
        <v>91</v>
      </c>
      <c r="B92" s="13">
        <v>45827</v>
      </c>
      <c r="C92" t="s">
        <v>2146</v>
      </c>
      <c r="D92" t="s">
        <v>1859</v>
      </c>
      <c r="E92">
        <v>2000</v>
      </c>
      <c r="F92" t="s">
        <v>2720</v>
      </c>
    </row>
    <row r="93" spans="1:6">
      <c r="A93">
        <v>92</v>
      </c>
      <c r="B93" s="13">
        <v>45827</v>
      </c>
      <c r="C93" t="s">
        <v>2146</v>
      </c>
      <c r="D93" t="s">
        <v>1859</v>
      </c>
      <c r="E93">
        <v>4600</v>
      </c>
      <c r="F93" t="s">
        <v>2738</v>
      </c>
    </row>
    <row r="94" spans="1:6">
      <c r="A94">
        <v>93</v>
      </c>
      <c r="B94" s="13">
        <v>45828</v>
      </c>
      <c r="C94" t="s">
        <v>2146</v>
      </c>
      <c r="D94" t="s">
        <v>1859</v>
      </c>
      <c r="E94">
        <v>4500</v>
      </c>
      <c r="F94" t="s">
        <v>2758</v>
      </c>
    </row>
    <row r="95" spans="1:6">
      <c r="A95">
        <v>94</v>
      </c>
      <c r="B95" s="13">
        <v>45829</v>
      </c>
      <c r="C95" t="s">
        <v>2273</v>
      </c>
      <c r="D95" t="s">
        <v>2090</v>
      </c>
      <c r="E95">
        <v>48750</v>
      </c>
    </row>
    <row r="96" spans="1:6">
      <c r="A96">
        <v>95</v>
      </c>
      <c r="B96" s="13">
        <v>45829</v>
      </c>
      <c r="C96" t="s">
        <v>2146</v>
      </c>
      <c r="D96" t="s">
        <v>1859</v>
      </c>
      <c r="E96">
        <v>7600</v>
      </c>
      <c r="F96" t="s">
        <v>2641</v>
      </c>
    </row>
    <row r="97" spans="1:6">
      <c r="A97">
        <v>96</v>
      </c>
      <c r="B97" s="13">
        <v>45829</v>
      </c>
      <c r="C97" t="s">
        <v>2146</v>
      </c>
      <c r="D97" t="s">
        <v>1859</v>
      </c>
      <c r="E97">
        <v>6100</v>
      </c>
      <c r="F97" t="s">
        <v>2641</v>
      </c>
    </row>
    <row r="98" spans="1:6">
      <c r="A98">
        <v>97</v>
      </c>
      <c r="B98" s="13">
        <v>45831</v>
      </c>
      <c r="C98" t="s">
        <v>1565</v>
      </c>
      <c r="D98" t="s">
        <v>1687</v>
      </c>
      <c r="E98">
        <v>12000</v>
      </c>
      <c r="F98" t="s">
        <v>1027</v>
      </c>
    </row>
    <row r="99" spans="1:6">
      <c r="A99">
        <v>98</v>
      </c>
      <c r="B99" s="13">
        <v>45832</v>
      </c>
      <c r="C99" t="s">
        <v>2161</v>
      </c>
      <c r="D99" t="s">
        <v>2085</v>
      </c>
      <c r="E99">
        <v>2200</v>
      </c>
      <c r="F99" t="s">
        <v>2786</v>
      </c>
    </row>
    <row r="100" spans="1:6">
      <c r="A100">
        <v>99</v>
      </c>
      <c r="B100" s="13">
        <v>45832</v>
      </c>
      <c r="C100" t="s">
        <v>2146</v>
      </c>
      <c r="D100" t="s">
        <v>1859</v>
      </c>
      <c r="E100">
        <v>7700</v>
      </c>
      <c r="F100" t="s">
        <v>1027</v>
      </c>
    </row>
    <row r="101" spans="1:6">
      <c r="A101">
        <v>100</v>
      </c>
      <c r="B101" s="13">
        <v>45833</v>
      </c>
      <c r="C101" t="s">
        <v>2146</v>
      </c>
      <c r="D101" t="s">
        <v>1859</v>
      </c>
      <c r="E101">
        <v>6600</v>
      </c>
      <c r="F101" t="s">
        <v>1900</v>
      </c>
    </row>
    <row r="102" spans="1:6">
      <c r="A102">
        <v>101</v>
      </c>
      <c r="B102" s="13">
        <v>45833</v>
      </c>
      <c r="C102" t="s">
        <v>2146</v>
      </c>
      <c r="D102" t="s">
        <v>1859</v>
      </c>
      <c r="E102">
        <v>2200</v>
      </c>
      <c r="F102" t="s">
        <v>2802</v>
      </c>
    </row>
    <row r="103" spans="1:6">
      <c r="A103">
        <v>102</v>
      </c>
      <c r="B103" s="13">
        <v>45833</v>
      </c>
      <c r="C103" t="s">
        <v>2146</v>
      </c>
      <c r="D103" t="s">
        <v>1859</v>
      </c>
      <c r="E103">
        <v>2200</v>
      </c>
      <c r="F103" t="s">
        <v>987</v>
      </c>
    </row>
    <row r="104" spans="1:6">
      <c r="A104">
        <v>103</v>
      </c>
      <c r="B104" s="13">
        <v>45833</v>
      </c>
      <c r="C104" t="s">
        <v>2146</v>
      </c>
      <c r="D104" t="s">
        <v>1859</v>
      </c>
      <c r="E104">
        <v>4400</v>
      </c>
      <c r="F104" t="s">
        <v>2806</v>
      </c>
    </row>
    <row r="105" spans="1:6">
      <c r="A105">
        <v>104</v>
      </c>
      <c r="B105" s="13">
        <v>45833</v>
      </c>
      <c r="C105" t="s">
        <v>2146</v>
      </c>
      <c r="D105" t="s">
        <v>1859</v>
      </c>
      <c r="E105">
        <v>4400</v>
      </c>
      <c r="F105" t="s">
        <v>2806</v>
      </c>
    </row>
    <row r="106" spans="1:6">
      <c r="A106">
        <v>105</v>
      </c>
      <c r="B106" s="13">
        <v>45833</v>
      </c>
      <c r="C106" t="s">
        <v>2824</v>
      </c>
      <c r="D106" t="s">
        <v>2825</v>
      </c>
      <c r="E106">
        <v>24800</v>
      </c>
      <c r="F106" t="s">
        <v>2826</v>
      </c>
    </row>
    <row r="107" spans="1:6">
      <c r="A107">
        <v>106</v>
      </c>
      <c r="B107" s="13">
        <v>45833</v>
      </c>
      <c r="C107" t="s">
        <v>1690</v>
      </c>
      <c r="D107" t="s">
        <v>2086</v>
      </c>
      <c r="E107">
        <v>10000</v>
      </c>
    </row>
  </sheetData>
  <phoneticPr fontId="2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112B1B0-C519-465A-83F3-338C9830FB66}">
  <sheetPr codeName="shtOrder_print1"/>
  <dimension ref="A1:U44"/>
  <sheetViews>
    <sheetView zoomScaleNormal="100" workbookViewId="0">
      <selection activeCell="F16" sqref="F16:U19"/>
    </sheetView>
  </sheetViews>
  <sheetFormatPr defaultRowHeight="16.5"/>
  <cols>
    <col min="1" max="1" width="2.875" customWidth="1"/>
    <col min="2" max="2" width="5.25" bestFit="1" customWidth="1"/>
    <col min="3" max="3" width="2.5" customWidth="1"/>
    <col min="4" max="4" width="2.375" customWidth="1"/>
    <col min="5" max="5" width="6.25" customWidth="1"/>
    <col min="6" max="6" width="5.875" customWidth="1"/>
    <col min="7" max="7" width="6.5" customWidth="1"/>
    <col min="8" max="8" width="4.125" customWidth="1"/>
    <col min="9" max="9" width="1.75" customWidth="1"/>
    <col min="10" max="10" width="4" customWidth="1"/>
    <col min="11" max="11" width="3" customWidth="1"/>
    <col min="12" max="12" width="4.5" customWidth="1"/>
    <col min="13" max="13" width="1.5" customWidth="1"/>
    <col min="14" max="15" width="3.75" customWidth="1"/>
    <col min="16" max="16" width="4.125" customWidth="1"/>
    <col min="17" max="17" width="3.375" customWidth="1"/>
    <col min="18" max="18" width="4" customWidth="1"/>
    <col min="19" max="19" width="8" customWidth="1"/>
    <col min="20" max="20" width="4.5" customWidth="1"/>
    <col min="21" max="21" width="9.125" customWidth="1"/>
  </cols>
  <sheetData>
    <row r="1" spans="1:21" ht="24" customHeight="1" thickBot="1">
      <c r="A1" s="315"/>
      <c r="B1" s="316"/>
      <c r="C1" s="316"/>
      <c r="D1" s="316"/>
      <c r="E1" s="316"/>
      <c r="F1" s="316"/>
      <c r="G1" s="316"/>
      <c r="H1" s="107" t="s">
        <v>77</v>
      </c>
      <c r="I1" s="107"/>
      <c r="J1" s="107"/>
      <c r="K1" s="107"/>
      <c r="L1" s="107"/>
      <c r="M1" s="107"/>
      <c r="N1" s="107"/>
      <c r="O1" s="107"/>
      <c r="P1" s="107"/>
      <c r="Q1" s="317" t="s">
        <v>1235</v>
      </c>
      <c r="R1" s="317"/>
      <c r="S1" s="318" t="s">
        <v>2861</v>
      </c>
      <c r="T1" s="318"/>
      <c r="U1" s="319"/>
    </row>
    <row r="2" spans="1:21">
      <c r="A2" s="295" t="s">
        <v>71</v>
      </c>
      <c r="B2" s="296"/>
      <c r="C2" s="297" t="s">
        <v>2324</v>
      </c>
      <c r="D2" s="298"/>
      <c r="E2" s="298"/>
      <c r="F2" s="298"/>
      <c r="G2" s="299"/>
      <c r="H2" s="297" t="s">
        <v>82</v>
      </c>
      <c r="I2" s="298"/>
      <c r="J2" s="298"/>
      <c r="K2" s="298"/>
      <c r="L2" s="298"/>
      <c r="M2" s="298"/>
      <c r="N2" s="298"/>
      <c r="O2" s="299"/>
      <c r="P2" s="300" t="s">
        <v>69</v>
      </c>
      <c r="Q2" s="301"/>
      <c r="R2" s="301"/>
      <c r="S2" s="296"/>
      <c r="T2" s="302">
        <v>45834</v>
      </c>
      <c r="U2" s="303"/>
    </row>
    <row r="3" spans="1:21" ht="24" customHeight="1">
      <c r="A3" s="370" t="s">
        <v>1203</v>
      </c>
      <c r="B3" s="37" t="s">
        <v>65</v>
      </c>
      <c r="C3" s="373" t="s">
        <v>1860</v>
      </c>
      <c r="D3" s="374"/>
      <c r="E3" s="374"/>
      <c r="F3" s="374"/>
      <c r="G3" s="374"/>
      <c r="H3" s="374"/>
      <c r="I3" s="374"/>
      <c r="J3" s="375"/>
      <c r="K3" s="376" t="s">
        <v>1204</v>
      </c>
      <c r="L3" s="37" t="s">
        <v>65</v>
      </c>
      <c r="M3" s="379" t="s">
        <v>971</v>
      </c>
      <c r="N3" s="380"/>
      <c r="O3" s="380"/>
      <c r="P3" s="380"/>
      <c r="Q3" s="380"/>
      <c r="R3" s="380"/>
      <c r="S3" s="380"/>
      <c r="T3" s="380"/>
      <c r="U3" s="381"/>
    </row>
    <row r="4" spans="1:21" ht="24.95" customHeight="1">
      <c r="A4" s="371"/>
      <c r="B4" s="37" t="s">
        <v>67</v>
      </c>
      <c r="C4" s="382"/>
      <c r="D4" s="383"/>
      <c r="E4" s="383"/>
      <c r="F4" s="383"/>
      <c r="G4" s="383"/>
      <c r="H4" s="383"/>
      <c r="I4" s="383"/>
      <c r="J4" s="384"/>
      <c r="K4" s="377"/>
      <c r="L4" s="37" t="s">
        <v>67</v>
      </c>
      <c r="M4" s="385" t="s">
        <v>969</v>
      </c>
      <c r="N4" s="386"/>
      <c r="O4" s="386"/>
      <c r="P4" s="386"/>
      <c r="Q4" s="386"/>
      <c r="R4" s="387"/>
      <c r="S4" s="38" t="s">
        <v>68</v>
      </c>
      <c r="T4" s="385" t="s">
        <v>79</v>
      </c>
      <c r="U4" s="388"/>
    </row>
    <row r="5" spans="1:21" ht="15.75" customHeight="1">
      <c r="A5" s="371"/>
      <c r="B5" s="38" t="s">
        <v>10</v>
      </c>
      <c r="C5" s="385" t="s">
        <v>1862</v>
      </c>
      <c r="D5" s="386"/>
      <c r="E5" s="386"/>
      <c r="F5" s="386"/>
      <c r="G5" s="386"/>
      <c r="H5" s="386"/>
      <c r="I5" s="386"/>
      <c r="J5" s="387"/>
      <c r="K5" s="377"/>
      <c r="L5" s="38" t="s">
        <v>10</v>
      </c>
      <c r="M5" s="385" t="s">
        <v>80</v>
      </c>
      <c r="N5" s="386"/>
      <c r="O5" s="386"/>
      <c r="P5" s="386"/>
      <c r="Q5" s="386"/>
      <c r="R5" s="386"/>
      <c r="S5" s="386"/>
      <c r="T5" s="386"/>
      <c r="U5" s="388"/>
    </row>
    <row r="6" spans="1:21" ht="15.75" customHeight="1">
      <c r="A6" s="372"/>
      <c r="B6" s="38" t="s">
        <v>81</v>
      </c>
      <c r="C6" s="385" t="s">
        <v>1861</v>
      </c>
      <c r="D6" s="386"/>
      <c r="E6" s="386"/>
      <c r="F6" s="386"/>
      <c r="G6" s="386"/>
      <c r="H6" s="386"/>
      <c r="I6" s="386"/>
      <c r="J6" s="387"/>
      <c r="K6" s="378"/>
      <c r="L6" s="38" t="s">
        <v>81</v>
      </c>
      <c r="M6" s="385" t="s">
        <v>72</v>
      </c>
      <c r="N6" s="386"/>
      <c r="O6" s="386"/>
      <c r="P6" s="386"/>
      <c r="Q6" s="386"/>
      <c r="R6" s="387"/>
      <c r="S6" s="38" t="s">
        <v>26</v>
      </c>
      <c r="T6" s="385" t="s">
        <v>984</v>
      </c>
      <c r="U6" s="388"/>
    </row>
    <row r="7" spans="1:21" ht="15.75" customHeight="1">
      <c r="A7" s="304" t="s">
        <v>76</v>
      </c>
      <c r="B7" s="305"/>
      <c r="C7" s="305"/>
      <c r="D7" s="305"/>
      <c r="E7" s="367"/>
      <c r="F7" s="368" t="s">
        <v>49</v>
      </c>
      <c r="G7" s="305"/>
      <c r="H7" s="305"/>
      <c r="I7" s="367"/>
      <c r="J7" s="368" t="s">
        <v>47</v>
      </c>
      <c r="K7" s="305"/>
      <c r="L7" s="305"/>
      <c r="M7" s="305"/>
      <c r="N7" s="367"/>
      <c r="O7" s="305" t="s">
        <v>55</v>
      </c>
      <c r="P7" s="367"/>
      <c r="Q7" s="368" t="s">
        <v>75</v>
      </c>
      <c r="R7" s="305"/>
      <c r="S7" s="367"/>
      <c r="T7" s="368" t="s">
        <v>74</v>
      </c>
      <c r="U7" s="369"/>
    </row>
    <row r="8" spans="1:21" ht="15" customHeight="1">
      <c r="A8" s="411" t="s">
        <v>2055</v>
      </c>
      <c r="B8" s="412"/>
      <c r="C8" s="412"/>
      <c r="D8" s="412"/>
      <c r="E8" s="413"/>
      <c r="F8" s="414" t="s">
        <v>2041</v>
      </c>
      <c r="G8" s="412"/>
      <c r="H8" s="412"/>
      <c r="I8" s="413"/>
      <c r="J8" s="420">
        <v>1800000</v>
      </c>
      <c r="K8" s="420"/>
      <c r="L8" s="420"/>
      <c r="M8" s="420"/>
      <c r="N8" s="420"/>
      <c r="O8" s="421">
        <v>1</v>
      </c>
      <c r="P8" s="421"/>
      <c r="Q8" s="415"/>
      <c r="R8" s="416"/>
      <c r="S8" s="417"/>
      <c r="T8" s="418">
        <v>1800000</v>
      </c>
      <c r="U8" s="419"/>
    </row>
    <row r="9" spans="1:21" ht="15" customHeight="1">
      <c r="A9" s="400" t="s">
        <v>2279</v>
      </c>
      <c r="B9" s="401"/>
      <c r="C9" s="401"/>
      <c r="D9" s="401"/>
      <c r="E9" s="402"/>
      <c r="F9" s="403" t="s">
        <v>1879</v>
      </c>
      <c r="G9" s="401"/>
      <c r="H9" s="401"/>
      <c r="I9" s="402"/>
      <c r="J9" s="409">
        <v>50000</v>
      </c>
      <c r="K9" s="409"/>
      <c r="L9" s="409"/>
      <c r="M9" s="409"/>
      <c r="N9" s="409"/>
      <c r="O9" s="410">
        <v>1</v>
      </c>
      <c r="P9" s="410"/>
      <c r="Q9" s="404"/>
      <c r="R9" s="405"/>
      <c r="S9" s="406"/>
      <c r="T9" s="407">
        <v>50000</v>
      </c>
      <c r="U9" s="408"/>
    </row>
    <row r="10" spans="1:21" ht="15" customHeight="1">
      <c r="A10" s="400" t="s">
        <v>2860</v>
      </c>
      <c r="B10" s="401"/>
      <c r="C10" s="401"/>
      <c r="D10" s="401"/>
      <c r="E10" s="402"/>
      <c r="F10" s="403"/>
      <c r="G10" s="401"/>
      <c r="H10" s="401"/>
      <c r="I10" s="402"/>
      <c r="J10" s="409">
        <v>150000</v>
      </c>
      <c r="K10" s="409"/>
      <c r="L10" s="409"/>
      <c r="M10" s="409"/>
      <c r="N10" s="409"/>
      <c r="O10" s="410">
        <v>1</v>
      </c>
      <c r="P10" s="410"/>
      <c r="Q10" s="404"/>
      <c r="R10" s="405"/>
      <c r="S10" s="406"/>
      <c r="T10" s="407">
        <v>150000</v>
      </c>
      <c r="U10" s="408"/>
    </row>
    <row r="11" spans="1:21" ht="15" customHeight="1">
      <c r="A11" s="400"/>
      <c r="B11" s="401"/>
      <c r="C11" s="401"/>
      <c r="D11" s="401"/>
      <c r="E11" s="402"/>
      <c r="F11" s="403"/>
      <c r="G11" s="401"/>
      <c r="H11" s="401"/>
      <c r="I11" s="402"/>
      <c r="J11" s="409"/>
      <c r="K11" s="409"/>
      <c r="L11" s="409"/>
      <c r="M11" s="409"/>
      <c r="N11" s="409"/>
      <c r="O11" s="410"/>
      <c r="P11" s="410"/>
      <c r="Q11" s="404"/>
      <c r="R11" s="405"/>
      <c r="S11" s="406"/>
      <c r="T11" s="407"/>
      <c r="U11" s="408"/>
    </row>
    <row r="12" spans="1:21" ht="15" customHeight="1">
      <c r="A12" s="400"/>
      <c r="B12" s="401"/>
      <c r="C12" s="401"/>
      <c r="D12" s="401"/>
      <c r="E12" s="402"/>
      <c r="F12" s="403"/>
      <c r="G12" s="401"/>
      <c r="H12" s="401"/>
      <c r="I12" s="402"/>
      <c r="J12" s="409"/>
      <c r="K12" s="409"/>
      <c r="L12" s="409"/>
      <c r="M12" s="409"/>
      <c r="N12" s="409"/>
      <c r="O12" s="410"/>
      <c r="P12" s="410"/>
      <c r="Q12" s="404"/>
      <c r="R12" s="405"/>
      <c r="S12" s="406"/>
      <c r="T12" s="407"/>
      <c r="U12" s="408"/>
    </row>
    <row r="13" spans="1:21" ht="15" customHeight="1">
      <c r="A13" s="400"/>
      <c r="B13" s="401"/>
      <c r="C13" s="401"/>
      <c r="D13" s="401"/>
      <c r="E13" s="402"/>
      <c r="F13" s="403"/>
      <c r="G13" s="401"/>
      <c r="H13" s="401"/>
      <c r="I13" s="402"/>
      <c r="J13" s="409"/>
      <c r="K13" s="409"/>
      <c r="L13" s="409"/>
      <c r="M13" s="409"/>
      <c r="N13" s="409"/>
      <c r="O13" s="410"/>
      <c r="P13" s="410"/>
      <c r="Q13" s="404"/>
      <c r="R13" s="405"/>
      <c r="S13" s="406"/>
      <c r="T13" s="407"/>
      <c r="U13" s="408"/>
    </row>
    <row r="14" spans="1:21" ht="15" customHeight="1">
      <c r="A14" s="400"/>
      <c r="B14" s="401"/>
      <c r="C14" s="401"/>
      <c r="D14" s="401"/>
      <c r="E14" s="402"/>
      <c r="F14" s="403"/>
      <c r="G14" s="401"/>
      <c r="H14" s="401"/>
      <c r="I14" s="402"/>
      <c r="J14" s="409"/>
      <c r="K14" s="409"/>
      <c r="L14" s="409"/>
      <c r="M14" s="409"/>
      <c r="N14" s="409"/>
      <c r="O14" s="410"/>
      <c r="P14" s="410"/>
      <c r="Q14" s="404"/>
      <c r="R14" s="405"/>
      <c r="S14" s="406"/>
      <c r="T14" s="407"/>
      <c r="U14" s="408"/>
    </row>
    <row r="15" spans="1:21" ht="15" customHeight="1" thickBot="1">
      <c r="A15" s="389"/>
      <c r="B15" s="390"/>
      <c r="C15" s="390"/>
      <c r="D15" s="390"/>
      <c r="E15" s="391"/>
      <c r="F15" s="392"/>
      <c r="G15" s="390"/>
      <c r="H15" s="390"/>
      <c r="I15" s="391"/>
      <c r="J15" s="398"/>
      <c r="K15" s="398"/>
      <c r="L15" s="398"/>
      <c r="M15" s="398"/>
      <c r="N15" s="398"/>
      <c r="O15" s="399"/>
      <c r="P15" s="399"/>
      <c r="Q15" s="393"/>
      <c r="R15" s="394"/>
      <c r="S15" s="395"/>
      <c r="T15" s="396"/>
      <c r="U15" s="397"/>
    </row>
    <row r="16" spans="1:21" ht="15" customHeight="1" thickTop="1">
      <c r="A16" s="320" t="s">
        <v>2425</v>
      </c>
      <c r="B16" s="321"/>
      <c r="C16" s="321"/>
      <c r="D16" s="321"/>
      <c r="E16" s="322"/>
      <c r="F16" s="329" t="s">
        <v>2862</v>
      </c>
      <c r="G16" s="330"/>
      <c r="H16" s="330"/>
      <c r="I16" s="330"/>
      <c r="J16" s="330"/>
      <c r="K16" s="330"/>
      <c r="L16" s="330"/>
      <c r="M16" s="330"/>
      <c r="N16" s="330"/>
      <c r="O16" s="330"/>
      <c r="P16" s="330"/>
      <c r="Q16" s="330"/>
      <c r="R16" s="330"/>
      <c r="S16" s="330"/>
      <c r="T16" s="330"/>
      <c r="U16" s="331"/>
    </row>
    <row r="17" spans="1:21" ht="15" customHeight="1">
      <c r="A17" s="323"/>
      <c r="B17" s="324"/>
      <c r="C17" s="324"/>
      <c r="D17" s="324"/>
      <c r="E17" s="325"/>
      <c r="F17" s="332"/>
      <c r="G17" s="333"/>
      <c r="H17" s="333"/>
      <c r="I17" s="333"/>
      <c r="J17" s="333"/>
      <c r="K17" s="333"/>
      <c r="L17" s="333"/>
      <c r="M17" s="333"/>
      <c r="N17" s="333"/>
      <c r="O17" s="333"/>
      <c r="P17" s="333"/>
      <c r="Q17" s="333"/>
      <c r="R17" s="333"/>
      <c r="S17" s="333"/>
      <c r="T17" s="333"/>
      <c r="U17" s="334"/>
    </row>
    <row r="18" spans="1:21" ht="15" customHeight="1">
      <c r="A18" s="323"/>
      <c r="B18" s="324"/>
      <c r="C18" s="324"/>
      <c r="D18" s="324"/>
      <c r="E18" s="325"/>
      <c r="F18" s="332"/>
      <c r="G18" s="333"/>
      <c r="H18" s="333"/>
      <c r="I18" s="333"/>
      <c r="J18" s="333"/>
      <c r="K18" s="333"/>
      <c r="L18" s="333"/>
      <c r="M18" s="333"/>
      <c r="N18" s="333"/>
      <c r="O18" s="333"/>
      <c r="P18" s="333"/>
      <c r="Q18" s="333"/>
      <c r="R18" s="333"/>
      <c r="S18" s="333"/>
      <c r="T18" s="333"/>
      <c r="U18" s="334"/>
    </row>
    <row r="19" spans="1:21" ht="15" customHeight="1">
      <c r="A19" s="326"/>
      <c r="B19" s="327"/>
      <c r="C19" s="327"/>
      <c r="D19" s="327"/>
      <c r="E19" s="328"/>
      <c r="F19" s="335"/>
      <c r="G19" s="336"/>
      <c r="H19" s="336"/>
      <c r="I19" s="336"/>
      <c r="J19" s="336"/>
      <c r="K19" s="336"/>
      <c r="L19" s="336"/>
      <c r="M19" s="336"/>
      <c r="N19" s="336"/>
      <c r="O19" s="336"/>
      <c r="P19" s="336"/>
      <c r="Q19" s="336"/>
      <c r="R19" s="336"/>
      <c r="S19" s="336"/>
      <c r="T19" s="336"/>
      <c r="U19" s="337"/>
    </row>
    <row r="20" spans="1:21">
      <c r="A20" s="304" t="s">
        <v>87</v>
      </c>
      <c r="B20" s="305"/>
      <c r="C20" s="305"/>
      <c r="D20" s="305"/>
      <c r="E20" s="305"/>
      <c r="F20" s="306">
        <v>800000</v>
      </c>
      <c r="G20" s="306"/>
      <c r="H20" s="306"/>
      <c r="I20" s="307"/>
      <c r="J20" s="343">
        <f>SUM(J8:N19)</f>
        <v>2000000</v>
      </c>
      <c r="K20" s="344"/>
      <c r="L20" s="344"/>
      <c r="M20" s="344"/>
      <c r="N20" s="345"/>
      <c r="O20" s="308">
        <f>SUM(O8:P19)</f>
        <v>3</v>
      </c>
      <c r="P20" s="308"/>
      <c r="Q20" s="346">
        <f>SUM(Q8:S19)</f>
        <v>0</v>
      </c>
      <c r="R20" s="306"/>
      <c r="S20" s="307"/>
      <c r="T20" s="306">
        <f>SUM(T8:U15)</f>
        <v>2000000</v>
      </c>
      <c r="U20" s="347"/>
    </row>
    <row r="21" spans="1:21" ht="17.25" thickBot="1">
      <c r="A21" s="309" t="s">
        <v>97</v>
      </c>
      <c r="B21" s="310"/>
      <c r="C21" s="310"/>
      <c r="D21" s="310"/>
      <c r="E21" s="310"/>
      <c r="F21" s="311">
        <f>F20+T20+Q20</f>
        <v>2800000</v>
      </c>
      <c r="G21" s="311"/>
      <c r="H21" s="311"/>
      <c r="I21" s="312"/>
      <c r="J21" s="313" t="s">
        <v>972</v>
      </c>
      <c r="K21" s="310"/>
      <c r="L21" s="314" t="str">
        <f>T4</f>
        <v>장효주</v>
      </c>
      <c r="M21" s="314"/>
      <c r="N21" s="314"/>
      <c r="O21" s="313" t="s">
        <v>70</v>
      </c>
      <c r="P21" s="310"/>
      <c r="Q21" s="314" t="str">
        <f>C3</f>
        <v>혜광오토(부산)</v>
      </c>
      <c r="R21" s="314"/>
      <c r="S21" s="314"/>
      <c r="T21" s="314"/>
      <c r="U21" s="366"/>
    </row>
    <row r="22" spans="1:21" ht="9" customHeight="1">
      <c r="A22" s="293" t="s">
        <v>2864</v>
      </c>
      <c r="B22" s="293"/>
      <c r="C22" s="293"/>
      <c r="D22" s="293"/>
      <c r="E22" s="293"/>
      <c r="F22" s="293"/>
      <c r="G22" s="293"/>
      <c r="H22" s="293"/>
      <c r="I22" s="293"/>
      <c r="J22" s="293"/>
      <c r="K22" s="293"/>
      <c r="L22" s="293"/>
      <c r="M22" s="293"/>
      <c r="N22" s="293"/>
      <c r="O22" s="293"/>
      <c r="P22" s="293"/>
      <c r="Q22" s="293"/>
      <c r="R22" s="293"/>
      <c r="S22" s="293"/>
      <c r="T22" s="293"/>
      <c r="U22" s="293"/>
    </row>
    <row r="23" spans="1:21" ht="11.25" customHeight="1" thickBot="1">
      <c r="A23" s="294"/>
      <c r="B23" s="294"/>
      <c r="C23" s="294"/>
      <c r="D23" s="294"/>
      <c r="E23" s="294"/>
      <c r="F23" s="294"/>
      <c r="G23" s="294"/>
      <c r="H23" s="294"/>
      <c r="I23" s="294"/>
      <c r="J23" s="294"/>
      <c r="K23" s="294"/>
      <c r="L23" s="294"/>
      <c r="M23" s="294"/>
      <c r="N23" s="294"/>
      <c r="O23" s="294"/>
      <c r="P23" s="294"/>
      <c r="Q23" s="294"/>
      <c r="R23" s="294"/>
      <c r="S23" s="294"/>
      <c r="T23" s="294"/>
      <c r="U23" s="294"/>
    </row>
    <row r="24" spans="1:21" ht="24" customHeight="1" thickBot="1">
      <c r="A24" s="315"/>
      <c r="B24" s="316"/>
      <c r="C24" s="316"/>
      <c r="D24" s="316"/>
      <c r="E24" s="316"/>
      <c r="F24" s="316"/>
      <c r="G24" s="316"/>
      <c r="H24" s="107" t="s">
        <v>77</v>
      </c>
      <c r="I24" s="107"/>
      <c r="J24" s="107"/>
      <c r="K24" s="107"/>
      <c r="L24" s="107"/>
      <c r="M24" s="107"/>
      <c r="N24" s="107"/>
      <c r="O24" s="107"/>
      <c r="P24" s="107"/>
      <c r="Q24" s="317" t="s">
        <v>1235</v>
      </c>
      <c r="R24" s="317"/>
      <c r="S24" s="318" t="str">
        <f>S1</f>
        <v>WUZZZF28MN020366</v>
      </c>
      <c r="T24" s="318"/>
      <c r="U24" s="319"/>
    </row>
    <row r="25" spans="1:21">
      <c r="A25" s="295" t="s">
        <v>71</v>
      </c>
      <c r="B25" s="296"/>
      <c r="C25" s="297" t="str">
        <f>C2</f>
        <v>카카오뱅크 3333181865047</v>
      </c>
      <c r="D25" s="298"/>
      <c r="E25" s="298"/>
      <c r="F25" s="298"/>
      <c r="G25" s="299"/>
      <c r="H25" s="297" t="s">
        <v>82</v>
      </c>
      <c r="I25" s="298"/>
      <c r="J25" s="298"/>
      <c r="K25" s="298"/>
      <c r="L25" s="298"/>
      <c r="M25" s="298"/>
      <c r="N25" s="298"/>
      <c r="O25" s="299"/>
      <c r="P25" s="300" t="s">
        <v>69</v>
      </c>
      <c r="Q25" s="301"/>
      <c r="R25" s="301"/>
      <c r="S25" s="296"/>
      <c r="T25" s="302">
        <f>T2</f>
        <v>45834</v>
      </c>
      <c r="U25" s="303"/>
    </row>
    <row r="26" spans="1:21" ht="27" customHeight="1">
      <c r="A26" s="370" t="s">
        <v>1203</v>
      </c>
      <c r="B26" s="37" t="s">
        <v>65</v>
      </c>
      <c r="C26" s="373" t="str">
        <f>C3</f>
        <v>혜광오토(부산)</v>
      </c>
      <c r="D26" s="374"/>
      <c r="E26" s="374"/>
      <c r="F26" s="374"/>
      <c r="G26" s="374"/>
      <c r="H26" s="374"/>
      <c r="I26" s="374"/>
      <c r="J26" s="375"/>
      <c r="K26" s="376" t="s">
        <v>1204</v>
      </c>
      <c r="L26" s="37" t="s">
        <v>65</v>
      </c>
      <c r="M26" s="379" t="s">
        <v>971</v>
      </c>
      <c r="N26" s="380"/>
      <c r="O26" s="380"/>
      <c r="P26" s="380"/>
      <c r="Q26" s="380"/>
      <c r="R26" s="380"/>
      <c r="S26" s="380"/>
      <c r="T26" s="380"/>
      <c r="U26" s="381"/>
    </row>
    <row r="27" spans="1:21" ht="24.95" customHeight="1">
      <c r="A27" s="371"/>
      <c r="B27" s="37" t="s">
        <v>67</v>
      </c>
      <c r="C27" s="382">
        <f>C4</f>
        <v>0</v>
      </c>
      <c r="D27" s="383"/>
      <c r="E27" s="383"/>
      <c r="F27" s="383"/>
      <c r="G27" s="383"/>
      <c r="H27" s="383"/>
      <c r="I27" s="383"/>
      <c r="J27" s="384"/>
      <c r="K27" s="377"/>
      <c r="L27" s="37" t="s">
        <v>67</v>
      </c>
      <c r="M27" s="385" t="s">
        <v>969</v>
      </c>
      <c r="N27" s="386"/>
      <c r="O27" s="386"/>
      <c r="P27" s="386"/>
      <c r="Q27" s="386"/>
      <c r="R27" s="387"/>
      <c r="S27" s="38" t="s">
        <v>68</v>
      </c>
      <c r="T27" s="385" t="s">
        <v>79</v>
      </c>
      <c r="U27" s="388"/>
    </row>
    <row r="28" spans="1:21" ht="15.75" customHeight="1">
      <c r="A28" s="371"/>
      <c r="B28" s="38" t="s">
        <v>10</v>
      </c>
      <c r="C28" s="385" t="str">
        <f>C5</f>
        <v>부산시 금정구 중앙대로 1793번길 46</v>
      </c>
      <c r="D28" s="386"/>
      <c r="E28" s="386"/>
      <c r="F28" s="386"/>
      <c r="G28" s="386"/>
      <c r="H28" s="386"/>
      <c r="I28" s="386"/>
      <c r="J28" s="387"/>
      <c r="K28" s="377"/>
      <c r="L28" s="38" t="s">
        <v>10</v>
      </c>
      <c r="M28" s="385" t="s">
        <v>80</v>
      </c>
      <c r="N28" s="386"/>
      <c r="O28" s="386"/>
      <c r="P28" s="386"/>
      <c r="Q28" s="386"/>
      <c r="R28" s="386"/>
      <c r="S28" s="386"/>
      <c r="T28" s="386"/>
      <c r="U28" s="388"/>
    </row>
    <row r="29" spans="1:21" ht="15.75" customHeight="1">
      <c r="A29" s="372"/>
      <c r="B29" s="38" t="s">
        <v>81</v>
      </c>
      <c r="C29" s="385" t="str">
        <f>C6</f>
        <v>010-4341-6869</v>
      </c>
      <c r="D29" s="386"/>
      <c r="E29" s="386"/>
      <c r="F29" s="386"/>
      <c r="G29" s="386"/>
      <c r="H29" s="386"/>
      <c r="I29" s="386"/>
      <c r="J29" s="387"/>
      <c r="K29" s="378"/>
      <c r="L29" s="38" t="s">
        <v>81</v>
      </c>
      <c r="M29" s="385" t="s">
        <v>72</v>
      </c>
      <c r="N29" s="386"/>
      <c r="O29" s="386"/>
      <c r="P29" s="386"/>
      <c r="Q29" s="386"/>
      <c r="R29" s="387"/>
      <c r="S29" s="38" t="s">
        <v>26</v>
      </c>
      <c r="T29" s="385" t="str">
        <f>T6</f>
        <v>대신(화물)</v>
      </c>
      <c r="U29" s="388"/>
    </row>
    <row r="30" spans="1:21" ht="15.75" customHeight="1">
      <c r="A30" s="304" t="s">
        <v>76</v>
      </c>
      <c r="B30" s="305"/>
      <c r="C30" s="305"/>
      <c r="D30" s="305"/>
      <c r="E30" s="367"/>
      <c r="F30" s="368" t="s">
        <v>49</v>
      </c>
      <c r="G30" s="305"/>
      <c r="H30" s="305"/>
      <c r="I30" s="367"/>
      <c r="J30" s="368" t="s">
        <v>47</v>
      </c>
      <c r="K30" s="305"/>
      <c r="L30" s="305"/>
      <c r="M30" s="305"/>
      <c r="N30" s="367"/>
      <c r="O30" s="305" t="s">
        <v>55</v>
      </c>
      <c r="P30" s="367"/>
      <c r="Q30" s="368" t="s">
        <v>75</v>
      </c>
      <c r="R30" s="305"/>
      <c r="S30" s="367"/>
      <c r="T30" s="368" t="s">
        <v>74</v>
      </c>
      <c r="U30" s="369"/>
    </row>
    <row r="31" spans="1:21" ht="15" customHeight="1">
      <c r="A31" s="360" t="str">
        <f>A8</f>
        <v>0HK_TCU</v>
      </c>
      <c r="B31" s="361"/>
      <c r="C31" s="361"/>
      <c r="D31" s="361"/>
      <c r="E31" s="361"/>
      <c r="F31" s="361" t="str">
        <f>F8</f>
        <v>0HK927156B</v>
      </c>
      <c r="G31" s="361"/>
      <c r="H31" s="361"/>
      <c r="I31" s="361"/>
      <c r="J31" s="365">
        <f>J8</f>
        <v>1800000</v>
      </c>
      <c r="K31" s="365"/>
      <c r="L31" s="365"/>
      <c r="M31" s="365"/>
      <c r="N31" s="365"/>
      <c r="O31" s="365">
        <f>O8</f>
        <v>1</v>
      </c>
      <c r="P31" s="365"/>
      <c r="Q31" s="362">
        <f>Q8</f>
        <v>0</v>
      </c>
      <c r="R31" s="362"/>
      <c r="S31" s="362"/>
      <c r="T31" s="363">
        <f>T8</f>
        <v>1800000</v>
      </c>
      <c r="U31" s="364"/>
    </row>
    <row r="32" spans="1:21" ht="15" customHeight="1">
      <c r="A32" s="353" t="str">
        <f t="shared" ref="A32:A38" si="0">A9</f>
        <v>0CK_Filter</v>
      </c>
      <c r="B32" s="354"/>
      <c r="C32" s="354"/>
      <c r="D32" s="354"/>
      <c r="E32" s="354"/>
      <c r="F32" s="354" t="str">
        <f t="shared" ref="F32:F38" si="1">F9</f>
        <v>0DN325421</v>
      </c>
      <c r="G32" s="354"/>
      <c r="H32" s="354"/>
      <c r="I32" s="354"/>
      <c r="J32" s="358">
        <f t="shared" ref="J32:J38" si="2">J9</f>
        <v>50000</v>
      </c>
      <c r="K32" s="358"/>
      <c r="L32" s="358"/>
      <c r="M32" s="358"/>
      <c r="N32" s="358"/>
      <c r="O32" s="358">
        <f t="shared" ref="O32:O38" si="3">O9</f>
        <v>1</v>
      </c>
      <c r="P32" s="358"/>
      <c r="Q32" s="355">
        <f t="shared" ref="Q32:Q38" si="4">Q9</f>
        <v>0</v>
      </c>
      <c r="R32" s="355"/>
      <c r="S32" s="355"/>
      <c r="T32" s="356">
        <f t="shared" ref="T32:T38" si="5">T9</f>
        <v>50000</v>
      </c>
      <c r="U32" s="357"/>
    </row>
    <row r="33" spans="1:21" ht="15" customHeight="1">
      <c r="A33" s="353" t="str">
        <f t="shared" si="0"/>
        <v>0HK_ONLINE</v>
      </c>
      <c r="B33" s="354"/>
      <c r="C33" s="354"/>
      <c r="D33" s="354"/>
      <c r="E33" s="354"/>
      <c r="F33" s="354">
        <f t="shared" si="1"/>
        <v>0</v>
      </c>
      <c r="G33" s="354"/>
      <c r="H33" s="354"/>
      <c r="I33" s="354"/>
      <c r="J33" s="358">
        <f t="shared" si="2"/>
        <v>150000</v>
      </c>
      <c r="K33" s="358"/>
      <c r="L33" s="358"/>
      <c r="M33" s="358"/>
      <c r="N33" s="358"/>
      <c r="O33" s="358">
        <f t="shared" si="3"/>
        <v>1</v>
      </c>
      <c r="P33" s="358"/>
      <c r="Q33" s="355">
        <f t="shared" si="4"/>
        <v>0</v>
      </c>
      <c r="R33" s="355"/>
      <c r="S33" s="355"/>
      <c r="T33" s="356">
        <f t="shared" si="5"/>
        <v>150000</v>
      </c>
      <c r="U33" s="357"/>
    </row>
    <row r="34" spans="1:21" ht="15" customHeight="1">
      <c r="A34" s="353">
        <f t="shared" si="0"/>
        <v>0</v>
      </c>
      <c r="B34" s="354"/>
      <c r="C34" s="354"/>
      <c r="D34" s="354"/>
      <c r="E34" s="354"/>
      <c r="F34" s="354">
        <f t="shared" si="1"/>
        <v>0</v>
      </c>
      <c r="G34" s="354"/>
      <c r="H34" s="354"/>
      <c r="I34" s="354"/>
      <c r="J34" s="358">
        <f t="shared" si="2"/>
        <v>0</v>
      </c>
      <c r="K34" s="358"/>
      <c r="L34" s="358"/>
      <c r="M34" s="358"/>
      <c r="N34" s="358"/>
      <c r="O34" s="358">
        <f t="shared" si="3"/>
        <v>0</v>
      </c>
      <c r="P34" s="358"/>
      <c r="Q34" s="355">
        <f t="shared" si="4"/>
        <v>0</v>
      </c>
      <c r="R34" s="355"/>
      <c r="S34" s="355"/>
      <c r="T34" s="356">
        <f t="shared" si="5"/>
        <v>0</v>
      </c>
      <c r="U34" s="357"/>
    </row>
    <row r="35" spans="1:21" ht="15" customHeight="1">
      <c r="A35" s="353">
        <f t="shared" si="0"/>
        <v>0</v>
      </c>
      <c r="B35" s="354"/>
      <c r="C35" s="354"/>
      <c r="D35" s="354"/>
      <c r="E35" s="354"/>
      <c r="F35" s="354">
        <f t="shared" si="1"/>
        <v>0</v>
      </c>
      <c r="G35" s="354"/>
      <c r="H35" s="354"/>
      <c r="I35" s="354"/>
      <c r="J35" s="358">
        <f t="shared" si="2"/>
        <v>0</v>
      </c>
      <c r="K35" s="358"/>
      <c r="L35" s="358"/>
      <c r="M35" s="358"/>
      <c r="N35" s="358"/>
      <c r="O35" s="358">
        <f t="shared" si="3"/>
        <v>0</v>
      </c>
      <c r="P35" s="358"/>
      <c r="Q35" s="355">
        <f t="shared" si="4"/>
        <v>0</v>
      </c>
      <c r="R35" s="355"/>
      <c r="S35" s="355"/>
      <c r="T35" s="356">
        <f t="shared" si="5"/>
        <v>0</v>
      </c>
      <c r="U35" s="357"/>
    </row>
    <row r="36" spans="1:21" ht="15" customHeight="1">
      <c r="A36" s="353">
        <f t="shared" si="0"/>
        <v>0</v>
      </c>
      <c r="B36" s="354"/>
      <c r="C36" s="354"/>
      <c r="D36" s="354"/>
      <c r="E36" s="354"/>
      <c r="F36" s="354">
        <f t="shared" si="1"/>
        <v>0</v>
      </c>
      <c r="G36" s="354"/>
      <c r="H36" s="354"/>
      <c r="I36" s="354"/>
      <c r="J36" s="358">
        <f t="shared" si="2"/>
        <v>0</v>
      </c>
      <c r="K36" s="358"/>
      <c r="L36" s="358"/>
      <c r="M36" s="358"/>
      <c r="N36" s="358"/>
      <c r="O36" s="358">
        <f t="shared" si="3"/>
        <v>0</v>
      </c>
      <c r="P36" s="358"/>
      <c r="Q36" s="355">
        <f t="shared" si="4"/>
        <v>0</v>
      </c>
      <c r="R36" s="355"/>
      <c r="S36" s="355"/>
      <c r="T36" s="356">
        <f t="shared" si="5"/>
        <v>0</v>
      </c>
      <c r="U36" s="357"/>
    </row>
    <row r="37" spans="1:21" ht="15" customHeight="1">
      <c r="A37" s="353">
        <f t="shared" si="0"/>
        <v>0</v>
      </c>
      <c r="B37" s="354"/>
      <c r="C37" s="354"/>
      <c r="D37" s="354"/>
      <c r="E37" s="354"/>
      <c r="F37" s="354">
        <f t="shared" si="1"/>
        <v>0</v>
      </c>
      <c r="G37" s="354"/>
      <c r="H37" s="354"/>
      <c r="I37" s="354"/>
      <c r="J37" s="358">
        <f t="shared" si="2"/>
        <v>0</v>
      </c>
      <c r="K37" s="358"/>
      <c r="L37" s="358"/>
      <c r="M37" s="358"/>
      <c r="N37" s="358"/>
      <c r="O37" s="358">
        <f t="shared" si="3"/>
        <v>0</v>
      </c>
      <c r="P37" s="358"/>
      <c r="Q37" s="355">
        <f t="shared" si="4"/>
        <v>0</v>
      </c>
      <c r="R37" s="355"/>
      <c r="S37" s="355"/>
      <c r="T37" s="356">
        <f t="shared" si="5"/>
        <v>0</v>
      </c>
      <c r="U37" s="357"/>
    </row>
    <row r="38" spans="1:21" ht="15" customHeight="1" thickBot="1">
      <c r="A38" s="348">
        <f t="shared" si="0"/>
        <v>0</v>
      </c>
      <c r="B38" s="349"/>
      <c r="C38" s="349"/>
      <c r="D38" s="349"/>
      <c r="E38" s="349"/>
      <c r="F38" s="349">
        <f t="shared" si="1"/>
        <v>0</v>
      </c>
      <c r="G38" s="349"/>
      <c r="H38" s="349"/>
      <c r="I38" s="349"/>
      <c r="J38" s="359">
        <f t="shared" si="2"/>
        <v>0</v>
      </c>
      <c r="K38" s="359"/>
      <c r="L38" s="359"/>
      <c r="M38" s="359"/>
      <c r="N38" s="359"/>
      <c r="O38" s="359">
        <f t="shared" si="3"/>
        <v>0</v>
      </c>
      <c r="P38" s="359"/>
      <c r="Q38" s="350">
        <f t="shared" si="4"/>
        <v>0</v>
      </c>
      <c r="R38" s="350"/>
      <c r="S38" s="350"/>
      <c r="T38" s="351">
        <f t="shared" si="5"/>
        <v>0</v>
      </c>
      <c r="U38" s="352"/>
    </row>
    <row r="39" spans="1:21" ht="15" customHeight="1" thickTop="1">
      <c r="A39" s="320" t="s">
        <v>2425</v>
      </c>
      <c r="B39" s="321"/>
      <c r="C39" s="321"/>
      <c r="D39" s="321"/>
      <c r="E39" s="322"/>
      <c r="F39" s="329" t="str">
        <f>F16</f>
        <v xml:space="preserve">Brand New_x000D_
Programming_x000D_
</v>
      </c>
      <c r="G39" s="330"/>
      <c r="H39" s="330"/>
      <c r="I39" s="330"/>
      <c r="J39" s="330"/>
      <c r="K39" s="330"/>
      <c r="L39" s="330"/>
      <c r="M39" s="330"/>
      <c r="N39" s="330"/>
      <c r="O39" s="330"/>
      <c r="P39" s="330"/>
      <c r="Q39" s="330"/>
      <c r="R39" s="330"/>
      <c r="S39" s="330"/>
      <c r="T39" s="330"/>
      <c r="U39" s="331"/>
    </row>
    <row r="40" spans="1:21" ht="15" customHeight="1">
      <c r="A40" s="323"/>
      <c r="B40" s="324"/>
      <c r="C40" s="324"/>
      <c r="D40" s="324"/>
      <c r="E40" s="325"/>
      <c r="F40" s="332"/>
      <c r="G40" s="333"/>
      <c r="H40" s="333"/>
      <c r="I40" s="333"/>
      <c r="J40" s="333"/>
      <c r="K40" s="333"/>
      <c r="L40" s="333"/>
      <c r="M40" s="333"/>
      <c r="N40" s="333"/>
      <c r="O40" s="333"/>
      <c r="P40" s="333"/>
      <c r="Q40" s="333"/>
      <c r="R40" s="333"/>
      <c r="S40" s="333"/>
      <c r="T40" s="333"/>
      <c r="U40" s="334"/>
    </row>
    <row r="41" spans="1:21" ht="15" customHeight="1">
      <c r="A41" s="323"/>
      <c r="B41" s="324"/>
      <c r="C41" s="324"/>
      <c r="D41" s="324"/>
      <c r="E41" s="325"/>
      <c r="F41" s="332"/>
      <c r="G41" s="333"/>
      <c r="H41" s="333"/>
      <c r="I41" s="333"/>
      <c r="J41" s="333"/>
      <c r="K41" s="333"/>
      <c r="L41" s="333"/>
      <c r="M41" s="333"/>
      <c r="N41" s="333"/>
      <c r="O41" s="333"/>
      <c r="P41" s="333"/>
      <c r="Q41" s="333"/>
      <c r="R41" s="333"/>
      <c r="S41" s="333"/>
      <c r="T41" s="333"/>
      <c r="U41" s="334"/>
    </row>
    <row r="42" spans="1:21" ht="15" customHeight="1">
      <c r="A42" s="326"/>
      <c r="B42" s="327"/>
      <c r="C42" s="327"/>
      <c r="D42" s="327"/>
      <c r="E42" s="328"/>
      <c r="F42" s="335"/>
      <c r="G42" s="336"/>
      <c r="H42" s="336"/>
      <c r="I42" s="336"/>
      <c r="J42" s="336"/>
      <c r="K42" s="336"/>
      <c r="L42" s="336"/>
      <c r="M42" s="336"/>
      <c r="N42" s="336"/>
      <c r="O42" s="336"/>
      <c r="P42" s="336"/>
      <c r="Q42" s="336"/>
      <c r="R42" s="336"/>
      <c r="S42" s="336"/>
      <c r="T42" s="336"/>
      <c r="U42" s="337"/>
    </row>
    <row r="43" spans="1:21">
      <c r="A43" s="304" t="s">
        <v>87</v>
      </c>
      <c r="B43" s="305"/>
      <c r="C43" s="305"/>
      <c r="D43" s="305"/>
      <c r="E43" s="305"/>
      <c r="F43" s="306">
        <f>F20</f>
        <v>800000</v>
      </c>
      <c r="G43" s="306"/>
      <c r="H43" s="306"/>
      <c r="I43" s="307"/>
      <c r="J43" s="343">
        <f>J20</f>
        <v>2000000</v>
      </c>
      <c r="K43" s="344"/>
      <c r="L43" s="344"/>
      <c r="M43" s="344"/>
      <c r="N43" s="345"/>
      <c r="O43" s="308">
        <f>O20</f>
        <v>3</v>
      </c>
      <c r="P43" s="308"/>
      <c r="Q43" s="346">
        <f>Q20</f>
        <v>0</v>
      </c>
      <c r="R43" s="306"/>
      <c r="S43" s="306"/>
      <c r="T43" s="306">
        <f>T20</f>
        <v>2000000</v>
      </c>
      <c r="U43" s="347"/>
    </row>
    <row r="44" spans="1:21" ht="17.25" thickBot="1">
      <c r="A44" s="309" t="s">
        <v>97</v>
      </c>
      <c r="B44" s="310"/>
      <c r="C44" s="310"/>
      <c r="D44" s="310"/>
      <c r="E44" s="310"/>
      <c r="F44" s="311">
        <f>F21</f>
        <v>2800000</v>
      </c>
      <c r="G44" s="311"/>
      <c r="H44" s="311"/>
      <c r="I44" s="312"/>
      <c r="J44" s="313" t="s">
        <v>972</v>
      </c>
      <c r="K44" s="310"/>
      <c r="L44" s="338" t="str">
        <f>T27</f>
        <v>장효주</v>
      </c>
      <c r="M44" s="338"/>
      <c r="N44" s="338"/>
      <c r="O44" s="313" t="s">
        <v>70</v>
      </c>
      <c r="P44" s="339"/>
      <c r="Q44" s="340" t="str">
        <f>Q21</f>
        <v>혜광오토(부산)</v>
      </c>
      <c r="R44" s="341"/>
      <c r="S44" s="341"/>
      <c r="T44" s="341"/>
      <c r="U44" s="342"/>
    </row>
  </sheetData>
  <mergeCells count="178">
    <mergeCell ref="A1:G1"/>
    <mergeCell ref="Q1:R1"/>
    <mergeCell ref="S1:U1"/>
    <mergeCell ref="A2:B2"/>
    <mergeCell ref="C2:G2"/>
    <mergeCell ref="H2:O2"/>
    <mergeCell ref="P2:S2"/>
    <mergeCell ref="T2:U2"/>
    <mergeCell ref="M6:R6"/>
    <mergeCell ref="T6:U6"/>
    <mergeCell ref="A7:E7"/>
    <mergeCell ref="F7:I7"/>
    <mergeCell ref="Q7:S7"/>
    <mergeCell ref="T7:U7"/>
    <mergeCell ref="A3:A6"/>
    <mergeCell ref="C3:J3"/>
    <mergeCell ref="K3:K6"/>
    <mergeCell ref="M3:U3"/>
    <mergeCell ref="C4:J4"/>
    <mergeCell ref="M4:R4"/>
    <mergeCell ref="T4:U4"/>
    <mergeCell ref="C5:J5"/>
    <mergeCell ref="M5:U5"/>
    <mergeCell ref="C6:J6"/>
    <mergeCell ref="J7:N7"/>
    <mergeCell ref="O7:P7"/>
    <mergeCell ref="A9:E9"/>
    <mergeCell ref="F9:I9"/>
    <mergeCell ref="Q9:S9"/>
    <mergeCell ref="T9:U9"/>
    <mergeCell ref="A8:E8"/>
    <mergeCell ref="F8:I8"/>
    <mergeCell ref="Q8:S8"/>
    <mergeCell ref="T8:U8"/>
    <mergeCell ref="J8:N8"/>
    <mergeCell ref="O8:P8"/>
    <mergeCell ref="J9:N9"/>
    <mergeCell ref="O9:P9"/>
    <mergeCell ref="A11:E11"/>
    <mergeCell ref="F11:I11"/>
    <mergeCell ref="Q11:S11"/>
    <mergeCell ref="T11:U11"/>
    <mergeCell ref="O11:P11"/>
    <mergeCell ref="J11:N11"/>
    <mergeCell ref="A10:E10"/>
    <mergeCell ref="F10:I10"/>
    <mergeCell ref="Q10:S10"/>
    <mergeCell ref="T10:U10"/>
    <mergeCell ref="J10:N10"/>
    <mergeCell ref="O10:P10"/>
    <mergeCell ref="A13:E13"/>
    <mergeCell ref="F13:I13"/>
    <mergeCell ref="Q13:S13"/>
    <mergeCell ref="T13:U13"/>
    <mergeCell ref="J13:N13"/>
    <mergeCell ref="O13:P13"/>
    <mergeCell ref="A12:E12"/>
    <mergeCell ref="F12:I12"/>
    <mergeCell ref="Q12:S12"/>
    <mergeCell ref="T12:U12"/>
    <mergeCell ref="J12:N12"/>
    <mergeCell ref="O12:P12"/>
    <mergeCell ref="A15:E15"/>
    <mergeCell ref="F15:I15"/>
    <mergeCell ref="Q15:S15"/>
    <mergeCell ref="T15:U15"/>
    <mergeCell ref="J15:N15"/>
    <mergeCell ref="O15:P15"/>
    <mergeCell ref="A14:E14"/>
    <mergeCell ref="F14:I14"/>
    <mergeCell ref="Q14:S14"/>
    <mergeCell ref="T14:U14"/>
    <mergeCell ref="J14:N14"/>
    <mergeCell ref="O14:P14"/>
    <mergeCell ref="A16:E19"/>
    <mergeCell ref="F16:U19"/>
    <mergeCell ref="Q21:U21"/>
    <mergeCell ref="J20:N20"/>
    <mergeCell ref="Q20:S20"/>
    <mergeCell ref="T20:U20"/>
    <mergeCell ref="A30:E30"/>
    <mergeCell ref="F30:I30"/>
    <mergeCell ref="Q30:S30"/>
    <mergeCell ref="T30:U30"/>
    <mergeCell ref="A26:A29"/>
    <mergeCell ref="C26:J26"/>
    <mergeCell ref="K26:K29"/>
    <mergeCell ref="M26:U26"/>
    <mergeCell ref="C27:J27"/>
    <mergeCell ref="M27:R27"/>
    <mergeCell ref="T27:U27"/>
    <mergeCell ref="C28:J28"/>
    <mergeCell ref="M28:U28"/>
    <mergeCell ref="C29:J29"/>
    <mergeCell ref="M29:R29"/>
    <mergeCell ref="T29:U29"/>
    <mergeCell ref="J30:N30"/>
    <mergeCell ref="O30:P30"/>
    <mergeCell ref="A32:E32"/>
    <mergeCell ref="F32:I32"/>
    <mergeCell ref="Q32:S32"/>
    <mergeCell ref="T32:U32"/>
    <mergeCell ref="A31:E31"/>
    <mergeCell ref="F31:I31"/>
    <mergeCell ref="Q31:S31"/>
    <mergeCell ref="T31:U31"/>
    <mergeCell ref="J31:N31"/>
    <mergeCell ref="O31:P31"/>
    <mergeCell ref="J32:N32"/>
    <mergeCell ref="O32:P32"/>
    <mergeCell ref="A34:E34"/>
    <mergeCell ref="F34:I34"/>
    <mergeCell ref="Q34:S34"/>
    <mergeCell ref="T34:U34"/>
    <mergeCell ref="A33:E33"/>
    <mergeCell ref="F33:I33"/>
    <mergeCell ref="Q33:S33"/>
    <mergeCell ref="T33:U33"/>
    <mergeCell ref="J33:N33"/>
    <mergeCell ref="O33:P33"/>
    <mergeCell ref="J34:N34"/>
    <mergeCell ref="O34:P34"/>
    <mergeCell ref="A36:E36"/>
    <mergeCell ref="F36:I36"/>
    <mergeCell ref="Q36:S36"/>
    <mergeCell ref="T36:U36"/>
    <mergeCell ref="A35:E35"/>
    <mergeCell ref="F35:I35"/>
    <mergeCell ref="Q35:S35"/>
    <mergeCell ref="T35:U35"/>
    <mergeCell ref="J35:N35"/>
    <mergeCell ref="O35:P35"/>
    <mergeCell ref="J36:N36"/>
    <mergeCell ref="O36:P36"/>
    <mergeCell ref="A38:E38"/>
    <mergeCell ref="F38:I38"/>
    <mergeCell ref="Q38:S38"/>
    <mergeCell ref="T38:U38"/>
    <mergeCell ref="A37:E37"/>
    <mergeCell ref="F37:I37"/>
    <mergeCell ref="Q37:S37"/>
    <mergeCell ref="T37:U37"/>
    <mergeCell ref="J37:N37"/>
    <mergeCell ref="O37:P37"/>
    <mergeCell ref="J38:N38"/>
    <mergeCell ref="O38:P38"/>
    <mergeCell ref="A39:E42"/>
    <mergeCell ref="F39:U42"/>
    <mergeCell ref="A43:E43"/>
    <mergeCell ref="F43:I43"/>
    <mergeCell ref="A44:E44"/>
    <mergeCell ref="F44:I44"/>
    <mergeCell ref="J44:K44"/>
    <mergeCell ref="L44:N44"/>
    <mergeCell ref="O44:P44"/>
    <mergeCell ref="Q44:U44"/>
    <mergeCell ref="J43:N43"/>
    <mergeCell ref="O43:P43"/>
    <mergeCell ref="Q43:S43"/>
    <mergeCell ref="T43:U43"/>
    <mergeCell ref="A22:U22"/>
    <mergeCell ref="A23:U23"/>
    <mergeCell ref="A25:B25"/>
    <mergeCell ref="C25:G25"/>
    <mergeCell ref="H25:O25"/>
    <mergeCell ref="P25:S25"/>
    <mergeCell ref="T25:U25"/>
    <mergeCell ref="A20:E20"/>
    <mergeCell ref="F20:I20"/>
    <mergeCell ref="O20:P20"/>
    <mergeCell ref="A21:E21"/>
    <mergeCell ref="F21:I21"/>
    <mergeCell ref="J21:K21"/>
    <mergeCell ref="L21:N21"/>
    <mergeCell ref="O21:P21"/>
    <mergeCell ref="A24:G24"/>
    <mergeCell ref="Q24:R24"/>
    <mergeCell ref="S24:U24"/>
  </mergeCells>
  <phoneticPr fontId="2" type="noConversion"/>
  <pageMargins left="0.25" right="0.25" top="0.75" bottom="0.75" header="0.3" footer="0.3"/>
  <pageSetup paperSize="9" orientation="portrait" horizontalDpi="4294967293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919AB61-9C75-44D9-A9C9-677635BA7788}">
  <sheetPr codeName="shtOrderData"/>
  <dimension ref="A1:K4"/>
  <sheetViews>
    <sheetView workbookViewId="0">
      <selection activeCell="N26" sqref="N26"/>
    </sheetView>
  </sheetViews>
  <sheetFormatPr defaultRowHeight="16.5"/>
  <cols>
    <col min="1" max="1" width="3.75" style="47" bestFit="1" customWidth="1"/>
    <col min="2" max="2" width="11.125" style="47" bestFit="1" customWidth="1"/>
    <col min="3" max="3" width="11.625" style="47" bestFit="1" customWidth="1"/>
    <col min="4" max="4" width="14.75" bestFit="1" customWidth="1"/>
    <col min="5" max="5" width="19.25" bestFit="1" customWidth="1"/>
    <col min="6" max="6" width="14.75" bestFit="1" customWidth="1"/>
    <col min="8" max="8" width="5.5" bestFit="1" customWidth="1"/>
    <col min="9" max="9" width="11.375" customWidth="1"/>
    <col min="10" max="10" width="12.875" customWidth="1"/>
    <col min="11" max="12" width="10.5" bestFit="1" customWidth="1"/>
  </cols>
  <sheetData>
    <row r="1" spans="1:11" ht="15" customHeight="1" thickBot="1">
      <c r="A1" s="115" t="s">
        <v>2</v>
      </c>
      <c r="B1" s="240" t="s">
        <v>2430</v>
      </c>
      <c r="C1" s="240" t="s">
        <v>54</v>
      </c>
      <c r="D1" s="116" t="s">
        <v>1</v>
      </c>
      <c r="E1" s="120" t="s">
        <v>0</v>
      </c>
      <c r="F1" s="121" t="s">
        <v>52</v>
      </c>
      <c r="G1" s="116" t="s">
        <v>47</v>
      </c>
      <c r="H1" s="117" t="s">
        <v>55</v>
      </c>
      <c r="I1" s="117" t="s">
        <v>88</v>
      </c>
      <c r="J1" s="117" t="s">
        <v>64</v>
      </c>
      <c r="K1" s="105">
        <v>4</v>
      </c>
    </row>
    <row r="2" spans="1:11">
      <c r="A2" s="47">
        <v>1</v>
      </c>
      <c r="B2" s="47" t="s">
        <v>2828</v>
      </c>
      <c r="C2" s="47" t="s">
        <v>1069</v>
      </c>
      <c r="D2" t="s">
        <v>2041</v>
      </c>
      <c r="E2" t="s">
        <v>2302</v>
      </c>
      <c r="F2" t="s">
        <v>2041</v>
      </c>
      <c r="G2">
        <v>1800000</v>
      </c>
      <c r="H2">
        <v>1</v>
      </c>
      <c r="I2" s="238"/>
      <c r="J2" s="238">
        <v>1800000</v>
      </c>
      <c r="K2" s="292"/>
    </row>
    <row r="3" spans="1:11">
      <c r="A3" s="47">
        <v>2</v>
      </c>
      <c r="B3" s="47" t="s">
        <v>2828</v>
      </c>
      <c r="C3" s="47" t="s">
        <v>1069</v>
      </c>
      <c r="D3" t="s">
        <v>1879</v>
      </c>
      <c r="E3" t="s">
        <v>2279</v>
      </c>
      <c r="F3" t="s">
        <v>1879</v>
      </c>
      <c r="G3">
        <v>50000</v>
      </c>
      <c r="H3">
        <v>1</v>
      </c>
      <c r="I3" s="238"/>
      <c r="J3" s="238">
        <v>50000</v>
      </c>
    </row>
    <row r="4" spans="1:11">
      <c r="A4" s="47">
        <v>3</v>
      </c>
      <c r="B4" s="47" t="s">
        <v>2828</v>
      </c>
      <c r="C4" s="47" t="s">
        <v>1069</v>
      </c>
      <c r="E4" t="s">
        <v>2860</v>
      </c>
      <c r="G4">
        <v>150000</v>
      </c>
      <c r="H4">
        <v>1</v>
      </c>
      <c r="J4" s="238">
        <v>150000</v>
      </c>
    </row>
  </sheetData>
  <phoneticPr fontId="2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6B9C36-4301-491C-9F2F-31514C2A29A7}">
  <sheetPr codeName="shtOrder_list"/>
  <dimension ref="A1:R35"/>
  <sheetViews>
    <sheetView zoomScaleNormal="100" workbookViewId="0">
      <selection activeCell="D19" sqref="D19"/>
    </sheetView>
  </sheetViews>
  <sheetFormatPr defaultColWidth="0" defaultRowHeight="18" customHeight="1" zeroHeight="1"/>
  <cols>
    <col min="1" max="1" width="3.25" style="148" customWidth="1"/>
    <col min="2" max="2" width="12.125" style="149" customWidth="1"/>
    <col min="3" max="3" width="31.75" style="150" customWidth="1"/>
    <col min="4" max="4" width="14.625" style="144" customWidth="1"/>
    <col min="5" max="5" width="18.5" style="214" customWidth="1"/>
    <col min="6" max="6" width="8.75" style="144" customWidth="1"/>
    <col min="7" max="7" width="13.25" style="214" customWidth="1"/>
    <col min="8" max="8" width="13.375" style="144" hidden="1" customWidth="1"/>
    <col min="9" max="9" width="14.125" style="144" customWidth="1"/>
    <col min="10" max="10" width="14.125" style="144" bestFit="1" customWidth="1"/>
    <col min="11" max="11" width="2" style="144" hidden="1" customWidth="1"/>
    <col min="12" max="14" width="9.75" style="144" hidden="1" customWidth="1"/>
    <col min="15" max="15" width="20.625" style="144" hidden="1" customWidth="1"/>
    <col min="16" max="16384" width="8.75" style="147" hidden="1"/>
  </cols>
  <sheetData>
    <row r="1" spans="1:18" ht="18" customHeight="1">
      <c r="A1" s="141"/>
      <c r="B1" s="142"/>
      <c r="C1" s="143"/>
      <c r="E1" s="215"/>
      <c r="F1" s="145"/>
      <c r="G1" s="215"/>
      <c r="H1" s="145"/>
      <c r="I1" s="145"/>
      <c r="J1" s="145"/>
      <c r="K1" s="146"/>
      <c r="L1" s="146"/>
      <c r="M1" s="146"/>
      <c r="N1" s="146"/>
      <c r="O1" s="145"/>
      <c r="P1" s="144"/>
    </row>
    <row r="2" spans="1:18" ht="25.5" customHeight="1">
      <c r="E2" s="215"/>
      <c r="F2" s="145"/>
      <c r="G2" s="215"/>
      <c r="H2" s="145"/>
      <c r="I2" s="145"/>
      <c r="J2" s="145"/>
      <c r="K2" s="146"/>
      <c r="L2" s="146"/>
      <c r="M2" s="146"/>
      <c r="N2" s="146"/>
      <c r="O2" s="145"/>
      <c r="P2" s="144"/>
    </row>
    <row r="3" spans="1:18" ht="30.6" customHeight="1">
      <c r="B3" s="176"/>
      <c r="C3" s="177"/>
      <c r="D3" s="178"/>
      <c r="E3" s="216"/>
      <c r="F3" s="145"/>
      <c r="H3" s="147"/>
      <c r="I3" s="186"/>
      <c r="J3" s="186"/>
      <c r="K3" s="146"/>
      <c r="L3" s="146"/>
      <c r="M3" s="146"/>
      <c r="N3" s="146"/>
      <c r="O3" s="145"/>
      <c r="P3" s="144"/>
    </row>
    <row r="4" spans="1:18" ht="18" customHeight="1">
      <c r="A4" s="162"/>
      <c r="B4" s="422" t="s">
        <v>54</v>
      </c>
      <c r="C4" s="423"/>
      <c r="D4" s="180" t="s">
        <v>58</v>
      </c>
      <c r="E4" s="217"/>
      <c r="F4" s="225"/>
      <c r="H4" s="185"/>
      <c r="I4" s="180" t="s">
        <v>60</v>
      </c>
      <c r="J4" s="232">
        <f>J28</f>
        <v>1000000</v>
      </c>
      <c r="K4" s="163"/>
      <c r="L4" s="147"/>
      <c r="M4" s="147"/>
      <c r="N4" s="147"/>
      <c r="O4" s="147"/>
    </row>
    <row r="5" spans="1:18" ht="18" customHeight="1">
      <c r="A5" s="162"/>
      <c r="B5" s="181" t="s">
        <v>14</v>
      </c>
      <c r="C5" s="259">
        <v>0</v>
      </c>
      <c r="D5" s="181" t="s">
        <v>1</v>
      </c>
      <c r="E5" s="218"/>
      <c r="F5" s="225"/>
      <c r="H5" s="175"/>
      <c r="I5" s="188" t="s">
        <v>967</v>
      </c>
      <c r="J5" s="190">
        <v>2450000</v>
      </c>
      <c r="K5" s="163"/>
      <c r="L5" s="147"/>
      <c r="M5" s="147"/>
      <c r="N5" s="147"/>
      <c r="O5" s="147"/>
    </row>
    <row r="6" spans="1:18" ht="18" customHeight="1">
      <c r="A6" s="162" t="s">
        <v>2061</v>
      </c>
      <c r="B6" s="181" t="s">
        <v>54</v>
      </c>
      <c r="C6" s="182" t="s">
        <v>1378</v>
      </c>
      <c r="D6" s="181" t="s">
        <v>0</v>
      </c>
      <c r="E6" s="219"/>
      <c r="F6" s="225"/>
      <c r="H6" s="175"/>
      <c r="I6" s="189" t="s">
        <v>968</v>
      </c>
      <c r="J6" s="191">
        <f>J4+J5</f>
        <v>3450000</v>
      </c>
      <c r="K6" s="163"/>
      <c r="L6" s="147"/>
      <c r="M6" s="147"/>
      <c r="N6" s="147"/>
      <c r="O6" s="147"/>
    </row>
    <row r="7" spans="1:18" ht="18" customHeight="1">
      <c r="A7" s="173" t="s">
        <v>2423</v>
      </c>
      <c r="B7" s="181" t="s">
        <v>33</v>
      </c>
      <c r="C7" s="182"/>
      <c r="D7" s="181" t="s">
        <v>59</v>
      </c>
      <c r="E7" s="220"/>
      <c r="F7" s="225"/>
      <c r="H7" s="147"/>
      <c r="I7" s="187"/>
      <c r="J7" s="187"/>
      <c r="K7" s="147"/>
      <c r="L7" s="147"/>
      <c r="M7" s="147"/>
      <c r="N7" s="147"/>
      <c r="O7" s="147"/>
    </row>
    <row r="8" spans="1:18" ht="18" customHeight="1">
      <c r="A8" s="162">
        <v>39</v>
      </c>
      <c r="B8" s="181" t="s">
        <v>10</v>
      </c>
      <c r="C8" s="183" t="s">
        <v>2420</v>
      </c>
      <c r="D8" s="181" t="s">
        <v>47</v>
      </c>
      <c r="E8" s="221"/>
      <c r="F8" s="225"/>
      <c r="H8" s="147"/>
      <c r="I8" s="147"/>
      <c r="J8" s="147"/>
      <c r="K8" s="147"/>
      <c r="L8" s="147"/>
      <c r="M8" s="147"/>
      <c r="N8" s="147"/>
      <c r="O8" s="147"/>
    </row>
    <row r="9" spans="1:18" ht="18" customHeight="1">
      <c r="A9" s="174">
        <v>1</v>
      </c>
      <c r="B9" s="181" t="s">
        <v>95</v>
      </c>
      <c r="C9" s="183" t="s">
        <v>2421</v>
      </c>
      <c r="D9" s="181" t="s">
        <v>55</v>
      </c>
      <c r="E9" s="220"/>
      <c r="F9" s="225"/>
      <c r="H9" s="147"/>
      <c r="I9" s="147"/>
      <c r="J9" s="147"/>
      <c r="K9" s="147"/>
      <c r="L9" s="147"/>
      <c r="M9" s="147"/>
      <c r="N9" s="147"/>
      <c r="O9" s="147"/>
    </row>
    <row r="10" spans="1:18" ht="18" customHeight="1">
      <c r="A10" s="162"/>
      <c r="B10" s="181" t="s">
        <v>26</v>
      </c>
      <c r="C10" s="183" t="s">
        <v>29</v>
      </c>
      <c r="D10" s="181" t="s">
        <v>1147</v>
      </c>
      <c r="E10" s="222"/>
      <c r="F10" s="225"/>
      <c r="H10" s="147"/>
      <c r="I10" s="147"/>
      <c r="J10" s="147"/>
      <c r="K10" s="147"/>
      <c r="L10" s="147"/>
      <c r="M10" s="147"/>
      <c r="N10" s="147"/>
      <c r="O10" s="147"/>
    </row>
    <row r="11" spans="1:18" ht="18" customHeight="1">
      <c r="A11" s="162"/>
      <c r="B11" s="181" t="s">
        <v>1206</v>
      </c>
      <c r="C11" s="183"/>
      <c r="D11" s="181" t="s">
        <v>96</v>
      </c>
      <c r="E11" s="222"/>
      <c r="F11" s="225"/>
      <c r="H11" s="147"/>
      <c r="I11" s="147"/>
      <c r="J11" s="147"/>
      <c r="K11" s="147"/>
      <c r="L11" s="147"/>
      <c r="M11" s="147"/>
      <c r="N11" s="147"/>
      <c r="O11" s="147"/>
    </row>
    <row r="12" spans="1:18" ht="18" customHeight="1">
      <c r="A12" s="162"/>
      <c r="B12" s="184" t="s">
        <v>1234</v>
      </c>
      <c r="C12" s="205"/>
      <c r="D12" s="181" t="s">
        <v>64</v>
      </c>
      <c r="E12" s="221">
        <f>(E8*E9)+E11</f>
        <v>0</v>
      </c>
      <c r="F12" s="225"/>
      <c r="H12" s="147"/>
      <c r="I12" s="147"/>
      <c r="J12" s="147"/>
      <c r="K12" s="147"/>
      <c r="L12" s="147"/>
      <c r="M12" s="147"/>
      <c r="N12" s="147"/>
      <c r="O12" s="147"/>
    </row>
    <row r="13" spans="1:18" ht="18" customHeight="1">
      <c r="B13" s="187"/>
      <c r="C13" s="204"/>
      <c r="D13" s="184" t="s">
        <v>4</v>
      </c>
      <c r="E13" s="223"/>
      <c r="F13" s="225"/>
      <c r="H13" s="147"/>
      <c r="I13" s="147"/>
      <c r="J13" s="147"/>
      <c r="K13" s="147"/>
      <c r="L13" s="147"/>
      <c r="M13" s="147"/>
      <c r="N13" s="147"/>
      <c r="O13" s="147"/>
    </row>
    <row r="14" spans="1:18" s="151" customFormat="1" ht="18" customHeight="1">
      <c r="A14" s="148"/>
      <c r="B14" s="164"/>
      <c r="C14" s="164"/>
      <c r="D14" s="179"/>
      <c r="E14" s="224"/>
      <c r="F14" s="226"/>
      <c r="G14" s="228"/>
      <c r="H14" s="164"/>
      <c r="I14" s="164"/>
      <c r="J14" s="164"/>
      <c r="K14" s="147"/>
      <c r="L14" s="147"/>
      <c r="M14" s="147"/>
      <c r="N14" s="147"/>
      <c r="O14" s="147"/>
    </row>
    <row r="15" spans="1:18" s="151" customFormat="1" ht="18" customHeight="1">
      <c r="A15" s="160" t="s">
        <v>93</v>
      </c>
      <c r="B15" s="166" t="s">
        <v>90</v>
      </c>
      <c r="C15" s="167" t="s">
        <v>91</v>
      </c>
      <c r="D15" s="167" t="s">
        <v>92</v>
      </c>
      <c r="E15" s="167" t="s">
        <v>964</v>
      </c>
      <c r="F15" s="168" t="s">
        <v>55</v>
      </c>
      <c r="G15" s="168" t="s">
        <v>47</v>
      </c>
      <c r="H15" s="168" t="s">
        <v>1147</v>
      </c>
      <c r="I15" s="168" t="s">
        <v>88</v>
      </c>
      <c r="J15" s="169" t="s">
        <v>89</v>
      </c>
      <c r="K15" s="163"/>
      <c r="L15" s="147"/>
      <c r="M15" s="147"/>
      <c r="N15" s="147"/>
      <c r="O15" s="147"/>
    </row>
    <row r="16" spans="1:18" s="151" customFormat="1" ht="18" customHeight="1">
      <c r="A16" s="161">
        <v>1</v>
      </c>
      <c r="B16" s="170">
        <v>45804</v>
      </c>
      <c r="C16" s="193"/>
      <c r="D16" s="209" t="s">
        <v>1167</v>
      </c>
      <c r="E16" s="207"/>
      <c r="F16" s="231">
        <v>1</v>
      </c>
      <c r="G16" s="156">
        <v>1000000</v>
      </c>
      <c r="H16" s="155"/>
      <c r="I16" s="154"/>
      <c r="J16" s="172">
        <v>1000000</v>
      </c>
      <c r="K16" s="163">
        <v>1000000</v>
      </c>
      <c r="L16" s="147"/>
      <c r="M16" s="147"/>
      <c r="N16" s="147"/>
      <c r="O16" s="147"/>
      <c r="P16" s="147"/>
      <c r="Q16" s="147"/>
      <c r="R16" s="147"/>
    </row>
    <row r="17" spans="1:18" s="151" customFormat="1" ht="18" customHeight="1">
      <c r="A17" s="161"/>
      <c r="B17" s="170"/>
      <c r="C17" s="153"/>
      <c r="D17" s="209"/>
      <c r="E17" s="207"/>
      <c r="F17" s="155"/>
      <c r="G17" s="156"/>
      <c r="H17" s="155"/>
      <c r="I17" s="154"/>
      <c r="J17" s="156"/>
      <c r="K17" s="163"/>
      <c r="L17" s="147"/>
      <c r="M17" s="147"/>
      <c r="N17" s="147"/>
      <c r="O17" s="147"/>
      <c r="P17" s="147"/>
      <c r="Q17" s="147"/>
      <c r="R17" s="147"/>
    </row>
    <row r="18" spans="1:18" s="151" customFormat="1" ht="18" customHeight="1">
      <c r="A18" s="161"/>
      <c r="B18" s="170"/>
      <c r="C18" s="152"/>
      <c r="D18" s="157"/>
      <c r="E18" s="208"/>
      <c r="F18" s="155"/>
      <c r="G18" s="229"/>
      <c r="H18" s="155"/>
      <c r="I18" s="154"/>
      <c r="J18" s="172"/>
      <c r="K18" s="163"/>
      <c r="L18" s="147"/>
      <c r="M18" s="147"/>
      <c r="N18" s="147"/>
      <c r="O18" s="147"/>
      <c r="P18" s="147"/>
      <c r="Q18" s="147"/>
      <c r="R18" s="147"/>
    </row>
    <row r="19" spans="1:18" s="151" customFormat="1" ht="18" customHeight="1">
      <c r="A19" s="161"/>
      <c r="B19" s="170"/>
      <c r="C19" s="152"/>
      <c r="D19" s="157"/>
      <c r="E19" s="208"/>
      <c r="F19" s="155"/>
      <c r="G19" s="229"/>
      <c r="H19" s="155"/>
      <c r="I19" s="154"/>
      <c r="J19" s="172"/>
      <c r="K19" s="163"/>
      <c r="L19" s="147"/>
      <c r="M19" s="147"/>
      <c r="N19" s="147"/>
      <c r="O19" s="147"/>
      <c r="P19" s="147"/>
      <c r="Q19" s="147"/>
      <c r="R19" s="147"/>
    </row>
    <row r="20" spans="1:18" s="151" customFormat="1" ht="18" customHeight="1">
      <c r="A20" s="161"/>
      <c r="B20" s="170"/>
      <c r="C20" s="152"/>
      <c r="D20" s="157"/>
      <c r="E20" s="208"/>
      <c r="F20" s="155"/>
      <c r="G20" s="229"/>
      <c r="H20" s="155"/>
      <c r="I20" s="154"/>
      <c r="J20" s="172"/>
      <c r="K20" s="163"/>
      <c r="L20" s="147"/>
      <c r="M20" s="147"/>
      <c r="N20" s="147"/>
      <c r="O20" s="147"/>
      <c r="P20" s="147"/>
      <c r="Q20" s="147"/>
      <c r="R20" s="147"/>
    </row>
    <row r="21" spans="1:18" s="151" customFormat="1" ht="18" customHeight="1">
      <c r="A21" s="161"/>
      <c r="B21" s="170"/>
      <c r="C21" s="152"/>
      <c r="D21" s="157"/>
      <c r="E21" s="208"/>
      <c r="F21" s="155"/>
      <c r="G21" s="229"/>
      <c r="H21" s="155"/>
      <c r="I21" s="154"/>
      <c r="J21" s="172"/>
      <c r="K21" s="163"/>
      <c r="L21" s="147"/>
      <c r="M21" s="147"/>
      <c r="N21" s="147"/>
      <c r="O21" s="147"/>
      <c r="P21" s="147"/>
      <c r="Q21" s="147"/>
      <c r="R21" s="147"/>
    </row>
    <row r="22" spans="1:18" s="151" customFormat="1" ht="18" customHeight="1">
      <c r="A22" s="161"/>
      <c r="B22" s="170"/>
      <c r="C22" s="152"/>
      <c r="D22" s="157"/>
      <c r="E22" s="208"/>
      <c r="F22" s="155"/>
      <c r="G22" s="229"/>
      <c r="H22" s="155"/>
      <c r="I22" s="154"/>
      <c r="J22" s="172"/>
      <c r="K22" s="163"/>
      <c r="L22" s="147"/>
      <c r="M22" s="147"/>
      <c r="N22" s="147"/>
      <c r="O22" s="147"/>
      <c r="P22" s="147"/>
      <c r="Q22" s="147"/>
      <c r="R22" s="147"/>
    </row>
    <row r="23" spans="1:18" s="151" customFormat="1" ht="18" customHeight="1">
      <c r="A23" s="161"/>
      <c r="B23" s="170"/>
      <c r="C23" s="152"/>
      <c r="D23" s="152"/>
      <c r="E23" s="208"/>
      <c r="F23" s="155"/>
      <c r="G23" s="229"/>
      <c r="H23" s="155"/>
      <c r="I23" s="154"/>
      <c r="J23" s="171"/>
      <c r="K23" s="163"/>
      <c r="L23" s="147"/>
      <c r="M23" s="147"/>
      <c r="N23" s="147"/>
      <c r="O23" s="147"/>
      <c r="P23" s="147"/>
      <c r="Q23" s="147"/>
      <c r="R23" s="147"/>
    </row>
    <row r="24" spans="1:18" ht="18" customHeight="1">
      <c r="A24" s="161"/>
      <c r="B24" s="170"/>
      <c r="C24" s="158"/>
      <c r="D24" s="153"/>
      <c r="E24" s="208"/>
      <c r="F24" s="155"/>
      <c r="G24" s="229"/>
      <c r="H24" s="156"/>
      <c r="I24" s="159"/>
      <c r="J24" s="172"/>
      <c r="K24" s="163"/>
      <c r="L24" s="147"/>
      <c r="M24" s="147"/>
      <c r="N24" s="147"/>
      <c r="O24" s="147"/>
    </row>
    <row r="25" spans="1:18" ht="18" customHeight="1">
      <c r="A25" s="161"/>
      <c r="B25" s="170"/>
      <c r="C25" s="158"/>
      <c r="D25" s="153"/>
      <c r="E25" s="208"/>
      <c r="F25" s="155"/>
      <c r="G25" s="229"/>
      <c r="H25" s="156"/>
      <c r="I25" s="159"/>
      <c r="J25" s="172"/>
      <c r="K25" s="163"/>
      <c r="L25" s="147"/>
      <c r="M25" s="147"/>
      <c r="N25" s="147"/>
      <c r="O25" s="147"/>
    </row>
    <row r="26" spans="1:18" ht="18" customHeight="1">
      <c r="A26" s="161"/>
      <c r="B26" s="170"/>
      <c r="C26" s="158"/>
      <c r="D26" s="153"/>
      <c r="E26" s="208"/>
      <c r="F26" s="155"/>
      <c r="G26" s="229"/>
      <c r="H26" s="156"/>
      <c r="I26" s="159"/>
      <c r="J26" s="172"/>
      <c r="K26" s="163"/>
      <c r="L26" s="147"/>
      <c r="M26" s="147"/>
      <c r="N26" s="147"/>
      <c r="O26" s="147"/>
    </row>
    <row r="27" spans="1:18" ht="18" customHeight="1">
      <c r="A27" s="161"/>
      <c r="B27" s="194"/>
      <c r="C27" s="195"/>
      <c r="D27" s="196"/>
      <c r="E27" s="212"/>
      <c r="F27" s="227"/>
      <c r="G27" s="230"/>
      <c r="H27" s="198"/>
      <c r="I27" s="197"/>
      <c r="J27" s="199"/>
      <c r="K27" s="163"/>
      <c r="L27" s="147"/>
      <c r="M27" s="147"/>
      <c r="N27" s="147"/>
      <c r="O27" s="147"/>
    </row>
    <row r="28" spans="1:18" ht="18" customHeight="1">
      <c r="A28" s="162"/>
      <c r="B28" s="424" t="s">
        <v>94</v>
      </c>
      <c r="C28" s="425"/>
      <c r="D28" s="425"/>
      <c r="E28" s="426"/>
      <c r="F28" s="425"/>
      <c r="G28" s="425"/>
      <c r="H28" s="200">
        <f>SUM(H16:H27)</f>
        <v>0</v>
      </c>
      <c r="I28" s="200">
        <f>SUM(I16:I27)</f>
        <v>0</v>
      </c>
      <c r="J28" s="201">
        <f>SUM(J16:J27)</f>
        <v>1000000</v>
      </c>
      <c r="K28" s="163"/>
      <c r="L28" s="147"/>
      <c r="M28" s="147"/>
      <c r="N28" s="147"/>
      <c r="O28" s="147"/>
    </row>
    <row r="29" spans="1:18" ht="18" hidden="1" customHeight="1">
      <c r="A29" s="149"/>
      <c r="B29" s="165"/>
      <c r="C29" s="165"/>
      <c r="D29" s="165"/>
      <c r="E29" s="213"/>
      <c r="F29" s="211"/>
      <c r="G29" s="213"/>
      <c r="H29" s="165"/>
      <c r="I29" s="165"/>
      <c r="J29" s="165"/>
      <c r="K29" s="147"/>
      <c r="L29" s="147"/>
      <c r="M29" s="147"/>
      <c r="N29" s="147"/>
      <c r="O29" s="147"/>
    </row>
    <row r="30" spans="1:18" ht="18" hidden="1" customHeight="1">
      <c r="A30" s="149"/>
      <c r="C30" s="149"/>
      <c r="D30" s="149"/>
      <c r="H30" s="149"/>
      <c r="I30" s="149"/>
      <c r="J30" s="149"/>
      <c r="K30" s="147"/>
      <c r="L30" s="147"/>
      <c r="M30" s="147"/>
      <c r="N30" s="147"/>
      <c r="O30" s="147"/>
    </row>
    <row r="31" spans="1:18" ht="18" hidden="1" customHeight="1">
      <c r="A31" s="149"/>
      <c r="C31" s="149"/>
      <c r="D31" s="149"/>
      <c r="H31" s="149"/>
      <c r="I31" s="149"/>
      <c r="J31" s="149"/>
    </row>
    <row r="32" spans="1:18" ht="18" hidden="1" customHeight="1">
      <c r="A32" s="149"/>
      <c r="C32" s="149"/>
      <c r="D32" s="149"/>
      <c r="H32" s="149"/>
      <c r="I32" s="149"/>
      <c r="J32" s="149"/>
    </row>
    <row r="33" spans="1:10" ht="18" hidden="1" customHeight="1">
      <c r="A33" s="149"/>
      <c r="C33" s="149"/>
      <c r="D33" s="149"/>
      <c r="H33" s="149"/>
      <c r="I33" s="149"/>
      <c r="J33" s="149"/>
    </row>
    <row r="34" spans="1:10" ht="18" hidden="1" customHeight="1">
      <c r="A34" s="149"/>
      <c r="C34" s="149"/>
      <c r="D34" s="149"/>
      <c r="H34" s="149"/>
      <c r="I34" s="149"/>
      <c r="J34" s="149"/>
    </row>
    <row r="35" spans="1:10" ht="18" hidden="1" customHeight="1">
      <c r="A35" s="149"/>
      <c r="C35" s="149"/>
      <c r="D35" s="149"/>
      <c r="H35" s="149"/>
      <c r="I35" s="149"/>
      <c r="J35" s="149"/>
    </row>
  </sheetData>
  <mergeCells count="2">
    <mergeCell ref="B4:C4"/>
    <mergeCell ref="B28:G28"/>
  </mergeCells>
  <phoneticPr fontId="2" type="noConversion"/>
  <hyperlinks>
    <hyperlink ref="A7" r:id="rId1" tooltip="주문내역서 위치" display="링크" xr:uid="{3F0A1669-44D8-4A2D-9887-78DE8C4C791A}"/>
  </hyperlinks>
  <pageMargins left="0.7" right="0.7" top="0.75" bottom="0.75" header="0.3" footer="0.3"/>
  <pageSetup paperSize="9" orientation="portrait" horizontalDpi="4294967293" r:id="rId2"/>
  <drawing r:id="rId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023386-AA37-4487-A61E-80F00E228D6C}">
  <sheetPr codeName="shtLogin"/>
  <dimension ref="A1:O69"/>
  <sheetViews>
    <sheetView showGridLines="0" zoomScaleNormal="100" workbookViewId="0">
      <selection activeCell="G10" sqref="G10:J10"/>
    </sheetView>
  </sheetViews>
  <sheetFormatPr defaultColWidth="0" defaultRowHeight="16.5" zeroHeight="1"/>
  <cols>
    <col min="1" max="14" width="9" customWidth="1"/>
    <col min="15" max="15" width="7.25" customWidth="1"/>
    <col min="16" max="16384" width="9" hidden="1"/>
  </cols>
  <sheetData>
    <row r="1" spans="5:11"/>
    <row r="2" spans="5:11"/>
    <row r="3" spans="5:11"/>
    <row r="4" spans="5:11"/>
    <row r="5" spans="5:11"/>
    <row r="6" spans="5:11" ht="53.25" customHeight="1">
      <c r="E6" s="430" t="s">
        <v>1604</v>
      </c>
      <c r="F6" s="430"/>
      <c r="G6" s="430"/>
      <c r="H6" s="430"/>
      <c r="I6" s="430"/>
      <c r="J6" s="430"/>
      <c r="K6" s="430"/>
    </row>
    <row r="7" spans="5:11"/>
    <row r="8" spans="5:11"/>
    <row r="9" spans="5:11">
      <c r="G9" s="427"/>
      <c r="H9" s="427"/>
      <c r="I9" s="427"/>
      <c r="J9" s="427"/>
    </row>
    <row r="10" spans="5:11" ht="33" customHeight="1">
      <c r="F10" s="129"/>
      <c r="G10" s="428"/>
      <c r="H10" s="429"/>
      <c r="I10" s="429"/>
      <c r="J10" s="429"/>
    </row>
    <row r="11" spans="5:11"/>
    <row r="12" spans="5:11" ht="32.25" customHeight="1">
      <c r="F12" s="130"/>
      <c r="G12" s="428" t="s">
        <v>1605</v>
      </c>
      <c r="H12" s="429"/>
      <c r="I12" s="429"/>
      <c r="J12" s="429"/>
    </row>
    <row r="13" spans="5:11"/>
    <row r="14" spans="5:11"/>
    <row r="15" spans="5:11"/>
    <row r="16" spans="5:11"/>
    <row r="17" customFormat="1"/>
    <row r="18" customFormat="1"/>
    <row r="19" customFormat="1"/>
    <row r="20" customFormat="1"/>
    <row r="21" customFormat="1"/>
    <row r="22" customFormat="1"/>
    <row r="23" customFormat="1"/>
    <row r="24" customFormat="1"/>
    <row r="25" customFormat="1"/>
    <row r="26" customFormat="1"/>
    <row r="27" customFormat="1"/>
    <row r="28" customFormat="1" hidden="1"/>
    <row r="29" customFormat="1" hidden="1"/>
    <row r="30" customFormat="1" hidden="1"/>
    <row r="31" customFormat="1" hidden="1"/>
    <row r="32" customFormat="1" hidden="1"/>
    <row r="33" customFormat="1" hidden="1"/>
    <row r="34" customFormat="1" hidden="1"/>
    <row r="35" customFormat="1" hidden="1"/>
    <row r="36" customFormat="1" hidden="1"/>
    <row r="37" customFormat="1" hidden="1"/>
    <row r="38" customFormat="1" hidden="1"/>
    <row r="39" customFormat="1" hidden="1"/>
    <row r="40" customFormat="1" hidden="1"/>
    <row r="41" customFormat="1" hidden="1"/>
    <row r="42" customFormat="1" hidden="1"/>
    <row r="43" customFormat="1" hidden="1"/>
    <row r="44" customFormat="1" hidden="1"/>
    <row r="45" customFormat="1" hidden="1"/>
    <row r="46" customFormat="1" hidden="1"/>
    <row r="47" customFormat="1" hidden="1"/>
    <row r="48" customFormat="1" hidden="1"/>
    <row r="49" customFormat="1" hidden="1"/>
    <row r="50" customFormat="1" hidden="1"/>
    <row r="51" customFormat="1" hidden="1"/>
    <row r="52" customFormat="1" hidden="1"/>
    <row r="53" customFormat="1" hidden="1"/>
    <row r="54" customFormat="1" hidden="1"/>
    <row r="55" customFormat="1" hidden="1"/>
    <row r="56" customFormat="1" hidden="1"/>
    <row r="57" customFormat="1" hidden="1"/>
    <row r="58" customFormat="1" hidden="1"/>
    <row r="59" customFormat="1" hidden="1"/>
    <row r="60" customFormat="1" hidden="1"/>
    <row r="61" customFormat="1" hidden="1"/>
    <row r="62" customFormat="1" hidden="1"/>
    <row r="63" customFormat="1" hidden="1"/>
    <row r="64" customFormat="1" hidden="1"/>
    <row r="65" customFormat="1" hidden="1"/>
    <row r="66" customFormat="1" hidden="1"/>
    <row r="67" customFormat="1" hidden="1"/>
    <row r="68" customFormat="1" hidden="1"/>
    <row r="69" customFormat="1" hidden="1"/>
  </sheetData>
  <sheetProtection selectLockedCells="1"/>
  <mergeCells count="4">
    <mergeCell ref="G9:J9"/>
    <mergeCell ref="G10:J10"/>
    <mergeCell ref="G12:J12"/>
    <mergeCell ref="E6:K6"/>
  </mergeCells>
  <phoneticPr fontId="2" type="noConversion"/>
  <pageMargins left="0.7" right="0.7" top="0.75" bottom="0.75" header="0.3" footer="0.3"/>
  <drawing r:id="rId1"/>
  <picture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822D6F-A9DB-437B-9087-9A5E8AF0CADA}">
  <sheetPr codeName="shtOrder_table"/>
  <dimension ref="A1:P759"/>
  <sheetViews>
    <sheetView workbookViewId="0">
      <pane xSplit="1" ySplit="1" topLeftCell="B2" activePane="bottomRight" state="frozen"/>
      <selection activeCell="N26" sqref="N26"/>
      <selection pane="topRight" activeCell="N26" sqref="N26"/>
      <selection pane="bottomLeft" activeCell="N26" sqref="N26"/>
      <selection pane="bottomRight" activeCell="L3" sqref="L3"/>
    </sheetView>
  </sheetViews>
  <sheetFormatPr defaultColWidth="9" defaultRowHeight="16.5"/>
  <cols>
    <col min="1" max="1" width="7.75" style="61" bestFit="1" customWidth="1"/>
    <col min="2" max="2" width="12.25" style="278" customWidth="1"/>
    <col min="3" max="3" width="24.875" style="285" bestFit="1" customWidth="1"/>
    <col min="4" max="4" width="13.25" style="279" customWidth="1"/>
    <col min="5" max="5" width="26.375" style="285" bestFit="1" customWidth="1"/>
    <col min="6" max="6" width="15.25" style="285" bestFit="1" customWidth="1"/>
    <col min="7" max="7" width="10" style="280" bestFit="1" customWidth="1"/>
    <col min="8" max="8" width="9.5" style="285" customWidth="1"/>
    <col min="9" max="10" width="13.25" style="281" customWidth="1"/>
    <col min="11" max="11" width="13.25" style="280" customWidth="1"/>
    <col min="12" max="12" width="11.125" style="280" bestFit="1" customWidth="1"/>
    <col min="14" max="14" width="13.5" bestFit="1" customWidth="1"/>
    <col min="15" max="16" width="11.125" bestFit="1" customWidth="1"/>
    <col min="17" max="17" width="15.25" bestFit="1" customWidth="1"/>
  </cols>
  <sheetData>
    <row r="1" spans="1:15" s="63" customFormat="1">
      <c r="A1" s="272" t="s">
        <v>2</v>
      </c>
      <c r="B1" s="273" t="s">
        <v>86</v>
      </c>
      <c r="C1" s="272" t="s">
        <v>8</v>
      </c>
      <c r="D1" s="274" t="s">
        <v>1</v>
      </c>
      <c r="E1" s="272" t="s">
        <v>0</v>
      </c>
      <c r="F1" s="272" t="s">
        <v>52</v>
      </c>
      <c r="G1" s="275" t="s">
        <v>47</v>
      </c>
      <c r="H1" s="272" t="s">
        <v>55</v>
      </c>
      <c r="I1" s="276" t="s">
        <v>1147</v>
      </c>
      <c r="J1" s="276" t="s">
        <v>1251</v>
      </c>
      <c r="K1" s="275" t="s">
        <v>64</v>
      </c>
      <c r="L1" s="275" t="s">
        <v>1733</v>
      </c>
      <c r="M1" s="106">
        <v>759</v>
      </c>
    </row>
    <row r="2" spans="1:15">
      <c r="A2" s="288">
        <v>1</v>
      </c>
      <c r="B2" s="278">
        <v>45723</v>
      </c>
      <c r="C2" s="277" t="s">
        <v>2235</v>
      </c>
      <c r="D2" s="279">
        <v>2821402</v>
      </c>
      <c r="E2" s="277" t="s">
        <v>2236</v>
      </c>
      <c r="F2" s="277">
        <v>2821402</v>
      </c>
      <c r="G2" s="280">
        <v>30000</v>
      </c>
      <c r="H2" s="277">
        <v>3</v>
      </c>
      <c r="J2" s="281">
        <v>90000</v>
      </c>
      <c r="K2" s="280">
        <v>90000</v>
      </c>
    </row>
    <row r="3" spans="1:15">
      <c r="A3" s="288">
        <v>2</v>
      </c>
      <c r="B3" s="278">
        <v>45723</v>
      </c>
      <c r="C3" s="277" t="s">
        <v>1483</v>
      </c>
      <c r="D3" s="279" t="s">
        <v>1406</v>
      </c>
      <c r="E3" s="277" t="s">
        <v>1241</v>
      </c>
      <c r="F3" s="277" t="s">
        <v>1406</v>
      </c>
      <c r="G3" s="280">
        <v>1300000</v>
      </c>
      <c r="H3" s="277">
        <v>1</v>
      </c>
      <c r="K3" s="280">
        <v>1300000</v>
      </c>
      <c r="M3" s="49"/>
      <c r="N3" s="49"/>
      <c r="O3" s="49"/>
    </row>
    <row r="4" spans="1:15">
      <c r="A4" s="288">
        <v>3</v>
      </c>
      <c r="B4" s="278">
        <v>45723</v>
      </c>
      <c r="C4" s="277" t="s">
        <v>1483</v>
      </c>
      <c r="E4" s="277" t="s">
        <v>1181</v>
      </c>
      <c r="F4" s="277"/>
      <c r="G4" s="280">
        <v>800000</v>
      </c>
      <c r="H4" s="277">
        <v>1</v>
      </c>
      <c r="K4" s="280">
        <v>800000</v>
      </c>
      <c r="M4" s="49"/>
      <c r="N4" s="49"/>
      <c r="O4" s="49"/>
    </row>
    <row r="5" spans="1:15">
      <c r="A5" s="288">
        <v>4</v>
      </c>
      <c r="B5" s="278">
        <v>45723</v>
      </c>
      <c r="C5" s="277" t="s">
        <v>1437</v>
      </c>
      <c r="E5" s="277" t="s">
        <v>1172</v>
      </c>
      <c r="F5" s="277"/>
      <c r="G5" s="280">
        <v>1000000</v>
      </c>
      <c r="H5" s="277">
        <v>1</v>
      </c>
      <c r="K5" s="280">
        <v>1000000</v>
      </c>
      <c r="M5" s="49"/>
      <c r="N5" s="49"/>
      <c r="O5" s="49"/>
    </row>
    <row r="6" spans="1:15">
      <c r="A6" s="288">
        <v>5</v>
      </c>
      <c r="B6" s="278">
        <v>45722</v>
      </c>
      <c r="C6" s="277" t="s">
        <v>1445</v>
      </c>
      <c r="E6" s="277" t="s">
        <v>1173</v>
      </c>
      <c r="F6" s="277"/>
      <c r="G6" s="280">
        <v>198000</v>
      </c>
      <c r="H6" s="277">
        <v>1</v>
      </c>
      <c r="K6" s="280">
        <v>198000</v>
      </c>
      <c r="M6" s="49"/>
      <c r="N6" s="49"/>
      <c r="O6" s="49"/>
    </row>
    <row r="7" spans="1:15">
      <c r="A7" s="288">
        <v>6</v>
      </c>
      <c r="B7" s="278">
        <v>45722</v>
      </c>
      <c r="C7" s="277" t="s">
        <v>1445</v>
      </c>
      <c r="E7" s="277" t="s">
        <v>1174</v>
      </c>
      <c r="F7" s="277"/>
      <c r="G7" s="280">
        <v>12000</v>
      </c>
      <c r="H7" s="277">
        <v>1</v>
      </c>
      <c r="K7" s="280">
        <v>12000</v>
      </c>
      <c r="M7" s="49"/>
      <c r="N7" s="49"/>
      <c r="O7" s="49"/>
    </row>
    <row r="8" spans="1:15">
      <c r="A8" s="288">
        <v>7</v>
      </c>
      <c r="B8" s="278">
        <v>45722</v>
      </c>
      <c r="C8" s="277" t="s">
        <v>1445</v>
      </c>
      <c r="E8" s="277" t="s">
        <v>1180</v>
      </c>
      <c r="F8" s="277"/>
      <c r="G8" s="280">
        <v>25000</v>
      </c>
      <c r="H8" s="277">
        <v>1</v>
      </c>
      <c r="K8" s="280">
        <v>25000</v>
      </c>
      <c r="M8" s="49"/>
      <c r="N8" s="49"/>
      <c r="O8" s="49"/>
    </row>
    <row r="9" spans="1:15">
      <c r="A9" s="288">
        <v>8</v>
      </c>
      <c r="B9" s="278">
        <v>45722</v>
      </c>
      <c r="C9" s="277" t="s">
        <v>1183</v>
      </c>
      <c r="E9" s="277" t="s">
        <v>1175</v>
      </c>
      <c r="F9" s="277"/>
      <c r="G9" s="280">
        <v>1100000</v>
      </c>
      <c r="H9" s="277">
        <v>1</v>
      </c>
      <c r="K9" s="280">
        <v>1100000</v>
      </c>
      <c r="M9" s="49"/>
      <c r="N9" s="49"/>
      <c r="O9" s="49"/>
    </row>
    <row r="10" spans="1:15">
      <c r="A10" s="288">
        <v>9</v>
      </c>
      <c r="B10" s="278">
        <v>45722</v>
      </c>
      <c r="C10" s="277" t="s">
        <v>1488</v>
      </c>
      <c r="D10" s="279" t="s">
        <v>1406</v>
      </c>
      <c r="E10" s="277" t="s">
        <v>1241</v>
      </c>
      <c r="F10" s="277" t="s">
        <v>1406</v>
      </c>
      <c r="G10" s="280">
        <v>1200000</v>
      </c>
      <c r="H10" s="277">
        <v>1</v>
      </c>
      <c r="K10" s="280">
        <v>1200000</v>
      </c>
      <c r="M10" s="49"/>
      <c r="N10" s="49"/>
      <c r="O10" s="49"/>
    </row>
    <row r="11" spans="1:15">
      <c r="A11" s="288">
        <v>10</v>
      </c>
      <c r="B11" s="278">
        <v>45721</v>
      </c>
      <c r="C11" s="277" t="s">
        <v>1490</v>
      </c>
      <c r="E11" s="277">
        <v>415054509</v>
      </c>
      <c r="F11" s="277"/>
      <c r="G11" s="280">
        <v>330000</v>
      </c>
      <c r="H11" s="277">
        <v>1</v>
      </c>
      <c r="K11" s="280">
        <v>330000</v>
      </c>
      <c r="M11" s="49"/>
      <c r="N11" s="49"/>
      <c r="O11" s="49"/>
    </row>
    <row r="12" spans="1:15">
      <c r="A12" s="288">
        <v>11</v>
      </c>
      <c r="B12" s="278">
        <v>45720</v>
      </c>
      <c r="C12" s="277" t="s">
        <v>1445</v>
      </c>
      <c r="E12" s="277" t="s">
        <v>1176</v>
      </c>
      <c r="F12" s="277"/>
      <c r="G12" s="280">
        <v>1000000</v>
      </c>
      <c r="H12" s="277">
        <v>1</v>
      </c>
      <c r="K12" s="280">
        <v>1000000</v>
      </c>
      <c r="M12" s="49"/>
      <c r="N12" s="49"/>
      <c r="O12" s="49"/>
    </row>
    <row r="13" spans="1:15">
      <c r="A13" s="288">
        <v>12</v>
      </c>
      <c r="B13" s="278">
        <v>45720</v>
      </c>
      <c r="C13" s="277" t="s">
        <v>1490</v>
      </c>
      <c r="E13" s="277">
        <v>602000700</v>
      </c>
      <c r="F13" s="277">
        <v>602000700</v>
      </c>
      <c r="G13" s="280">
        <v>350000</v>
      </c>
      <c r="H13" s="277">
        <v>1</v>
      </c>
      <c r="K13" s="280">
        <v>350000</v>
      </c>
      <c r="M13" s="49"/>
      <c r="N13" s="49"/>
      <c r="O13" s="49"/>
    </row>
    <row r="14" spans="1:15">
      <c r="A14" s="288">
        <v>13</v>
      </c>
      <c r="B14" s="278">
        <v>45720</v>
      </c>
      <c r="C14" s="277" t="s">
        <v>1490</v>
      </c>
      <c r="D14" s="279" t="s">
        <v>1161</v>
      </c>
      <c r="E14" s="277" t="s">
        <v>1161</v>
      </c>
      <c r="F14" s="277"/>
      <c r="G14" s="280">
        <v>-300000</v>
      </c>
      <c r="H14" s="277">
        <v>1</v>
      </c>
      <c r="K14" s="280">
        <v>-300000</v>
      </c>
      <c r="M14" s="49"/>
      <c r="N14" s="49"/>
      <c r="O14" s="49"/>
    </row>
    <row r="15" spans="1:15">
      <c r="A15" s="288">
        <v>14</v>
      </c>
      <c r="B15" s="278">
        <v>45720</v>
      </c>
      <c r="C15" s="277" t="s">
        <v>1183</v>
      </c>
      <c r="E15" s="277" t="s">
        <v>1185</v>
      </c>
      <c r="F15" s="277"/>
      <c r="G15" s="280">
        <v>610000</v>
      </c>
      <c r="H15" s="277">
        <v>1</v>
      </c>
      <c r="K15" s="280">
        <v>610000</v>
      </c>
      <c r="M15" s="49"/>
      <c r="N15" s="49"/>
      <c r="O15" s="49"/>
    </row>
    <row r="16" spans="1:15">
      <c r="A16" s="288">
        <v>15</v>
      </c>
      <c r="B16" s="278">
        <v>45720</v>
      </c>
      <c r="C16" s="277" t="s">
        <v>1183</v>
      </c>
      <c r="D16" s="279">
        <v>2821402</v>
      </c>
      <c r="E16" s="277" t="s">
        <v>1171</v>
      </c>
      <c r="F16" s="277">
        <v>2821402</v>
      </c>
      <c r="G16" s="280">
        <v>55000</v>
      </c>
      <c r="H16" s="277">
        <v>1</v>
      </c>
      <c r="K16" s="280">
        <v>55000</v>
      </c>
      <c r="M16" s="49"/>
      <c r="N16" s="49"/>
      <c r="O16" s="49"/>
    </row>
    <row r="17" spans="1:15">
      <c r="A17" s="288">
        <v>16</v>
      </c>
      <c r="B17" s="278">
        <v>45720</v>
      </c>
      <c r="C17" s="277" t="s">
        <v>1183</v>
      </c>
      <c r="E17" s="277" t="s">
        <v>1179</v>
      </c>
      <c r="F17" s="277"/>
      <c r="G17" s="280">
        <v>600000</v>
      </c>
      <c r="H17" s="277">
        <v>1</v>
      </c>
      <c r="K17" s="280">
        <v>600000</v>
      </c>
      <c r="M17" s="49"/>
      <c r="N17" s="49"/>
      <c r="O17" s="49"/>
    </row>
    <row r="18" spans="1:15">
      <c r="A18" s="288">
        <v>17</v>
      </c>
      <c r="B18" s="278">
        <v>45720</v>
      </c>
      <c r="C18" s="277" t="s">
        <v>1495</v>
      </c>
      <c r="E18" s="277" t="s">
        <v>1186</v>
      </c>
      <c r="F18" s="277"/>
      <c r="G18" s="280">
        <v>1100000</v>
      </c>
      <c r="H18" s="277">
        <v>1</v>
      </c>
      <c r="K18" s="280">
        <v>1100000</v>
      </c>
      <c r="M18" s="49"/>
      <c r="N18" s="49"/>
      <c r="O18" s="49"/>
    </row>
    <row r="19" spans="1:15">
      <c r="A19" s="288">
        <v>18</v>
      </c>
      <c r="B19" s="278">
        <v>45717</v>
      </c>
      <c r="C19" s="277" t="s">
        <v>1445</v>
      </c>
      <c r="E19" s="277" t="s">
        <v>1175</v>
      </c>
      <c r="F19" s="277"/>
      <c r="G19" s="280">
        <v>650000</v>
      </c>
      <c r="H19" s="277">
        <v>1</v>
      </c>
      <c r="K19" s="280">
        <v>650000</v>
      </c>
      <c r="M19" s="49"/>
    </row>
    <row r="20" spans="1:15">
      <c r="A20" s="288">
        <v>19</v>
      </c>
      <c r="B20" s="278">
        <v>45717</v>
      </c>
      <c r="C20" s="277" t="s">
        <v>1498</v>
      </c>
      <c r="E20" s="277" t="s">
        <v>1187</v>
      </c>
      <c r="F20" s="277"/>
      <c r="G20" s="280">
        <v>1650000</v>
      </c>
      <c r="H20" s="277">
        <v>1</v>
      </c>
      <c r="K20" s="280">
        <v>1650000</v>
      </c>
      <c r="M20" s="49"/>
      <c r="N20" s="49"/>
    </row>
    <row r="21" spans="1:15">
      <c r="A21" s="288">
        <v>20</v>
      </c>
      <c r="B21" s="282">
        <v>45723</v>
      </c>
      <c r="C21" s="283" t="s">
        <v>1500</v>
      </c>
      <c r="D21" s="284"/>
      <c r="E21" s="283" t="s">
        <v>1175</v>
      </c>
      <c r="F21" s="283"/>
      <c r="G21" s="280">
        <v>650000</v>
      </c>
      <c r="H21" s="283">
        <v>1</v>
      </c>
      <c r="I21" s="283"/>
      <c r="J21" s="283"/>
      <c r="K21" s="280">
        <v>650000</v>
      </c>
      <c r="M21" s="49"/>
      <c r="N21" s="49"/>
    </row>
    <row r="22" spans="1:15">
      <c r="A22" s="288">
        <v>21</v>
      </c>
      <c r="B22" s="278">
        <v>45723</v>
      </c>
      <c r="C22" s="277" t="s">
        <v>1502</v>
      </c>
      <c r="E22" s="277" t="s">
        <v>1190</v>
      </c>
      <c r="F22" s="277"/>
      <c r="G22" s="280">
        <v>700000</v>
      </c>
      <c r="H22" s="277">
        <v>1</v>
      </c>
      <c r="K22" s="280">
        <v>700000</v>
      </c>
      <c r="M22" s="49"/>
      <c r="N22" s="49"/>
    </row>
    <row r="23" spans="1:15">
      <c r="A23" s="288">
        <v>22</v>
      </c>
      <c r="B23" s="278">
        <v>45723</v>
      </c>
      <c r="C23" s="277" t="s">
        <v>1504</v>
      </c>
      <c r="E23" s="277" t="s">
        <v>1166</v>
      </c>
      <c r="F23" s="277"/>
      <c r="G23" s="280">
        <v>1500000</v>
      </c>
      <c r="H23" s="277">
        <v>1</v>
      </c>
      <c r="K23" s="280">
        <v>1500000</v>
      </c>
      <c r="M23" s="49"/>
      <c r="N23" s="49"/>
    </row>
    <row r="24" spans="1:15">
      <c r="A24" s="288">
        <v>23</v>
      </c>
      <c r="B24" s="278">
        <v>45724</v>
      </c>
      <c r="C24" s="277" t="s">
        <v>1445</v>
      </c>
      <c r="D24" s="279" t="s">
        <v>1406</v>
      </c>
      <c r="E24" s="277" t="s">
        <v>1241</v>
      </c>
      <c r="F24" s="277" t="s">
        <v>1406</v>
      </c>
      <c r="G24" s="280">
        <v>1200000</v>
      </c>
      <c r="H24" s="277">
        <v>1</v>
      </c>
      <c r="K24" s="280">
        <v>1200000</v>
      </c>
      <c r="M24" s="49"/>
      <c r="N24" s="49"/>
    </row>
    <row r="25" spans="1:15">
      <c r="A25" s="288">
        <v>24</v>
      </c>
      <c r="B25" s="278">
        <v>45724</v>
      </c>
      <c r="C25" s="277" t="s">
        <v>1445</v>
      </c>
      <c r="E25" s="277" t="s">
        <v>1173</v>
      </c>
      <c r="F25" s="277"/>
      <c r="G25" s="280">
        <v>198000</v>
      </c>
      <c r="H25" s="277">
        <v>1</v>
      </c>
      <c r="K25" s="280">
        <v>198000</v>
      </c>
      <c r="M25" s="49"/>
      <c r="N25" s="49"/>
    </row>
    <row r="26" spans="1:15">
      <c r="A26" s="288">
        <v>25</v>
      </c>
      <c r="B26" s="278">
        <v>45726</v>
      </c>
      <c r="C26" s="277" t="s">
        <v>1490</v>
      </c>
      <c r="E26" s="277" t="s">
        <v>1168</v>
      </c>
      <c r="F26" s="277"/>
      <c r="G26" s="280">
        <v>300000</v>
      </c>
      <c r="H26" s="277">
        <v>1</v>
      </c>
      <c r="K26" s="280">
        <v>300000</v>
      </c>
      <c r="M26" s="49"/>
      <c r="N26" s="49"/>
    </row>
    <row r="27" spans="1:15">
      <c r="A27" s="288">
        <v>26</v>
      </c>
      <c r="B27" s="278">
        <v>45726</v>
      </c>
      <c r="C27" s="277" t="s">
        <v>1069</v>
      </c>
      <c r="E27" s="277" t="s">
        <v>1167</v>
      </c>
      <c r="F27" s="277"/>
      <c r="G27" s="280">
        <v>1000000</v>
      </c>
      <c r="H27" s="277">
        <v>1</v>
      </c>
      <c r="K27" s="280">
        <v>1000000</v>
      </c>
      <c r="M27" s="49"/>
      <c r="N27" s="49"/>
    </row>
    <row r="28" spans="1:15">
      <c r="A28" s="288">
        <v>27</v>
      </c>
      <c r="B28" s="278">
        <v>45727</v>
      </c>
      <c r="C28" s="277" t="s">
        <v>1105</v>
      </c>
      <c r="E28" s="277" t="s">
        <v>1166</v>
      </c>
      <c r="F28" s="277"/>
      <c r="G28" s="280">
        <v>1500000</v>
      </c>
      <c r="H28" s="277">
        <v>1</v>
      </c>
      <c r="K28" s="280">
        <v>1500000</v>
      </c>
      <c r="M28" s="49"/>
      <c r="N28" s="49"/>
    </row>
    <row r="29" spans="1:15">
      <c r="A29" s="288">
        <v>28</v>
      </c>
      <c r="B29" s="278">
        <v>45727</v>
      </c>
      <c r="C29" s="277" t="s">
        <v>1445</v>
      </c>
      <c r="E29" s="277" t="s">
        <v>1175</v>
      </c>
      <c r="F29" s="277"/>
      <c r="G29" s="280">
        <v>650000</v>
      </c>
      <c r="H29" s="277">
        <v>1</v>
      </c>
      <c r="K29" s="280">
        <v>650000</v>
      </c>
      <c r="M29" s="49"/>
      <c r="N29" s="49"/>
    </row>
    <row r="30" spans="1:15">
      <c r="A30" s="288">
        <v>29</v>
      </c>
      <c r="B30" s="278">
        <v>45727</v>
      </c>
      <c r="C30" s="285" t="s">
        <v>1445</v>
      </c>
      <c r="D30" s="279" t="s">
        <v>1254</v>
      </c>
      <c r="E30" s="285" t="s">
        <v>1165</v>
      </c>
      <c r="F30" s="285" t="s">
        <v>1510</v>
      </c>
      <c r="G30" s="280">
        <v>1500000</v>
      </c>
      <c r="H30" s="285">
        <v>1</v>
      </c>
      <c r="K30" s="280">
        <v>1500000</v>
      </c>
    </row>
    <row r="31" spans="1:15">
      <c r="A31" s="288">
        <v>30</v>
      </c>
      <c r="B31" s="278">
        <v>45727</v>
      </c>
      <c r="C31" s="285" t="s">
        <v>1192</v>
      </c>
      <c r="D31" s="279" t="s">
        <v>1406</v>
      </c>
      <c r="E31" s="285" t="s">
        <v>1241</v>
      </c>
      <c r="F31" s="285" t="s">
        <v>1406</v>
      </c>
      <c r="G31" s="280">
        <v>1200000</v>
      </c>
      <c r="H31" s="285">
        <v>1</v>
      </c>
      <c r="K31" s="280">
        <v>1200000</v>
      </c>
    </row>
    <row r="32" spans="1:15">
      <c r="A32" s="288">
        <v>31</v>
      </c>
      <c r="B32" s="278">
        <v>45727</v>
      </c>
      <c r="C32" s="285" t="s">
        <v>1513</v>
      </c>
      <c r="E32" s="285" t="s">
        <v>1199</v>
      </c>
      <c r="G32" s="280">
        <v>150000</v>
      </c>
      <c r="H32" s="285">
        <v>1</v>
      </c>
      <c r="K32" s="280">
        <v>150000</v>
      </c>
    </row>
    <row r="33" spans="1:11">
      <c r="A33" s="288">
        <v>32</v>
      </c>
      <c r="B33" s="278">
        <v>45727</v>
      </c>
      <c r="C33" s="285" t="s">
        <v>1513</v>
      </c>
      <c r="E33" s="285" t="s">
        <v>1199</v>
      </c>
      <c r="G33" s="280">
        <v>150000</v>
      </c>
      <c r="H33" s="285">
        <v>2</v>
      </c>
      <c r="K33" s="280">
        <v>300000</v>
      </c>
    </row>
    <row r="34" spans="1:11">
      <c r="A34" s="288">
        <v>33</v>
      </c>
      <c r="B34" s="278">
        <v>45727</v>
      </c>
      <c r="C34" s="285" t="s">
        <v>1513</v>
      </c>
      <c r="E34" s="285" t="s">
        <v>1200</v>
      </c>
      <c r="G34" s="280">
        <v>100000</v>
      </c>
      <c r="H34" s="285">
        <v>1</v>
      </c>
      <c r="K34" s="280">
        <v>100000</v>
      </c>
    </row>
    <row r="35" spans="1:11">
      <c r="A35" s="288">
        <v>34</v>
      </c>
      <c r="B35" s="278">
        <v>45727</v>
      </c>
      <c r="C35" s="285" t="s">
        <v>1513</v>
      </c>
      <c r="E35" s="285" t="s">
        <v>1201</v>
      </c>
      <c r="G35" s="280">
        <v>230000</v>
      </c>
      <c r="H35" s="285">
        <v>1</v>
      </c>
      <c r="K35" s="280">
        <v>230000</v>
      </c>
    </row>
    <row r="36" spans="1:11">
      <c r="A36" s="288">
        <v>35</v>
      </c>
      <c r="B36" s="278">
        <v>45729</v>
      </c>
      <c r="C36" s="285" t="s">
        <v>1515</v>
      </c>
      <c r="D36" s="279" t="s">
        <v>1303</v>
      </c>
      <c r="E36" s="285" t="s">
        <v>1304</v>
      </c>
      <c r="F36" s="285" t="s">
        <v>1303</v>
      </c>
      <c r="G36" s="280">
        <v>130000</v>
      </c>
      <c r="H36" s="285">
        <v>1</v>
      </c>
      <c r="K36" s="280">
        <v>130000</v>
      </c>
    </row>
    <row r="37" spans="1:11">
      <c r="A37" s="288">
        <v>36</v>
      </c>
      <c r="B37" s="278">
        <v>45729</v>
      </c>
      <c r="C37" s="285" t="s">
        <v>1515</v>
      </c>
      <c r="E37" s="285" t="s">
        <v>1516</v>
      </c>
      <c r="G37" s="280">
        <v>10000</v>
      </c>
      <c r="H37" s="285">
        <v>1</v>
      </c>
      <c r="K37" s="280">
        <v>10000</v>
      </c>
    </row>
    <row r="38" spans="1:11">
      <c r="A38" s="288">
        <v>37</v>
      </c>
      <c r="B38" s="278">
        <v>45729</v>
      </c>
      <c r="C38" s="285" t="s">
        <v>1019</v>
      </c>
      <c r="D38" s="279" t="s">
        <v>1309</v>
      </c>
      <c r="E38" s="285" t="s">
        <v>1310</v>
      </c>
      <c r="F38" s="285" t="s">
        <v>1309</v>
      </c>
      <c r="G38" s="280">
        <v>50000</v>
      </c>
      <c r="H38" s="285">
        <v>1</v>
      </c>
      <c r="K38" s="280">
        <v>50000</v>
      </c>
    </row>
    <row r="39" spans="1:11">
      <c r="A39" s="288">
        <v>38</v>
      </c>
      <c r="B39" s="278">
        <v>45730</v>
      </c>
      <c r="C39" s="285" t="s">
        <v>1519</v>
      </c>
      <c r="D39" s="279" t="s">
        <v>1406</v>
      </c>
      <c r="E39" s="285" t="s">
        <v>1241</v>
      </c>
      <c r="F39" s="285" t="s">
        <v>1406</v>
      </c>
      <c r="G39" s="280">
        <v>1100000</v>
      </c>
      <c r="H39" s="285">
        <v>1</v>
      </c>
      <c r="K39" s="280">
        <v>1100000</v>
      </c>
    </row>
    <row r="40" spans="1:11">
      <c r="A40" s="288">
        <v>39</v>
      </c>
      <c r="B40" s="278">
        <v>45730</v>
      </c>
      <c r="C40" s="285" t="s">
        <v>1445</v>
      </c>
      <c r="E40" s="285" t="s">
        <v>1521</v>
      </c>
      <c r="G40" s="280">
        <v>13000</v>
      </c>
      <c r="H40" s="285">
        <v>1</v>
      </c>
      <c r="K40" s="280">
        <v>13000</v>
      </c>
    </row>
    <row r="41" spans="1:11">
      <c r="A41" s="288">
        <v>40</v>
      </c>
      <c r="B41" s="278">
        <v>45730</v>
      </c>
      <c r="C41" s="285" t="s">
        <v>1445</v>
      </c>
      <c r="E41" s="285" t="s">
        <v>1522</v>
      </c>
      <c r="G41" s="280">
        <v>50000</v>
      </c>
      <c r="H41" s="285">
        <v>1</v>
      </c>
      <c r="K41" s="280">
        <v>50000</v>
      </c>
    </row>
    <row r="42" spans="1:11">
      <c r="A42" s="288">
        <v>41</v>
      </c>
      <c r="B42" s="278">
        <v>45731</v>
      </c>
      <c r="C42" s="285" t="s">
        <v>1210</v>
      </c>
      <c r="E42" s="285" t="s">
        <v>1175</v>
      </c>
      <c r="G42" s="280">
        <v>1100000</v>
      </c>
      <c r="H42" s="285">
        <v>1</v>
      </c>
      <c r="K42" s="280">
        <v>1100000</v>
      </c>
    </row>
    <row r="43" spans="1:11">
      <c r="A43" s="288">
        <v>42</v>
      </c>
      <c r="B43" s="278">
        <v>45731</v>
      </c>
      <c r="C43" s="285" t="s">
        <v>1525</v>
      </c>
      <c r="E43" s="285" t="s">
        <v>1526</v>
      </c>
      <c r="G43" s="280">
        <v>140000</v>
      </c>
      <c r="H43" s="285">
        <v>3</v>
      </c>
      <c r="K43" s="280">
        <v>420000</v>
      </c>
    </row>
    <row r="44" spans="1:11">
      <c r="A44" s="288">
        <v>43</v>
      </c>
      <c r="B44" s="278">
        <v>45731</v>
      </c>
      <c r="C44" s="285" t="s">
        <v>1038</v>
      </c>
      <c r="E44" s="285" t="s">
        <v>1528</v>
      </c>
      <c r="G44" s="280">
        <v>450000</v>
      </c>
      <c r="H44" s="285">
        <v>1</v>
      </c>
      <c r="K44" s="280">
        <v>450000</v>
      </c>
    </row>
    <row r="45" spans="1:11">
      <c r="A45" s="288">
        <v>44</v>
      </c>
      <c r="B45" s="278">
        <v>45733</v>
      </c>
      <c r="C45" s="285" t="s">
        <v>1183</v>
      </c>
      <c r="E45" s="285" t="s">
        <v>1528</v>
      </c>
      <c r="G45" s="280">
        <v>450000</v>
      </c>
      <c r="H45" s="285">
        <v>1</v>
      </c>
      <c r="K45" s="280">
        <v>450000</v>
      </c>
    </row>
    <row r="46" spans="1:11">
      <c r="A46" s="288">
        <v>45</v>
      </c>
      <c r="B46" s="278">
        <v>45733</v>
      </c>
      <c r="C46" s="285" t="s">
        <v>1531</v>
      </c>
      <c r="E46" s="285" t="s">
        <v>1532</v>
      </c>
      <c r="G46" s="280">
        <v>1600000</v>
      </c>
      <c r="H46" s="285">
        <v>1</v>
      </c>
      <c r="K46" s="280">
        <v>1600000</v>
      </c>
    </row>
    <row r="47" spans="1:11">
      <c r="A47" s="288">
        <v>46</v>
      </c>
      <c r="B47" s="278">
        <v>45733</v>
      </c>
      <c r="C47" s="285" t="s">
        <v>1060</v>
      </c>
      <c r="E47" s="285" t="s">
        <v>1536</v>
      </c>
      <c r="G47" s="280">
        <v>1600000</v>
      </c>
      <c r="H47" s="285">
        <v>1</v>
      </c>
      <c r="K47" s="280">
        <v>1600000</v>
      </c>
    </row>
    <row r="48" spans="1:11">
      <c r="A48" s="288">
        <v>47</v>
      </c>
      <c r="B48" s="278">
        <v>45733</v>
      </c>
      <c r="C48" s="285" t="s">
        <v>1515</v>
      </c>
      <c r="E48" s="285" t="s">
        <v>1538</v>
      </c>
      <c r="G48" s="280">
        <v>100000</v>
      </c>
      <c r="H48" s="285">
        <v>1</v>
      </c>
      <c r="K48" s="280">
        <v>100000</v>
      </c>
    </row>
    <row r="49" spans="1:11">
      <c r="A49" s="288">
        <v>48</v>
      </c>
      <c r="B49" s="278">
        <v>45733</v>
      </c>
      <c r="C49" s="285" t="s">
        <v>1540</v>
      </c>
      <c r="D49" s="279" t="s">
        <v>1406</v>
      </c>
      <c r="E49" s="285" t="s">
        <v>1541</v>
      </c>
      <c r="F49" s="285" t="s">
        <v>1406</v>
      </c>
      <c r="G49" s="280">
        <v>650000</v>
      </c>
      <c r="H49" s="285">
        <v>1</v>
      </c>
      <c r="K49" s="280">
        <v>650000</v>
      </c>
    </row>
    <row r="50" spans="1:11">
      <c r="A50" s="288">
        <v>49</v>
      </c>
      <c r="B50" s="278">
        <v>45733</v>
      </c>
      <c r="C50" s="285" t="s">
        <v>1540</v>
      </c>
      <c r="E50" s="285" t="s">
        <v>1542</v>
      </c>
      <c r="G50" s="280">
        <v>350000</v>
      </c>
      <c r="H50" s="285">
        <v>1</v>
      </c>
      <c r="K50" s="280">
        <v>350000</v>
      </c>
    </row>
    <row r="51" spans="1:11">
      <c r="A51" s="288">
        <v>50</v>
      </c>
      <c r="B51" s="278">
        <v>45734</v>
      </c>
      <c r="C51" s="285" t="s">
        <v>1544</v>
      </c>
      <c r="D51" s="279" t="s">
        <v>1406</v>
      </c>
      <c r="E51" s="285" t="s">
        <v>1241</v>
      </c>
      <c r="F51" s="285" t="s">
        <v>1406</v>
      </c>
      <c r="G51" s="280">
        <v>1200000</v>
      </c>
      <c r="H51" s="285">
        <v>1</v>
      </c>
      <c r="K51" s="280">
        <v>1200000</v>
      </c>
    </row>
    <row r="52" spans="1:11">
      <c r="A52" s="288">
        <v>51</v>
      </c>
      <c r="B52" s="278">
        <v>45735</v>
      </c>
      <c r="C52" s="285" t="s">
        <v>1445</v>
      </c>
      <c r="D52" s="279" t="s">
        <v>1258</v>
      </c>
      <c r="E52" s="285" t="s">
        <v>1259</v>
      </c>
      <c r="F52" s="285" t="s">
        <v>1258</v>
      </c>
      <c r="G52" s="280">
        <v>1500000</v>
      </c>
      <c r="H52" s="285">
        <v>1</v>
      </c>
      <c r="K52" s="280">
        <v>1500000</v>
      </c>
    </row>
    <row r="53" spans="1:11">
      <c r="A53" s="288">
        <v>52</v>
      </c>
      <c r="B53" s="278">
        <v>45735</v>
      </c>
      <c r="C53" s="285" t="s">
        <v>1445</v>
      </c>
      <c r="E53" s="285" t="s">
        <v>1547</v>
      </c>
      <c r="G53" s="280">
        <v>-500000</v>
      </c>
      <c r="H53" s="285">
        <v>1</v>
      </c>
      <c r="K53" s="280">
        <v>-500000</v>
      </c>
    </row>
    <row r="54" spans="1:11">
      <c r="A54" s="288">
        <v>53</v>
      </c>
      <c r="B54" s="278">
        <v>45735</v>
      </c>
      <c r="C54" s="285" t="s">
        <v>1069</v>
      </c>
      <c r="E54" s="285" t="s">
        <v>1549</v>
      </c>
      <c r="G54" s="280">
        <v>1600000</v>
      </c>
      <c r="H54" s="285">
        <v>1</v>
      </c>
      <c r="K54" s="280">
        <v>1600000</v>
      </c>
    </row>
    <row r="55" spans="1:11">
      <c r="A55" s="288">
        <v>54</v>
      </c>
      <c r="B55" s="278">
        <v>45735</v>
      </c>
      <c r="C55" s="285" t="s">
        <v>1424</v>
      </c>
      <c r="E55" s="285" t="s">
        <v>1551</v>
      </c>
      <c r="G55" s="280">
        <v>1000000</v>
      </c>
      <c r="H55" s="285">
        <v>1</v>
      </c>
      <c r="K55" s="280">
        <v>1000000</v>
      </c>
    </row>
    <row r="56" spans="1:11">
      <c r="A56" s="288">
        <v>55</v>
      </c>
      <c r="B56" s="278">
        <v>45735</v>
      </c>
      <c r="C56" s="285" t="s">
        <v>1424</v>
      </c>
      <c r="E56" s="285" t="s">
        <v>1552</v>
      </c>
      <c r="G56" s="280">
        <v>200000</v>
      </c>
      <c r="H56" s="285">
        <v>1</v>
      </c>
      <c r="K56" s="280">
        <v>200000</v>
      </c>
    </row>
    <row r="57" spans="1:11">
      <c r="A57" s="288">
        <v>56</v>
      </c>
      <c r="B57" s="278">
        <v>45736</v>
      </c>
      <c r="C57" s="285" t="s">
        <v>1490</v>
      </c>
      <c r="E57" s="285" t="s">
        <v>1554</v>
      </c>
      <c r="G57" s="280">
        <v>-1270000</v>
      </c>
      <c r="H57" s="285">
        <v>1</v>
      </c>
      <c r="K57" s="280">
        <v>-1270000</v>
      </c>
    </row>
    <row r="58" spans="1:11">
      <c r="A58" s="288">
        <v>57</v>
      </c>
      <c r="B58" s="278">
        <v>45736</v>
      </c>
      <c r="C58" s="285" t="s">
        <v>1490</v>
      </c>
      <c r="E58" s="285" t="s">
        <v>1555</v>
      </c>
      <c r="G58" s="280">
        <v>-300000</v>
      </c>
      <c r="H58" s="285">
        <v>1</v>
      </c>
      <c r="K58" s="280">
        <v>-300000</v>
      </c>
    </row>
    <row r="59" spans="1:11">
      <c r="A59" s="288">
        <v>58</v>
      </c>
      <c r="B59" s="278">
        <v>45736</v>
      </c>
      <c r="C59" s="285" t="s">
        <v>1490</v>
      </c>
      <c r="E59" s="285" t="s">
        <v>1556</v>
      </c>
      <c r="G59" s="280">
        <v>-200000</v>
      </c>
      <c r="H59" s="285">
        <v>1</v>
      </c>
      <c r="K59" s="280">
        <v>-200000</v>
      </c>
    </row>
    <row r="60" spans="1:11">
      <c r="A60" s="288">
        <v>59</v>
      </c>
      <c r="B60" s="278">
        <v>45736</v>
      </c>
      <c r="C60" s="285" t="s">
        <v>1281</v>
      </c>
      <c r="D60" s="279" t="s">
        <v>1242</v>
      </c>
      <c r="E60" s="285" t="s">
        <v>1243</v>
      </c>
      <c r="F60" s="285" t="s">
        <v>1242</v>
      </c>
      <c r="G60" s="280">
        <v>150000</v>
      </c>
      <c r="H60" s="285">
        <v>1</v>
      </c>
      <c r="K60" s="280">
        <v>150000</v>
      </c>
    </row>
    <row r="61" spans="1:11">
      <c r="A61" s="288">
        <v>60</v>
      </c>
      <c r="B61" s="278">
        <v>45736</v>
      </c>
      <c r="C61" s="285" t="s">
        <v>1515</v>
      </c>
      <c r="D61" s="279" t="s">
        <v>1406</v>
      </c>
      <c r="E61" s="285" t="s">
        <v>1241</v>
      </c>
      <c r="F61" s="285" t="s">
        <v>1406</v>
      </c>
      <c r="G61" s="280">
        <v>1300000</v>
      </c>
      <c r="H61" s="285">
        <v>1</v>
      </c>
      <c r="K61" s="280">
        <v>1300000</v>
      </c>
    </row>
    <row r="62" spans="1:11">
      <c r="A62" s="288">
        <v>61</v>
      </c>
      <c r="B62" s="278">
        <v>45736</v>
      </c>
      <c r="C62" s="285" t="s">
        <v>1270</v>
      </c>
      <c r="E62" s="285" t="s">
        <v>1549</v>
      </c>
      <c r="G62" s="280">
        <v>1600000</v>
      </c>
      <c r="H62" s="285">
        <v>1</v>
      </c>
      <c r="K62" s="280">
        <v>1600000</v>
      </c>
    </row>
    <row r="63" spans="1:11">
      <c r="A63" s="288">
        <v>62</v>
      </c>
      <c r="B63" s="278">
        <v>45736</v>
      </c>
      <c r="C63" s="285" t="s">
        <v>1561</v>
      </c>
      <c r="E63" s="285" t="s">
        <v>1175</v>
      </c>
      <c r="G63" s="280">
        <v>650000</v>
      </c>
      <c r="H63" s="285">
        <v>1</v>
      </c>
      <c r="K63" s="280">
        <v>650000</v>
      </c>
    </row>
    <row r="64" spans="1:11">
      <c r="A64" s="288">
        <v>63</v>
      </c>
      <c r="B64" s="278">
        <v>45741</v>
      </c>
      <c r="C64" s="285" t="s">
        <v>1563</v>
      </c>
      <c r="E64" s="285" t="s">
        <v>1564</v>
      </c>
      <c r="G64" s="280">
        <v>150000</v>
      </c>
      <c r="H64" s="285">
        <v>2</v>
      </c>
      <c r="K64" s="280">
        <v>300000</v>
      </c>
    </row>
    <row r="65" spans="1:11">
      <c r="A65" s="288">
        <v>64</v>
      </c>
      <c r="B65" s="278">
        <v>45741</v>
      </c>
      <c r="C65" s="285" t="s">
        <v>1563</v>
      </c>
      <c r="E65" s="285" t="s">
        <v>1565</v>
      </c>
      <c r="G65" s="280">
        <v>20000</v>
      </c>
      <c r="H65" s="285">
        <v>1</v>
      </c>
      <c r="K65" s="280">
        <v>20000</v>
      </c>
    </row>
    <row r="66" spans="1:11">
      <c r="A66" s="288">
        <v>65</v>
      </c>
      <c r="B66" s="278">
        <v>45737</v>
      </c>
      <c r="C66" s="285" t="s">
        <v>1567</v>
      </c>
      <c r="E66" s="285" t="s">
        <v>1570</v>
      </c>
      <c r="G66" s="280">
        <v>250000</v>
      </c>
      <c r="H66" s="285">
        <v>1</v>
      </c>
      <c r="K66" s="280">
        <v>250000</v>
      </c>
    </row>
    <row r="67" spans="1:11">
      <c r="A67" s="288">
        <v>66</v>
      </c>
      <c r="B67" s="278">
        <v>45737</v>
      </c>
      <c r="C67" s="285" t="s">
        <v>1490</v>
      </c>
      <c r="D67" s="279" t="s">
        <v>1245</v>
      </c>
      <c r="E67" s="285" t="s">
        <v>1246</v>
      </c>
      <c r="F67" s="285" t="s">
        <v>1245</v>
      </c>
      <c r="G67" s="280">
        <v>570000</v>
      </c>
      <c r="H67" s="285">
        <v>2</v>
      </c>
      <c r="K67" s="280">
        <v>1140000</v>
      </c>
    </row>
    <row r="68" spans="1:11">
      <c r="A68" s="288">
        <v>67</v>
      </c>
      <c r="B68" s="278">
        <v>45737</v>
      </c>
      <c r="C68" s="285" t="s">
        <v>1490</v>
      </c>
      <c r="E68" s="285" t="s">
        <v>1454</v>
      </c>
      <c r="H68" s="285">
        <v>2</v>
      </c>
      <c r="K68" s="280">
        <v>0</v>
      </c>
    </row>
    <row r="69" spans="1:11">
      <c r="A69" s="288">
        <v>68</v>
      </c>
      <c r="B69" s="278">
        <v>45740</v>
      </c>
      <c r="C69" s="285" t="s">
        <v>1351</v>
      </c>
      <c r="E69" s="285">
        <v>2703900</v>
      </c>
      <c r="G69" s="280">
        <v>1600000</v>
      </c>
      <c r="H69" s="285">
        <v>1</v>
      </c>
      <c r="K69" s="280">
        <v>1600000</v>
      </c>
    </row>
    <row r="70" spans="1:11">
      <c r="A70" s="288">
        <v>69</v>
      </c>
      <c r="B70" s="278">
        <v>45740</v>
      </c>
      <c r="C70" s="285" t="s">
        <v>1281</v>
      </c>
      <c r="D70" s="279" t="s">
        <v>1406</v>
      </c>
      <c r="E70" s="285" t="s">
        <v>1241</v>
      </c>
      <c r="F70" s="285" t="s">
        <v>1406</v>
      </c>
      <c r="G70" s="280">
        <v>1300000</v>
      </c>
      <c r="H70" s="285">
        <v>1</v>
      </c>
      <c r="K70" s="280">
        <v>1300000</v>
      </c>
    </row>
    <row r="71" spans="1:11">
      <c r="A71" s="288">
        <v>70</v>
      </c>
      <c r="B71" s="278">
        <v>45740</v>
      </c>
      <c r="C71" s="285" t="s">
        <v>1418</v>
      </c>
      <c r="E71" s="285" t="s">
        <v>1191</v>
      </c>
      <c r="G71" s="280">
        <v>1500000</v>
      </c>
      <c r="H71" s="285">
        <v>1</v>
      </c>
      <c r="K71" s="280">
        <v>1500000</v>
      </c>
    </row>
    <row r="72" spans="1:11">
      <c r="A72" s="288">
        <v>71</v>
      </c>
      <c r="B72" s="278">
        <v>45740</v>
      </c>
      <c r="C72" s="285" t="s">
        <v>1210</v>
      </c>
      <c r="D72" s="279" t="s">
        <v>1406</v>
      </c>
      <c r="E72" s="285" t="s">
        <v>1241</v>
      </c>
      <c r="F72" s="285" t="s">
        <v>1406</v>
      </c>
      <c r="G72" s="280">
        <v>1200000</v>
      </c>
      <c r="H72" s="285">
        <v>1</v>
      </c>
      <c r="K72" s="280">
        <v>1200000</v>
      </c>
    </row>
    <row r="73" spans="1:11">
      <c r="A73" s="288">
        <v>72</v>
      </c>
      <c r="B73" s="278">
        <v>45740</v>
      </c>
      <c r="C73" s="285" t="s">
        <v>1019</v>
      </c>
      <c r="E73" s="285" t="s">
        <v>1186</v>
      </c>
      <c r="G73" s="280">
        <v>1100000</v>
      </c>
      <c r="H73" s="285">
        <v>1</v>
      </c>
      <c r="K73" s="280">
        <v>1100000</v>
      </c>
    </row>
    <row r="74" spans="1:11">
      <c r="A74" s="288">
        <v>73</v>
      </c>
      <c r="B74" s="278">
        <v>45740</v>
      </c>
      <c r="C74" s="285" t="s">
        <v>1578</v>
      </c>
      <c r="D74" s="279" t="s">
        <v>1239</v>
      </c>
      <c r="E74" s="285" t="s">
        <v>1240</v>
      </c>
      <c r="F74" s="285" t="s">
        <v>1239</v>
      </c>
      <c r="G74" s="280">
        <v>1500000</v>
      </c>
      <c r="H74" s="285">
        <v>1</v>
      </c>
      <c r="K74" s="280">
        <v>1500000</v>
      </c>
    </row>
    <row r="75" spans="1:11">
      <c r="A75" s="288">
        <v>74</v>
      </c>
      <c r="B75" s="278">
        <v>45741</v>
      </c>
      <c r="C75" s="285" t="s">
        <v>1495</v>
      </c>
      <c r="E75" s="285" t="s">
        <v>1581</v>
      </c>
      <c r="G75" s="280">
        <v>450000</v>
      </c>
      <c r="H75" s="285">
        <v>1</v>
      </c>
      <c r="K75" s="280">
        <v>450000</v>
      </c>
    </row>
    <row r="76" spans="1:11">
      <c r="A76" s="288">
        <v>75</v>
      </c>
      <c r="B76" s="278">
        <v>45741</v>
      </c>
      <c r="C76" s="285" t="s">
        <v>1183</v>
      </c>
      <c r="D76" s="279" t="s">
        <v>1406</v>
      </c>
      <c r="E76" s="285" t="s">
        <v>1241</v>
      </c>
      <c r="F76" s="285" t="s">
        <v>1406</v>
      </c>
      <c r="G76" s="280">
        <v>1200000</v>
      </c>
      <c r="H76" s="285">
        <v>1</v>
      </c>
      <c r="K76" s="280">
        <v>1200000</v>
      </c>
    </row>
    <row r="77" spans="1:11">
      <c r="A77" s="288">
        <v>76</v>
      </c>
      <c r="B77" s="278">
        <v>45741</v>
      </c>
      <c r="C77" s="285" t="s">
        <v>1030</v>
      </c>
      <c r="E77" s="285" t="s">
        <v>1584</v>
      </c>
      <c r="G77" s="280">
        <v>2000000</v>
      </c>
      <c r="H77" s="285">
        <v>1</v>
      </c>
      <c r="K77" s="280">
        <v>2000000</v>
      </c>
    </row>
    <row r="78" spans="1:11">
      <c r="A78" s="288">
        <v>77</v>
      </c>
      <c r="B78" s="278">
        <v>45741</v>
      </c>
      <c r="C78" s="285" t="s">
        <v>1490</v>
      </c>
      <c r="E78" s="285" t="s">
        <v>1168</v>
      </c>
      <c r="G78" s="280">
        <v>350000</v>
      </c>
      <c r="H78" s="285">
        <v>2</v>
      </c>
      <c r="K78" s="280">
        <v>700000</v>
      </c>
    </row>
    <row r="79" spans="1:11">
      <c r="A79" s="288">
        <v>78</v>
      </c>
      <c r="B79" s="278">
        <v>45741</v>
      </c>
      <c r="C79" s="285" t="s">
        <v>1490</v>
      </c>
      <c r="E79" s="285" t="s">
        <v>1168</v>
      </c>
      <c r="G79" s="280">
        <v>300000</v>
      </c>
      <c r="H79" s="285">
        <v>2</v>
      </c>
      <c r="K79" s="280">
        <v>600000</v>
      </c>
    </row>
    <row r="80" spans="1:11">
      <c r="A80" s="288">
        <v>79</v>
      </c>
      <c r="B80" s="278">
        <v>45741</v>
      </c>
      <c r="C80" s="285" t="s">
        <v>1587</v>
      </c>
      <c r="E80" s="285" t="s">
        <v>1588</v>
      </c>
      <c r="G80" s="280">
        <v>129000</v>
      </c>
      <c r="H80" s="285">
        <v>1</v>
      </c>
      <c r="K80" s="280">
        <v>129000</v>
      </c>
    </row>
    <row r="81" spans="1:11">
      <c r="A81" s="288">
        <v>80</v>
      </c>
      <c r="B81" s="278">
        <v>45741</v>
      </c>
      <c r="C81" s="285" t="s">
        <v>1590</v>
      </c>
      <c r="D81" s="279" t="s">
        <v>1258</v>
      </c>
      <c r="E81" s="285" t="s">
        <v>1259</v>
      </c>
      <c r="F81" s="285" t="s">
        <v>1258</v>
      </c>
      <c r="G81" s="280">
        <v>1500000</v>
      </c>
      <c r="H81" s="285">
        <v>1</v>
      </c>
      <c r="K81" s="280">
        <v>1500000</v>
      </c>
    </row>
    <row r="82" spans="1:11">
      <c r="A82" s="288">
        <v>81</v>
      </c>
      <c r="B82" s="278">
        <v>45742</v>
      </c>
      <c r="C82" s="285" t="s">
        <v>1030</v>
      </c>
      <c r="D82" s="279" t="s">
        <v>1406</v>
      </c>
      <c r="E82" s="285" t="s">
        <v>1241</v>
      </c>
      <c r="F82" s="285" t="s">
        <v>1406</v>
      </c>
      <c r="G82" s="280">
        <v>1200000</v>
      </c>
      <c r="H82" s="285">
        <v>1</v>
      </c>
      <c r="K82" s="280">
        <v>1200000</v>
      </c>
    </row>
    <row r="83" spans="1:11">
      <c r="A83" s="288">
        <v>82</v>
      </c>
      <c r="B83" s="278">
        <v>45742</v>
      </c>
      <c r="C83" s="285" t="s">
        <v>1030</v>
      </c>
      <c r="E83" s="285" t="s">
        <v>1542</v>
      </c>
      <c r="G83" s="280">
        <v>350000</v>
      </c>
      <c r="H83" s="285">
        <v>1</v>
      </c>
      <c r="K83" s="280">
        <v>350000</v>
      </c>
    </row>
    <row r="84" spans="1:11">
      <c r="A84" s="288">
        <v>83</v>
      </c>
      <c r="B84" s="278">
        <v>45742</v>
      </c>
      <c r="C84" s="285" t="s">
        <v>1437</v>
      </c>
      <c r="D84" s="279" t="s">
        <v>1406</v>
      </c>
      <c r="E84" s="285" t="s">
        <v>1241</v>
      </c>
      <c r="F84" s="285" t="s">
        <v>1406</v>
      </c>
      <c r="G84" s="280">
        <v>1200000</v>
      </c>
      <c r="H84" s="285">
        <v>1</v>
      </c>
      <c r="K84" s="280">
        <v>1200000</v>
      </c>
    </row>
    <row r="85" spans="1:11">
      <c r="A85" s="288">
        <v>84</v>
      </c>
      <c r="B85" s="278">
        <v>45742</v>
      </c>
      <c r="C85" s="285" t="s">
        <v>1441</v>
      </c>
      <c r="E85" s="285" t="s">
        <v>1175</v>
      </c>
      <c r="G85" s="280">
        <v>650000</v>
      </c>
      <c r="H85" s="285">
        <v>1</v>
      </c>
      <c r="K85" s="280">
        <v>650000</v>
      </c>
    </row>
    <row r="86" spans="1:11">
      <c r="A86" s="288">
        <v>85</v>
      </c>
      <c r="B86" s="278">
        <v>45742</v>
      </c>
      <c r="C86" s="285" t="s">
        <v>1019</v>
      </c>
      <c r="E86" s="285" t="s">
        <v>1595</v>
      </c>
      <c r="G86" s="280">
        <v>50000</v>
      </c>
      <c r="H86" s="285">
        <v>1</v>
      </c>
      <c r="K86" s="280">
        <v>50000</v>
      </c>
    </row>
    <row r="87" spans="1:11">
      <c r="A87" s="288">
        <v>86</v>
      </c>
      <c r="B87" s="278">
        <v>45743</v>
      </c>
      <c r="C87" s="285" t="s">
        <v>1597</v>
      </c>
      <c r="D87" s="279" t="s">
        <v>1406</v>
      </c>
      <c r="E87" s="285" t="s">
        <v>1241</v>
      </c>
      <c r="F87" s="285" t="s">
        <v>1406</v>
      </c>
      <c r="G87" s="280">
        <v>1300000</v>
      </c>
      <c r="H87" s="285">
        <v>1</v>
      </c>
      <c r="K87" s="280">
        <v>1300000</v>
      </c>
    </row>
    <row r="88" spans="1:11">
      <c r="A88" s="288">
        <v>87</v>
      </c>
      <c r="B88" s="278">
        <v>45743</v>
      </c>
      <c r="C88" s="285" t="s">
        <v>1597</v>
      </c>
      <c r="E88" s="285" t="s">
        <v>1542</v>
      </c>
      <c r="G88" s="280">
        <v>350000</v>
      </c>
      <c r="H88" s="285">
        <v>1</v>
      </c>
      <c r="K88" s="280">
        <v>350000</v>
      </c>
    </row>
    <row r="89" spans="1:11">
      <c r="A89" s="288">
        <v>88</v>
      </c>
      <c r="B89" s="278">
        <v>45743</v>
      </c>
      <c r="C89" s="285" t="s">
        <v>1600</v>
      </c>
      <c r="E89" s="285" t="s">
        <v>1601</v>
      </c>
      <c r="G89" s="280">
        <v>350000</v>
      </c>
      <c r="H89" s="285">
        <v>1</v>
      </c>
      <c r="J89" s="281">
        <v>35000</v>
      </c>
      <c r="K89" s="280">
        <v>385000</v>
      </c>
    </row>
    <row r="90" spans="1:11">
      <c r="A90" s="288">
        <v>89</v>
      </c>
      <c r="B90" s="278">
        <v>45744</v>
      </c>
      <c r="C90" s="285" t="s">
        <v>1600</v>
      </c>
      <c r="D90" s="279" t="s">
        <v>1406</v>
      </c>
      <c r="E90" s="285" t="s">
        <v>1241</v>
      </c>
      <c r="F90" s="285" t="s">
        <v>1406</v>
      </c>
      <c r="G90" s="280">
        <v>1090909</v>
      </c>
      <c r="H90" s="285">
        <v>1</v>
      </c>
      <c r="J90" s="281">
        <v>109090.90000000001</v>
      </c>
      <c r="K90" s="280">
        <v>1199999.8999999999</v>
      </c>
    </row>
    <row r="91" spans="1:11">
      <c r="A91" s="288">
        <v>90</v>
      </c>
      <c r="B91" s="278">
        <v>45745</v>
      </c>
      <c r="C91" s="285" t="s">
        <v>986</v>
      </c>
      <c r="D91" s="279" t="s">
        <v>1265</v>
      </c>
      <c r="E91" s="285" t="s">
        <v>1607</v>
      </c>
      <c r="F91" s="285" t="s">
        <v>1265</v>
      </c>
      <c r="G91" s="280">
        <v>1600000</v>
      </c>
      <c r="H91" s="285">
        <v>1</v>
      </c>
      <c r="J91" s="281">
        <v>160000</v>
      </c>
      <c r="K91" s="280">
        <v>1760000</v>
      </c>
    </row>
    <row r="92" spans="1:11">
      <c r="A92" s="288">
        <v>91</v>
      </c>
      <c r="B92" s="278">
        <v>45747</v>
      </c>
      <c r="C92" s="285" t="s">
        <v>1587</v>
      </c>
      <c r="D92" s="279" t="s">
        <v>1406</v>
      </c>
      <c r="E92" s="285" t="s">
        <v>1241</v>
      </c>
      <c r="F92" s="285" t="s">
        <v>1406</v>
      </c>
      <c r="G92" s="280">
        <v>1200000</v>
      </c>
      <c r="H92" s="285">
        <v>1</v>
      </c>
      <c r="K92" s="280">
        <v>1200000</v>
      </c>
    </row>
    <row r="93" spans="1:11">
      <c r="A93" s="288">
        <v>92</v>
      </c>
      <c r="B93" s="278">
        <v>45747</v>
      </c>
      <c r="C93" s="285" t="s">
        <v>1587</v>
      </c>
      <c r="E93" s="285" t="s">
        <v>1173</v>
      </c>
      <c r="G93" s="280">
        <v>198000</v>
      </c>
      <c r="H93" s="285">
        <v>1</v>
      </c>
      <c r="K93" s="280">
        <v>198000</v>
      </c>
    </row>
    <row r="94" spans="1:11">
      <c r="A94" s="288">
        <v>93</v>
      </c>
      <c r="B94" s="278">
        <v>45747</v>
      </c>
      <c r="C94" s="285" t="s">
        <v>987</v>
      </c>
      <c r="D94" s="279" t="s">
        <v>1239</v>
      </c>
      <c r="E94" s="285" t="s">
        <v>1240</v>
      </c>
      <c r="F94" s="285" t="s">
        <v>1239</v>
      </c>
      <c r="G94" s="280">
        <v>1500000</v>
      </c>
      <c r="H94" s="285">
        <v>1</v>
      </c>
      <c r="J94" s="281">
        <v>150000</v>
      </c>
      <c r="K94" s="280">
        <v>1650000</v>
      </c>
    </row>
    <row r="95" spans="1:11">
      <c r="A95" s="288">
        <v>94</v>
      </c>
      <c r="B95" s="278">
        <v>45747</v>
      </c>
      <c r="C95" s="285" t="s">
        <v>987</v>
      </c>
      <c r="E95" s="285" t="s">
        <v>1624</v>
      </c>
      <c r="G95" s="280">
        <v>30000</v>
      </c>
      <c r="H95" s="285">
        <v>1</v>
      </c>
      <c r="J95" s="281">
        <v>3000</v>
      </c>
      <c r="K95" s="280">
        <v>33000</v>
      </c>
    </row>
    <row r="96" spans="1:11">
      <c r="A96" s="288">
        <v>95</v>
      </c>
      <c r="B96" s="278">
        <v>45734</v>
      </c>
      <c r="C96" s="285" t="s">
        <v>1626</v>
      </c>
      <c r="E96" s="285" t="s">
        <v>1627</v>
      </c>
      <c r="G96" s="280">
        <v>1100000</v>
      </c>
      <c r="H96" s="285">
        <v>1</v>
      </c>
      <c r="J96" s="281">
        <v>110000</v>
      </c>
      <c r="K96" s="280">
        <v>1210000</v>
      </c>
    </row>
    <row r="97" spans="1:11">
      <c r="A97" s="288">
        <v>96</v>
      </c>
      <c r="B97" s="278">
        <v>45734</v>
      </c>
      <c r="C97" s="285" t="s">
        <v>1626</v>
      </c>
      <c r="E97" s="285" t="s">
        <v>1565</v>
      </c>
      <c r="G97" s="280">
        <v>20000</v>
      </c>
      <c r="H97" s="285">
        <v>1</v>
      </c>
      <c r="K97" s="280">
        <v>20000</v>
      </c>
    </row>
    <row r="98" spans="1:11">
      <c r="A98" s="288">
        <v>97</v>
      </c>
      <c r="B98" s="278">
        <v>45723</v>
      </c>
      <c r="C98" s="285" t="s">
        <v>1629</v>
      </c>
      <c r="E98" s="285" t="s">
        <v>1630</v>
      </c>
      <c r="G98" s="280">
        <v>1100000</v>
      </c>
      <c r="H98" s="285">
        <v>1</v>
      </c>
      <c r="J98" s="281">
        <v>110000</v>
      </c>
      <c r="K98" s="280">
        <v>1210000</v>
      </c>
    </row>
    <row r="99" spans="1:11">
      <c r="A99" s="288">
        <v>98</v>
      </c>
      <c r="B99" s="278">
        <v>45723</v>
      </c>
      <c r="C99" s="285" t="s">
        <v>1629</v>
      </c>
      <c r="E99" s="285" t="s">
        <v>1828</v>
      </c>
      <c r="G99" s="280">
        <v>3500000</v>
      </c>
      <c r="H99" s="285">
        <v>1</v>
      </c>
      <c r="J99" s="281">
        <v>350000</v>
      </c>
      <c r="K99" s="280">
        <v>3850000</v>
      </c>
    </row>
    <row r="100" spans="1:11">
      <c r="A100" s="288">
        <v>99</v>
      </c>
      <c r="B100" s="278">
        <v>45723</v>
      </c>
      <c r="C100" s="285" t="s">
        <v>1629</v>
      </c>
      <c r="D100" s="279" t="s">
        <v>1309</v>
      </c>
      <c r="E100" s="285" t="s">
        <v>1310</v>
      </c>
      <c r="F100" s="285" t="s">
        <v>1309</v>
      </c>
      <c r="G100" s="280">
        <v>50000</v>
      </c>
      <c r="H100" s="285">
        <v>1</v>
      </c>
      <c r="J100" s="281">
        <v>5000</v>
      </c>
      <c r="K100" s="280">
        <v>55000</v>
      </c>
    </row>
    <row r="101" spans="1:11">
      <c r="A101" s="288">
        <v>100</v>
      </c>
      <c r="B101" s="278">
        <v>45718</v>
      </c>
      <c r="C101" s="285" t="s">
        <v>1027</v>
      </c>
      <c r="D101" s="279" t="s">
        <v>1406</v>
      </c>
      <c r="E101" s="285" t="s">
        <v>1241</v>
      </c>
      <c r="F101" s="285" t="s">
        <v>1406</v>
      </c>
      <c r="G101" s="280">
        <v>1200000</v>
      </c>
      <c r="H101" s="285">
        <v>1</v>
      </c>
      <c r="J101" s="281">
        <v>120000</v>
      </c>
      <c r="K101" s="280">
        <v>1320000</v>
      </c>
    </row>
    <row r="102" spans="1:11">
      <c r="A102" s="288">
        <v>101</v>
      </c>
      <c r="B102" s="278">
        <v>45729</v>
      </c>
      <c r="C102" s="285" t="s">
        <v>1635</v>
      </c>
      <c r="E102" s="285" t="s">
        <v>1636</v>
      </c>
      <c r="G102" s="280">
        <v>800000</v>
      </c>
      <c r="H102" s="285">
        <v>1</v>
      </c>
      <c r="J102" s="281">
        <v>80000</v>
      </c>
      <c r="K102" s="280">
        <v>880000</v>
      </c>
    </row>
    <row r="103" spans="1:11">
      <c r="A103" s="288">
        <v>102</v>
      </c>
      <c r="B103" s="278">
        <v>45729</v>
      </c>
      <c r="C103" s="285" t="s">
        <v>1635</v>
      </c>
      <c r="D103" s="279">
        <v>415054509</v>
      </c>
      <c r="E103" s="285" t="s">
        <v>2665</v>
      </c>
      <c r="F103" s="285">
        <v>415054509</v>
      </c>
      <c r="G103" s="280">
        <v>320000</v>
      </c>
      <c r="H103" s="285">
        <v>1</v>
      </c>
      <c r="J103" s="281">
        <v>32000</v>
      </c>
      <c r="K103" s="280">
        <v>352000</v>
      </c>
    </row>
    <row r="104" spans="1:11">
      <c r="A104" s="288">
        <v>103</v>
      </c>
      <c r="B104" s="278">
        <v>45729</v>
      </c>
      <c r="C104" s="285" t="s">
        <v>1635</v>
      </c>
      <c r="E104" s="285" t="s">
        <v>1637</v>
      </c>
      <c r="G104" s="280">
        <v>340000</v>
      </c>
      <c r="H104" s="285">
        <v>1</v>
      </c>
      <c r="J104" s="281">
        <v>34000</v>
      </c>
      <c r="K104" s="280">
        <v>374000</v>
      </c>
    </row>
    <row r="105" spans="1:11">
      <c r="A105" s="288">
        <v>104</v>
      </c>
      <c r="B105" s="278">
        <v>45729</v>
      </c>
      <c r="C105" s="285" t="s">
        <v>1635</v>
      </c>
      <c r="E105" s="285" t="s">
        <v>1638</v>
      </c>
      <c r="G105" s="280">
        <v>7727</v>
      </c>
      <c r="H105" s="285">
        <v>1</v>
      </c>
      <c r="J105" s="281">
        <v>772.7</v>
      </c>
      <c r="K105" s="280">
        <v>8499.7000000000007</v>
      </c>
    </row>
    <row r="106" spans="1:11">
      <c r="A106" s="288">
        <v>105</v>
      </c>
      <c r="B106" s="278">
        <v>45716</v>
      </c>
      <c r="C106" s="285" t="s">
        <v>1635</v>
      </c>
      <c r="D106" s="279" t="s">
        <v>1609</v>
      </c>
      <c r="E106" s="285" t="s">
        <v>1243</v>
      </c>
      <c r="F106" s="285" t="s">
        <v>1609</v>
      </c>
      <c r="G106" s="280">
        <v>1100000</v>
      </c>
      <c r="H106" s="285">
        <v>1</v>
      </c>
      <c r="J106" s="281">
        <v>110000</v>
      </c>
      <c r="K106" s="280">
        <v>1210000</v>
      </c>
    </row>
    <row r="107" spans="1:11">
      <c r="A107" s="288">
        <v>106</v>
      </c>
      <c r="B107" s="278">
        <v>45722</v>
      </c>
      <c r="C107" s="285" t="s">
        <v>1513</v>
      </c>
      <c r="E107" s="285" t="s">
        <v>1641</v>
      </c>
      <c r="G107" s="280">
        <v>572727</v>
      </c>
      <c r="H107" s="285">
        <v>1</v>
      </c>
      <c r="J107" s="281">
        <v>57272.700000000004</v>
      </c>
      <c r="K107" s="280">
        <v>629999.69999999995</v>
      </c>
    </row>
    <row r="108" spans="1:11">
      <c r="A108" s="288">
        <v>107</v>
      </c>
      <c r="B108" s="278">
        <v>45722</v>
      </c>
      <c r="C108" s="285" t="s">
        <v>997</v>
      </c>
      <c r="D108" s="279" t="s">
        <v>1406</v>
      </c>
      <c r="E108" s="285" t="s">
        <v>1241</v>
      </c>
      <c r="F108" s="285" t="s">
        <v>1406</v>
      </c>
      <c r="G108" s="280">
        <v>1000000</v>
      </c>
      <c r="H108" s="285">
        <v>1</v>
      </c>
      <c r="J108" s="281">
        <v>100000</v>
      </c>
      <c r="K108" s="280">
        <v>1100000</v>
      </c>
    </row>
    <row r="109" spans="1:11">
      <c r="A109" s="288">
        <v>108</v>
      </c>
      <c r="B109" s="278">
        <v>45722</v>
      </c>
      <c r="C109" s="285" t="s">
        <v>997</v>
      </c>
      <c r="E109" s="285" t="s">
        <v>1542</v>
      </c>
      <c r="G109" s="280">
        <v>350000</v>
      </c>
      <c r="H109" s="285">
        <v>1</v>
      </c>
      <c r="J109" s="281">
        <v>35000</v>
      </c>
      <c r="K109" s="280">
        <v>385000</v>
      </c>
    </row>
    <row r="110" spans="1:11">
      <c r="A110" s="288">
        <v>109</v>
      </c>
      <c r="B110" s="278">
        <v>45722</v>
      </c>
      <c r="C110" s="285" t="s">
        <v>997</v>
      </c>
      <c r="E110" s="285" t="s">
        <v>1131</v>
      </c>
      <c r="G110" s="280">
        <v>129000</v>
      </c>
      <c r="H110" s="285">
        <v>1</v>
      </c>
      <c r="J110" s="281">
        <v>12900</v>
      </c>
      <c r="K110" s="280">
        <v>141900</v>
      </c>
    </row>
    <row r="111" spans="1:11">
      <c r="A111" s="288">
        <v>110</v>
      </c>
      <c r="B111" s="278">
        <v>45726</v>
      </c>
      <c r="C111" s="285" t="s">
        <v>997</v>
      </c>
      <c r="E111" s="285" t="s">
        <v>1202</v>
      </c>
      <c r="G111" s="280">
        <v>600000</v>
      </c>
      <c r="H111" s="285">
        <v>1</v>
      </c>
      <c r="J111" s="281">
        <v>60000</v>
      </c>
      <c r="K111" s="280">
        <v>660000</v>
      </c>
    </row>
    <row r="112" spans="1:11">
      <c r="A112" s="288">
        <v>111</v>
      </c>
      <c r="B112" s="278">
        <v>45735</v>
      </c>
      <c r="C112" s="285" t="s">
        <v>1645</v>
      </c>
      <c r="D112" s="279" t="s">
        <v>1406</v>
      </c>
      <c r="E112" s="285" t="s">
        <v>1241</v>
      </c>
      <c r="F112" s="285" t="s">
        <v>1406</v>
      </c>
      <c r="G112" s="280">
        <v>1200000</v>
      </c>
      <c r="H112" s="285">
        <v>1</v>
      </c>
      <c r="J112" s="281">
        <v>120000</v>
      </c>
      <c r="K112" s="280">
        <v>1320000</v>
      </c>
    </row>
    <row r="113" spans="1:11">
      <c r="A113" s="288">
        <v>112</v>
      </c>
      <c r="B113" s="278">
        <v>45736</v>
      </c>
      <c r="C113" s="285" t="s">
        <v>1647</v>
      </c>
      <c r="E113" s="285" t="s">
        <v>1191</v>
      </c>
      <c r="G113" s="280">
        <v>1500000</v>
      </c>
      <c r="H113" s="285">
        <v>1</v>
      </c>
      <c r="J113" s="281">
        <v>150000</v>
      </c>
      <c r="K113" s="280">
        <v>1650000</v>
      </c>
    </row>
    <row r="114" spans="1:11">
      <c r="A114" s="288">
        <v>113</v>
      </c>
      <c r="B114" s="278">
        <v>45721</v>
      </c>
      <c r="C114" s="285" t="s">
        <v>1498</v>
      </c>
      <c r="E114" s="285" t="s">
        <v>1185</v>
      </c>
      <c r="G114" s="280">
        <v>610000</v>
      </c>
      <c r="H114" s="285">
        <v>1</v>
      </c>
      <c r="J114" s="281">
        <v>61000</v>
      </c>
      <c r="K114" s="280">
        <v>671000</v>
      </c>
    </row>
    <row r="115" spans="1:11">
      <c r="A115" s="288">
        <v>114</v>
      </c>
      <c r="B115" s="278">
        <v>45721</v>
      </c>
      <c r="C115" s="285" t="s">
        <v>1498</v>
      </c>
      <c r="D115" s="279" t="s">
        <v>1303</v>
      </c>
      <c r="E115" s="285" t="s">
        <v>1304</v>
      </c>
      <c r="F115" s="285" t="s">
        <v>1303</v>
      </c>
      <c r="G115" s="280">
        <v>130000</v>
      </c>
      <c r="H115" s="285">
        <v>1</v>
      </c>
      <c r="J115" s="281">
        <v>13000</v>
      </c>
      <c r="K115" s="280">
        <v>143000</v>
      </c>
    </row>
    <row r="116" spans="1:11">
      <c r="A116" s="288">
        <v>115</v>
      </c>
      <c r="B116" s="278">
        <v>45721</v>
      </c>
      <c r="C116" s="285" t="s">
        <v>1498</v>
      </c>
      <c r="D116" s="279">
        <v>2821402</v>
      </c>
      <c r="E116" s="285" t="s">
        <v>1171</v>
      </c>
      <c r="F116" s="285">
        <v>2821402</v>
      </c>
      <c r="G116" s="280">
        <v>35000</v>
      </c>
      <c r="H116" s="285">
        <v>1</v>
      </c>
      <c r="J116" s="281">
        <v>3500</v>
      </c>
      <c r="K116" s="280">
        <v>38500</v>
      </c>
    </row>
    <row r="117" spans="1:11">
      <c r="A117" s="288">
        <v>116</v>
      </c>
      <c r="B117" s="278">
        <v>45721</v>
      </c>
      <c r="C117" s="285" t="s">
        <v>1498</v>
      </c>
      <c r="E117" s="285" t="s">
        <v>1649</v>
      </c>
      <c r="G117" s="280">
        <v>20000</v>
      </c>
      <c r="H117" s="285">
        <v>1</v>
      </c>
      <c r="J117" s="281">
        <v>2000</v>
      </c>
      <c r="K117" s="280">
        <v>22000</v>
      </c>
    </row>
    <row r="118" spans="1:11">
      <c r="A118" s="288">
        <v>117</v>
      </c>
      <c r="B118" s="278">
        <v>45736</v>
      </c>
      <c r="C118" s="285" t="s">
        <v>1651</v>
      </c>
      <c r="E118" s="285" t="s">
        <v>1652</v>
      </c>
      <c r="G118" s="280">
        <v>2200000</v>
      </c>
      <c r="H118" s="285">
        <v>1</v>
      </c>
      <c r="J118" s="281">
        <v>220000</v>
      </c>
      <c r="K118" s="280">
        <v>2420000</v>
      </c>
    </row>
    <row r="119" spans="1:11">
      <c r="A119" s="288">
        <v>118</v>
      </c>
      <c r="B119" s="278">
        <v>45735</v>
      </c>
      <c r="E119" s="285" t="s">
        <v>1652</v>
      </c>
      <c r="G119" s="280">
        <v>2180000</v>
      </c>
      <c r="H119" s="285">
        <v>1</v>
      </c>
      <c r="J119" s="281">
        <v>218000</v>
      </c>
      <c r="K119" s="280">
        <v>2398000</v>
      </c>
    </row>
    <row r="120" spans="1:11">
      <c r="A120" s="288">
        <v>119</v>
      </c>
      <c r="B120" s="278">
        <v>45744</v>
      </c>
      <c r="E120" s="285" t="s">
        <v>1655</v>
      </c>
      <c r="G120" s="280">
        <v>2000000</v>
      </c>
      <c r="H120" s="285">
        <v>1</v>
      </c>
      <c r="J120" s="281">
        <v>200000</v>
      </c>
      <c r="K120" s="280">
        <v>2200000</v>
      </c>
    </row>
    <row r="121" spans="1:11">
      <c r="A121" s="288">
        <v>120</v>
      </c>
      <c r="B121" s="278">
        <v>45748</v>
      </c>
      <c r="C121" s="285" t="s">
        <v>1626</v>
      </c>
      <c r="D121" s="279">
        <v>415072909</v>
      </c>
      <c r="E121" s="285" t="s">
        <v>2665</v>
      </c>
      <c r="F121" s="285">
        <v>415072909</v>
      </c>
      <c r="G121" s="280">
        <v>381818</v>
      </c>
      <c r="H121" s="285">
        <v>1</v>
      </c>
      <c r="J121" s="281">
        <v>38181.800000000003</v>
      </c>
      <c r="K121" s="280">
        <v>419999.8</v>
      </c>
    </row>
    <row r="122" spans="1:11">
      <c r="A122" s="288">
        <v>121</v>
      </c>
      <c r="B122" s="278">
        <v>45748</v>
      </c>
      <c r="C122" s="285" t="s">
        <v>1626</v>
      </c>
      <c r="D122" s="279" t="s">
        <v>1677</v>
      </c>
      <c r="E122" s="285" t="s">
        <v>1678</v>
      </c>
      <c r="F122" s="285" t="s">
        <v>1677</v>
      </c>
      <c r="G122" s="280">
        <v>12000</v>
      </c>
      <c r="H122" s="285">
        <v>1</v>
      </c>
      <c r="J122" s="281">
        <v>1200</v>
      </c>
      <c r="K122" s="280">
        <v>13200</v>
      </c>
    </row>
    <row r="123" spans="1:11">
      <c r="A123" s="288">
        <v>122</v>
      </c>
      <c r="B123" s="278">
        <v>45748</v>
      </c>
      <c r="C123" s="285" t="s">
        <v>1626</v>
      </c>
      <c r="D123" s="279">
        <v>415072909</v>
      </c>
      <c r="E123" s="285" t="s">
        <v>2665</v>
      </c>
      <c r="F123" s="285">
        <v>415072909</v>
      </c>
      <c r="G123" s="280">
        <v>381818</v>
      </c>
      <c r="H123" s="285">
        <v>1</v>
      </c>
      <c r="J123" s="281">
        <v>38181.800000000003</v>
      </c>
      <c r="K123" s="280">
        <v>419999.8</v>
      </c>
    </row>
    <row r="124" spans="1:11">
      <c r="A124" s="288">
        <v>123</v>
      </c>
      <c r="B124" s="278">
        <v>45748</v>
      </c>
      <c r="C124" s="285" t="s">
        <v>1626</v>
      </c>
      <c r="D124" s="279" t="s">
        <v>1677</v>
      </c>
      <c r="E124" s="285" t="s">
        <v>1678</v>
      </c>
      <c r="F124" s="285" t="s">
        <v>1677</v>
      </c>
      <c r="G124" s="280">
        <v>12000</v>
      </c>
      <c r="H124" s="285">
        <v>1</v>
      </c>
      <c r="J124" s="281">
        <v>1200</v>
      </c>
      <c r="K124" s="280">
        <v>13200</v>
      </c>
    </row>
    <row r="125" spans="1:11">
      <c r="A125" s="288">
        <v>124</v>
      </c>
      <c r="B125" s="278">
        <v>45748</v>
      </c>
      <c r="C125" s="285" t="s">
        <v>1626</v>
      </c>
      <c r="E125" s="285" t="s">
        <v>1680</v>
      </c>
      <c r="G125" s="280">
        <v>27000</v>
      </c>
      <c r="H125" s="285">
        <v>1</v>
      </c>
      <c r="J125" s="281">
        <v>2700</v>
      </c>
      <c r="K125" s="280">
        <v>29700</v>
      </c>
    </row>
    <row r="126" spans="1:11">
      <c r="A126" s="288">
        <v>125</v>
      </c>
      <c r="B126" s="278">
        <v>45749</v>
      </c>
      <c r="C126" s="285" t="s">
        <v>1495</v>
      </c>
      <c r="E126" s="285" t="s">
        <v>1688</v>
      </c>
      <c r="G126" s="280">
        <v>850000</v>
      </c>
      <c r="H126" s="285">
        <v>1</v>
      </c>
      <c r="K126" s="280">
        <v>850000</v>
      </c>
    </row>
    <row r="127" spans="1:11">
      <c r="A127" s="288">
        <v>126</v>
      </c>
      <c r="B127" s="278">
        <v>45749</v>
      </c>
      <c r="C127" s="285" t="s">
        <v>1587</v>
      </c>
      <c r="D127" s="279" t="s">
        <v>1406</v>
      </c>
      <c r="E127" s="285" t="s">
        <v>1241</v>
      </c>
      <c r="F127" s="285" t="s">
        <v>1406</v>
      </c>
      <c r="G127" s="280">
        <v>1200000</v>
      </c>
      <c r="H127" s="285">
        <v>1</v>
      </c>
      <c r="K127" s="280">
        <v>1200000</v>
      </c>
    </row>
    <row r="128" spans="1:11">
      <c r="A128" s="288">
        <v>127</v>
      </c>
      <c r="B128" s="278">
        <v>45749</v>
      </c>
      <c r="C128" s="285" t="s">
        <v>1587</v>
      </c>
      <c r="E128" s="285" t="s">
        <v>1542</v>
      </c>
      <c r="G128" s="280">
        <v>350000</v>
      </c>
      <c r="H128" s="285">
        <v>1</v>
      </c>
      <c r="K128" s="280">
        <v>350000</v>
      </c>
    </row>
    <row r="129" spans="1:12">
      <c r="A129" s="288">
        <v>128</v>
      </c>
      <c r="B129" s="278">
        <v>45749</v>
      </c>
      <c r="C129" s="285" t="s">
        <v>1587</v>
      </c>
      <c r="E129" s="285" t="s">
        <v>1691</v>
      </c>
      <c r="G129" s="280">
        <v>50000</v>
      </c>
      <c r="H129" s="285">
        <v>1</v>
      </c>
      <c r="K129" s="280">
        <v>50000</v>
      </c>
    </row>
    <row r="130" spans="1:12">
      <c r="A130" s="288">
        <v>129</v>
      </c>
      <c r="B130" s="278">
        <v>45749</v>
      </c>
      <c r="C130" s="285" t="s">
        <v>1445</v>
      </c>
      <c r="D130" s="279" t="s">
        <v>1238</v>
      </c>
      <c r="E130" s="285" t="s">
        <v>1699</v>
      </c>
      <c r="F130" s="285" t="s">
        <v>1238</v>
      </c>
      <c r="G130" s="280">
        <v>1400000</v>
      </c>
      <c r="H130" s="285">
        <v>1</v>
      </c>
      <c r="K130" s="280">
        <v>1400000</v>
      </c>
    </row>
    <row r="131" spans="1:12">
      <c r="A131" s="288">
        <v>130</v>
      </c>
      <c r="B131" s="278">
        <v>45749</v>
      </c>
      <c r="C131" s="285" t="s">
        <v>1030</v>
      </c>
      <c r="D131" s="279" t="s">
        <v>1239</v>
      </c>
      <c r="E131" s="285" t="s">
        <v>1701</v>
      </c>
      <c r="F131" s="285" t="s">
        <v>1239</v>
      </c>
      <c r="G131" s="280">
        <v>1500000</v>
      </c>
      <c r="H131" s="285">
        <v>1</v>
      </c>
      <c r="K131" s="280">
        <v>1500000</v>
      </c>
    </row>
    <row r="132" spans="1:12">
      <c r="A132" s="288">
        <v>131</v>
      </c>
      <c r="B132" s="278">
        <v>45749</v>
      </c>
      <c r="C132" s="285" t="s">
        <v>1030</v>
      </c>
      <c r="E132" s="285" t="s">
        <v>1624</v>
      </c>
      <c r="G132" s="280">
        <v>30000</v>
      </c>
      <c r="H132" s="285">
        <v>1</v>
      </c>
      <c r="K132" s="280">
        <v>30000</v>
      </c>
    </row>
    <row r="133" spans="1:12">
      <c r="A133" s="288">
        <v>132</v>
      </c>
      <c r="B133" s="278">
        <v>45749</v>
      </c>
      <c r="C133" s="285" t="s">
        <v>1719</v>
      </c>
      <c r="E133" s="285" t="s">
        <v>1722</v>
      </c>
      <c r="G133" s="280">
        <v>250000</v>
      </c>
      <c r="H133" s="285">
        <v>1</v>
      </c>
      <c r="K133" s="280">
        <v>250000</v>
      </c>
    </row>
    <row r="134" spans="1:12">
      <c r="A134" s="288">
        <v>133</v>
      </c>
      <c r="B134" s="278">
        <v>45749</v>
      </c>
      <c r="C134" s="285" t="s">
        <v>1724</v>
      </c>
      <c r="E134" s="285" t="s">
        <v>1725</v>
      </c>
      <c r="G134" s="280">
        <v>2600000</v>
      </c>
      <c r="H134" s="285">
        <v>1</v>
      </c>
      <c r="K134" s="280">
        <v>2600000</v>
      </c>
    </row>
    <row r="135" spans="1:12">
      <c r="A135" s="288">
        <v>134</v>
      </c>
      <c r="B135" s="278">
        <v>45749</v>
      </c>
      <c r="C135" s="285" t="s">
        <v>1587</v>
      </c>
      <c r="E135" s="285" t="s">
        <v>1727</v>
      </c>
      <c r="G135" s="280">
        <v>600000</v>
      </c>
      <c r="H135" s="285">
        <v>1</v>
      </c>
      <c r="K135" s="280">
        <v>600000</v>
      </c>
    </row>
    <row r="136" spans="1:12">
      <c r="A136" s="288">
        <v>135</v>
      </c>
      <c r="B136" s="278">
        <v>45750</v>
      </c>
      <c r="C136" s="285" t="s">
        <v>1495</v>
      </c>
      <c r="E136" s="285" t="s">
        <v>1729</v>
      </c>
      <c r="G136" s="280">
        <v>1850000</v>
      </c>
      <c r="H136" s="285">
        <v>1</v>
      </c>
      <c r="K136" s="280">
        <v>1850000</v>
      </c>
    </row>
    <row r="137" spans="1:12">
      <c r="A137" s="288">
        <v>136</v>
      </c>
      <c r="B137" s="278">
        <v>45750</v>
      </c>
      <c r="C137" s="285" t="s">
        <v>1734</v>
      </c>
      <c r="E137" s="285" t="s">
        <v>1737</v>
      </c>
      <c r="G137" s="280">
        <v>1550000</v>
      </c>
      <c r="H137" s="285">
        <v>1</v>
      </c>
      <c r="J137" s="281">
        <v>155000</v>
      </c>
      <c r="K137" s="280">
        <v>1705000</v>
      </c>
    </row>
    <row r="138" spans="1:12">
      <c r="A138" s="288">
        <v>137</v>
      </c>
      <c r="B138" s="278">
        <v>45750</v>
      </c>
      <c r="C138" s="285" t="s">
        <v>1739</v>
      </c>
      <c r="E138" s="285" t="s">
        <v>1175</v>
      </c>
      <c r="G138" s="280">
        <v>650000</v>
      </c>
      <c r="H138" s="285">
        <v>1</v>
      </c>
      <c r="K138" s="280">
        <v>650000</v>
      </c>
    </row>
    <row r="139" spans="1:12">
      <c r="A139" s="288">
        <v>138</v>
      </c>
      <c r="B139" s="278">
        <v>45751</v>
      </c>
      <c r="C139" s="285" t="s">
        <v>1490</v>
      </c>
      <c r="L139" s="280">
        <v>-220000</v>
      </c>
    </row>
    <row r="140" spans="1:12">
      <c r="A140" s="288">
        <v>139</v>
      </c>
      <c r="B140" s="278">
        <v>45751</v>
      </c>
      <c r="C140" s="285" t="s">
        <v>1490</v>
      </c>
      <c r="E140" s="285" t="s">
        <v>1751</v>
      </c>
      <c r="L140" s="280">
        <v>-1600000</v>
      </c>
    </row>
    <row r="141" spans="1:12">
      <c r="A141" s="288">
        <v>140</v>
      </c>
      <c r="B141" s="278">
        <v>45750</v>
      </c>
      <c r="C141" s="285" t="s">
        <v>1490</v>
      </c>
      <c r="E141" s="285" t="s">
        <v>1752</v>
      </c>
      <c r="G141" s="280">
        <v>25000</v>
      </c>
      <c r="H141" s="285">
        <v>4</v>
      </c>
      <c r="I141" s="281">
        <v>13000</v>
      </c>
      <c r="K141" s="280">
        <v>100000</v>
      </c>
    </row>
    <row r="142" spans="1:12">
      <c r="A142" s="288">
        <v>141</v>
      </c>
      <c r="B142" s="278">
        <v>45751</v>
      </c>
      <c r="C142" s="285" t="s">
        <v>1490</v>
      </c>
      <c r="E142" s="285" t="s">
        <v>1755</v>
      </c>
      <c r="L142" s="280">
        <v>-100000</v>
      </c>
    </row>
    <row r="143" spans="1:12">
      <c r="A143" s="288">
        <v>142</v>
      </c>
      <c r="B143" s="278">
        <v>45751</v>
      </c>
      <c r="C143" s="285" t="s">
        <v>1490</v>
      </c>
      <c r="E143" s="285" t="s">
        <v>1756</v>
      </c>
      <c r="L143" s="280">
        <v>-300000</v>
      </c>
    </row>
    <row r="144" spans="1:12">
      <c r="A144" s="288">
        <v>143</v>
      </c>
      <c r="B144" s="278">
        <v>45751</v>
      </c>
      <c r="C144" s="285" t="s">
        <v>1490</v>
      </c>
      <c r="E144" s="285" t="s">
        <v>1757</v>
      </c>
      <c r="L144" s="280">
        <v>-200000</v>
      </c>
    </row>
    <row r="145" spans="1:12">
      <c r="A145" s="288">
        <v>144</v>
      </c>
      <c r="B145" s="278">
        <v>45757</v>
      </c>
      <c r="C145" s="285" t="s">
        <v>1908</v>
      </c>
      <c r="E145" s="285" t="s">
        <v>1906</v>
      </c>
      <c r="G145" s="280">
        <v>1550000</v>
      </c>
      <c r="H145" s="285">
        <v>1</v>
      </c>
      <c r="K145" s="280">
        <v>1550000</v>
      </c>
    </row>
    <row r="146" spans="1:12">
      <c r="A146" s="288">
        <v>145</v>
      </c>
      <c r="B146" s="278">
        <v>45751</v>
      </c>
      <c r="C146" s="285" t="s">
        <v>1515</v>
      </c>
      <c r="E146" s="285" t="s">
        <v>1762</v>
      </c>
      <c r="G146" s="280">
        <v>200000</v>
      </c>
      <c r="H146" s="285">
        <v>1</v>
      </c>
      <c r="K146" s="280">
        <v>200000</v>
      </c>
    </row>
    <row r="147" spans="1:12">
      <c r="A147" s="288">
        <v>146</v>
      </c>
      <c r="B147" s="278">
        <v>45751</v>
      </c>
      <c r="C147" s="285" t="s">
        <v>1790</v>
      </c>
      <c r="D147" s="279">
        <v>2800802</v>
      </c>
      <c r="E147" s="285" t="s">
        <v>1785</v>
      </c>
      <c r="F147" s="285">
        <v>2800802</v>
      </c>
      <c r="G147" s="280">
        <v>150000</v>
      </c>
      <c r="H147" s="285">
        <v>1</v>
      </c>
      <c r="I147" s="281">
        <v>85000</v>
      </c>
      <c r="K147" s="280">
        <v>150000</v>
      </c>
    </row>
    <row r="148" spans="1:12">
      <c r="A148" s="288">
        <v>147</v>
      </c>
      <c r="B148" s="278">
        <v>45751</v>
      </c>
      <c r="C148" s="285" t="s">
        <v>1790</v>
      </c>
      <c r="D148" s="279" t="s">
        <v>1783</v>
      </c>
      <c r="E148" s="285" t="s">
        <v>1784</v>
      </c>
      <c r="F148" s="285" t="s">
        <v>1783</v>
      </c>
      <c r="G148" s="280">
        <v>20000</v>
      </c>
      <c r="H148" s="285">
        <v>2</v>
      </c>
      <c r="I148" s="281">
        <v>9000</v>
      </c>
      <c r="K148" s="280">
        <v>40000</v>
      </c>
    </row>
    <row r="149" spans="1:12">
      <c r="A149" s="288">
        <v>148</v>
      </c>
      <c r="B149" s="278">
        <v>45751</v>
      </c>
      <c r="C149" s="285" t="s">
        <v>1790</v>
      </c>
      <c r="D149" s="279">
        <v>7252703114</v>
      </c>
      <c r="E149" s="285" t="s">
        <v>1770</v>
      </c>
      <c r="F149" s="285">
        <v>7252703114</v>
      </c>
      <c r="G149" s="280">
        <v>129000</v>
      </c>
      <c r="H149" s="285">
        <v>2</v>
      </c>
      <c r="I149" s="281">
        <v>70000</v>
      </c>
      <c r="K149" s="280">
        <v>258000</v>
      </c>
    </row>
    <row r="150" spans="1:12">
      <c r="A150" s="288">
        <v>149</v>
      </c>
      <c r="B150" s="278">
        <v>45751</v>
      </c>
      <c r="C150" s="285" t="s">
        <v>1790</v>
      </c>
      <c r="D150" s="279" t="s">
        <v>1772</v>
      </c>
      <c r="E150" s="285" t="s">
        <v>1773</v>
      </c>
      <c r="F150" s="285" t="s">
        <v>1772</v>
      </c>
      <c r="G150" s="280">
        <v>50000</v>
      </c>
      <c r="H150" s="285">
        <v>1</v>
      </c>
      <c r="K150" s="280">
        <v>50000</v>
      </c>
    </row>
    <row r="151" spans="1:12">
      <c r="A151" s="288">
        <v>150</v>
      </c>
      <c r="B151" s="278">
        <v>45751</v>
      </c>
      <c r="C151" s="285" t="s">
        <v>1790</v>
      </c>
      <c r="D151" s="279" t="s">
        <v>1309</v>
      </c>
      <c r="E151" s="285" t="s">
        <v>1310</v>
      </c>
      <c r="F151" s="285" t="s">
        <v>1309</v>
      </c>
      <c r="G151" s="280">
        <v>50000</v>
      </c>
      <c r="H151" s="285">
        <v>3</v>
      </c>
      <c r="K151" s="280">
        <v>150000</v>
      </c>
    </row>
    <row r="152" spans="1:12">
      <c r="A152" s="288">
        <v>151</v>
      </c>
      <c r="B152" s="278">
        <v>45752</v>
      </c>
      <c r="C152" s="285" t="s">
        <v>1587</v>
      </c>
      <c r="E152" s="285" t="s">
        <v>1814</v>
      </c>
      <c r="G152" s="280">
        <v>1550000</v>
      </c>
      <c r="H152" s="285">
        <v>1</v>
      </c>
      <c r="K152" s="280">
        <v>1550000</v>
      </c>
    </row>
    <row r="153" spans="1:12">
      <c r="A153" s="288">
        <v>152</v>
      </c>
      <c r="B153" s="278">
        <v>45752</v>
      </c>
      <c r="C153" s="285" t="s">
        <v>1629</v>
      </c>
      <c r="E153" s="285" t="s">
        <v>1816</v>
      </c>
      <c r="L153" s="280">
        <v>-4000000</v>
      </c>
    </row>
    <row r="154" spans="1:12">
      <c r="A154" s="288">
        <v>153</v>
      </c>
      <c r="B154" s="278">
        <v>45752</v>
      </c>
      <c r="C154" s="285" t="s">
        <v>1445</v>
      </c>
      <c r="D154" s="279" t="s">
        <v>1406</v>
      </c>
      <c r="E154" s="285" t="s">
        <v>1241</v>
      </c>
      <c r="F154" s="285" t="s">
        <v>1406</v>
      </c>
      <c r="G154" s="280">
        <v>1200000</v>
      </c>
      <c r="H154" s="285">
        <v>1</v>
      </c>
      <c r="K154" s="280">
        <v>1200000</v>
      </c>
    </row>
    <row r="155" spans="1:12">
      <c r="A155" s="288">
        <v>154</v>
      </c>
      <c r="B155" s="278">
        <v>45752</v>
      </c>
      <c r="C155" s="285" t="s">
        <v>1445</v>
      </c>
      <c r="E155" s="285" t="s">
        <v>1542</v>
      </c>
      <c r="G155" s="280">
        <v>350000</v>
      </c>
      <c r="H155" s="285">
        <v>1</v>
      </c>
      <c r="K155" s="280">
        <v>350000</v>
      </c>
    </row>
    <row r="156" spans="1:12">
      <c r="A156" s="288">
        <v>155</v>
      </c>
      <c r="B156" s="278">
        <v>45754</v>
      </c>
      <c r="C156" s="285" t="s">
        <v>1817</v>
      </c>
      <c r="E156" s="285" t="s">
        <v>1818</v>
      </c>
      <c r="G156" s="280">
        <v>650000</v>
      </c>
      <c r="H156" s="285">
        <v>1</v>
      </c>
      <c r="K156" s="280">
        <v>650000</v>
      </c>
    </row>
    <row r="157" spans="1:12">
      <c r="A157" s="288">
        <v>156</v>
      </c>
      <c r="B157" s="278">
        <v>45754</v>
      </c>
      <c r="C157" s="285" t="s">
        <v>1183</v>
      </c>
      <c r="D157" s="279" t="s">
        <v>1245</v>
      </c>
      <c r="E157" s="285" t="s">
        <v>1246</v>
      </c>
      <c r="F157" s="285" t="s">
        <v>1245</v>
      </c>
      <c r="G157" s="280">
        <v>549000</v>
      </c>
      <c r="H157" s="285">
        <v>1</v>
      </c>
      <c r="I157" s="281">
        <v>480000</v>
      </c>
      <c r="K157" s="280">
        <v>549000</v>
      </c>
    </row>
    <row r="158" spans="1:12">
      <c r="A158" s="288">
        <v>157</v>
      </c>
      <c r="B158" s="278">
        <v>45754</v>
      </c>
      <c r="C158" s="285" t="s">
        <v>1183</v>
      </c>
      <c r="D158" s="279">
        <v>50229</v>
      </c>
      <c r="E158" s="285" t="s">
        <v>1697</v>
      </c>
      <c r="F158" s="285">
        <v>50229</v>
      </c>
      <c r="G158" s="280">
        <v>75000</v>
      </c>
      <c r="H158" s="285">
        <v>1</v>
      </c>
      <c r="K158" s="280">
        <v>75000</v>
      </c>
    </row>
    <row r="159" spans="1:12">
      <c r="A159" s="288">
        <v>158</v>
      </c>
      <c r="B159" s="278">
        <v>45754</v>
      </c>
      <c r="C159" s="285" t="s">
        <v>1790</v>
      </c>
      <c r="D159" s="279">
        <v>415090409</v>
      </c>
      <c r="E159" s="285" t="s">
        <v>2665</v>
      </c>
      <c r="F159" s="285">
        <v>415090409</v>
      </c>
      <c r="G159" s="280">
        <v>510000</v>
      </c>
      <c r="H159" s="285">
        <v>1</v>
      </c>
      <c r="K159" s="280">
        <v>510000</v>
      </c>
    </row>
    <row r="160" spans="1:12">
      <c r="A160" s="288">
        <v>159</v>
      </c>
      <c r="B160" s="278">
        <v>45754</v>
      </c>
      <c r="C160" s="285" t="s">
        <v>1069</v>
      </c>
      <c r="D160" s="279" t="s">
        <v>1609</v>
      </c>
      <c r="E160" s="285" t="s">
        <v>1243</v>
      </c>
      <c r="F160" s="285" t="s">
        <v>1609</v>
      </c>
      <c r="G160" s="280">
        <v>1300000</v>
      </c>
      <c r="H160" s="285">
        <v>1</v>
      </c>
      <c r="K160" s="280">
        <v>1300000</v>
      </c>
    </row>
    <row r="161" spans="1:12">
      <c r="A161" s="288">
        <v>160</v>
      </c>
      <c r="B161" s="278">
        <v>45754</v>
      </c>
      <c r="C161" s="285" t="s">
        <v>1866</v>
      </c>
      <c r="E161" s="285" t="s">
        <v>1870</v>
      </c>
      <c r="F161" s="285" t="s">
        <v>1169</v>
      </c>
      <c r="G161" s="280">
        <v>600000</v>
      </c>
      <c r="H161" s="285">
        <v>1</v>
      </c>
      <c r="K161" s="280">
        <v>600000</v>
      </c>
    </row>
    <row r="162" spans="1:12">
      <c r="A162" s="288">
        <v>161</v>
      </c>
      <c r="B162" s="278">
        <v>45754</v>
      </c>
      <c r="C162" s="285" t="s">
        <v>1866</v>
      </c>
      <c r="D162" s="279" t="s">
        <v>1245</v>
      </c>
      <c r="E162" s="285" t="s">
        <v>1246</v>
      </c>
      <c r="F162" s="285" t="s">
        <v>1245</v>
      </c>
      <c r="G162" s="280">
        <v>549000</v>
      </c>
      <c r="H162" s="285">
        <v>1</v>
      </c>
      <c r="I162" s="281">
        <v>480000</v>
      </c>
      <c r="K162" s="280">
        <v>549000</v>
      </c>
    </row>
    <row r="163" spans="1:12">
      <c r="A163" s="288">
        <v>162</v>
      </c>
      <c r="B163" s="278">
        <v>45754</v>
      </c>
      <c r="C163" s="285" t="s">
        <v>1866</v>
      </c>
      <c r="D163" s="279" t="s">
        <v>1871</v>
      </c>
      <c r="E163" s="285" t="s">
        <v>1872</v>
      </c>
      <c r="F163" s="285" t="s">
        <v>1871</v>
      </c>
      <c r="G163" s="280">
        <v>50000</v>
      </c>
      <c r="H163" s="285">
        <v>1</v>
      </c>
      <c r="I163" s="281">
        <v>16000</v>
      </c>
      <c r="K163" s="280">
        <v>50000</v>
      </c>
    </row>
    <row r="164" spans="1:12">
      <c r="A164" s="288">
        <v>163</v>
      </c>
      <c r="B164" s="278">
        <v>45754</v>
      </c>
      <c r="C164" s="285" t="s">
        <v>1790</v>
      </c>
      <c r="D164" s="279" t="s">
        <v>1303</v>
      </c>
      <c r="E164" s="285" t="s">
        <v>1304</v>
      </c>
      <c r="F164" s="285" t="s">
        <v>1303</v>
      </c>
      <c r="G164" s="280">
        <v>130000</v>
      </c>
      <c r="H164" s="285">
        <v>1</v>
      </c>
      <c r="I164" s="281">
        <v>90000</v>
      </c>
      <c r="K164" s="280">
        <v>130000</v>
      </c>
    </row>
    <row r="165" spans="1:12">
      <c r="A165" s="288">
        <v>164</v>
      </c>
      <c r="B165" s="278">
        <v>45754</v>
      </c>
      <c r="C165" s="285" t="s">
        <v>1790</v>
      </c>
      <c r="D165" s="279">
        <v>415090409</v>
      </c>
      <c r="E165" s="285" t="s">
        <v>2665</v>
      </c>
      <c r="F165" s="285">
        <v>415090409</v>
      </c>
      <c r="G165" s="280">
        <v>510000</v>
      </c>
      <c r="H165" s="285">
        <v>1</v>
      </c>
      <c r="K165" s="280">
        <v>510000</v>
      </c>
    </row>
    <row r="166" spans="1:12">
      <c r="A166" s="288">
        <v>165</v>
      </c>
      <c r="B166" s="278">
        <v>45754</v>
      </c>
      <c r="C166" s="285" t="s">
        <v>1445</v>
      </c>
      <c r="D166" s="279" t="s">
        <v>1822</v>
      </c>
      <c r="E166" s="285" t="s">
        <v>1241</v>
      </c>
      <c r="F166" s="285" t="s">
        <v>1822</v>
      </c>
      <c r="G166" s="280">
        <v>1200000</v>
      </c>
      <c r="H166" s="285">
        <v>1</v>
      </c>
      <c r="K166" s="280">
        <v>1200000</v>
      </c>
    </row>
    <row r="167" spans="1:12">
      <c r="A167" s="288">
        <v>166</v>
      </c>
      <c r="B167" s="278">
        <v>45754</v>
      </c>
      <c r="C167" s="285" t="s">
        <v>1525</v>
      </c>
      <c r="E167" s="285" t="s">
        <v>1876</v>
      </c>
      <c r="L167" s="280">
        <v>-2000000</v>
      </c>
    </row>
    <row r="168" spans="1:12">
      <c r="A168" s="288">
        <v>167</v>
      </c>
      <c r="B168" s="278">
        <v>45755</v>
      </c>
      <c r="C168" s="285" t="s">
        <v>1495</v>
      </c>
      <c r="D168" s="279">
        <v>927156</v>
      </c>
      <c r="E168" s="285" t="s">
        <v>1878</v>
      </c>
      <c r="F168" s="285">
        <v>927156</v>
      </c>
      <c r="G168" s="280">
        <v>1500000</v>
      </c>
      <c r="H168" s="285">
        <v>1</v>
      </c>
      <c r="K168" s="280">
        <v>1500000</v>
      </c>
    </row>
    <row r="169" spans="1:12">
      <c r="A169" s="288">
        <v>168</v>
      </c>
      <c r="B169" s="278">
        <v>45755</v>
      </c>
      <c r="C169" s="285" t="s">
        <v>1495</v>
      </c>
      <c r="D169" s="279" t="s">
        <v>1879</v>
      </c>
      <c r="E169" s="285" t="s">
        <v>1624</v>
      </c>
      <c r="F169" s="285" t="s">
        <v>1879</v>
      </c>
      <c r="G169" s="280">
        <v>50000</v>
      </c>
      <c r="H169" s="285">
        <v>1</v>
      </c>
      <c r="I169" s="281">
        <v>33000</v>
      </c>
      <c r="K169" s="280">
        <v>50000</v>
      </c>
    </row>
    <row r="170" spans="1:12">
      <c r="A170" s="288">
        <v>169</v>
      </c>
      <c r="B170" s="278">
        <v>45755</v>
      </c>
      <c r="C170" s="285" t="s">
        <v>1881</v>
      </c>
      <c r="D170" s="279" t="s">
        <v>1238</v>
      </c>
      <c r="E170" s="285" t="s">
        <v>1699</v>
      </c>
      <c r="F170" s="285" t="s">
        <v>1238</v>
      </c>
      <c r="G170" s="280">
        <v>1400000</v>
      </c>
      <c r="H170" s="285">
        <v>1</v>
      </c>
      <c r="J170" s="281">
        <v>140000</v>
      </c>
      <c r="K170" s="280">
        <v>1540000</v>
      </c>
    </row>
    <row r="171" spans="1:12">
      <c r="A171" s="288">
        <v>170</v>
      </c>
      <c r="B171" s="278">
        <v>45755</v>
      </c>
      <c r="C171" s="285" t="s">
        <v>1030</v>
      </c>
      <c r="D171" s="279">
        <v>2800802</v>
      </c>
      <c r="E171" s="285" t="s">
        <v>1785</v>
      </c>
      <c r="F171" s="285">
        <v>2800802</v>
      </c>
      <c r="G171" s="280">
        <v>150000</v>
      </c>
      <c r="H171" s="285">
        <v>1</v>
      </c>
      <c r="I171" s="281">
        <v>85000</v>
      </c>
      <c r="K171" s="280">
        <v>150000</v>
      </c>
    </row>
    <row r="172" spans="1:12">
      <c r="A172" s="288">
        <v>171</v>
      </c>
      <c r="B172" s="278">
        <v>45755</v>
      </c>
      <c r="C172" s="285" t="s">
        <v>1885</v>
      </c>
      <c r="D172" s="279" t="s">
        <v>1839</v>
      </c>
      <c r="E172" s="285" t="s">
        <v>1837</v>
      </c>
      <c r="F172" s="285" t="s">
        <v>1839</v>
      </c>
      <c r="G172" s="280">
        <v>65000</v>
      </c>
      <c r="H172" s="285">
        <v>1</v>
      </c>
      <c r="I172" s="281">
        <v>45000</v>
      </c>
      <c r="K172" s="280">
        <v>65000</v>
      </c>
    </row>
    <row r="173" spans="1:12">
      <c r="A173" s="288">
        <v>172</v>
      </c>
      <c r="B173" s="278">
        <v>45755</v>
      </c>
      <c r="C173" s="285" t="s">
        <v>1885</v>
      </c>
      <c r="D173" s="279" t="s">
        <v>1836</v>
      </c>
      <c r="E173" s="285" t="s">
        <v>1837</v>
      </c>
      <c r="F173" s="285" t="s">
        <v>1836</v>
      </c>
      <c r="G173" s="280">
        <v>25000</v>
      </c>
      <c r="H173" s="285">
        <v>1</v>
      </c>
      <c r="I173" s="281">
        <v>11200</v>
      </c>
      <c r="K173" s="280">
        <v>25000</v>
      </c>
    </row>
    <row r="174" spans="1:12">
      <c r="A174" s="288">
        <v>173</v>
      </c>
      <c r="B174" s="278">
        <v>45755</v>
      </c>
      <c r="C174" s="285" t="s">
        <v>1629</v>
      </c>
      <c r="D174" s="279" t="s">
        <v>1245</v>
      </c>
      <c r="E174" s="285" t="s">
        <v>1246</v>
      </c>
      <c r="F174" s="285" t="s">
        <v>1245</v>
      </c>
      <c r="G174" s="280">
        <v>549000</v>
      </c>
      <c r="H174" s="285">
        <v>1</v>
      </c>
      <c r="I174" s="281">
        <v>480000</v>
      </c>
      <c r="K174" s="280">
        <v>549000</v>
      </c>
    </row>
    <row r="175" spans="1:12">
      <c r="A175" s="288">
        <v>174</v>
      </c>
      <c r="B175" s="278">
        <v>45755</v>
      </c>
      <c r="C175" s="285" t="s">
        <v>1888</v>
      </c>
      <c r="E175" s="285" t="s">
        <v>1813</v>
      </c>
      <c r="G175" s="280">
        <v>650000</v>
      </c>
      <c r="H175" s="285">
        <v>1</v>
      </c>
      <c r="J175" s="281">
        <v>65000</v>
      </c>
      <c r="K175" s="280">
        <v>715000</v>
      </c>
    </row>
    <row r="176" spans="1:12">
      <c r="A176" s="288">
        <v>175</v>
      </c>
      <c r="B176" s="278">
        <v>45756</v>
      </c>
      <c r="C176" s="285" t="s">
        <v>1790</v>
      </c>
      <c r="D176" s="279" t="s">
        <v>1303</v>
      </c>
      <c r="E176" s="285" t="s">
        <v>1304</v>
      </c>
      <c r="F176" s="285" t="s">
        <v>1303</v>
      </c>
      <c r="G176" s="280">
        <v>130000</v>
      </c>
      <c r="H176" s="285">
        <v>2</v>
      </c>
      <c r="I176" s="281">
        <v>90000</v>
      </c>
      <c r="K176" s="280">
        <v>260000</v>
      </c>
    </row>
    <row r="177" spans="1:11">
      <c r="A177" s="288">
        <v>176</v>
      </c>
      <c r="B177" s="278">
        <v>45756</v>
      </c>
      <c r="C177" s="285" t="s">
        <v>1790</v>
      </c>
      <c r="D177" s="279" t="s">
        <v>1901</v>
      </c>
      <c r="E177" s="285" t="s">
        <v>1902</v>
      </c>
      <c r="F177" s="285" t="s">
        <v>1901</v>
      </c>
      <c r="G177" s="280">
        <v>10000</v>
      </c>
      <c r="H177" s="285">
        <v>2</v>
      </c>
      <c r="I177" s="281">
        <v>8500</v>
      </c>
      <c r="K177" s="280">
        <v>20000</v>
      </c>
    </row>
    <row r="178" spans="1:11">
      <c r="A178" s="288">
        <v>177</v>
      </c>
      <c r="B178" s="278">
        <v>45756</v>
      </c>
      <c r="C178" s="285" t="s">
        <v>1790</v>
      </c>
      <c r="D178" s="279" t="s">
        <v>1871</v>
      </c>
      <c r="E178" s="285" t="s">
        <v>1872</v>
      </c>
      <c r="F178" s="285" t="s">
        <v>1871</v>
      </c>
      <c r="G178" s="280">
        <v>20000</v>
      </c>
      <c r="H178" s="285">
        <v>3</v>
      </c>
      <c r="I178" s="281">
        <v>16000</v>
      </c>
      <c r="K178" s="280">
        <v>60000</v>
      </c>
    </row>
    <row r="179" spans="1:11">
      <c r="A179" s="288">
        <v>178</v>
      </c>
      <c r="B179" s="278">
        <v>45757</v>
      </c>
      <c r="C179" s="285" t="s">
        <v>1587</v>
      </c>
      <c r="E179" s="285" t="s">
        <v>1814</v>
      </c>
      <c r="G179" s="280">
        <v>1550000</v>
      </c>
      <c r="H179" s="285">
        <v>1</v>
      </c>
      <c r="K179" s="280">
        <v>1550000</v>
      </c>
    </row>
    <row r="180" spans="1:11">
      <c r="A180" s="288">
        <v>179</v>
      </c>
      <c r="B180" s="278">
        <v>45757</v>
      </c>
      <c r="C180" s="285" t="s">
        <v>1504</v>
      </c>
      <c r="E180" s="285" t="s">
        <v>1814</v>
      </c>
      <c r="G180" s="280">
        <v>1550000</v>
      </c>
      <c r="H180" s="285">
        <v>1</v>
      </c>
      <c r="K180" s="280">
        <v>1550000</v>
      </c>
    </row>
    <row r="181" spans="1:11">
      <c r="A181" s="288">
        <v>180</v>
      </c>
      <c r="B181" s="278">
        <v>45757</v>
      </c>
      <c r="C181" s="285" t="s">
        <v>1881</v>
      </c>
      <c r="D181" s="279" t="s">
        <v>1245</v>
      </c>
      <c r="E181" s="285" t="s">
        <v>1246</v>
      </c>
      <c r="F181" s="285" t="s">
        <v>1245</v>
      </c>
      <c r="G181" s="280">
        <v>499091</v>
      </c>
      <c r="H181" s="285">
        <v>1</v>
      </c>
      <c r="I181" s="281">
        <v>480000</v>
      </c>
      <c r="J181" s="281">
        <v>49909.100000000006</v>
      </c>
      <c r="K181" s="280">
        <v>549000.1</v>
      </c>
    </row>
    <row r="182" spans="1:11">
      <c r="A182" s="288">
        <v>181</v>
      </c>
      <c r="B182" s="278">
        <v>45758</v>
      </c>
      <c r="C182" s="285" t="s">
        <v>1515</v>
      </c>
      <c r="E182" s="285" t="s">
        <v>1924</v>
      </c>
      <c r="G182" s="280">
        <v>150000</v>
      </c>
      <c r="H182" s="285">
        <v>1</v>
      </c>
      <c r="K182" s="280">
        <v>150000</v>
      </c>
    </row>
    <row r="183" spans="1:11">
      <c r="A183" s="288">
        <v>182</v>
      </c>
      <c r="B183" s="278">
        <v>45758</v>
      </c>
      <c r="C183" s="285" t="s">
        <v>1920</v>
      </c>
      <c r="E183" s="285" t="s">
        <v>1926</v>
      </c>
      <c r="G183" s="280">
        <v>150000</v>
      </c>
      <c r="H183" s="285">
        <v>1</v>
      </c>
      <c r="K183" s="280">
        <v>150000</v>
      </c>
    </row>
    <row r="184" spans="1:11">
      <c r="A184" s="288">
        <v>183</v>
      </c>
      <c r="B184" s="278">
        <v>45759</v>
      </c>
      <c r="C184" s="285" t="s">
        <v>1030</v>
      </c>
      <c r="D184" s="279" t="s">
        <v>1822</v>
      </c>
      <c r="E184" s="285" t="s">
        <v>1241</v>
      </c>
      <c r="F184" s="285" t="s">
        <v>1822</v>
      </c>
      <c r="G184" s="280">
        <v>1200000</v>
      </c>
      <c r="H184" s="285">
        <v>1</v>
      </c>
      <c r="K184" s="280">
        <v>1200000</v>
      </c>
    </row>
    <row r="185" spans="1:11">
      <c r="A185" s="288">
        <v>184</v>
      </c>
      <c r="B185" s="278">
        <v>45759</v>
      </c>
      <c r="C185" s="285" t="s">
        <v>1030</v>
      </c>
      <c r="E185" s="285" t="s">
        <v>1542</v>
      </c>
      <c r="G185" s="280">
        <v>350000</v>
      </c>
      <c r="H185" s="285">
        <v>1</v>
      </c>
      <c r="K185" s="280">
        <v>350000</v>
      </c>
    </row>
    <row r="186" spans="1:11">
      <c r="A186" s="288">
        <v>185</v>
      </c>
      <c r="B186" s="278">
        <v>45759</v>
      </c>
      <c r="C186" s="285" t="s">
        <v>1626</v>
      </c>
      <c r="D186" s="279" t="s">
        <v>1822</v>
      </c>
      <c r="E186" s="285" t="s">
        <v>1241</v>
      </c>
      <c r="F186" s="285" t="s">
        <v>1822</v>
      </c>
      <c r="G186" s="280">
        <v>1200000</v>
      </c>
      <c r="H186" s="285">
        <v>1</v>
      </c>
      <c r="K186" s="280">
        <v>1200000</v>
      </c>
    </row>
    <row r="187" spans="1:11">
      <c r="A187" s="288">
        <v>186</v>
      </c>
      <c r="B187" s="278">
        <v>45759</v>
      </c>
      <c r="C187" s="285" t="s">
        <v>1030</v>
      </c>
      <c r="D187" s="279" t="s">
        <v>1772</v>
      </c>
      <c r="E187" s="285" t="s">
        <v>1773</v>
      </c>
      <c r="F187" s="285" t="s">
        <v>1772</v>
      </c>
      <c r="G187" s="280">
        <v>50000</v>
      </c>
      <c r="H187" s="285">
        <v>1</v>
      </c>
      <c r="K187" s="280">
        <v>50000</v>
      </c>
    </row>
    <row r="188" spans="1:11">
      <c r="A188" s="288">
        <v>187</v>
      </c>
      <c r="B188" s="278">
        <v>45761</v>
      </c>
      <c r="C188" s="285" t="s">
        <v>1030</v>
      </c>
      <c r="D188" s="279">
        <v>2800802</v>
      </c>
      <c r="E188" s="285" t="s">
        <v>1785</v>
      </c>
      <c r="F188" s="285">
        <v>2800802</v>
      </c>
      <c r="G188" s="280">
        <v>150000</v>
      </c>
      <c r="H188" s="285">
        <v>1</v>
      </c>
      <c r="I188" s="281">
        <v>85000</v>
      </c>
      <c r="K188" s="280">
        <v>150000</v>
      </c>
    </row>
    <row r="189" spans="1:11">
      <c r="A189" s="288">
        <v>188</v>
      </c>
      <c r="B189" s="278">
        <v>45761</v>
      </c>
      <c r="C189" s="285" t="s">
        <v>1030</v>
      </c>
      <c r="D189" s="279" t="s">
        <v>1871</v>
      </c>
      <c r="E189" s="285" t="s">
        <v>1872</v>
      </c>
      <c r="F189" s="285" t="s">
        <v>1871</v>
      </c>
      <c r="G189" s="280">
        <v>30000</v>
      </c>
      <c r="H189" s="285">
        <v>1</v>
      </c>
      <c r="I189" s="281">
        <v>16000</v>
      </c>
      <c r="K189" s="280">
        <v>30000</v>
      </c>
    </row>
    <row r="190" spans="1:11">
      <c r="A190" s="288">
        <v>189</v>
      </c>
      <c r="B190" s="278">
        <v>45761</v>
      </c>
      <c r="C190" s="285" t="s">
        <v>1030</v>
      </c>
      <c r="D190" s="279" t="s">
        <v>1901</v>
      </c>
      <c r="E190" s="285" t="s">
        <v>1902</v>
      </c>
      <c r="F190" s="285" t="s">
        <v>1901</v>
      </c>
      <c r="G190" s="280">
        <v>10000</v>
      </c>
      <c r="H190" s="285">
        <v>1</v>
      </c>
      <c r="I190" s="281">
        <v>8500</v>
      </c>
      <c r="K190" s="280">
        <v>10000</v>
      </c>
    </row>
    <row r="191" spans="1:11">
      <c r="A191" s="288">
        <v>190</v>
      </c>
      <c r="B191" s="278">
        <v>45759</v>
      </c>
      <c r="C191" s="285" t="s">
        <v>1932</v>
      </c>
      <c r="D191" s="279" t="s">
        <v>1934</v>
      </c>
      <c r="E191" s="285" t="s">
        <v>1935</v>
      </c>
      <c r="F191" s="285" t="s">
        <v>1934</v>
      </c>
      <c r="G191" s="280">
        <v>210000</v>
      </c>
      <c r="H191" s="285">
        <v>1</v>
      </c>
      <c r="K191" s="280">
        <v>210000</v>
      </c>
    </row>
    <row r="192" spans="1:11">
      <c r="A192" s="288">
        <v>191</v>
      </c>
      <c r="B192" s="278">
        <v>45761</v>
      </c>
      <c r="C192" s="285" t="s">
        <v>1183</v>
      </c>
      <c r="D192" s="279">
        <v>2800801</v>
      </c>
      <c r="E192" s="285" t="s">
        <v>1940</v>
      </c>
      <c r="F192" s="285">
        <v>2800801</v>
      </c>
      <c r="G192" s="280">
        <v>150000</v>
      </c>
      <c r="H192" s="285">
        <v>1</v>
      </c>
      <c r="I192" s="281">
        <v>85000</v>
      </c>
      <c r="K192" s="280">
        <v>150000</v>
      </c>
    </row>
    <row r="193" spans="1:16">
      <c r="A193" s="288">
        <v>192</v>
      </c>
      <c r="B193" s="278">
        <v>45761</v>
      </c>
      <c r="C193" s="285" t="s">
        <v>1069</v>
      </c>
      <c r="D193" s="279" t="s">
        <v>1242</v>
      </c>
      <c r="E193" s="285" t="s">
        <v>1243</v>
      </c>
      <c r="F193" s="285" t="s">
        <v>1242</v>
      </c>
      <c r="G193" s="280">
        <v>1200000</v>
      </c>
      <c r="H193" s="285">
        <v>1</v>
      </c>
      <c r="K193" s="280">
        <v>1200000</v>
      </c>
    </row>
    <row r="194" spans="1:16">
      <c r="A194" s="288">
        <v>193</v>
      </c>
      <c r="B194" s="278">
        <v>45761</v>
      </c>
      <c r="C194" s="285" t="s">
        <v>1030</v>
      </c>
      <c r="D194" s="279">
        <v>415062109</v>
      </c>
      <c r="E194" s="285" t="s">
        <v>2665</v>
      </c>
      <c r="F194" s="285">
        <v>415062109</v>
      </c>
      <c r="G194" s="280">
        <v>680000</v>
      </c>
      <c r="H194" s="285">
        <v>1</v>
      </c>
      <c r="K194" s="280">
        <v>680000</v>
      </c>
    </row>
    <row r="195" spans="1:16">
      <c r="A195" s="288">
        <v>194</v>
      </c>
      <c r="B195" s="278">
        <v>45761</v>
      </c>
      <c r="C195" s="285" t="s">
        <v>1030</v>
      </c>
      <c r="D195" s="279">
        <v>50229</v>
      </c>
      <c r="E195" s="285" t="s">
        <v>1697</v>
      </c>
      <c r="F195" s="285">
        <v>50229</v>
      </c>
      <c r="G195" s="280">
        <v>75000</v>
      </c>
      <c r="H195" s="285">
        <v>1</v>
      </c>
      <c r="K195" s="280">
        <v>75000</v>
      </c>
    </row>
    <row r="196" spans="1:16">
      <c r="A196" s="288">
        <v>195</v>
      </c>
      <c r="B196" s="278">
        <v>45761</v>
      </c>
      <c r="C196" s="285" t="s">
        <v>1885</v>
      </c>
      <c r="D196" s="279">
        <v>2830402</v>
      </c>
      <c r="E196" s="285" t="s">
        <v>1944</v>
      </c>
      <c r="F196" s="285">
        <v>2830402</v>
      </c>
      <c r="G196" s="280">
        <v>1100000</v>
      </c>
      <c r="H196" s="285">
        <v>1</v>
      </c>
      <c r="K196" s="280">
        <v>1100000</v>
      </c>
    </row>
    <row r="197" spans="1:16">
      <c r="A197" s="288">
        <v>196</v>
      </c>
      <c r="B197" s="278">
        <v>45761</v>
      </c>
      <c r="C197" s="285" t="s">
        <v>1946</v>
      </c>
      <c r="E197" s="285" t="s">
        <v>1947</v>
      </c>
      <c r="G197" s="280">
        <v>3500000</v>
      </c>
      <c r="H197" s="285">
        <v>1</v>
      </c>
      <c r="K197" s="280">
        <v>3500000</v>
      </c>
    </row>
    <row r="198" spans="1:16">
      <c r="A198" s="288">
        <v>197</v>
      </c>
      <c r="B198" s="278">
        <v>45761</v>
      </c>
      <c r="C198" s="285" t="s">
        <v>1952</v>
      </c>
      <c r="E198" s="285" t="s">
        <v>1191</v>
      </c>
      <c r="G198" s="285">
        <v>1500000</v>
      </c>
      <c r="H198" s="280">
        <v>1</v>
      </c>
      <c r="K198" s="280">
        <v>1500000</v>
      </c>
      <c r="P198" s="206"/>
    </row>
    <row r="199" spans="1:16">
      <c r="A199" s="288">
        <v>198</v>
      </c>
      <c r="B199" s="278">
        <v>45761</v>
      </c>
      <c r="C199" s="285" t="s">
        <v>1952</v>
      </c>
      <c r="E199" s="285" t="s">
        <v>1954</v>
      </c>
      <c r="G199" s="285"/>
      <c r="H199" s="280"/>
      <c r="L199" s="280">
        <v>-1500000</v>
      </c>
      <c r="P199" s="206"/>
    </row>
    <row r="200" spans="1:16">
      <c r="A200" s="288">
        <v>199</v>
      </c>
      <c r="B200" s="278">
        <v>45761</v>
      </c>
      <c r="C200" s="285" t="s">
        <v>1955</v>
      </c>
      <c r="E200" s="285" t="s">
        <v>1191</v>
      </c>
      <c r="G200" s="285">
        <v>1500000</v>
      </c>
      <c r="H200" s="280">
        <v>1</v>
      </c>
      <c r="K200" s="280">
        <v>1500000</v>
      </c>
      <c r="P200" s="206"/>
    </row>
    <row r="201" spans="1:16">
      <c r="A201" s="288">
        <v>200</v>
      </c>
      <c r="B201" s="278">
        <v>45761</v>
      </c>
      <c r="C201" s="285" t="s">
        <v>1955</v>
      </c>
      <c r="E201" s="285" t="s">
        <v>1957</v>
      </c>
      <c r="G201" s="285"/>
      <c r="H201" s="280"/>
      <c r="L201" s="280">
        <v>-1500000</v>
      </c>
      <c r="P201" s="206"/>
    </row>
    <row r="202" spans="1:16">
      <c r="A202" s="288">
        <v>201</v>
      </c>
      <c r="B202" s="278">
        <v>45762</v>
      </c>
      <c r="C202" s="285" t="s">
        <v>1961</v>
      </c>
      <c r="E202" s="285" t="s">
        <v>1813</v>
      </c>
      <c r="G202" s="285">
        <v>650000</v>
      </c>
      <c r="H202" s="280">
        <v>1</v>
      </c>
      <c r="K202" s="280">
        <v>650000</v>
      </c>
      <c r="P202" s="206"/>
    </row>
    <row r="203" spans="1:16">
      <c r="A203" s="288">
        <v>202</v>
      </c>
      <c r="B203" s="278">
        <v>45762</v>
      </c>
      <c r="C203" s="285" t="s">
        <v>1790</v>
      </c>
      <c r="D203" s="279" t="s">
        <v>1958</v>
      </c>
      <c r="E203" s="285" t="s">
        <v>1959</v>
      </c>
      <c r="F203" s="285" t="s">
        <v>1958</v>
      </c>
      <c r="G203" s="280">
        <v>10000</v>
      </c>
      <c r="H203" s="280">
        <v>5</v>
      </c>
      <c r="I203" s="281">
        <v>0</v>
      </c>
      <c r="K203" s="280">
        <v>50000</v>
      </c>
      <c r="P203" s="206"/>
    </row>
    <row r="204" spans="1:16">
      <c r="A204" s="288">
        <v>203</v>
      </c>
      <c r="B204" s="278">
        <v>45762</v>
      </c>
      <c r="C204" s="285" t="s">
        <v>1734</v>
      </c>
      <c r="D204" s="279" t="s">
        <v>1239</v>
      </c>
      <c r="E204" s="285" t="s">
        <v>1701</v>
      </c>
      <c r="F204" s="285" t="s">
        <v>1239</v>
      </c>
      <c r="G204" s="285">
        <v>1500000</v>
      </c>
      <c r="H204" s="280">
        <v>1</v>
      </c>
      <c r="K204" s="280">
        <v>1500000</v>
      </c>
      <c r="P204" s="206"/>
    </row>
    <row r="205" spans="1:16">
      <c r="A205" s="288">
        <v>204</v>
      </c>
      <c r="B205" s="278">
        <v>45762</v>
      </c>
      <c r="C205" s="285" t="s">
        <v>1885</v>
      </c>
      <c r="D205" s="279" t="s">
        <v>1839</v>
      </c>
      <c r="E205" s="285" t="s">
        <v>1837</v>
      </c>
      <c r="F205" s="285" t="s">
        <v>1839</v>
      </c>
      <c r="G205" s="285">
        <v>65000</v>
      </c>
      <c r="H205" s="280">
        <v>1</v>
      </c>
      <c r="I205" s="281">
        <v>45000</v>
      </c>
      <c r="K205" s="280">
        <v>65000</v>
      </c>
      <c r="P205" s="206"/>
    </row>
    <row r="206" spans="1:16">
      <c r="A206" s="288">
        <v>205</v>
      </c>
      <c r="B206" s="278">
        <v>45762</v>
      </c>
      <c r="C206" s="285" t="s">
        <v>1885</v>
      </c>
      <c r="D206" s="279" t="s">
        <v>1836</v>
      </c>
      <c r="E206" s="285" t="s">
        <v>1837</v>
      </c>
      <c r="F206" s="285" t="s">
        <v>1836</v>
      </c>
      <c r="G206" s="285">
        <v>25000</v>
      </c>
      <c r="H206" s="280">
        <v>1</v>
      </c>
      <c r="I206" s="281">
        <v>11200</v>
      </c>
      <c r="K206" s="280">
        <v>25000</v>
      </c>
      <c r="P206" s="206"/>
    </row>
    <row r="207" spans="1:16">
      <c r="A207" s="288">
        <v>206</v>
      </c>
      <c r="B207" s="278">
        <v>45763</v>
      </c>
      <c r="C207" s="285" t="s">
        <v>1975</v>
      </c>
      <c r="E207" s="285" t="s">
        <v>1978</v>
      </c>
      <c r="G207" s="285">
        <v>250000</v>
      </c>
      <c r="H207" s="280">
        <v>1</v>
      </c>
      <c r="K207" s="280">
        <v>250000</v>
      </c>
      <c r="P207" s="206"/>
    </row>
    <row r="208" spans="1:16">
      <c r="A208" s="288">
        <v>207</v>
      </c>
      <c r="B208" s="278">
        <v>45763</v>
      </c>
      <c r="C208" s="285" t="s">
        <v>1979</v>
      </c>
      <c r="D208" s="279" t="s">
        <v>1822</v>
      </c>
      <c r="E208" s="285" t="s">
        <v>1241</v>
      </c>
      <c r="F208" s="285" t="s">
        <v>1822</v>
      </c>
      <c r="G208" s="285">
        <v>1200000</v>
      </c>
      <c r="H208" s="280">
        <v>1</v>
      </c>
      <c r="K208" s="280">
        <v>1200000</v>
      </c>
      <c r="P208" s="206"/>
    </row>
    <row r="209" spans="1:16">
      <c r="A209" s="288">
        <v>208</v>
      </c>
      <c r="B209" s="278">
        <v>45763</v>
      </c>
      <c r="C209" s="285" t="s">
        <v>986</v>
      </c>
      <c r="D209" s="279" t="s">
        <v>1822</v>
      </c>
      <c r="E209" s="285" t="s">
        <v>1241</v>
      </c>
      <c r="F209" s="285" t="s">
        <v>1822</v>
      </c>
      <c r="G209" s="285">
        <v>1300000</v>
      </c>
      <c r="H209" s="280">
        <v>1</v>
      </c>
      <c r="K209" s="280">
        <v>1300000</v>
      </c>
      <c r="P209" s="206"/>
    </row>
    <row r="210" spans="1:16">
      <c r="A210" s="288">
        <v>209</v>
      </c>
      <c r="B210" s="278">
        <v>45763</v>
      </c>
      <c r="C210" s="285" t="s">
        <v>986</v>
      </c>
      <c r="D210" s="279" t="s">
        <v>1822</v>
      </c>
      <c r="E210" s="285" t="s">
        <v>1241</v>
      </c>
      <c r="F210" s="285" t="s">
        <v>1822</v>
      </c>
      <c r="G210" s="285">
        <v>650000</v>
      </c>
      <c r="H210" s="280">
        <v>1</v>
      </c>
      <c r="K210" s="280">
        <v>650000</v>
      </c>
      <c r="P210" s="206"/>
    </row>
    <row r="211" spans="1:16">
      <c r="A211" s="288">
        <v>210</v>
      </c>
      <c r="B211" s="278">
        <v>45763</v>
      </c>
      <c r="C211" s="285" t="s">
        <v>1647</v>
      </c>
      <c r="D211" s="279" t="s">
        <v>1245</v>
      </c>
      <c r="E211" s="285" t="s">
        <v>1246</v>
      </c>
      <c r="F211" s="285" t="s">
        <v>1245</v>
      </c>
      <c r="G211" s="285">
        <v>499091</v>
      </c>
      <c r="H211" s="280">
        <v>1</v>
      </c>
      <c r="I211" s="281">
        <v>480000</v>
      </c>
      <c r="J211" s="281">
        <v>49909.100000000006</v>
      </c>
      <c r="K211" s="280">
        <v>549000.1</v>
      </c>
      <c r="P211" s="206"/>
    </row>
    <row r="212" spans="1:16">
      <c r="A212" s="288">
        <v>211</v>
      </c>
      <c r="B212" s="278">
        <v>45763</v>
      </c>
      <c r="C212" s="285" t="s">
        <v>1629</v>
      </c>
      <c r="D212" s="279" t="s">
        <v>1986</v>
      </c>
      <c r="E212" s="285" t="s">
        <v>1987</v>
      </c>
      <c r="F212" s="285" t="s">
        <v>1986</v>
      </c>
      <c r="G212" s="285">
        <v>20000</v>
      </c>
      <c r="H212" s="280">
        <v>1</v>
      </c>
      <c r="I212" s="281">
        <v>13000</v>
      </c>
      <c r="J212" s="281">
        <v>2000</v>
      </c>
      <c r="K212" s="280">
        <v>20000</v>
      </c>
      <c r="P212" s="206"/>
    </row>
    <row r="213" spans="1:16">
      <c r="A213" s="288">
        <v>212</v>
      </c>
      <c r="B213" s="278">
        <v>45764</v>
      </c>
      <c r="C213" s="285" t="s">
        <v>1445</v>
      </c>
      <c r="E213" s="285" t="s">
        <v>2001</v>
      </c>
      <c r="G213" s="285">
        <v>1000000</v>
      </c>
      <c r="H213" s="280">
        <v>1</v>
      </c>
      <c r="K213" s="280">
        <v>1000000</v>
      </c>
      <c r="P213" s="206"/>
    </row>
    <row r="214" spans="1:16">
      <c r="A214" s="288">
        <v>213</v>
      </c>
      <c r="B214" s="278">
        <v>45764</v>
      </c>
      <c r="C214" s="285" t="s">
        <v>1587</v>
      </c>
      <c r="E214" s="285" t="s">
        <v>2004</v>
      </c>
      <c r="G214" s="285">
        <v>2000000</v>
      </c>
      <c r="H214" s="280">
        <v>1</v>
      </c>
      <c r="K214" s="280">
        <v>2000000</v>
      </c>
      <c r="P214" s="206"/>
    </row>
    <row r="215" spans="1:16">
      <c r="A215" s="288">
        <v>214</v>
      </c>
      <c r="B215" s="278">
        <v>45764</v>
      </c>
      <c r="C215" s="285" t="s">
        <v>1488</v>
      </c>
      <c r="E215" s="285" t="s">
        <v>1176</v>
      </c>
      <c r="G215" s="285">
        <v>800000</v>
      </c>
      <c r="H215" s="280">
        <v>1</v>
      </c>
      <c r="K215" s="280">
        <v>800000</v>
      </c>
      <c r="P215" s="206"/>
    </row>
    <row r="216" spans="1:16">
      <c r="A216" s="288">
        <v>215</v>
      </c>
      <c r="B216" s="278">
        <v>45765</v>
      </c>
      <c r="C216" s="285" t="s">
        <v>1734</v>
      </c>
      <c r="D216" s="279" t="s">
        <v>1822</v>
      </c>
      <c r="E216" s="285" t="s">
        <v>1241</v>
      </c>
      <c r="F216" s="285" t="s">
        <v>1822</v>
      </c>
      <c r="G216" s="285">
        <v>1200000</v>
      </c>
      <c r="H216" s="280">
        <v>1</v>
      </c>
      <c r="J216" s="281">
        <v>120000</v>
      </c>
      <c r="K216" s="280">
        <v>1200000</v>
      </c>
      <c r="P216" s="206"/>
    </row>
    <row r="217" spans="1:16">
      <c r="A217" s="288">
        <v>216</v>
      </c>
      <c r="B217" s="278">
        <v>45765</v>
      </c>
      <c r="C217" s="285" t="s">
        <v>1734</v>
      </c>
      <c r="E217" s="285" t="s">
        <v>1542</v>
      </c>
      <c r="G217" s="285">
        <v>350000</v>
      </c>
      <c r="H217" s="280">
        <v>1</v>
      </c>
      <c r="J217" s="281">
        <v>35000</v>
      </c>
      <c r="K217" s="280">
        <v>350000</v>
      </c>
      <c r="P217" s="206"/>
    </row>
    <row r="218" spans="1:16">
      <c r="A218" s="288">
        <v>217</v>
      </c>
      <c r="B218" s="278">
        <v>45765</v>
      </c>
      <c r="C218" s="285" t="s">
        <v>1790</v>
      </c>
      <c r="E218" s="285" t="s">
        <v>2011</v>
      </c>
      <c r="G218" s="285">
        <v>1200000</v>
      </c>
      <c r="H218" s="280">
        <v>1</v>
      </c>
      <c r="K218" s="280">
        <v>1200000</v>
      </c>
      <c r="P218" s="206"/>
    </row>
    <row r="219" spans="1:16">
      <c r="A219" s="288">
        <v>218</v>
      </c>
      <c r="B219" s="278">
        <v>45765</v>
      </c>
      <c r="C219" s="285" t="s">
        <v>1790</v>
      </c>
      <c r="D219" s="279" t="s">
        <v>1309</v>
      </c>
      <c r="E219" s="285" t="s">
        <v>1310</v>
      </c>
      <c r="F219" s="285" t="s">
        <v>1309</v>
      </c>
      <c r="G219" s="285">
        <v>50000</v>
      </c>
      <c r="H219" s="280">
        <v>2</v>
      </c>
      <c r="K219" s="280">
        <v>100000</v>
      </c>
      <c r="P219" s="206"/>
    </row>
    <row r="220" spans="1:16">
      <c r="A220" s="288">
        <v>219</v>
      </c>
      <c r="B220" s="278">
        <v>45765</v>
      </c>
      <c r="C220" s="285" t="s">
        <v>1647</v>
      </c>
      <c r="D220" s="279" t="s">
        <v>2008</v>
      </c>
      <c r="E220" s="285" t="s">
        <v>1630</v>
      </c>
      <c r="F220" s="285" t="s">
        <v>2008</v>
      </c>
      <c r="G220" s="285">
        <v>1400000</v>
      </c>
      <c r="H220" s="280">
        <v>1</v>
      </c>
      <c r="K220" s="280">
        <v>1400000</v>
      </c>
      <c r="P220" s="206"/>
    </row>
    <row r="221" spans="1:16">
      <c r="A221" s="288">
        <v>220</v>
      </c>
      <c r="B221" s="278">
        <v>45768</v>
      </c>
      <c r="C221" s="285" t="s">
        <v>2016</v>
      </c>
      <c r="D221" s="279" t="s">
        <v>1871</v>
      </c>
      <c r="E221" s="285" t="s">
        <v>1872</v>
      </c>
      <c r="F221" s="285" t="s">
        <v>1871</v>
      </c>
      <c r="G221" s="285">
        <v>30000</v>
      </c>
      <c r="H221" s="280">
        <v>1</v>
      </c>
      <c r="I221" s="281">
        <v>16000</v>
      </c>
      <c r="K221" s="280">
        <v>30000</v>
      </c>
      <c r="P221" s="206"/>
    </row>
    <row r="222" spans="1:16">
      <c r="A222" s="288">
        <v>221</v>
      </c>
      <c r="B222" s="278">
        <v>45768</v>
      </c>
      <c r="C222" s="285" t="s">
        <v>2016</v>
      </c>
      <c r="D222" s="279" t="s">
        <v>1245</v>
      </c>
      <c r="E222" s="285" t="s">
        <v>1246</v>
      </c>
      <c r="F222" s="285" t="s">
        <v>1245</v>
      </c>
      <c r="G222" s="285">
        <v>600000</v>
      </c>
      <c r="H222" s="280">
        <v>1</v>
      </c>
      <c r="I222" s="281">
        <v>480000</v>
      </c>
      <c r="K222" s="280">
        <v>600000</v>
      </c>
      <c r="P222" s="206"/>
    </row>
    <row r="223" spans="1:16">
      <c r="A223" s="288">
        <v>222</v>
      </c>
      <c r="B223" s="278">
        <v>45768</v>
      </c>
      <c r="C223" s="285" t="s">
        <v>2016</v>
      </c>
      <c r="D223" s="279" t="s">
        <v>1986</v>
      </c>
      <c r="E223" s="285" t="s">
        <v>1987</v>
      </c>
      <c r="F223" s="285" t="s">
        <v>1986</v>
      </c>
      <c r="G223" s="285">
        <v>20000</v>
      </c>
      <c r="H223" s="280">
        <v>1</v>
      </c>
      <c r="I223" s="281">
        <v>13000</v>
      </c>
      <c r="K223" s="280">
        <v>20000</v>
      </c>
      <c r="P223" s="206"/>
    </row>
    <row r="224" spans="1:16">
      <c r="A224" s="288">
        <v>223</v>
      </c>
      <c r="B224" s="278">
        <v>45768</v>
      </c>
      <c r="C224" s="285" t="s">
        <v>2027</v>
      </c>
      <c r="D224" s="279" t="s">
        <v>2018</v>
      </c>
      <c r="E224" s="285" t="s">
        <v>2019</v>
      </c>
      <c r="F224" s="285" t="s">
        <v>2018</v>
      </c>
      <c r="G224" s="285">
        <v>1200000</v>
      </c>
      <c r="H224" s="280">
        <v>1</v>
      </c>
      <c r="K224" s="280">
        <v>1200000</v>
      </c>
      <c r="P224" s="206"/>
    </row>
    <row r="225" spans="1:16">
      <c r="A225" s="288">
        <v>224</v>
      </c>
      <c r="B225" s="278">
        <v>45768</v>
      </c>
      <c r="C225" s="285" t="s">
        <v>2027</v>
      </c>
      <c r="D225" s="279" t="s">
        <v>2021</v>
      </c>
      <c r="E225" s="285" t="s">
        <v>2020</v>
      </c>
      <c r="F225" s="285" t="s">
        <v>2021</v>
      </c>
      <c r="G225" s="285">
        <v>1000000</v>
      </c>
      <c r="H225" s="280">
        <v>1</v>
      </c>
      <c r="K225" s="280">
        <v>1000000</v>
      </c>
      <c r="P225" s="206"/>
    </row>
    <row r="226" spans="1:16">
      <c r="A226" s="288">
        <v>225</v>
      </c>
      <c r="B226" s="278">
        <v>45768</v>
      </c>
      <c r="C226" s="285" t="s">
        <v>1445</v>
      </c>
      <c r="E226" s="285" t="s">
        <v>1814</v>
      </c>
      <c r="G226" s="285">
        <v>1550000</v>
      </c>
      <c r="H226" s="280">
        <v>1</v>
      </c>
      <c r="K226" s="280">
        <v>1550000</v>
      </c>
      <c r="P226" s="206"/>
    </row>
    <row r="227" spans="1:16">
      <c r="A227" s="288">
        <v>226</v>
      </c>
      <c r="B227" s="278">
        <v>45768</v>
      </c>
      <c r="C227" s="285" t="s">
        <v>1445</v>
      </c>
      <c r="D227" s="279">
        <v>24152333903</v>
      </c>
      <c r="E227" s="285" t="s">
        <v>1595</v>
      </c>
      <c r="F227" s="285">
        <v>24152333903</v>
      </c>
      <c r="G227" s="285">
        <v>50000</v>
      </c>
      <c r="H227" s="280">
        <v>1</v>
      </c>
      <c r="K227" s="280">
        <v>50000</v>
      </c>
      <c r="P227" s="206"/>
    </row>
    <row r="228" spans="1:16">
      <c r="A228" s="288">
        <v>227</v>
      </c>
      <c r="B228" s="278">
        <v>45768</v>
      </c>
      <c r="C228" s="285" t="s">
        <v>1629</v>
      </c>
      <c r="D228" s="279" t="s">
        <v>1245</v>
      </c>
      <c r="E228" s="285" t="s">
        <v>1246</v>
      </c>
      <c r="F228" s="285" t="s">
        <v>1245</v>
      </c>
      <c r="G228" s="285">
        <v>499091</v>
      </c>
      <c r="H228" s="280">
        <v>1</v>
      </c>
      <c r="I228" s="281">
        <v>480000</v>
      </c>
      <c r="J228" s="281">
        <v>49909.100000000006</v>
      </c>
      <c r="K228" s="280">
        <v>549000.1</v>
      </c>
      <c r="P228" s="206"/>
    </row>
    <row r="229" spans="1:16">
      <c r="A229" s="288">
        <v>228</v>
      </c>
      <c r="B229" s="278">
        <v>45768</v>
      </c>
      <c r="C229" s="285" t="s">
        <v>1626</v>
      </c>
      <c r="D229" s="279">
        <v>415072909</v>
      </c>
      <c r="E229" s="285" t="s">
        <v>2665</v>
      </c>
      <c r="F229" s="285">
        <v>415072909</v>
      </c>
      <c r="G229" s="285">
        <v>380000</v>
      </c>
      <c r="H229" s="280">
        <v>1</v>
      </c>
      <c r="J229" s="281">
        <v>38000</v>
      </c>
      <c r="K229" s="280">
        <v>418000</v>
      </c>
      <c r="P229" s="206"/>
    </row>
    <row r="230" spans="1:16">
      <c r="A230" s="288">
        <v>229</v>
      </c>
      <c r="B230" s="278">
        <v>45768</v>
      </c>
      <c r="C230" s="285" t="s">
        <v>1626</v>
      </c>
      <c r="D230" s="279" t="s">
        <v>1239</v>
      </c>
      <c r="E230" s="285" t="s">
        <v>1701</v>
      </c>
      <c r="F230" s="285" t="s">
        <v>1239</v>
      </c>
      <c r="G230" s="285">
        <v>1500000</v>
      </c>
      <c r="H230" s="280">
        <v>1</v>
      </c>
      <c r="J230" s="281">
        <v>150000</v>
      </c>
      <c r="K230" s="280">
        <v>1650000</v>
      </c>
      <c r="P230" s="206"/>
    </row>
    <row r="231" spans="1:16">
      <c r="A231" s="288">
        <v>230</v>
      </c>
      <c r="B231" s="278">
        <v>45768</v>
      </c>
      <c r="C231" s="285" t="s">
        <v>1626</v>
      </c>
      <c r="D231" s="279" t="s">
        <v>1879</v>
      </c>
      <c r="E231" s="285" t="s">
        <v>1624</v>
      </c>
      <c r="F231" s="285" t="s">
        <v>1879</v>
      </c>
      <c r="G231" s="285">
        <v>50000</v>
      </c>
      <c r="H231" s="280">
        <v>1</v>
      </c>
      <c r="I231" s="281">
        <v>33000</v>
      </c>
      <c r="J231" s="281">
        <v>5000</v>
      </c>
      <c r="K231" s="280">
        <v>55000</v>
      </c>
      <c r="P231" s="206"/>
    </row>
    <row r="232" spans="1:16">
      <c r="A232" s="288">
        <v>231</v>
      </c>
      <c r="B232" s="278">
        <v>45768</v>
      </c>
      <c r="C232" s="285" t="s">
        <v>1790</v>
      </c>
      <c r="E232" s="285" t="s">
        <v>2038</v>
      </c>
      <c r="G232" s="285">
        <v>50000</v>
      </c>
      <c r="H232" s="280">
        <v>1</v>
      </c>
      <c r="K232" s="280">
        <v>50000</v>
      </c>
    </row>
    <row r="233" spans="1:16">
      <c r="A233" s="288">
        <v>232</v>
      </c>
      <c r="B233" s="278">
        <v>45769</v>
      </c>
      <c r="C233" s="285" t="s">
        <v>1495</v>
      </c>
      <c r="D233" s="279" t="s">
        <v>2041</v>
      </c>
      <c r="E233" s="285" t="s">
        <v>2042</v>
      </c>
      <c r="F233" s="285" t="s">
        <v>2041</v>
      </c>
      <c r="G233" s="285">
        <v>1800000</v>
      </c>
      <c r="H233" s="280">
        <v>1</v>
      </c>
      <c r="K233" s="280">
        <v>1800000</v>
      </c>
    </row>
    <row r="234" spans="1:16">
      <c r="A234" s="288">
        <v>233</v>
      </c>
      <c r="B234" s="278">
        <v>45769</v>
      </c>
      <c r="C234" s="285" t="s">
        <v>1495</v>
      </c>
      <c r="D234" s="279" t="s">
        <v>1879</v>
      </c>
      <c r="E234" s="285" t="s">
        <v>1624</v>
      </c>
      <c r="F234" s="285" t="s">
        <v>1879</v>
      </c>
      <c r="G234" s="285">
        <v>50000</v>
      </c>
      <c r="H234" s="280">
        <v>1</v>
      </c>
      <c r="I234" s="281">
        <v>33000</v>
      </c>
      <c r="K234" s="280">
        <v>50000</v>
      </c>
    </row>
    <row r="235" spans="1:16">
      <c r="A235" s="288">
        <v>234</v>
      </c>
      <c r="B235" s="278">
        <v>45770</v>
      </c>
      <c r="C235" s="285" t="s">
        <v>1647</v>
      </c>
      <c r="E235" s="285" t="s">
        <v>2044</v>
      </c>
      <c r="G235" s="285">
        <v>1600000</v>
      </c>
      <c r="H235" s="280">
        <v>1</v>
      </c>
      <c r="K235" s="280">
        <v>1600000</v>
      </c>
    </row>
    <row r="236" spans="1:16">
      <c r="A236" s="288">
        <v>235</v>
      </c>
      <c r="B236" s="278">
        <v>45770</v>
      </c>
      <c r="C236" s="285" t="s">
        <v>2046</v>
      </c>
      <c r="D236" s="279">
        <v>2830402</v>
      </c>
      <c r="E236" s="285" t="s">
        <v>1944</v>
      </c>
      <c r="F236" s="285">
        <v>2830402</v>
      </c>
      <c r="G236" s="285">
        <v>1200000</v>
      </c>
      <c r="H236" s="280">
        <v>1</v>
      </c>
      <c r="K236" s="280">
        <v>1200000</v>
      </c>
    </row>
    <row r="237" spans="1:16">
      <c r="A237" s="288">
        <v>236</v>
      </c>
      <c r="B237" s="278">
        <v>45770</v>
      </c>
      <c r="C237" s="285" t="s">
        <v>2046</v>
      </c>
      <c r="E237" s="285" t="s">
        <v>2050</v>
      </c>
      <c r="G237" s="285">
        <v>600000</v>
      </c>
      <c r="H237" s="280">
        <v>1</v>
      </c>
      <c r="K237" s="280">
        <v>600000</v>
      </c>
    </row>
    <row r="238" spans="1:16">
      <c r="A238" s="288">
        <v>237</v>
      </c>
      <c r="B238" s="278">
        <v>45770</v>
      </c>
      <c r="C238" s="285" t="s">
        <v>2046</v>
      </c>
      <c r="E238" s="285" t="s">
        <v>2051</v>
      </c>
      <c r="G238" s="285">
        <v>600000</v>
      </c>
      <c r="H238" s="280">
        <v>1</v>
      </c>
      <c r="K238" s="280">
        <v>600000</v>
      </c>
    </row>
    <row r="239" spans="1:16">
      <c r="A239" s="288">
        <v>238</v>
      </c>
      <c r="B239" s="278">
        <v>45770</v>
      </c>
      <c r="C239" s="285" t="s">
        <v>2046</v>
      </c>
      <c r="D239" s="279" t="s">
        <v>1245</v>
      </c>
      <c r="E239" s="285" t="s">
        <v>1246</v>
      </c>
      <c r="F239" s="285" t="s">
        <v>1245</v>
      </c>
      <c r="G239" s="285">
        <v>600000</v>
      </c>
      <c r="H239" s="280">
        <v>1</v>
      </c>
      <c r="I239" s="281">
        <v>480000</v>
      </c>
      <c r="K239" s="280">
        <v>600000</v>
      </c>
    </row>
    <row r="240" spans="1:16">
      <c r="A240" s="288">
        <v>239</v>
      </c>
      <c r="B240" s="278">
        <v>45770</v>
      </c>
      <c r="C240" s="285" t="s">
        <v>2046</v>
      </c>
      <c r="D240" s="279">
        <v>50229</v>
      </c>
      <c r="E240" s="285" t="s">
        <v>1697</v>
      </c>
      <c r="F240" s="285">
        <v>50229</v>
      </c>
      <c r="G240" s="285">
        <v>80000</v>
      </c>
      <c r="H240" s="280">
        <v>1</v>
      </c>
      <c r="K240" s="280">
        <v>80000</v>
      </c>
    </row>
    <row r="241" spans="1:12">
      <c r="A241" s="288">
        <v>240</v>
      </c>
      <c r="B241" s="278">
        <v>45770</v>
      </c>
      <c r="C241" s="285" t="s">
        <v>2046</v>
      </c>
      <c r="D241" s="279" t="s">
        <v>1871</v>
      </c>
      <c r="E241" s="285" t="s">
        <v>1872</v>
      </c>
      <c r="F241" s="285" t="s">
        <v>1871</v>
      </c>
      <c r="G241" s="285">
        <v>50000</v>
      </c>
      <c r="H241" s="280">
        <v>1</v>
      </c>
      <c r="I241" s="281">
        <v>16000</v>
      </c>
      <c r="K241" s="280">
        <v>50000</v>
      </c>
    </row>
    <row r="242" spans="1:12">
      <c r="A242" s="288">
        <v>241</v>
      </c>
      <c r="B242" s="278">
        <v>45771</v>
      </c>
      <c r="C242" s="285" t="s">
        <v>1600</v>
      </c>
      <c r="D242" s="279" t="s">
        <v>1772</v>
      </c>
      <c r="E242" s="285" t="s">
        <v>1773</v>
      </c>
      <c r="F242" s="285" t="s">
        <v>1772</v>
      </c>
      <c r="G242" s="280">
        <v>50000</v>
      </c>
      <c r="H242" s="285">
        <v>10</v>
      </c>
      <c r="J242" s="281">
        <v>50000</v>
      </c>
      <c r="K242" s="280">
        <v>550000</v>
      </c>
    </row>
    <row r="243" spans="1:12">
      <c r="A243" s="288">
        <v>242</v>
      </c>
      <c r="B243" s="278">
        <v>45771</v>
      </c>
      <c r="C243" s="285" t="s">
        <v>1490</v>
      </c>
      <c r="D243" s="279">
        <v>2800802</v>
      </c>
      <c r="E243" s="285" t="s">
        <v>1785</v>
      </c>
      <c r="F243" s="285">
        <v>2800802</v>
      </c>
      <c r="G243" s="280">
        <v>150000</v>
      </c>
      <c r="H243" s="285">
        <v>1</v>
      </c>
      <c r="I243" s="281">
        <v>85000</v>
      </c>
      <c r="K243" s="280">
        <v>150000</v>
      </c>
    </row>
    <row r="244" spans="1:12">
      <c r="A244" s="288">
        <v>243</v>
      </c>
      <c r="B244" s="278">
        <v>45771</v>
      </c>
      <c r="C244" s="285" t="s">
        <v>1490</v>
      </c>
      <c r="E244" s="285" t="s">
        <v>2058</v>
      </c>
      <c r="L244" s="280">
        <v>-300000</v>
      </c>
    </row>
    <row r="245" spans="1:12">
      <c r="A245" s="288">
        <v>244</v>
      </c>
      <c r="B245" s="278">
        <v>45771</v>
      </c>
      <c r="C245" s="285" t="s">
        <v>1490</v>
      </c>
      <c r="E245" s="285" t="s">
        <v>2059</v>
      </c>
      <c r="L245" s="280">
        <v>-200000</v>
      </c>
    </row>
    <row r="246" spans="1:12">
      <c r="A246" s="288">
        <v>245</v>
      </c>
      <c r="B246" s="278">
        <v>45772</v>
      </c>
      <c r="C246" s="285" t="s">
        <v>1437</v>
      </c>
      <c r="E246" s="285" t="s">
        <v>1581</v>
      </c>
      <c r="G246" s="280">
        <v>450000</v>
      </c>
      <c r="H246" s="285">
        <v>1</v>
      </c>
      <c r="K246" s="280">
        <v>450000</v>
      </c>
    </row>
    <row r="247" spans="1:12">
      <c r="A247" s="288">
        <v>246</v>
      </c>
      <c r="B247" s="278">
        <v>45772</v>
      </c>
      <c r="C247" s="285" t="s">
        <v>2063</v>
      </c>
      <c r="D247" s="279" t="s">
        <v>1236</v>
      </c>
      <c r="E247" s="285" t="s">
        <v>2064</v>
      </c>
      <c r="F247" s="285" t="s">
        <v>1236</v>
      </c>
      <c r="G247" s="280">
        <v>1000000</v>
      </c>
      <c r="H247" s="285">
        <v>1</v>
      </c>
      <c r="J247" s="281">
        <v>100000</v>
      </c>
      <c r="K247" s="280">
        <v>1100000</v>
      </c>
    </row>
    <row r="248" spans="1:12">
      <c r="A248" s="288">
        <v>247</v>
      </c>
      <c r="B248" s="278">
        <v>45772</v>
      </c>
      <c r="C248" s="285" t="s">
        <v>2066</v>
      </c>
      <c r="D248" s="279" t="s">
        <v>1901</v>
      </c>
      <c r="E248" s="285" t="s">
        <v>1902</v>
      </c>
      <c r="F248" s="285" t="s">
        <v>1901</v>
      </c>
      <c r="G248" s="280">
        <v>10000</v>
      </c>
      <c r="H248" s="285">
        <v>5</v>
      </c>
      <c r="I248" s="281">
        <v>8500</v>
      </c>
      <c r="K248" s="280">
        <v>50000</v>
      </c>
    </row>
    <row r="249" spans="1:12">
      <c r="A249" s="288">
        <v>248</v>
      </c>
      <c r="B249" s="278">
        <v>45772</v>
      </c>
      <c r="C249" s="285" t="s">
        <v>2066</v>
      </c>
      <c r="D249" s="279" t="s">
        <v>1303</v>
      </c>
      <c r="E249" s="285" t="s">
        <v>1304</v>
      </c>
      <c r="F249" s="285" t="s">
        <v>1303</v>
      </c>
      <c r="G249" s="280">
        <v>130000</v>
      </c>
      <c r="H249" s="285">
        <v>1</v>
      </c>
      <c r="I249" s="281">
        <v>90000</v>
      </c>
      <c r="K249" s="280">
        <v>130000</v>
      </c>
    </row>
    <row r="250" spans="1:12">
      <c r="A250" s="288">
        <v>249</v>
      </c>
      <c r="B250" s="278">
        <v>45772</v>
      </c>
      <c r="C250" s="285" t="s">
        <v>2066</v>
      </c>
      <c r="D250" s="279" t="s">
        <v>1245</v>
      </c>
      <c r="E250" s="285" t="s">
        <v>1246</v>
      </c>
      <c r="F250" s="285" t="s">
        <v>1245</v>
      </c>
      <c r="G250" s="280">
        <v>549000</v>
      </c>
      <c r="H250" s="285">
        <v>2</v>
      </c>
      <c r="I250" s="281">
        <v>480000</v>
      </c>
      <c r="K250" s="280">
        <v>1098000</v>
      </c>
    </row>
    <row r="251" spans="1:12">
      <c r="A251" s="288">
        <v>250</v>
      </c>
      <c r="B251" s="278">
        <v>45772</v>
      </c>
      <c r="C251" s="285" t="s">
        <v>2016</v>
      </c>
      <c r="E251" s="285" t="s">
        <v>1161</v>
      </c>
      <c r="L251" s="280">
        <v>-650000</v>
      </c>
    </row>
    <row r="252" spans="1:12">
      <c r="A252" s="288">
        <v>251</v>
      </c>
      <c r="B252" s="278">
        <v>45772</v>
      </c>
      <c r="C252" s="285" t="s">
        <v>1495</v>
      </c>
      <c r="E252" s="285" t="s">
        <v>1161</v>
      </c>
      <c r="L252" s="280">
        <v>-1850000</v>
      </c>
    </row>
    <row r="253" spans="1:12">
      <c r="A253" s="288">
        <v>252</v>
      </c>
      <c r="B253" s="278">
        <v>45772</v>
      </c>
      <c r="C253" s="285" t="s">
        <v>1866</v>
      </c>
      <c r="D253" s="279" t="s">
        <v>1245</v>
      </c>
      <c r="E253" s="285" t="s">
        <v>1246</v>
      </c>
      <c r="F253" s="285" t="s">
        <v>1245</v>
      </c>
      <c r="G253" s="280">
        <v>549000</v>
      </c>
      <c r="H253" s="285">
        <v>1</v>
      </c>
      <c r="I253" s="281">
        <v>480000</v>
      </c>
      <c r="K253" s="280">
        <v>549000</v>
      </c>
    </row>
    <row r="254" spans="1:12">
      <c r="A254" s="288">
        <v>253</v>
      </c>
      <c r="B254" s="278">
        <v>45772</v>
      </c>
      <c r="C254" s="285" t="s">
        <v>1490</v>
      </c>
      <c r="E254" s="285" t="s">
        <v>2071</v>
      </c>
      <c r="G254" s="280">
        <v>150000</v>
      </c>
      <c r="H254" s="285">
        <v>1</v>
      </c>
      <c r="K254" s="280">
        <v>150000</v>
      </c>
    </row>
    <row r="255" spans="1:12">
      <c r="A255" s="288">
        <v>254</v>
      </c>
      <c r="B255" s="278">
        <v>45772</v>
      </c>
      <c r="C255" s="285" t="s">
        <v>1885</v>
      </c>
      <c r="E255" s="285" t="s">
        <v>1542</v>
      </c>
      <c r="G255" s="280">
        <v>350000</v>
      </c>
      <c r="H255" s="285">
        <v>1</v>
      </c>
      <c r="K255" s="280">
        <v>350000</v>
      </c>
    </row>
    <row r="256" spans="1:12">
      <c r="A256" s="288">
        <v>255</v>
      </c>
      <c r="B256" s="278">
        <v>45775</v>
      </c>
      <c r="C256" s="285" t="s">
        <v>1348</v>
      </c>
      <c r="E256" s="285" t="s">
        <v>1161</v>
      </c>
      <c r="L256" s="280">
        <v>-450000</v>
      </c>
    </row>
    <row r="257" spans="1:12">
      <c r="A257" s="288">
        <v>256</v>
      </c>
      <c r="B257" s="278">
        <v>45773</v>
      </c>
      <c r="C257" s="285" t="s">
        <v>1391</v>
      </c>
      <c r="E257" s="277" t="s">
        <v>1733</v>
      </c>
      <c r="L257" s="280">
        <v>-1278000</v>
      </c>
    </row>
    <row r="258" spans="1:12">
      <c r="A258" s="288">
        <v>257</v>
      </c>
      <c r="B258" s="278">
        <v>45775</v>
      </c>
      <c r="C258" s="285" t="s">
        <v>1567</v>
      </c>
      <c r="E258" s="285" t="s">
        <v>1570</v>
      </c>
      <c r="G258" s="280">
        <v>450000</v>
      </c>
      <c r="H258" s="285">
        <v>1</v>
      </c>
      <c r="K258" s="280">
        <v>450000</v>
      </c>
    </row>
    <row r="259" spans="1:12">
      <c r="A259" s="288">
        <v>258</v>
      </c>
      <c r="B259" s="278">
        <v>45775</v>
      </c>
      <c r="C259" s="285" t="s">
        <v>1567</v>
      </c>
      <c r="E259" s="285" t="s">
        <v>1161</v>
      </c>
      <c r="L259" s="280">
        <v>-450000</v>
      </c>
    </row>
    <row r="260" spans="1:12">
      <c r="A260" s="288">
        <v>259</v>
      </c>
      <c r="B260" s="278">
        <v>45775</v>
      </c>
      <c r="C260" s="285" t="s">
        <v>1490</v>
      </c>
      <c r="E260" s="285" t="s">
        <v>1581</v>
      </c>
      <c r="G260" s="280">
        <v>500000</v>
      </c>
      <c r="H260" s="285">
        <v>1</v>
      </c>
      <c r="K260" s="280">
        <v>500000</v>
      </c>
    </row>
    <row r="261" spans="1:12">
      <c r="A261" s="288">
        <v>260</v>
      </c>
      <c r="B261" s="278">
        <v>45775</v>
      </c>
      <c r="C261" s="285" t="s">
        <v>1183</v>
      </c>
      <c r="D261" s="279">
        <v>2800802</v>
      </c>
      <c r="E261" s="285" t="s">
        <v>1785</v>
      </c>
      <c r="F261" s="285">
        <v>2800802</v>
      </c>
      <c r="G261" s="280">
        <v>150000</v>
      </c>
      <c r="H261" s="285">
        <v>1</v>
      </c>
      <c r="I261" s="281">
        <v>85000</v>
      </c>
      <c r="K261" s="280">
        <v>150000</v>
      </c>
    </row>
    <row r="262" spans="1:12">
      <c r="A262" s="288">
        <v>261</v>
      </c>
      <c r="B262" s="278">
        <v>45775</v>
      </c>
      <c r="C262" s="285" t="s">
        <v>1069</v>
      </c>
      <c r="D262" s="279" t="s">
        <v>2078</v>
      </c>
      <c r="E262" s="285" t="s">
        <v>1243</v>
      </c>
      <c r="F262" s="285" t="s">
        <v>2078</v>
      </c>
      <c r="G262" s="280">
        <v>1700000</v>
      </c>
      <c r="H262" s="285">
        <v>1</v>
      </c>
      <c r="K262" s="280">
        <v>1700000</v>
      </c>
    </row>
    <row r="263" spans="1:12">
      <c r="A263" s="288">
        <v>262</v>
      </c>
      <c r="B263" s="278">
        <v>45775</v>
      </c>
      <c r="C263" s="285" t="s">
        <v>1069</v>
      </c>
      <c r="E263" s="285" t="s">
        <v>1161</v>
      </c>
      <c r="L263" s="280">
        <v>-1700000</v>
      </c>
    </row>
    <row r="264" spans="1:12">
      <c r="A264" s="288">
        <v>263</v>
      </c>
      <c r="B264" s="278">
        <v>45775</v>
      </c>
      <c r="C264" s="285" t="s">
        <v>1578</v>
      </c>
      <c r="E264" s="285" t="s">
        <v>1813</v>
      </c>
      <c r="G264" s="280">
        <v>650000</v>
      </c>
      <c r="H264" s="285">
        <v>1</v>
      </c>
      <c r="K264" s="280">
        <v>650000</v>
      </c>
    </row>
    <row r="265" spans="1:12">
      <c r="A265" s="288">
        <v>264</v>
      </c>
      <c r="B265" s="278">
        <v>45775</v>
      </c>
      <c r="C265" s="285" t="s">
        <v>1490</v>
      </c>
      <c r="E265" s="285" t="s">
        <v>2084</v>
      </c>
      <c r="L265" s="280">
        <v>-300000</v>
      </c>
    </row>
    <row r="266" spans="1:12">
      <c r="A266" s="288">
        <v>265</v>
      </c>
      <c r="B266" s="278">
        <v>45776</v>
      </c>
      <c r="C266" s="285" t="s">
        <v>2101</v>
      </c>
      <c r="D266" s="279" t="s">
        <v>1871</v>
      </c>
      <c r="E266" s="285" t="s">
        <v>1872</v>
      </c>
      <c r="F266" s="285" t="s">
        <v>1871</v>
      </c>
      <c r="G266" s="280">
        <v>30000</v>
      </c>
      <c r="H266" s="285">
        <v>1</v>
      </c>
      <c r="I266" s="281">
        <v>16000</v>
      </c>
      <c r="K266" s="280">
        <v>30000</v>
      </c>
    </row>
    <row r="267" spans="1:12">
      <c r="A267" s="288">
        <v>266</v>
      </c>
      <c r="B267" s="278">
        <v>45776</v>
      </c>
      <c r="C267" s="285" t="s">
        <v>2101</v>
      </c>
      <c r="D267" s="279" t="s">
        <v>1901</v>
      </c>
      <c r="E267" s="285" t="s">
        <v>1902</v>
      </c>
      <c r="F267" s="285" t="s">
        <v>1901</v>
      </c>
      <c r="G267" s="280">
        <v>10000</v>
      </c>
      <c r="H267" s="285">
        <v>1</v>
      </c>
      <c r="I267" s="281">
        <v>8500</v>
      </c>
      <c r="K267" s="280">
        <v>10000</v>
      </c>
    </row>
    <row r="268" spans="1:12">
      <c r="A268" s="288">
        <v>267</v>
      </c>
      <c r="B268" s="278">
        <v>45776</v>
      </c>
      <c r="C268" s="285" t="s">
        <v>2101</v>
      </c>
      <c r="D268" s="279" t="s">
        <v>2098</v>
      </c>
      <c r="E268" s="285" t="s">
        <v>2099</v>
      </c>
      <c r="F268" s="285" t="s">
        <v>2098</v>
      </c>
      <c r="G268" s="280">
        <v>10000</v>
      </c>
      <c r="H268" s="285">
        <v>1</v>
      </c>
      <c r="I268" s="281">
        <v>5500</v>
      </c>
      <c r="K268" s="280">
        <v>10000</v>
      </c>
    </row>
    <row r="269" spans="1:12">
      <c r="A269" s="288">
        <v>268</v>
      </c>
      <c r="B269" s="278">
        <v>45776</v>
      </c>
      <c r="C269" s="285" t="s">
        <v>2101</v>
      </c>
      <c r="D269" s="279" t="s">
        <v>1245</v>
      </c>
      <c r="E269" s="285" t="s">
        <v>1246</v>
      </c>
      <c r="F269" s="285" t="s">
        <v>1245</v>
      </c>
      <c r="G269" s="280">
        <v>549000</v>
      </c>
      <c r="H269" s="285">
        <v>1</v>
      </c>
      <c r="I269" s="281">
        <v>480000</v>
      </c>
      <c r="K269" s="280">
        <v>549000</v>
      </c>
    </row>
    <row r="270" spans="1:12">
      <c r="A270" s="288">
        <v>269</v>
      </c>
      <c r="B270" s="278">
        <v>45776</v>
      </c>
      <c r="C270" s="285" t="s">
        <v>2101</v>
      </c>
      <c r="E270" s="285" t="s">
        <v>2100</v>
      </c>
      <c r="G270" s="280">
        <v>600000</v>
      </c>
      <c r="H270" s="285">
        <v>1</v>
      </c>
      <c r="K270" s="280">
        <v>600000</v>
      </c>
    </row>
    <row r="271" spans="1:12">
      <c r="A271" s="288">
        <v>270</v>
      </c>
      <c r="B271" s="278">
        <v>45776</v>
      </c>
      <c r="C271" s="285" t="s">
        <v>2101</v>
      </c>
      <c r="D271" s="279">
        <v>50229</v>
      </c>
      <c r="E271" s="285" t="s">
        <v>1697</v>
      </c>
      <c r="F271" s="285">
        <v>50229</v>
      </c>
      <c r="G271" s="280">
        <v>75000</v>
      </c>
      <c r="H271" s="285">
        <v>1</v>
      </c>
      <c r="K271" s="280">
        <v>75000</v>
      </c>
    </row>
    <row r="272" spans="1:12">
      <c r="A272" s="288">
        <v>271</v>
      </c>
      <c r="B272" s="278">
        <v>45776</v>
      </c>
      <c r="C272" s="285" t="s">
        <v>2101</v>
      </c>
      <c r="D272" s="279" t="s">
        <v>1986</v>
      </c>
      <c r="E272" s="285" t="s">
        <v>1987</v>
      </c>
      <c r="F272" s="285" t="s">
        <v>1986</v>
      </c>
      <c r="G272" s="280">
        <v>20000</v>
      </c>
      <c r="H272" s="285">
        <v>1</v>
      </c>
      <c r="I272" s="281">
        <v>13000</v>
      </c>
      <c r="K272" s="280">
        <v>20000</v>
      </c>
    </row>
    <row r="273" spans="1:12">
      <c r="A273" s="288">
        <v>272</v>
      </c>
      <c r="B273" s="278">
        <v>45776</v>
      </c>
      <c r="C273" s="285" t="s">
        <v>1885</v>
      </c>
      <c r="E273" s="285" t="s">
        <v>1161</v>
      </c>
      <c r="L273" s="280">
        <v>-350000</v>
      </c>
    </row>
    <row r="274" spans="1:12">
      <c r="A274" s="288">
        <v>273</v>
      </c>
      <c r="B274" s="278">
        <v>45776</v>
      </c>
      <c r="C274" s="285" t="s">
        <v>1790</v>
      </c>
      <c r="D274" s="279" t="s">
        <v>1822</v>
      </c>
      <c r="E274" s="285" t="s">
        <v>1241</v>
      </c>
      <c r="F274" s="285" t="s">
        <v>1822</v>
      </c>
      <c r="G274" s="280">
        <v>1200000</v>
      </c>
      <c r="H274" s="285">
        <v>1</v>
      </c>
      <c r="K274" s="280">
        <v>1200000</v>
      </c>
    </row>
    <row r="275" spans="1:12">
      <c r="A275" s="288">
        <v>274</v>
      </c>
      <c r="B275" s="278">
        <v>45776</v>
      </c>
      <c r="C275" s="285" t="s">
        <v>1790</v>
      </c>
      <c r="E275" s="285" t="s">
        <v>1542</v>
      </c>
      <c r="G275" s="280">
        <v>350000</v>
      </c>
      <c r="H275" s="285">
        <v>1</v>
      </c>
      <c r="K275" s="280">
        <v>350000</v>
      </c>
    </row>
    <row r="276" spans="1:12">
      <c r="A276" s="288">
        <v>275</v>
      </c>
      <c r="B276" s="278">
        <v>45776</v>
      </c>
      <c r="C276" s="285" t="s">
        <v>2110</v>
      </c>
      <c r="D276" s="279" t="s">
        <v>2108</v>
      </c>
      <c r="E276" s="285" t="s">
        <v>2109</v>
      </c>
      <c r="F276" s="285" t="s">
        <v>2108</v>
      </c>
      <c r="G276" s="280">
        <v>550000</v>
      </c>
      <c r="H276" s="285">
        <v>1</v>
      </c>
      <c r="K276" s="280">
        <v>550000</v>
      </c>
    </row>
    <row r="277" spans="1:12">
      <c r="A277" s="288">
        <v>276</v>
      </c>
      <c r="B277" s="278">
        <v>45776</v>
      </c>
      <c r="C277" s="285" t="s">
        <v>2066</v>
      </c>
      <c r="D277" s="279" t="s">
        <v>1238</v>
      </c>
      <c r="E277" s="285" t="s">
        <v>1699</v>
      </c>
      <c r="F277" s="285" t="s">
        <v>1238</v>
      </c>
      <c r="G277" s="280">
        <v>1000000</v>
      </c>
      <c r="H277" s="285">
        <v>1</v>
      </c>
      <c r="K277" s="280">
        <v>1000000</v>
      </c>
    </row>
    <row r="278" spans="1:12">
      <c r="A278" s="288">
        <v>277</v>
      </c>
      <c r="B278" s="278">
        <v>45776</v>
      </c>
      <c r="C278" s="285" t="s">
        <v>1817</v>
      </c>
      <c r="D278" s="279" t="s">
        <v>1258</v>
      </c>
      <c r="E278" s="285" t="s">
        <v>2113</v>
      </c>
      <c r="F278" s="285" t="s">
        <v>1258</v>
      </c>
      <c r="G278" s="280">
        <v>1200000</v>
      </c>
      <c r="H278" s="61">
        <v>1</v>
      </c>
      <c r="J278" s="281">
        <v>120000</v>
      </c>
      <c r="K278" s="280">
        <v>1320000</v>
      </c>
    </row>
    <row r="279" spans="1:12">
      <c r="A279" s="288">
        <v>278</v>
      </c>
      <c r="B279" s="278">
        <v>45776</v>
      </c>
      <c r="C279" s="285" t="s">
        <v>2066</v>
      </c>
      <c r="D279" s="279" t="s">
        <v>1309</v>
      </c>
      <c r="E279" s="285" t="s">
        <v>1310</v>
      </c>
      <c r="F279" s="285" t="s">
        <v>1309</v>
      </c>
      <c r="G279" s="280">
        <v>50000</v>
      </c>
      <c r="H279" s="285">
        <v>10</v>
      </c>
      <c r="K279" s="280">
        <v>500000</v>
      </c>
    </row>
    <row r="280" spans="1:12">
      <c r="A280" s="288">
        <v>279</v>
      </c>
      <c r="B280" s="278">
        <v>45776</v>
      </c>
      <c r="C280" s="285" t="s">
        <v>2066</v>
      </c>
      <c r="D280" s="279" t="s">
        <v>1772</v>
      </c>
      <c r="E280" s="285" t="s">
        <v>1773</v>
      </c>
      <c r="F280" s="285" t="s">
        <v>1772</v>
      </c>
      <c r="G280" s="280">
        <v>50000</v>
      </c>
      <c r="H280" s="285">
        <v>5</v>
      </c>
      <c r="K280" s="280">
        <v>250000</v>
      </c>
    </row>
    <row r="281" spans="1:12">
      <c r="A281" s="288">
        <v>280</v>
      </c>
      <c r="B281" s="278">
        <v>45776</v>
      </c>
      <c r="C281" s="285" t="s">
        <v>2066</v>
      </c>
      <c r="E281" s="285" t="s">
        <v>2115</v>
      </c>
      <c r="G281" s="280">
        <v>84000</v>
      </c>
      <c r="H281" s="285">
        <v>5</v>
      </c>
      <c r="K281" s="280">
        <v>420000</v>
      </c>
    </row>
    <row r="282" spans="1:12">
      <c r="A282" s="288">
        <v>281</v>
      </c>
      <c r="B282" s="278">
        <v>45776</v>
      </c>
      <c r="C282" s="285" t="s">
        <v>2066</v>
      </c>
      <c r="D282" s="279" t="s">
        <v>1871</v>
      </c>
      <c r="E282" s="285" t="s">
        <v>1872</v>
      </c>
      <c r="F282" s="285" t="s">
        <v>1871</v>
      </c>
      <c r="G282" s="280">
        <v>35000</v>
      </c>
      <c r="H282" s="285">
        <v>5</v>
      </c>
      <c r="I282" s="281">
        <v>16000</v>
      </c>
      <c r="K282" s="280">
        <v>175000</v>
      </c>
    </row>
    <row r="283" spans="1:12">
      <c r="A283" s="288">
        <v>282</v>
      </c>
      <c r="B283" s="278">
        <v>45777</v>
      </c>
      <c r="C283" s="285" t="s">
        <v>1019</v>
      </c>
      <c r="D283" s="279">
        <v>24152333903</v>
      </c>
      <c r="E283" s="285" t="s">
        <v>1595</v>
      </c>
      <c r="F283" s="285">
        <v>24152333903</v>
      </c>
      <c r="G283" s="280">
        <v>50000</v>
      </c>
      <c r="H283" s="285">
        <v>2</v>
      </c>
      <c r="K283" s="280">
        <v>100000</v>
      </c>
    </row>
    <row r="284" spans="1:12">
      <c r="A284" s="288">
        <v>283</v>
      </c>
      <c r="B284" s="278">
        <v>45777</v>
      </c>
      <c r="C284" s="285" t="s">
        <v>1490</v>
      </c>
      <c r="E284" s="285" t="s">
        <v>2118</v>
      </c>
      <c r="G284" s="280">
        <v>1000000</v>
      </c>
      <c r="H284" s="285">
        <v>1</v>
      </c>
      <c r="K284" s="280">
        <v>1000000</v>
      </c>
    </row>
    <row r="285" spans="1:12">
      <c r="A285" s="288">
        <v>284</v>
      </c>
      <c r="B285" s="278">
        <v>45777</v>
      </c>
      <c r="C285" s="285" t="s">
        <v>2120</v>
      </c>
      <c r="E285" s="285" t="s">
        <v>2123</v>
      </c>
      <c r="G285" s="280">
        <v>1200000</v>
      </c>
      <c r="H285" s="285">
        <v>1</v>
      </c>
      <c r="K285" s="280">
        <v>1200000</v>
      </c>
    </row>
    <row r="286" spans="1:12">
      <c r="A286" s="288">
        <v>285</v>
      </c>
      <c r="B286" s="278">
        <v>45777</v>
      </c>
      <c r="C286" s="285" t="s">
        <v>2125</v>
      </c>
      <c r="D286" s="279" t="s">
        <v>1239</v>
      </c>
      <c r="E286" s="285" t="s">
        <v>1701</v>
      </c>
      <c r="F286" s="285" t="s">
        <v>1239</v>
      </c>
      <c r="G286" s="280">
        <v>1500000</v>
      </c>
      <c r="H286" s="285">
        <v>1</v>
      </c>
      <c r="K286" s="280">
        <v>1500000</v>
      </c>
    </row>
    <row r="287" spans="1:12">
      <c r="A287" s="288">
        <v>286</v>
      </c>
      <c r="B287" s="278">
        <v>45777</v>
      </c>
      <c r="C287" s="285" t="s">
        <v>2125</v>
      </c>
      <c r="D287" s="279" t="s">
        <v>1879</v>
      </c>
      <c r="E287" s="285" t="s">
        <v>1624</v>
      </c>
      <c r="F287" s="285" t="s">
        <v>1879</v>
      </c>
      <c r="G287" s="280">
        <v>50000</v>
      </c>
      <c r="H287" s="285">
        <v>1</v>
      </c>
      <c r="I287" s="281">
        <v>33000</v>
      </c>
      <c r="K287" s="280">
        <v>50000</v>
      </c>
    </row>
    <row r="288" spans="1:12">
      <c r="A288" s="288">
        <v>287</v>
      </c>
      <c r="B288" s="278">
        <v>45777</v>
      </c>
      <c r="C288" s="285" t="s">
        <v>2125</v>
      </c>
      <c r="D288" s="279" t="s">
        <v>1788</v>
      </c>
      <c r="E288" s="285" t="s">
        <v>1789</v>
      </c>
      <c r="F288" s="285" t="s">
        <v>1788</v>
      </c>
      <c r="G288" s="280">
        <v>60000</v>
      </c>
      <c r="H288" s="285">
        <v>1</v>
      </c>
      <c r="I288" s="281">
        <v>40000</v>
      </c>
      <c r="K288" s="280">
        <v>60000</v>
      </c>
    </row>
    <row r="289" spans="1:12">
      <c r="A289" s="288">
        <v>288</v>
      </c>
      <c r="B289" s="278">
        <v>45777</v>
      </c>
      <c r="C289" s="285" t="s">
        <v>1060</v>
      </c>
      <c r="E289" s="285" t="s">
        <v>2129</v>
      </c>
      <c r="G289" s="280">
        <v>1000000</v>
      </c>
      <c r="H289" s="285">
        <v>1</v>
      </c>
      <c r="K289" s="280">
        <v>1000000</v>
      </c>
    </row>
    <row r="290" spans="1:12">
      <c r="A290" s="288">
        <v>289</v>
      </c>
      <c r="B290" s="278">
        <v>45777</v>
      </c>
      <c r="C290" s="285" t="s">
        <v>1626</v>
      </c>
      <c r="E290" s="285" t="s">
        <v>1813</v>
      </c>
      <c r="G290" s="280">
        <v>650000</v>
      </c>
      <c r="H290" s="285">
        <v>1</v>
      </c>
      <c r="J290" s="281">
        <v>65000</v>
      </c>
      <c r="K290" s="280">
        <v>715000</v>
      </c>
    </row>
    <row r="291" spans="1:12">
      <c r="A291" s="288">
        <v>290</v>
      </c>
      <c r="B291" s="278">
        <v>45777</v>
      </c>
      <c r="C291" s="285" t="s">
        <v>2132</v>
      </c>
      <c r="E291" s="285" t="s">
        <v>2135</v>
      </c>
      <c r="G291" s="280">
        <v>900000</v>
      </c>
      <c r="H291" s="285">
        <v>1</v>
      </c>
      <c r="J291" s="281">
        <v>90000</v>
      </c>
      <c r="K291" s="280">
        <v>990000</v>
      </c>
    </row>
    <row r="292" spans="1:12">
      <c r="A292" s="288">
        <v>291</v>
      </c>
      <c r="B292" s="278">
        <v>45777</v>
      </c>
      <c r="C292" s="285" t="s">
        <v>1600</v>
      </c>
      <c r="D292" s="279" t="s">
        <v>1254</v>
      </c>
      <c r="E292" s="285" t="s">
        <v>1255</v>
      </c>
      <c r="F292" s="285" t="s">
        <v>1254</v>
      </c>
      <c r="G292" s="280">
        <v>1600000</v>
      </c>
      <c r="H292" s="285">
        <v>1</v>
      </c>
      <c r="K292" s="280">
        <v>1600000</v>
      </c>
    </row>
    <row r="293" spans="1:12">
      <c r="A293" s="288">
        <v>292</v>
      </c>
      <c r="B293" s="278">
        <v>45747</v>
      </c>
      <c r="C293" s="285" t="s">
        <v>2139</v>
      </c>
      <c r="E293" s="285" t="s">
        <v>2140</v>
      </c>
      <c r="L293" s="280">
        <v>-1585000</v>
      </c>
    </row>
    <row r="294" spans="1:12">
      <c r="A294" s="288">
        <v>293</v>
      </c>
      <c r="B294" s="278">
        <v>45776</v>
      </c>
      <c r="C294" s="285" t="s">
        <v>2141</v>
      </c>
      <c r="E294" s="285" t="s">
        <v>2140</v>
      </c>
      <c r="L294" s="280">
        <v>-550000</v>
      </c>
    </row>
    <row r="295" spans="1:12">
      <c r="A295" s="288">
        <v>294</v>
      </c>
      <c r="B295" s="278">
        <v>45777</v>
      </c>
      <c r="C295" s="285" t="s">
        <v>1626</v>
      </c>
      <c r="E295" s="285" t="s">
        <v>1161</v>
      </c>
      <c r="L295" s="280">
        <v>-4620900</v>
      </c>
    </row>
    <row r="296" spans="1:12">
      <c r="A296" s="288">
        <v>295</v>
      </c>
      <c r="B296" s="278">
        <v>45777</v>
      </c>
      <c r="C296" s="285" t="s">
        <v>2125</v>
      </c>
      <c r="E296" s="285" t="s">
        <v>1161</v>
      </c>
      <c r="L296" s="280">
        <v>-1610000</v>
      </c>
    </row>
    <row r="297" spans="1:12">
      <c r="A297" s="288">
        <v>296</v>
      </c>
      <c r="B297" s="278">
        <v>45777</v>
      </c>
      <c r="C297" s="285" t="s">
        <v>1183</v>
      </c>
      <c r="E297" s="285" t="s">
        <v>1161</v>
      </c>
      <c r="L297" s="280">
        <v>-924000</v>
      </c>
    </row>
    <row r="298" spans="1:12">
      <c r="A298" s="288">
        <v>297</v>
      </c>
      <c r="B298" s="278">
        <v>45775</v>
      </c>
      <c r="C298" s="285" t="s">
        <v>2066</v>
      </c>
      <c r="D298" s="279" t="s">
        <v>1245</v>
      </c>
      <c r="E298" s="285" t="s">
        <v>1246</v>
      </c>
      <c r="F298" s="285" t="s">
        <v>1245</v>
      </c>
      <c r="G298" s="280">
        <v>549000</v>
      </c>
      <c r="H298" s="285">
        <v>2</v>
      </c>
      <c r="I298" s="281">
        <v>480000</v>
      </c>
      <c r="K298" s="280">
        <v>1098000</v>
      </c>
    </row>
    <row r="299" spans="1:12">
      <c r="A299" s="288">
        <v>298</v>
      </c>
      <c r="B299" s="278">
        <v>45777</v>
      </c>
      <c r="C299" s="285" t="s">
        <v>2066</v>
      </c>
      <c r="E299" s="285" t="s">
        <v>1161</v>
      </c>
      <c r="L299" s="280">
        <v>-3443000</v>
      </c>
    </row>
    <row r="300" spans="1:12">
      <c r="A300" s="288">
        <v>299</v>
      </c>
      <c r="B300" s="278">
        <v>45777</v>
      </c>
      <c r="C300" s="285" t="s">
        <v>1587</v>
      </c>
      <c r="E300" s="285" t="s">
        <v>1161</v>
      </c>
      <c r="L300" s="280">
        <v>-1700000</v>
      </c>
    </row>
    <row r="301" spans="1:12">
      <c r="A301" s="288">
        <v>300</v>
      </c>
      <c r="B301" s="278">
        <v>45778</v>
      </c>
      <c r="C301" s="285" t="s">
        <v>2148</v>
      </c>
      <c r="E301" s="285" t="s">
        <v>2145</v>
      </c>
      <c r="L301" s="280">
        <v>-990000</v>
      </c>
    </row>
    <row r="302" spans="1:12">
      <c r="A302" s="288">
        <v>301</v>
      </c>
      <c r="B302" s="278">
        <v>45772</v>
      </c>
      <c r="C302" s="285" t="s">
        <v>2063</v>
      </c>
      <c r="E302" s="285" t="s">
        <v>1161</v>
      </c>
      <c r="L302" s="280">
        <v>-1100000</v>
      </c>
    </row>
    <row r="303" spans="1:12">
      <c r="A303" s="288">
        <v>302</v>
      </c>
      <c r="B303" s="278">
        <v>45778</v>
      </c>
      <c r="C303" s="285" t="s">
        <v>1490</v>
      </c>
      <c r="E303" s="285" t="s">
        <v>1161</v>
      </c>
      <c r="L303" s="280">
        <v>-10000000</v>
      </c>
    </row>
    <row r="304" spans="1:12">
      <c r="A304" s="288">
        <v>303</v>
      </c>
      <c r="B304" s="278">
        <v>45778</v>
      </c>
      <c r="C304" s="285" t="s">
        <v>1513</v>
      </c>
      <c r="E304" s="285" t="s">
        <v>1161</v>
      </c>
      <c r="L304" s="280">
        <v>-1400000</v>
      </c>
    </row>
    <row r="305" spans="1:13">
      <c r="A305" s="288">
        <v>304</v>
      </c>
      <c r="B305" s="278">
        <v>45777</v>
      </c>
      <c r="C305" s="285" t="s">
        <v>2101</v>
      </c>
      <c r="E305" s="285" t="s">
        <v>1161</v>
      </c>
      <c r="L305" s="280">
        <v>-1294000</v>
      </c>
    </row>
    <row r="306" spans="1:13">
      <c r="A306" s="288">
        <v>305</v>
      </c>
      <c r="B306" s="278">
        <v>45778</v>
      </c>
      <c r="C306" s="285" t="s">
        <v>1445</v>
      </c>
      <c r="E306" s="285" t="s">
        <v>1161</v>
      </c>
      <c r="L306" s="280">
        <v>-7200000</v>
      </c>
    </row>
    <row r="307" spans="1:13">
      <c r="A307" s="288">
        <v>306</v>
      </c>
      <c r="B307" s="278">
        <v>45778</v>
      </c>
      <c r="C307" s="285" t="s">
        <v>1629</v>
      </c>
      <c r="D307" s="279" t="s">
        <v>1239</v>
      </c>
      <c r="E307" s="285" t="s">
        <v>1701</v>
      </c>
      <c r="F307" s="285" t="s">
        <v>1239</v>
      </c>
      <c r="G307" s="280">
        <v>1500000</v>
      </c>
      <c r="H307" s="285">
        <v>1</v>
      </c>
      <c r="J307" s="281">
        <v>150000</v>
      </c>
      <c r="K307" s="280">
        <v>1650000</v>
      </c>
    </row>
    <row r="308" spans="1:13">
      <c r="A308" s="288">
        <v>307</v>
      </c>
      <c r="B308" s="278">
        <v>45778</v>
      </c>
      <c r="C308" s="285" t="s">
        <v>1629</v>
      </c>
      <c r="D308" s="279" t="s">
        <v>1879</v>
      </c>
      <c r="E308" s="285" t="s">
        <v>1624</v>
      </c>
      <c r="F308" s="285" t="s">
        <v>1879</v>
      </c>
      <c r="G308" s="280">
        <v>50000</v>
      </c>
      <c r="H308" s="285">
        <v>1</v>
      </c>
      <c r="I308" s="281">
        <v>33000</v>
      </c>
      <c r="J308" s="281">
        <v>5000</v>
      </c>
      <c r="K308" s="280">
        <v>55000</v>
      </c>
    </row>
    <row r="309" spans="1:13">
      <c r="A309" s="288">
        <v>308</v>
      </c>
      <c r="B309" s="278">
        <v>45778</v>
      </c>
      <c r="C309" s="285" t="s">
        <v>1629</v>
      </c>
      <c r="E309" s="285" t="s">
        <v>2144</v>
      </c>
      <c r="L309" s="280">
        <v>-1000000</v>
      </c>
    </row>
    <row r="310" spans="1:13">
      <c r="A310" s="288">
        <v>309</v>
      </c>
      <c r="B310" s="278">
        <v>45779</v>
      </c>
      <c r="C310" s="285" t="s">
        <v>1600</v>
      </c>
      <c r="E310" s="285" t="s">
        <v>1161</v>
      </c>
      <c r="L310" s="280">
        <v>-550000</v>
      </c>
    </row>
    <row r="311" spans="1:13">
      <c r="A311" s="288">
        <v>310</v>
      </c>
      <c r="B311" s="278">
        <v>45779</v>
      </c>
      <c r="C311" s="285" t="s">
        <v>2120</v>
      </c>
      <c r="E311" s="285" t="s">
        <v>1161</v>
      </c>
      <c r="L311" s="280">
        <v>-1200000</v>
      </c>
    </row>
    <row r="312" spans="1:13">
      <c r="A312" s="288">
        <v>311</v>
      </c>
      <c r="B312" s="278">
        <v>45777</v>
      </c>
      <c r="C312" s="285" t="s">
        <v>1790</v>
      </c>
      <c r="D312" s="279">
        <v>2800802</v>
      </c>
      <c r="E312" s="285" t="s">
        <v>1785</v>
      </c>
      <c r="F312" s="285">
        <v>2800802</v>
      </c>
      <c r="G312" s="280">
        <v>150000</v>
      </c>
      <c r="H312" s="285">
        <v>1</v>
      </c>
      <c r="I312" s="281">
        <v>85000</v>
      </c>
      <c r="K312" s="280">
        <v>150000</v>
      </c>
    </row>
    <row r="313" spans="1:13">
      <c r="A313" s="288">
        <v>312</v>
      </c>
      <c r="B313" s="278">
        <v>45779</v>
      </c>
      <c r="C313" s="285" t="s">
        <v>1629</v>
      </c>
      <c r="D313" s="279" t="s">
        <v>1309</v>
      </c>
      <c r="E313" s="285" t="s">
        <v>1310</v>
      </c>
      <c r="F313" s="285" t="s">
        <v>1309</v>
      </c>
      <c r="G313" s="280">
        <v>50000</v>
      </c>
      <c r="H313" s="285">
        <v>2</v>
      </c>
      <c r="J313" s="281">
        <v>10000</v>
      </c>
      <c r="K313" s="280">
        <v>110000</v>
      </c>
    </row>
    <row r="314" spans="1:13">
      <c r="A314" s="288">
        <v>313</v>
      </c>
      <c r="B314" s="278">
        <v>45779</v>
      </c>
      <c r="C314" s="285" t="s">
        <v>2063</v>
      </c>
      <c r="D314" s="279" t="s">
        <v>1236</v>
      </c>
      <c r="E314" s="285" t="s">
        <v>2064</v>
      </c>
      <c r="F314" s="285" t="s">
        <v>1236</v>
      </c>
      <c r="G314" s="280">
        <v>1000000</v>
      </c>
      <c r="H314" s="285">
        <v>1</v>
      </c>
      <c r="K314" s="280">
        <v>1000000</v>
      </c>
    </row>
    <row r="315" spans="1:13">
      <c r="A315" s="288">
        <v>314</v>
      </c>
      <c r="B315" s="278">
        <v>45779</v>
      </c>
      <c r="C315" s="285" t="s">
        <v>1445</v>
      </c>
      <c r="D315" s="279">
        <v>415072909</v>
      </c>
      <c r="E315" s="286" t="s">
        <v>2665</v>
      </c>
      <c r="F315" s="285">
        <v>415072909</v>
      </c>
      <c r="G315" s="280">
        <v>378000</v>
      </c>
      <c r="H315" s="285">
        <v>1</v>
      </c>
      <c r="K315" s="280">
        <v>378000</v>
      </c>
      <c r="M315" t="s">
        <v>2509</v>
      </c>
    </row>
    <row r="316" spans="1:13">
      <c r="A316" s="288">
        <v>315</v>
      </c>
      <c r="B316" s="278">
        <v>45779</v>
      </c>
      <c r="C316" s="285" t="s">
        <v>1445</v>
      </c>
      <c r="E316" s="285" t="s">
        <v>1191</v>
      </c>
      <c r="G316" s="280">
        <v>1500000</v>
      </c>
      <c r="H316" s="285">
        <v>1</v>
      </c>
      <c r="K316" s="280">
        <v>1500000</v>
      </c>
      <c r="M316" t="s">
        <v>2509</v>
      </c>
    </row>
    <row r="317" spans="1:13">
      <c r="A317" s="288">
        <v>316</v>
      </c>
      <c r="B317" s="278">
        <v>45780</v>
      </c>
      <c r="C317" s="285" t="s">
        <v>2063</v>
      </c>
      <c r="E317" s="285" t="s">
        <v>2167</v>
      </c>
      <c r="L317" s="280">
        <v>-1000000</v>
      </c>
    </row>
    <row r="318" spans="1:13">
      <c r="A318" s="288">
        <v>317</v>
      </c>
      <c r="B318" s="278">
        <v>45780</v>
      </c>
      <c r="C318" s="285" t="s">
        <v>1629</v>
      </c>
      <c r="E318" s="285" t="s">
        <v>2168</v>
      </c>
      <c r="L318" s="280">
        <v>-1815000</v>
      </c>
    </row>
    <row r="319" spans="1:13">
      <c r="A319" s="288">
        <v>318</v>
      </c>
      <c r="B319" s="278">
        <v>45780</v>
      </c>
      <c r="C319" s="285" t="s">
        <v>2046</v>
      </c>
      <c r="E319" s="285" t="s">
        <v>2165</v>
      </c>
      <c r="G319" s="280">
        <v>1000000</v>
      </c>
      <c r="H319" s="285">
        <v>1</v>
      </c>
      <c r="K319" s="280">
        <v>1000000</v>
      </c>
      <c r="M319" t="s">
        <v>2509</v>
      </c>
    </row>
    <row r="320" spans="1:13">
      <c r="A320" s="288">
        <v>319</v>
      </c>
      <c r="B320" s="278">
        <v>45782</v>
      </c>
      <c r="C320" s="285" t="s">
        <v>2169</v>
      </c>
      <c r="D320" s="279" t="s">
        <v>1242</v>
      </c>
      <c r="E320" s="285" t="s">
        <v>1243</v>
      </c>
      <c r="F320" s="285" t="s">
        <v>1242</v>
      </c>
      <c r="G320" s="280">
        <v>1200000</v>
      </c>
      <c r="H320" s="285">
        <v>1</v>
      </c>
      <c r="K320" s="280">
        <v>1200000</v>
      </c>
      <c r="M320" t="s">
        <v>2509</v>
      </c>
    </row>
    <row r="321" spans="1:13">
      <c r="A321" s="288">
        <v>320</v>
      </c>
      <c r="B321" s="278">
        <v>45782</v>
      </c>
      <c r="C321" s="285" t="s">
        <v>1019</v>
      </c>
      <c r="D321" s="279">
        <v>2800802</v>
      </c>
      <c r="E321" s="285" t="s">
        <v>1785</v>
      </c>
      <c r="F321" s="285">
        <v>2800802</v>
      </c>
      <c r="G321" s="280">
        <v>140000</v>
      </c>
      <c r="H321" s="285">
        <v>1</v>
      </c>
      <c r="I321" s="281">
        <v>85000</v>
      </c>
      <c r="K321" s="280">
        <v>140000</v>
      </c>
      <c r="M321" t="s">
        <v>2509</v>
      </c>
    </row>
    <row r="322" spans="1:13">
      <c r="A322" s="288">
        <v>321</v>
      </c>
      <c r="B322" s="278">
        <v>45783</v>
      </c>
      <c r="C322" s="285" t="s">
        <v>1587</v>
      </c>
      <c r="D322" s="279">
        <v>501220522</v>
      </c>
      <c r="E322" s="285" t="s">
        <v>2109</v>
      </c>
      <c r="F322" s="285">
        <v>501220522</v>
      </c>
      <c r="G322" s="280">
        <v>450000</v>
      </c>
      <c r="H322" s="285">
        <v>1</v>
      </c>
      <c r="K322" s="280">
        <v>450000</v>
      </c>
      <c r="M322" t="s">
        <v>2509</v>
      </c>
    </row>
    <row r="323" spans="1:13">
      <c r="A323" s="288">
        <v>322</v>
      </c>
      <c r="B323" s="278">
        <v>45783</v>
      </c>
      <c r="C323" s="285" t="s">
        <v>1445</v>
      </c>
      <c r="D323" s="279" t="s">
        <v>1822</v>
      </c>
      <c r="E323" s="285" t="s">
        <v>1241</v>
      </c>
      <c r="F323" s="285" t="s">
        <v>1822</v>
      </c>
      <c r="G323" s="280">
        <v>1200000</v>
      </c>
      <c r="H323" s="285">
        <v>1</v>
      </c>
      <c r="K323" s="280">
        <v>1200000</v>
      </c>
      <c r="M323" t="s">
        <v>2509</v>
      </c>
    </row>
    <row r="324" spans="1:13">
      <c r="A324" s="288">
        <v>323</v>
      </c>
      <c r="B324" s="278">
        <v>45783</v>
      </c>
      <c r="C324" s="285" t="s">
        <v>1515</v>
      </c>
      <c r="E324" s="285" t="s">
        <v>1542</v>
      </c>
      <c r="G324" s="280">
        <v>350000</v>
      </c>
      <c r="H324" s="285">
        <v>1</v>
      </c>
      <c r="K324" s="280">
        <v>350000</v>
      </c>
      <c r="M324" t="s">
        <v>2509</v>
      </c>
    </row>
    <row r="325" spans="1:13">
      <c r="A325" s="288">
        <v>324</v>
      </c>
      <c r="B325" s="278">
        <v>45783</v>
      </c>
      <c r="C325" s="285" t="s">
        <v>1445</v>
      </c>
      <c r="D325" s="279" t="s">
        <v>1822</v>
      </c>
      <c r="E325" s="285" t="s">
        <v>2175</v>
      </c>
      <c r="F325" s="285" t="s">
        <v>1822</v>
      </c>
      <c r="G325" s="280">
        <v>650000</v>
      </c>
      <c r="H325" s="285">
        <v>1</v>
      </c>
      <c r="K325" s="280">
        <v>650000</v>
      </c>
      <c r="M325" t="s">
        <v>2509</v>
      </c>
    </row>
    <row r="326" spans="1:13">
      <c r="A326" s="288">
        <v>325</v>
      </c>
      <c r="B326" s="278">
        <v>45784</v>
      </c>
      <c r="C326" s="285" t="s">
        <v>2046</v>
      </c>
      <c r="E326" s="285" t="s">
        <v>1161</v>
      </c>
      <c r="L326" s="280">
        <v>-1000000</v>
      </c>
    </row>
    <row r="327" spans="1:13">
      <c r="A327" s="288">
        <v>326</v>
      </c>
      <c r="B327" s="278">
        <v>45784</v>
      </c>
      <c r="C327" s="285" t="s">
        <v>1351</v>
      </c>
      <c r="D327" s="279" t="s">
        <v>1238</v>
      </c>
      <c r="E327" s="285" t="s">
        <v>1699</v>
      </c>
      <c r="F327" s="285" t="s">
        <v>1238</v>
      </c>
      <c r="G327" s="280">
        <v>1400000</v>
      </c>
      <c r="H327" s="285">
        <v>1</v>
      </c>
      <c r="K327" s="280">
        <v>1400000</v>
      </c>
      <c r="M327" t="s">
        <v>2509</v>
      </c>
    </row>
    <row r="328" spans="1:13">
      <c r="A328" s="288">
        <v>327</v>
      </c>
      <c r="B328" s="278">
        <v>45784</v>
      </c>
      <c r="C328" s="285" t="s">
        <v>1351</v>
      </c>
      <c r="D328" s="279" t="s">
        <v>1245</v>
      </c>
      <c r="E328" s="285" t="s">
        <v>1246</v>
      </c>
      <c r="F328" s="285" t="s">
        <v>1245</v>
      </c>
      <c r="G328" s="280">
        <v>549000</v>
      </c>
      <c r="H328" s="285">
        <v>1</v>
      </c>
      <c r="I328" s="281">
        <v>480000</v>
      </c>
      <c r="K328" s="280">
        <v>549000</v>
      </c>
      <c r="M328" t="s">
        <v>2509</v>
      </c>
    </row>
    <row r="329" spans="1:13">
      <c r="A329" s="288">
        <v>328</v>
      </c>
      <c r="B329" s="278">
        <v>45784</v>
      </c>
      <c r="C329" s="285" t="s">
        <v>2180</v>
      </c>
      <c r="D329" s="279" t="s">
        <v>1239</v>
      </c>
      <c r="E329" s="285" t="s">
        <v>1701</v>
      </c>
      <c r="F329" s="285" t="s">
        <v>1239</v>
      </c>
      <c r="G329" s="280">
        <v>1500000</v>
      </c>
      <c r="H329" s="285">
        <v>1</v>
      </c>
      <c r="J329" s="281">
        <v>150000</v>
      </c>
      <c r="K329" s="280">
        <v>1650000</v>
      </c>
      <c r="M329" t="s">
        <v>2509</v>
      </c>
    </row>
    <row r="330" spans="1:13">
      <c r="A330" s="288">
        <v>329</v>
      </c>
      <c r="B330" s="278">
        <v>45784</v>
      </c>
      <c r="C330" s="285" t="s">
        <v>2180</v>
      </c>
      <c r="D330" s="279" t="s">
        <v>1879</v>
      </c>
      <c r="E330" s="285" t="s">
        <v>1624</v>
      </c>
      <c r="F330" s="285" t="s">
        <v>1879</v>
      </c>
      <c r="G330" s="280">
        <v>50000</v>
      </c>
      <c r="H330" s="285">
        <v>1</v>
      </c>
      <c r="I330" s="281">
        <v>33000</v>
      </c>
      <c r="J330" s="281">
        <v>5000</v>
      </c>
      <c r="K330" s="280">
        <v>55000</v>
      </c>
      <c r="M330" t="s">
        <v>2509</v>
      </c>
    </row>
    <row r="331" spans="1:13">
      <c r="A331" s="288">
        <v>330</v>
      </c>
      <c r="B331" s="278">
        <v>45784</v>
      </c>
      <c r="C331" s="285" t="s">
        <v>1351</v>
      </c>
      <c r="E331" s="285" t="s">
        <v>1161</v>
      </c>
      <c r="L331" s="280">
        <v>-1949000</v>
      </c>
    </row>
    <row r="332" spans="1:13">
      <c r="A332" s="288">
        <v>331</v>
      </c>
      <c r="B332" s="278">
        <v>45784</v>
      </c>
      <c r="C332" s="285" t="s">
        <v>1019</v>
      </c>
      <c r="E332" s="285" t="s">
        <v>1161</v>
      </c>
      <c r="L332" s="280">
        <v>-100000</v>
      </c>
    </row>
    <row r="333" spans="1:13">
      <c r="A333" s="288">
        <v>332</v>
      </c>
      <c r="B333" s="278">
        <v>45784</v>
      </c>
      <c r="C333" s="285" t="s">
        <v>1600</v>
      </c>
      <c r="E333" s="285" t="s">
        <v>1161</v>
      </c>
      <c r="L333" s="280">
        <v>-1600000</v>
      </c>
    </row>
    <row r="334" spans="1:13">
      <c r="A334" s="288">
        <v>333</v>
      </c>
      <c r="B334" s="278">
        <v>45784</v>
      </c>
      <c r="C334" s="285" t="s">
        <v>2180</v>
      </c>
      <c r="E334" s="285" t="s">
        <v>1161</v>
      </c>
      <c r="L334" s="280">
        <v>-1705000</v>
      </c>
    </row>
    <row r="335" spans="1:13">
      <c r="A335" s="288">
        <v>334</v>
      </c>
      <c r="B335" s="278">
        <v>45784</v>
      </c>
      <c r="C335" s="285" t="s">
        <v>1445</v>
      </c>
      <c r="D335" s="279">
        <v>1068298046</v>
      </c>
      <c r="E335" s="285" t="s">
        <v>2185</v>
      </c>
      <c r="F335" s="285">
        <v>1068298046</v>
      </c>
      <c r="G335" s="280">
        <v>450000</v>
      </c>
      <c r="H335" s="285">
        <v>1</v>
      </c>
      <c r="K335" s="280">
        <v>450000</v>
      </c>
      <c r="M335" t="s">
        <v>2509</v>
      </c>
    </row>
    <row r="336" spans="1:13">
      <c r="A336" s="288">
        <v>335</v>
      </c>
      <c r="B336" s="278">
        <v>45784</v>
      </c>
      <c r="C336" s="285" t="s">
        <v>1445</v>
      </c>
      <c r="D336" s="279">
        <v>24152333907</v>
      </c>
      <c r="E336" s="285" t="s">
        <v>1595</v>
      </c>
      <c r="F336" s="285">
        <v>24152333907</v>
      </c>
      <c r="G336" s="280">
        <v>50000</v>
      </c>
      <c r="H336" s="285">
        <v>1</v>
      </c>
      <c r="K336" s="280">
        <v>50000</v>
      </c>
      <c r="M336" t="s">
        <v>2509</v>
      </c>
    </row>
    <row r="337" spans="1:13">
      <c r="A337" s="288">
        <v>336</v>
      </c>
      <c r="B337" s="278">
        <v>45784</v>
      </c>
      <c r="C337" s="285" t="s">
        <v>2180</v>
      </c>
      <c r="D337" s="279" t="s">
        <v>1239</v>
      </c>
      <c r="E337" s="285" t="s">
        <v>1701</v>
      </c>
      <c r="F337" s="285" t="s">
        <v>1239</v>
      </c>
      <c r="G337" s="280">
        <v>1500000</v>
      </c>
      <c r="H337" s="285">
        <v>1</v>
      </c>
      <c r="J337" s="281">
        <v>150000</v>
      </c>
      <c r="K337" s="280">
        <v>1650000</v>
      </c>
      <c r="M337" t="s">
        <v>2509</v>
      </c>
    </row>
    <row r="338" spans="1:13">
      <c r="A338" s="288">
        <v>337</v>
      </c>
      <c r="B338" s="278">
        <v>45784</v>
      </c>
      <c r="C338" s="285" t="s">
        <v>2180</v>
      </c>
      <c r="D338" s="279" t="s">
        <v>1879</v>
      </c>
      <c r="E338" s="285" t="s">
        <v>1624</v>
      </c>
      <c r="F338" s="285" t="s">
        <v>1879</v>
      </c>
      <c r="G338" s="280">
        <v>50000</v>
      </c>
      <c r="H338" s="285">
        <v>1</v>
      </c>
      <c r="I338" s="281">
        <v>33000</v>
      </c>
      <c r="J338" s="281">
        <v>5000</v>
      </c>
      <c r="K338" s="280">
        <v>55000</v>
      </c>
      <c r="M338" t="s">
        <v>2509</v>
      </c>
    </row>
    <row r="339" spans="1:13">
      <c r="A339" s="288">
        <v>338</v>
      </c>
      <c r="B339" s="278">
        <v>45784</v>
      </c>
      <c r="C339" s="285" t="s">
        <v>2189</v>
      </c>
      <c r="D339" s="279" t="s">
        <v>1239</v>
      </c>
      <c r="E339" s="285" t="s">
        <v>1701</v>
      </c>
      <c r="F339" s="285" t="s">
        <v>1239</v>
      </c>
      <c r="G339" s="280">
        <v>1500000</v>
      </c>
      <c r="H339" s="285">
        <v>1</v>
      </c>
      <c r="K339" s="280">
        <v>1500000</v>
      </c>
      <c r="M339" t="s">
        <v>2509</v>
      </c>
    </row>
    <row r="340" spans="1:13">
      <c r="A340" s="288">
        <v>339</v>
      </c>
      <c r="B340" s="278">
        <v>45784</v>
      </c>
      <c r="C340" s="285" t="s">
        <v>2189</v>
      </c>
      <c r="D340" s="279" t="s">
        <v>1879</v>
      </c>
      <c r="E340" s="285" t="s">
        <v>1624</v>
      </c>
      <c r="F340" s="285" t="s">
        <v>1879</v>
      </c>
      <c r="G340" s="280">
        <v>50000</v>
      </c>
      <c r="H340" s="285">
        <v>1</v>
      </c>
      <c r="I340" s="281">
        <v>33000</v>
      </c>
      <c r="K340" s="280">
        <v>50000</v>
      </c>
      <c r="M340" t="s">
        <v>2509</v>
      </c>
    </row>
    <row r="341" spans="1:13">
      <c r="A341" s="288">
        <v>340</v>
      </c>
      <c r="B341" s="278">
        <v>45784</v>
      </c>
      <c r="C341" s="285" t="s">
        <v>2189</v>
      </c>
      <c r="D341" s="279" t="s">
        <v>1788</v>
      </c>
      <c r="E341" s="285" t="s">
        <v>1789</v>
      </c>
      <c r="F341" s="285" t="s">
        <v>1788</v>
      </c>
      <c r="G341" s="280">
        <v>60000</v>
      </c>
      <c r="H341" s="285">
        <v>1</v>
      </c>
      <c r="I341" s="281">
        <v>40000</v>
      </c>
      <c r="K341" s="280">
        <v>60000</v>
      </c>
      <c r="M341" t="s">
        <v>2509</v>
      </c>
    </row>
    <row r="342" spans="1:13">
      <c r="A342" s="288">
        <v>341</v>
      </c>
      <c r="B342" s="278">
        <v>45784</v>
      </c>
      <c r="C342" s="285" t="s">
        <v>2189</v>
      </c>
      <c r="E342" s="285" t="s">
        <v>1161</v>
      </c>
      <c r="L342" s="280">
        <v>-1610000</v>
      </c>
    </row>
    <row r="343" spans="1:13">
      <c r="A343" s="288">
        <v>342</v>
      </c>
      <c r="B343" s="278">
        <v>45785</v>
      </c>
      <c r="C343" s="285" t="s">
        <v>2180</v>
      </c>
      <c r="E343" s="285" t="s">
        <v>1161</v>
      </c>
      <c r="L343" s="280">
        <v>-1705000</v>
      </c>
    </row>
    <row r="344" spans="1:13">
      <c r="A344" s="288">
        <v>343</v>
      </c>
      <c r="B344" s="278">
        <v>45785</v>
      </c>
      <c r="C344" s="285" t="s">
        <v>2311</v>
      </c>
      <c r="E344" s="285" t="s">
        <v>2312</v>
      </c>
      <c r="G344" s="280">
        <v>1000000</v>
      </c>
      <c r="H344" s="285">
        <v>1</v>
      </c>
      <c r="K344" s="280">
        <v>1000000</v>
      </c>
      <c r="M344" t="s">
        <v>2509</v>
      </c>
    </row>
    <row r="345" spans="1:13">
      <c r="A345" s="288">
        <v>344</v>
      </c>
      <c r="B345" s="278">
        <v>45785</v>
      </c>
      <c r="C345" s="285" t="s">
        <v>1790</v>
      </c>
      <c r="D345" s="279" t="s">
        <v>1254</v>
      </c>
      <c r="E345" s="285" t="s">
        <v>1165</v>
      </c>
      <c r="F345" s="285" t="s">
        <v>1510</v>
      </c>
      <c r="G345" s="280">
        <v>1500000</v>
      </c>
      <c r="H345" s="285">
        <v>1</v>
      </c>
      <c r="K345" s="280">
        <v>1500000</v>
      </c>
      <c r="M345" t="s">
        <v>2509</v>
      </c>
    </row>
    <row r="346" spans="1:13">
      <c r="A346" s="288">
        <v>345</v>
      </c>
      <c r="B346" s="278">
        <v>45786</v>
      </c>
      <c r="C346" s="285" t="s">
        <v>2169</v>
      </c>
      <c r="E346" s="285" t="s">
        <v>1161</v>
      </c>
      <c r="L346" s="280">
        <v>-1200000</v>
      </c>
    </row>
    <row r="347" spans="1:13">
      <c r="A347" s="288">
        <v>346</v>
      </c>
      <c r="B347" s="278">
        <v>45786</v>
      </c>
      <c r="C347" s="285" t="s">
        <v>1515</v>
      </c>
      <c r="E347" s="285" t="s">
        <v>1161</v>
      </c>
      <c r="L347" s="280">
        <v>-350000</v>
      </c>
    </row>
    <row r="348" spans="1:13">
      <c r="A348" s="288">
        <v>347</v>
      </c>
      <c r="B348" s="278">
        <v>45786</v>
      </c>
      <c r="C348" s="285" t="s">
        <v>1790</v>
      </c>
      <c r="E348" s="285" t="s">
        <v>1161</v>
      </c>
      <c r="L348" s="280">
        <v>-5172700</v>
      </c>
    </row>
    <row r="349" spans="1:13">
      <c r="A349" s="288">
        <v>348</v>
      </c>
      <c r="B349" s="278">
        <v>45777</v>
      </c>
      <c r="C349" s="285" t="s">
        <v>1578</v>
      </c>
      <c r="E349" s="285" t="s">
        <v>1161</v>
      </c>
      <c r="L349" s="280">
        <v>-650000</v>
      </c>
    </row>
    <row r="350" spans="1:13">
      <c r="A350" s="288">
        <v>349</v>
      </c>
      <c r="B350" s="278">
        <v>45786</v>
      </c>
      <c r="C350" s="285" t="s">
        <v>1060</v>
      </c>
      <c r="E350" s="285" t="s">
        <v>1161</v>
      </c>
      <c r="L350" s="280">
        <v>-1000000</v>
      </c>
    </row>
    <row r="351" spans="1:13">
      <c r="A351" s="288">
        <v>350</v>
      </c>
      <c r="B351" s="278">
        <v>45786</v>
      </c>
      <c r="C351" s="285" t="s">
        <v>1351</v>
      </c>
      <c r="D351" s="279" t="s">
        <v>2204</v>
      </c>
      <c r="E351" s="285" t="s">
        <v>2050</v>
      </c>
      <c r="F351" s="285" t="s">
        <v>2204</v>
      </c>
      <c r="G351" s="280">
        <v>700000</v>
      </c>
      <c r="H351" s="285">
        <v>1</v>
      </c>
      <c r="K351" s="280">
        <v>700000</v>
      </c>
      <c r="M351" t="s">
        <v>2509</v>
      </c>
    </row>
    <row r="352" spans="1:13">
      <c r="A352" s="288">
        <v>351</v>
      </c>
      <c r="B352" s="278">
        <v>45786</v>
      </c>
      <c r="C352" s="285" t="s">
        <v>2101</v>
      </c>
      <c r="D352" s="279">
        <v>36050661</v>
      </c>
      <c r="E352" s="285" t="s">
        <v>2202</v>
      </c>
      <c r="F352" s="285">
        <v>36050661</v>
      </c>
      <c r="G352" s="280">
        <v>1200000</v>
      </c>
      <c r="H352" s="285">
        <v>1</v>
      </c>
      <c r="I352" s="281">
        <v>440000</v>
      </c>
      <c r="K352" s="280">
        <v>1200000</v>
      </c>
      <c r="M352" t="s">
        <v>2509</v>
      </c>
    </row>
    <row r="353" spans="1:13">
      <c r="A353" s="288">
        <v>352</v>
      </c>
      <c r="B353" s="278">
        <v>45786</v>
      </c>
      <c r="C353" s="285" t="s">
        <v>2449</v>
      </c>
      <c r="E353" s="285" t="s">
        <v>2450</v>
      </c>
      <c r="G353" s="280">
        <v>50000</v>
      </c>
      <c r="H353" s="285">
        <v>1</v>
      </c>
      <c r="I353" s="281">
        <v>35000</v>
      </c>
      <c r="K353" s="280">
        <v>50000</v>
      </c>
      <c r="M353" t="s">
        <v>2509</v>
      </c>
    </row>
    <row r="354" spans="1:13">
      <c r="A354" s="288">
        <v>353</v>
      </c>
      <c r="B354" s="278">
        <v>45786</v>
      </c>
      <c r="C354" s="285" t="s">
        <v>2449</v>
      </c>
      <c r="D354" s="279" t="s">
        <v>2451</v>
      </c>
      <c r="E354" s="285" t="s">
        <v>2452</v>
      </c>
      <c r="F354" s="285" t="s">
        <v>2451</v>
      </c>
      <c r="G354" s="280">
        <v>550000</v>
      </c>
      <c r="H354" s="285">
        <v>1</v>
      </c>
      <c r="K354" s="280">
        <v>550000</v>
      </c>
      <c r="M354" t="s">
        <v>2509</v>
      </c>
    </row>
    <row r="355" spans="1:13">
      <c r="A355" s="288">
        <v>354</v>
      </c>
      <c r="B355" s="278">
        <v>45787</v>
      </c>
      <c r="C355" s="285" t="s">
        <v>1866</v>
      </c>
      <c r="E355" s="285" t="s">
        <v>1161</v>
      </c>
      <c r="L355" s="280">
        <v>-1190000</v>
      </c>
    </row>
    <row r="356" spans="1:13">
      <c r="A356" s="288">
        <v>355</v>
      </c>
      <c r="B356" s="278">
        <v>45787</v>
      </c>
      <c r="C356" s="285" t="s">
        <v>1351</v>
      </c>
      <c r="E356" s="285" t="s">
        <v>1816</v>
      </c>
      <c r="L356" s="280">
        <v>-700000</v>
      </c>
    </row>
    <row r="357" spans="1:13">
      <c r="A357" s="288">
        <v>356</v>
      </c>
      <c r="B357" s="278">
        <v>45787</v>
      </c>
      <c r="C357" s="285" t="s">
        <v>2101</v>
      </c>
      <c r="E357" s="285" t="s">
        <v>1816</v>
      </c>
      <c r="L357" s="280">
        <v>-1200000</v>
      </c>
    </row>
    <row r="358" spans="1:13">
      <c r="A358" s="288">
        <v>357</v>
      </c>
      <c r="B358" s="278">
        <v>45787</v>
      </c>
      <c r="C358" s="285" t="s">
        <v>1866</v>
      </c>
      <c r="E358" s="285" t="s">
        <v>1816</v>
      </c>
      <c r="L358" s="280">
        <v>-558000</v>
      </c>
    </row>
    <row r="359" spans="1:13">
      <c r="A359" s="288">
        <v>358</v>
      </c>
      <c r="B359" s="278">
        <v>45789</v>
      </c>
      <c r="C359" s="285" t="s">
        <v>2414</v>
      </c>
      <c r="E359" s="285" t="s">
        <v>1541</v>
      </c>
      <c r="G359" s="280">
        <v>650000</v>
      </c>
      <c r="H359" s="285">
        <v>1</v>
      </c>
      <c r="J359" s="281">
        <v>65000</v>
      </c>
      <c r="K359" s="280">
        <v>715000</v>
      </c>
      <c r="M359" t="s">
        <v>2509</v>
      </c>
    </row>
    <row r="360" spans="1:13">
      <c r="A360" s="288">
        <v>359</v>
      </c>
      <c r="B360" s="278">
        <v>45789</v>
      </c>
      <c r="C360" s="285" t="s">
        <v>2414</v>
      </c>
      <c r="E360" s="285" t="s">
        <v>1161</v>
      </c>
      <c r="L360" s="280">
        <v>-715000</v>
      </c>
    </row>
    <row r="361" spans="1:13">
      <c r="A361" s="288">
        <v>360</v>
      </c>
      <c r="B361" s="278">
        <v>45789</v>
      </c>
      <c r="C361" s="285" t="s">
        <v>1490</v>
      </c>
      <c r="D361" s="279">
        <v>1068298046</v>
      </c>
      <c r="E361" s="285" t="s">
        <v>2185</v>
      </c>
      <c r="F361" s="285">
        <v>1068298046</v>
      </c>
      <c r="G361" s="280">
        <v>450000</v>
      </c>
      <c r="H361" s="285">
        <v>1</v>
      </c>
      <c r="K361" s="280">
        <v>450000</v>
      </c>
      <c r="M361" t="s">
        <v>2509</v>
      </c>
    </row>
    <row r="362" spans="1:13">
      <c r="A362" s="288">
        <v>361</v>
      </c>
      <c r="B362" s="278">
        <v>45789</v>
      </c>
      <c r="C362" s="285" t="s">
        <v>2063</v>
      </c>
      <c r="D362" s="279" t="s">
        <v>1822</v>
      </c>
      <c r="E362" s="285" t="s">
        <v>1241</v>
      </c>
      <c r="F362" s="285" t="s">
        <v>1822</v>
      </c>
      <c r="G362" s="280">
        <v>1300000</v>
      </c>
      <c r="H362" s="285">
        <v>1</v>
      </c>
      <c r="K362" s="280">
        <v>1300000</v>
      </c>
      <c r="M362" t="s">
        <v>2509</v>
      </c>
    </row>
    <row r="363" spans="1:13">
      <c r="A363" s="288">
        <v>362</v>
      </c>
      <c r="B363" s="278">
        <v>45789</v>
      </c>
      <c r="C363" s="285" t="s">
        <v>1647</v>
      </c>
      <c r="D363" s="279" t="s">
        <v>1245</v>
      </c>
      <c r="E363" s="285" t="s">
        <v>1246</v>
      </c>
      <c r="F363" s="285" t="s">
        <v>1245</v>
      </c>
      <c r="G363" s="280">
        <v>499091</v>
      </c>
      <c r="H363" s="285">
        <v>1</v>
      </c>
      <c r="I363" s="281">
        <v>480000</v>
      </c>
      <c r="J363" s="281">
        <v>49909</v>
      </c>
      <c r="K363" s="280">
        <v>549000</v>
      </c>
      <c r="M363" t="s">
        <v>2509</v>
      </c>
    </row>
    <row r="364" spans="1:13">
      <c r="A364" s="288">
        <v>363</v>
      </c>
      <c r="B364" s="278">
        <v>45789</v>
      </c>
      <c r="C364" s="285" t="s">
        <v>1500</v>
      </c>
      <c r="E364" s="285" t="s">
        <v>2221</v>
      </c>
      <c r="G364" s="280">
        <v>200000</v>
      </c>
      <c r="H364" s="285">
        <v>1</v>
      </c>
      <c r="K364" s="280">
        <v>200000</v>
      </c>
      <c r="M364" t="s">
        <v>2509</v>
      </c>
    </row>
    <row r="365" spans="1:13">
      <c r="A365" s="288">
        <v>364</v>
      </c>
      <c r="B365" s="278">
        <v>45789</v>
      </c>
      <c r="C365" s="285" t="s">
        <v>1500</v>
      </c>
      <c r="E365" s="285" t="s">
        <v>2222</v>
      </c>
      <c r="G365" s="280">
        <v>250000</v>
      </c>
      <c r="H365" s="285">
        <v>1</v>
      </c>
      <c r="K365" s="280">
        <v>250000</v>
      </c>
      <c r="M365" t="s">
        <v>2509</v>
      </c>
    </row>
    <row r="366" spans="1:13">
      <c r="A366" s="288">
        <v>365</v>
      </c>
      <c r="B366" s="278">
        <v>45789</v>
      </c>
      <c r="C366" s="285" t="s">
        <v>1183</v>
      </c>
      <c r="E366" s="285" t="s">
        <v>2224</v>
      </c>
      <c r="G366" s="280">
        <v>1100000</v>
      </c>
      <c r="H366" s="285">
        <v>1</v>
      </c>
      <c r="K366" s="280">
        <v>1100000</v>
      </c>
      <c r="M366" t="s">
        <v>2509</v>
      </c>
    </row>
    <row r="367" spans="1:13">
      <c r="A367" s="288">
        <v>366</v>
      </c>
      <c r="B367" s="278">
        <v>45789</v>
      </c>
      <c r="C367" s="285" t="s">
        <v>2228</v>
      </c>
      <c r="D367" s="279" t="s">
        <v>1239</v>
      </c>
      <c r="E367" s="285" t="s">
        <v>1701</v>
      </c>
      <c r="F367" s="285" t="s">
        <v>1239</v>
      </c>
      <c r="G367" s="280">
        <v>1500000</v>
      </c>
      <c r="H367" s="285">
        <v>1</v>
      </c>
      <c r="J367" s="281">
        <v>150000</v>
      </c>
      <c r="K367" s="280">
        <v>1650000</v>
      </c>
      <c r="M367" t="s">
        <v>2509</v>
      </c>
    </row>
    <row r="368" spans="1:13">
      <c r="A368" s="288">
        <v>367</v>
      </c>
      <c r="B368" s="278">
        <v>45789</v>
      </c>
      <c r="C368" s="285" t="s">
        <v>1445</v>
      </c>
      <c r="E368" s="285" t="s">
        <v>2232</v>
      </c>
      <c r="G368" s="280">
        <v>1650000</v>
      </c>
      <c r="H368" s="285">
        <v>1</v>
      </c>
      <c r="K368" s="280">
        <v>1650000</v>
      </c>
      <c r="M368" t="s">
        <v>2509</v>
      </c>
    </row>
    <row r="369" spans="1:13">
      <c r="A369" s="288">
        <v>368</v>
      </c>
      <c r="B369" s="278">
        <v>45790</v>
      </c>
      <c r="C369" s="285" t="s">
        <v>2228</v>
      </c>
      <c r="E369" s="285" t="s">
        <v>1161</v>
      </c>
      <c r="L369" s="280">
        <v>-1650000</v>
      </c>
    </row>
    <row r="370" spans="1:13">
      <c r="A370" s="288">
        <v>369</v>
      </c>
      <c r="B370" s="278">
        <v>45790</v>
      </c>
      <c r="C370" s="285" t="s">
        <v>1647</v>
      </c>
      <c r="E370" s="285" t="s">
        <v>1161</v>
      </c>
      <c r="L370" s="280">
        <v>-549000</v>
      </c>
    </row>
    <row r="371" spans="1:13">
      <c r="A371" s="288">
        <v>370</v>
      </c>
      <c r="B371" s="278">
        <v>45790</v>
      </c>
      <c r="C371" s="285" t="s">
        <v>1495</v>
      </c>
      <c r="E371" s="285" t="s">
        <v>1176</v>
      </c>
      <c r="G371" s="280">
        <v>1000000</v>
      </c>
      <c r="H371" s="285">
        <v>1</v>
      </c>
      <c r="K371" s="280">
        <v>1000000</v>
      </c>
      <c r="M371" t="s">
        <v>2509</v>
      </c>
    </row>
    <row r="372" spans="1:13">
      <c r="A372" s="288">
        <v>371</v>
      </c>
      <c r="B372" s="278">
        <v>45790</v>
      </c>
      <c r="C372" s="285" t="s">
        <v>1495</v>
      </c>
      <c r="D372" s="279">
        <v>1068298046</v>
      </c>
      <c r="E372" s="285" t="s">
        <v>2185</v>
      </c>
      <c r="F372" s="285">
        <v>1068298046</v>
      </c>
      <c r="G372" s="280">
        <v>450000</v>
      </c>
      <c r="H372" s="285">
        <v>1</v>
      </c>
      <c r="K372" s="280">
        <v>450000</v>
      </c>
      <c r="M372" t="s">
        <v>2509</v>
      </c>
    </row>
    <row r="373" spans="1:13">
      <c r="A373" s="288">
        <v>372</v>
      </c>
      <c r="B373" s="278">
        <v>45790</v>
      </c>
      <c r="C373" s="285" t="s">
        <v>2016</v>
      </c>
      <c r="D373" s="279">
        <v>1068298046</v>
      </c>
      <c r="E373" s="285" t="s">
        <v>2185</v>
      </c>
      <c r="F373" s="285">
        <v>1068298046</v>
      </c>
      <c r="G373" s="280">
        <v>500000</v>
      </c>
      <c r="H373" s="285">
        <v>1</v>
      </c>
      <c r="K373" s="280">
        <v>500000</v>
      </c>
      <c r="M373" t="s">
        <v>2509</v>
      </c>
    </row>
    <row r="374" spans="1:13">
      <c r="A374" s="288">
        <v>373</v>
      </c>
      <c r="B374" s="278">
        <v>45790</v>
      </c>
      <c r="C374" s="285" t="s">
        <v>2016</v>
      </c>
      <c r="D374" s="279">
        <v>24152333903</v>
      </c>
      <c r="E374" s="285" t="s">
        <v>1595</v>
      </c>
      <c r="F374" s="285">
        <v>24152333903</v>
      </c>
      <c r="G374" s="280">
        <v>50000</v>
      </c>
      <c r="H374" s="285">
        <v>1</v>
      </c>
      <c r="K374" s="280">
        <v>50000</v>
      </c>
      <c r="M374" t="s">
        <v>2509</v>
      </c>
    </row>
    <row r="375" spans="1:13">
      <c r="A375" s="288">
        <v>374</v>
      </c>
      <c r="B375" s="278">
        <v>45790</v>
      </c>
      <c r="C375" s="285" t="s">
        <v>2259</v>
      </c>
      <c r="D375" s="279" t="s">
        <v>2260</v>
      </c>
      <c r="E375" s="285" t="s">
        <v>2261</v>
      </c>
      <c r="F375" s="285" t="s">
        <v>2260</v>
      </c>
      <c r="G375" s="280">
        <v>200000</v>
      </c>
      <c r="H375" s="285">
        <v>1</v>
      </c>
      <c r="K375" s="280">
        <v>200000</v>
      </c>
      <c r="M375" t="s">
        <v>2509</v>
      </c>
    </row>
    <row r="376" spans="1:13">
      <c r="A376" s="288">
        <v>375</v>
      </c>
      <c r="B376" s="278">
        <v>45790</v>
      </c>
      <c r="C376" s="285" t="s">
        <v>1866</v>
      </c>
      <c r="D376" s="279" t="s">
        <v>1245</v>
      </c>
      <c r="E376" s="285" t="s">
        <v>1246</v>
      </c>
      <c r="F376" s="285" t="s">
        <v>1245</v>
      </c>
      <c r="G376" s="280">
        <v>549000</v>
      </c>
      <c r="H376" s="285">
        <v>1</v>
      </c>
      <c r="I376" s="281">
        <v>480000</v>
      </c>
      <c r="K376" s="280">
        <v>549000</v>
      </c>
      <c r="M376" t="s">
        <v>2509</v>
      </c>
    </row>
    <row r="377" spans="1:13">
      <c r="A377" s="288">
        <v>376</v>
      </c>
      <c r="B377" s="278">
        <v>45790</v>
      </c>
      <c r="C377" s="285" t="s">
        <v>2242</v>
      </c>
      <c r="D377" s="279">
        <v>7252703114</v>
      </c>
      <c r="E377" s="285" t="s">
        <v>1770</v>
      </c>
      <c r="F377" s="285">
        <v>7252703114</v>
      </c>
      <c r="G377" s="280">
        <v>129000</v>
      </c>
      <c r="H377" s="285">
        <v>1</v>
      </c>
      <c r="I377" s="281">
        <v>70000</v>
      </c>
      <c r="K377" s="280">
        <v>129000</v>
      </c>
      <c r="M377" t="s">
        <v>2509</v>
      </c>
    </row>
    <row r="378" spans="1:13">
      <c r="A378" s="288">
        <v>377</v>
      </c>
      <c r="B378" s="278">
        <v>45790</v>
      </c>
      <c r="C378" s="285" t="s">
        <v>2246</v>
      </c>
      <c r="D378" s="279">
        <v>2800802</v>
      </c>
      <c r="E378" s="285" t="s">
        <v>1785</v>
      </c>
      <c r="F378" s="285">
        <v>2800802</v>
      </c>
      <c r="G378" s="280">
        <v>150000</v>
      </c>
      <c r="H378" s="285">
        <v>3</v>
      </c>
      <c r="I378" s="281">
        <v>85000</v>
      </c>
      <c r="K378" s="280">
        <v>450000</v>
      </c>
      <c r="M378" t="s">
        <v>2509</v>
      </c>
    </row>
    <row r="379" spans="1:13">
      <c r="A379" s="288">
        <v>378</v>
      </c>
      <c r="B379" s="278">
        <v>45790</v>
      </c>
      <c r="C379" s="285" t="s">
        <v>1445</v>
      </c>
      <c r="E379" s="285" t="s">
        <v>2249</v>
      </c>
      <c r="G379" s="280">
        <v>1550000</v>
      </c>
      <c r="H379" s="285">
        <v>1</v>
      </c>
      <c r="K379" s="280">
        <v>1550000</v>
      </c>
      <c r="M379" t="s">
        <v>2509</v>
      </c>
    </row>
    <row r="380" spans="1:13">
      <c r="A380" s="288">
        <v>379</v>
      </c>
      <c r="B380" s="278">
        <v>45790</v>
      </c>
      <c r="C380" s="285" t="s">
        <v>1351</v>
      </c>
      <c r="E380" s="285" t="s">
        <v>2252</v>
      </c>
      <c r="G380" s="280">
        <v>990000</v>
      </c>
      <c r="H380" s="285">
        <v>1</v>
      </c>
      <c r="I380" s="281">
        <v>940000</v>
      </c>
      <c r="K380" s="280">
        <v>990000</v>
      </c>
      <c r="M380" t="s">
        <v>2509</v>
      </c>
    </row>
    <row r="381" spans="1:13">
      <c r="A381" s="288">
        <v>380</v>
      </c>
      <c r="B381" s="278">
        <v>45790</v>
      </c>
      <c r="C381" s="285" t="s">
        <v>2242</v>
      </c>
      <c r="E381" s="285" t="s">
        <v>1161</v>
      </c>
      <c r="L381" s="280">
        <v>-129000</v>
      </c>
    </row>
    <row r="382" spans="1:13">
      <c r="A382" s="288">
        <v>381</v>
      </c>
      <c r="B382" s="278">
        <v>45790</v>
      </c>
      <c r="C382" s="285" t="s">
        <v>1734</v>
      </c>
      <c r="E382" s="285" t="s">
        <v>2255</v>
      </c>
      <c r="G382" s="280">
        <v>1000000</v>
      </c>
      <c r="H382" s="285">
        <v>1</v>
      </c>
      <c r="J382" s="281">
        <v>100000</v>
      </c>
      <c r="K382" s="280">
        <v>1100000</v>
      </c>
      <c r="M382" t="s">
        <v>2509</v>
      </c>
    </row>
    <row r="383" spans="1:13">
      <c r="A383" s="288">
        <v>382</v>
      </c>
      <c r="B383" s="278">
        <v>45790</v>
      </c>
      <c r="C383" s="285" t="s">
        <v>1424</v>
      </c>
      <c r="E383" s="285" t="s">
        <v>2257</v>
      </c>
      <c r="G383" s="280">
        <v>1200000</v>
      </c>
      <c r="H383" s="285">
        <v>1</v>
      </c>
      <c r="K383" s="280">
        <v>1200000</v>
      </c>
      <c r="M383" t="s">
        <v>2509</v>
      </c>
    </row>
    <row r="384" spans="1:13">
      <c r="A384" s="288">
        <v>383</v>
      </c>
      <c r="B384" s="278">
        <v>45790</v>
      </c>
      <c r="C384" s="285" t="s">
        <v>2063</v>
      </c>
      <c r="E384" s="285" t="s">
        <v>1161</v>
      </c>
      <c r="L384" s="280">
        <v>-1300000</v>
      </c>
    </row>
    <row r="385" spans="1:13">
      <c r="A385" s="288">
        <v>384</v>
      </c>
      <c r="B385" s="278">
        <v>45791</v>
      </c>
      <c r="C385" s="285" t="s">
        <v>1424</v>
      </c>
      <c r="E385" s="285" t="s">
        <v>1161</v>
      </c>
      <c r="L385" s="280">
        <v>-1200000</v>
      </c>
    </row>
    <row r="386" spans="1:13">
      <c r="A386" s="288">
        <v>385</v>
      </c>
      <c r="B386" s="278">
        <v>45791</v>
      </c>
      <c r="C386" s="285" t="s">
        <v>1790</v>
      </c>
      <c r="E386" s="285" t="s">
        <v>2123</v>
      </c>
      <c r="G386" s="280">
        <v>1200000</v>
      </c>
      <c r="H386" s="285">
        <v>1</v>
      </c>
      <c r="K386" s="280">
        <v>1200000</v>
      </c>
      <c r="M386" t="s">
        <v>2509</v>
      </c>
    </row>
    <row r="387" spans="1:13">
      <c r="A387" s="288">
        <v>386</v>
      </c>
      <c r="B387" s="278">
        <v>45791</v>
      </c>
      <c r="C387" s="285" t="s">
        <v>1790</v>
      </c>
      <c r="E387" s="285" t="s">
        <v>2262</v>
      </c>
      <c r="G387" s="280">
        <v>150000</v>
      </c>
      <c r="H387" s="285">
        <v>1</v>
      </c>
      <c r="K387" s="280">
        <v>150000</v>
      </c>
      <c r="M387" t="s">
        <v>2509</v>
      </c>
    </row>
    <row r="388" spans="1:13">
      <c r="A388" s="288">
        <v>387</v>
      </c>
      <c r="B388" s="278">
        <v>45791</v>
      </c>
      <c r="C388" s="285" t="s">
        <v>1495</v>
      </c>
      <c r="E388" s="285" t="s">
        <v>1161</v>
      </c>
      <c r="L388" s="280">
        <v>-1450000</v>
      </c>
    </row>
    <row r="389" spans="1:13">
      <c r="A389" s="288">
        <v>388</v>
      </c>
      <c r="B389" s="278">
        <v>45791</v>
      </c>
      <c r="C389" s="285" t="s">
        <v>1351</v>
      </c>
      <c r="E389" s="285" t="s">
        <v>1161</v>
      </c>
      <c r="L389" s="280">
        <v>-990000</v>
      </c>
    </row>
    <row r="390" spans="1:13">
      <c r="A390" s="288">
        <v>389</v>
      </c>
      <c r="B390" s="278">
        <v>45791</v>
      </c>
      <c r="C390" s="285" t="s">
        <v>2269</v>
      </c>
      <c r="D390" s="279" t="s">
        <v>1254</v>
      </c>
      <c r="E390" s="285" t="s">
        <v>1165</v>
      </c>
      <c r="F390" s="285" t="s">
        <v>1510</v>
      </c>
      <c r="G390" s="280">
        <v>1500000</v>
      </c>
      <c r="H390" s="285">
        <v>1</v>
      </c>
      <c r="K390" s="280">
        <v>1500000</v>
      </c>
      <c r="M390" t="s">
        <v>2509</v>
      </c>
    </row>
    <row r="391" spans="1:13">
      <c r="A391" s="288">
        <v>390</v>
      </c>
      <c r="B391" s="278">
        <v>45791</v>
      </c>
      <c r="C391" s="285" t="s">
        <v>1030</v>
      </c>
      <c r="D391" s="279">
        <v>2295001282</v>
      </c>
      <c r="E391" s="285" t="s">
        <v>2665</v>
      </c>
      <c r="F391" s="285">
        <v>2295001282</v>
      </c>
      <c r="G391" s="280">
        <v>422000</v>
      </c>
      <c r="H391" s="285">
        <v>1</v>
      </c>
      <c r="K391" s="280">
        <v>422000</v>
      </c>
      <c r="M391" t="s">
        <v>2509</v>
      </c>
    </row>
    <row r="392" spans="1:13">
      <c r="A392" s="288">
        <v>391</v>
      </c>
      <c r="B392" s="278">
        <v>45791</v>
      </c>
      <c r="C392" s="285" t="s">
        <v>1866</v>
      </c>
      <c r="E392" s="285" t="s">
        <v>1813</v>
      </c>
      <c r="G392" s="280">
        <v>680000</v>
      </c>
      <c r="H392" s="285">
        <v>1</v>
      </c>
      <c r="K392" s="280">
        <v>680000</v>
      </c>
      <c r="M392" t="s">
        <v>2509</v>
      </c>
    </row>
    <row r="393" spans="1:13">
      <c r="A393" s="288">
        <v>392</v>
      </c>
      <c r="B393" s="278">
        <v>45791</v>
      </c>
      <c r="C393" s="285" t="s">
        <v>1647</v>
      </c>
      <c r="D393" s="279" t="s">
        <v>1406</v>
      </c>
      <c r="E393" s="285" t="s">
        <v>1241</v>
      </c>
      <c r="F393" s="285" t="s">
        <v>1406</v>
      </c>
      <c r="G393" s="280">
        <v>1000000</v>
      </c>
      <c r="H393" s="285">
        <v>1</v>
      </c>
      <c r="K393" s="280">
        <v>1000000</v>
      </c>
      <c r="M393" t="s">
        <v>2509</v>
      </c>
    </row>
    <row r="394" spans="1:13">
      <c r="A394" s="288">
        <v>393</v>
      </c>
      <c r="B394" s="278">
        <v>45792</v>
      </c>
      <c r="C394" s="285" t="s">
        <v>1647</v>
      </c>
      <c r="E394" s="285" t="s">
        <v>1161</v>
      </c>
      <c r="L394" s="280">
        <v>-1000000</v>
      </c>
    </row>
    <row r="395" spans="1:13">
      <c r="A395" s="288">
        <v>394</v>
      </c>
      <c r="B395" s="278">
        <v>45792</v>
      </c>
      <c r="C395" s="285" t="s">
        <v>1629</v>
      </c>
      <c r="D395" s="279" t="s">
        <v>1245</v>
      </c>
      <c r="E395" s="285" t="s">
        <v>2285</v>
      </c>
      <c r="F395" s="285" t="s">
        <v>1245</v>
      </c>
      <c r="G395" s="280">
        <v>499091</v>
      </c>
      <c r="H395" s="285">
        <v>1</v>
      </c>
      <c r="J395" s="281">
        <v>49909.100000000006</v>
      </c>
      <c r="K395" s="280">
        <v>549000.1</v>
      </c>
    </row>
    <row r="396" spans="1:13">
      <c r="A396" s="288">
        <v>395</v>
      </c>
      <c r="B396" s="278">
        <v>45792</v>
      </c>
      <c r="C396" s="285" t="s">
        <v>2180</v>
      </c>
      <c r="D396" s="279" t="s">
        <v>1239</v>
      </c>
      <c r="E396" s="285" t="s">
        <v>2278</v>
      </c>
      <c r="F396" s="285" t="s">
        <v>1239</v>
      </c>
      <c r="G396" s="280">
        <v>1500000</v>
      </c>
      <c r="H396" s="285">
        <v>1</v>
      </c>
      <c r="K396" s="280">
        <v>1500000</v>
      </c>
      <c r="M396" t="s">
        <v>2509</v>
      </c>
    </row>
    <row r="397" spans="1:13">
      <c r="A397" s="288">
        <v>396</v>
      </c>
      <c r="B397" s="278">
        <v>45792</v>
      </c>
      <c r="C397" s="285" t="s">
        <v>2180</v>
      </c>
      <c r="D397" s="279" t="s">
        <v>1879</v>
      </c>
      <c r="E397" s="285" t="s">
        <v>2279</v>
      </c>
      <c r="F397" s="285" t="s">
        <v>1879</v>
      </c>
      <c r="G397" s="280">
        <v>50000</v>
      </c>
      <c r="H397" s="285">
        <v>1</v>
      </c>
      <c r="I397" s="281">
        <v>33000</v>
      </c>
      <c r="K397" s="280">
        <v>50000</v>
      </c>
      <c r="M397" t="s">
        <v>2509</v>
      </c>
    </row>
    <row r="398" spans="1:13">
      <c r="A398" s="288">
        <v>397</v>
      </c>
      <c r="B398" s="278">
        <v>45792</v>
      </c>
      <c r="C398" s="285" t="s">
        <v>2180</v>
      </c>
      <c r="E398" s="285" t="s">
        <v>1161</v>
      </c>
      <c r="L398" s="280">
        <v>-1550000</v>
      </c>
    </row>
    <row r="399" spans="1:13">
      <c r="A399" s="288">
        <v>398</v>
      </c>
      <c r="B399" s="278">
        <v>45792</v>
      </c>
      <c r="C399" s="285" t="s">
        <v>1587</v>
      </c>
      <c r="E399" s="285" t="s">
        <v>2096</v>
      </c>
      <c r="G399" s="280">
        <v>2000000</v>
      </c>
      <c r="H399" s="285">
        <v>1</v>
      </c>
      <c r="K399" s="280">
        <v>2000000</v>
      </c>
      <c r="M399" t="s">
        <v>2509</v>
      </c>
    </row>
    <row r="400" spans="1:13">
      <c r="A400" s="288">
        <v>399</v>
      </c>
      <c r="B400" s="278">
        <v>45792</v>
      </c>
      <c r="C400" s="285" t="s">
        <v>2195</v>
      </c>
      <c r="E400" s="285" t="s">
        <v>1161</v>
      </c>
      <c r="L400" s="280">
        <v>-1000000</v>
      </c>
    </row>
    <row r="401" spans="1:13">
      <c r="A401" s="288">
        <v>400</v>
      </c>
      <c r="B401" s="278">
        <v>45792</v>
      </c>
      <c r="C401" s="285" t="s">
        <v>1817</v>
      </c>
      <c r="D401" s="279">
        <v>50229</v>
      </c>
      <c r="E401" s="285" t="s">
        <v>2288</v>
      </c>
      <c r="F401" s="285">
        <v>50229</v>
      </c>
      <c r="G401" s="280">
        <v>75000</v>
      </c>
      <c r="H401" s="61">
        <v>2</v>
      </c>
      <c r="J401" s="281">
        <v>15000</v>
      </c>
      <c r="K401" s="280">
        <v>165000</v>
      </c>
      <c r="M401" t="s">
        <v>2509</v>
      </c>
    </row>
    <row r="402" spans="1:13">
      <c r="A402" s="288">
        <v>401</v>
      </c>
      <c r="B402" s="278">
        <v>45792</v>
      </c>
      <c r="C402" s="285" t="s">
        <v>2316</v>
      </c>
      <c r="E402" s="285" t="s">
        <v>2314</v>
      </c>
      <c r="G402" s="280">
        <v>500000</v>
      </c>
      <c r="H402" s="285">
        <v>1</v>
      </c>
      <c r="J402" s="281">
        <v>50000</v>
      </c>
      <c r="K402" s="280">
        <v>550000</v>
      </c>
      <c r="M402" t="s">
        <v>2509</v>
      </c>
    </row>
    <row r="403" spans="1:13">
      <c r="A403" s="288">
        <v>402</v>
      </c>
      <c r="B403" s="278">
        <v>45792</v>
      </c>
      <c r="C403" s="285" t="s">
        <v>1955</v>
      </c>
      <c r="D403" s="279" t="s">
        <v>1239</v>
      </c>
      <c r="E403" s="285" t="s">
        <v>2278</v>
      </c>
      <c r="F403" s="285" t="s">
        <v>1239</v>
      </c>
      <c r="G403" s="280">
        <v>1500000</v>
      </c>
      <c r="H403" s="285">
        <v>1</v>
      </c>
      <c r="J403" s="281">
        <v>150000</v>
      </c>
      <c r="K403" s="280">
        <v>1650000</v>
      </c>
      <c r="M403" t="s">
        <v>2509</v>
      </c>
    </row>
    <row r="404" spans="1:13">
      <c r="A404" s="288">
        <v>403</v>
      </c>
      <c r="B404" s="278">
        <v>45792</v>
      </c>
      <c r="C404" s="285" t="s">
        <v>1955</v>
      </c>
      <c r="D404" s="279" t="s">
        <v>1879</v>
      </c>
      <c r="E404" s="285" t="s">
        <v>2279</v>
      </c>
      <c r="F404" s="285" t="s">
        <v>1879</v>
      </c>
      <c r="G404" s="280">
        <v>50000</v>
      </c>
      <c r="H404" s="285">
        <v>1</v>
      </c>
      <c r="I404" s="281">
        <v>33000</v>
      </c>
      <c r="J404" s="281">
        <v>5000</v>
      </c>
      <c r="K404" s="280">
        <v>55000</v>
      </c>
      <c r="M404" t="s">
        <v>2509</v>
      </c>
    </row>
    <row r="405" spans="1:13">
      <c r="A405" s="288">
        <v>404</v>
      </c>
      <c r="B405" s="278">
        <v>45792</v>
      </c>
      <c r="C405" s="285" t="s">
        <v>1955</v>
      </c>
      <c r="D405" s="279" t="s">
        <v>2318</v>
      </c>
      <c r="E405" s="285" t="s">
        <v>2280</v>
      </c>
      <c r="F405" s="285" t="s">
        <v>2318</v>
      </c>
      <c r="G405" s="280">
        <v>250000</v>
      </c>
      <c r="H405" s="285">
        <v>1</v>
      </c>
      <c r="I405" s="281">
        <v>45000</v>
      </c>
      <c r="J405" s="281">
        <v>25000</v>
      </c>
      <c r="K405" s="280">
        <v>275000</v>
      </c>
      <c r="M405" t="s">
        <v>2509</v>
      </c>
    </row>
    <row r="406" spans="1:13">
      <c r="A406" s="288">
        <v>405</v>
      </c>
      <c r="B406" s="278">
        <v>45793</v>
      </c>
      <c r="C406" s="285" t="s">
        <v>1955</v>
      </c>
      <c r="E406" s="285" t="s">
        <v>1161</v>
      </c>
      <c r="L406" s="280">
        <v>-1980000</v>
      </c>
    </row>
    <row r="407" spans="1:13">
      <c r="A407" s="288">
        <v>406</v>
      </c>
      <c r="B407" s="278">
        <v>45793</v>
      </c>
      <c r="C407" s="285" t="s">
        <v>2189</v>
      </c>
      <c r="D407" s="279" t="s">
        <v>2318</v>
      </c>
      <c r="E407" s="285" t="s">
        <v>2280</v>
      </c>
      <c r="F407" s="285" t="s">
        <v>2318</v>
      </c>
      <c r="G407" s="280">
        <v>250000</v>
      </c>
      <c r="H407" s="285">
        <v>1</v>
      </c>
      <c r="I407" s="281">
        <v>45000</v>
      </c>
      <c r="K407" s="280">
        <v>250000</v>
      </c>
      <c r="M407" t="s">
        <v>2509</v>
      </c>
    </row>
    <row r="408" spans="1:13">
      <c r="A408" s="288">
        <v>407</v>
      </c>
      <c r="B408" s="278">
        <v>45793</v>
      </c>
      <c r="C408" s="285" t="s">
        <v>2016</v>
      </c>
      <c r="E408" s="285" t="s">
        <v>1161</v>
      </c>
      <c r="L408" s="280">
        <v>-550000</v>
      </c>
    </row>
    <row r="409" spans="1:13">
      <c r="A409" s="288">
        <v>408</v>
      </c>
      <c r="B409" s="278">
        <v>45793</v>
      </c>
      <c r="C409" s="285" t="s">
        <v>1817</v>
      </c>
      <c r="D409" s="279">
        <v>50229</v>
      </c>
      <c r="E409" s="285" t="s">
        <v>2288</v>
      </c>
      <c r="F409" s="285">
        <v>50229</v>
      </c>
      <c r="G409" s="280">
        <v>75000</v>
      </c>
      <c r="H409" s="61">
        <v>2</v>
      </c>
      <c r="J409" s="281">
        <v>15000</v>
      </c>
      <c r="K409" s="280">
        <v>165000</v>
      </c>
      <c r="M409" t="s">
        <v>2509</v>
      </c>
    </row>
    <row r="410" spans="1:13">
      <c r="A410" s="288">
        <v>409</v>
      </c>
      <c r="B410" s="278">
        <v>45793</v>
      </c>
      <c r="C410" s="285" t="s">
        <v>1817</v>
      </c>
      <c r="D410" s="279" t="s">
        <v>1303</v>
      </c>
      <c r="E410" s="285" t="s">
        <v>2286</v>
      </c>
      <c r="F410" s="285" t="s">
        <v>1303</v>
      </c>
      <c r="G410" s="280">
        <v>130000</v>
      </c>
      <c r="H410" s="61">
        <v>1</v>
      </c>
      <c r="I410" s="281">
        <v>90000</v>
      </c>
      <c r="J410" s="281">
        <v>13000</v>
      </c>
      <c r="K410" s="280">
        <v>143000</v>
      </c>
      <c r="M410" t="s">
        <v>2509</v>
      </c>
    </row>
    <row r="411" spans="1:13">
      <c r="A411" s="288">
        <v>410</v>
      </c>
      <c r="B411" s="278">
        <v>45793</v>
      </c>
      <c r="C411" s="285" t="s">
        <v>1817</v>
      </c>
      <c r="D411" s="279" t="s">
        <v>1901</v>
      </c>
      <c r="E411" s="285" t="s">
        <v>2290</v>
      </c>
      <c r="F411" s="285" t="s">
        <v>1901</v>
      </c>
      <c r="G411" s="280">
        <v>10000</v>
      </c>
      <c r="H411" s="61">
        <v>2</v>
      </c>
      <c r="I411" s="281">
        <v>8500</v>
      </c>
      <c r="J411" s="281">
        <v>2000</v>
      </c>
      <c r="K411" s="280">
        <v>22000</v>
      </c>
      <c r="M411" t="s">
        <v>2509</v>
      </c>
    </row>
    <row r="412" spans="1:13">
      <c r="A412" s="288">
        <v>411</v>
      </c>
      <c r="B412" s="278">
        <v>45793</v>
      </c>
      <c r="C412" s="285" t="s">
        <v>1955</v>
      </c>
      <c r="E412" s="285" t="s">
        <v>2329</v>
      </c>
      <c r="G412" s="280">
        <v>150000</v>
      </c>
      <c r="H412" s="285">
        <v>1</v>
      </c>
      <c r="K412" s="280">
        <v>150000</v>
      </c>
      <c r="M412" t="s">
        <v>2509</v>
      </c>
    </row>
    <row r="413" spans="1:13">
      <c r="A413" s="288">
        <v>412</v>
      </c>
      <c r="B413" s="278">
        <v>45793</v>
      </c>
      <c r="C413" s="285" t="s">
        <v>1955</v>
      </c>
      <c r="E413" s="285" t="s">
        <v>1161</v>
      </c>
      <c r="L413" s="280">
        <v>-150000</v>
      </c>
    </row>
    <row r="414" spans="1:13">
      <c r="A414" s="288">
        <v>413</v>
      </c>
      <c r="B414" s="278">
        <v>45794</v>
      </c>
      <c r="C414" s="285" t="s">
        <v>1932</v>
      </c>
      <c r="E414" s="285" t="s">
        <v>2331</v>
      </c>
      <c r="G414" s="280">
        <v>150000</v>
      </c>
      <c r="H414" s="285">
        <v>1</v>
      </c>
      <c r="K414" s="280">
        <v>150000</v>
      </c>
      <c r="M414" t="s">
        <v>2509</v>
      </c>
    </row>
    <row r="415" spans="1:13">
      <c r="A415" s="288">
        <v>414</v>
      </c>
      <c r="B415" s="278">
        <v>45794</v>
      </c>
      <c r="C415" s="285" t="s">
        <v>1817</v>
      </c>
      <c r="E415" s="285" t="s">
        <v>1565</v>
      </c>
      <c r="G415" s="280">
        <v>20000</v>
      </c>
      <c r="H415" s="61">
        <v>1</v>
      </c>
      <c r="J415" s="281">
        <v>2000</v>
      </c>
      <c r="K415" s="280">
        <v>22000</v>
      </c>
      <c r="M415" t="s">
        <v>2509</v>
      </c>
    </row>
    <row r="416" spans="1:13">
      <c r="A416" s="288">
        <v>415</v>
      </c>
      <c r="B416" s="278">
        <v>45794</v>
      </c>
      <c r="C416" s="285" t="s">
        <v>1817</v>
      </c>
      <c r="E416" s="285" t="s">
        <v>1581</v>
      </c>
      <c r="G416" s="280">
        <v>450000</v>
      </c>
      <c r="H416" s="61">
        <v>1</v>
      </c>
      <c r="J416" s="281">
        <v>45000</v>
      </c>
      <c r="K416" s="280">
        <v>495000</v>
      </c>
      <c r="M416" t="s">
        <v>2509</v>
      </c>
    </row>
    <row r="417" spans="1:13">
      <c r="A417" s="288">
        <v>416</v>
      </c>
      <c r="B417" s="278">
        <v>45794</v>
      </c>
      <c r="C417" s="285" t="s">
        <v>1069</v>
      </c>
      <c r="E417" s="285" t="s">
        <v>1581</v>
      </c>
      <c r="G417" s="280">
        <v>450000</v>
      </c>
      <c r="H417" s="285">
        <v>1</v>
      </c>
      <c r="K417" s="280">
        <v>450000</v>
      </c>
      <c r="M417" t="s">
        <v>2509</v>
      </c>
    </row>
    <row r="418" spans="1:13">
      <c r="A418" s="288">
        <v>417</v>
      </c>
      <c r="B418" s="278">
        <v>45794</v>
      </c>
      <c r="C418" s="285" t="s">
        <v>2345</v>
      </c>
      <c r="D418" s="279">
        <v>1087298388</v>
      </c>
      <c r="E418" s="285" t="s">
        <v>2346</v>
      </c>
      <c r="F418" s="287">
        <v>1087298388</v>
      </c>
      <c r="G418" s="280">
        <v>550000</v>
      </c>
      <c r="H418" s="285">
        <v>1</v>
      </c>
      <c r="K418" s="280">
        <v>500000</v>
      </c>
      <c r="M418" t="s">
        <v>2509</v>
      </c>
    </row>
    <row r="419" spans="1:13">
      <c r="A419" s="288">
        <v>418</v>
      </c>
      <c r="B419" s="278">
        <v>45794</v>
      </c>
      <c r="C419" s="285" t="s">
        <v>2356</v>
      </c>
      <c r="D419" s="279" t="s">
        <v>2357</v>
      </c>
      <c r="E419" s="285" t="s">
        <v>2358</v>
      </c>
      <c r="F419" s="285" t="s">
        <v>2357</v>
      </c>
      <c r="G419" s="280">
        <v>1650000</v>
      </c>
      <c r="H419" s="285">
        <v>1</v>
      </c>
      <c r="J419" s="281">
        <v>165000</v>
      </c>
      <c r="K419" s="280">
        <v>1815000</v>
      </c>
      <c r="M419" t="s">
        <v>2509</v>
      </c>
    </row>
    <row r="420" spans="1:13">
      <c r="A420" s="288">
        <v>419</v>
      </c>
      <c r="B420" s="278">
        <v>45794</v>
      </c>
      <c r="C420" s="285" t="s">
        <v>1932</v>
      </c>
      <c r="E420" s="285" t="s">
        <v>1816</v>
      </c>
      <c r="L420" s="280">
        <v>-150000</v>
      </c>
    </row>
    <row r="421" spans="1:13">
      <c r="A421" s="288">
        <v>420</v>
      </c>
      <c r="B421" s="278">
        <v>45796</v>
      </c>
      <c r="C421" s="285" t="s">
        <v>1734</v>
      </c>
      <c r="E421" s="285" t="s">
        <v>1161</v>
      </c>
      <c r="L421" s="280">
        <v>-1100000</v>
      </c>
    </row>
    <row r="422" spans="1:13">
      <c r="A422" s="288">
        <v>421</v>
      </c>
      <c r="B422" s="278">
        <v>45796</v>
      </c>
      <c r="C422" s="285" t="s">
        <v>1515</v>
      </c>
      <c r="E422" s="285" t="s">
        <v>1161</v>
      </c>
      <c r="L422" s="280">
        <v>-200000</v>
      </c>
    </row>
    <row r="423" spans="1:13">
      <c r="A423" s="288">
        <v>422</v>
      </c>
      <c r="B423" s="278">
        <v>45796</v>
      </c>
      <c r="C423" s="285" t="s">
        <v>1790</v>
      </c>
      <c r="D423" s="279" t="s">
        <v>1239</v>
      </c>
      <c r="E423" s="285" t="s">
        <v>2278</v>
      </c>
      <c r="F423" s="285" t="s">
        <v>1239</v>
      </c>
      <c r="G423" s="280">
        <v>1500000</v>
      </c>
      <c r="H423" s="285">
        <v>1</v>
      </c>
      <c r="K423" s="280">
        <v>1500000</v>
      </c>
      <c r="M423" t="s">
        <v>2509</v>
      </c>
    </row>
    <row r="424" spans="1:13">
      <c r="A424" s="288">
        <v>423</v>
      </c>
      <c r="B424" s="278">
        <v>45796</v>
      </c>
      <c r="C424" s="285" t="s">
        <v>1790</v>
      </c>
      <c r="D424" s="279" t="s">
        <v>1879</v>
      </c>
      <c r="E424" s="285" t="s">
        <v>2279</v>
      </c>
      <c r="F424" s="285" t="s">
        <v>1879</v>
      </c>
      <c r="G424" s="280">
        <v>50000</v>
      </c>
      <c r="H424" s="285">
        <v>1</v>
      </c>
      <c r="I424" s="281">
        <v>33000</v>
      </c>
      <c r="K424" s="280">
        <v>50000</v>
      </c>
      <c r="M424" t="s">
        <v>2509</v>
      </c>
    </row>
    <row r="425" spans="1:13">
      <c r="A425" s="288">
        <v>424</v>
      </c>
      <c r="B425" s="278">
        <v>45796</v>
      </c>
      <c r="C425" s="285" t="s">
        <v>1790</v>
      </c>
      <c r="D425" s="279" t="s">
        <v>1788</v>
      </c>
      <c r="E425" s="285" t="s">
        <v>2281</v>
      </c>
      <c r="F425" s="285" t="s">
        <v>1788</v>
      </c>
      <c r="G425" s="280">
        <v>60000</v>
      </c>
      <c r="H425" s="285">
        <v>1</v>
      </c>
      <c r="I425" s="281">
        <v>40000</v>
      </c>
      <c r="K425" s="280">
        <v>60000</v>
      </c>
      <c r="M425" t="s">
        <v>2509</v>
      </c>
    </row>
    <row r="426" spans="1:13">
      <c r="A426" s="288">
        <v>425</v>
      </c>
      <c r="B426" s="278">
        <v>45796</v>
      </c>
      <c r="C426" s="285" t="s">
        <v>1790</v>
      </c>
      <c r="E426" s="285" t="s">
        <v>2342</v>
      </c>
      <c r="G426" s="280">
        <v>800000</v>
      </c>
      <c r="H426" s="285">
        <v>1</v>
      </c>
      <c r="K426" s="280">
        <v>800000</v>
      </c>
      <c r="M426" t="s">
        <v>2509</v>
      </c>
    </row>
    <row r="427" spans="1:13">
      <c r="A427" s="288">
        <v>426</v>
      </c>
      <c r="B427" s="278">
        <v>45796</v>
      </c>
      <c r="C427" s="285" t="s">
        <v>1437</v>
      </c>
      <c r="E427" s="285" t="s">
        <v>2123</v>
      </c>
      <c r="G427" s="280">
        <v>1100000</v>
      </c>
      <c r="H427" s="285">
        <v>1</v>
      </c>
      <c r="J427" s="281">
        <v>110000</v>
      </c>
      <c r="K427" s="280">
        <v>1210000</v>
      </c>
      <c r="M427" t="s">
        <v>2509</v>
      </c>
    </row>
    <row r="428" spans="1:13">
      <c r="A428" s="288">
        <v>427</v>
      </c>
      <c r="B428" s="278">
        <v>45796</v>
      </c>
      <c r="C428" s="285" t="s">
        <v>1490</v>
      </c>
      <c r="E428" s="285" t="s">
        <v>2347</v>
      </c>
      <c r="L428" s="280">
        <v>-600000</v>
      </c>
    </row>
    <row r="429" spans="1:13">
      <c r="A429" s="288">
        <v>428</v>
      </c>
      <c r="B429" s="278">
        <v>45796</v>
      </c>
      <c r="C429" s="285" t="s">
        <v>1183</v>
      </c>
      <c r="E429" s="285" t="s">
        <v>2348</v>
      </c>
      <c r="G429" s="280">
        <v>900000</v>
      </c>
      <c r="H429" s="285">
        <v>1</v>
      </c>
      <c r="K429" s="280">
        <v>900000</v>
      </c>
      <c r="M429" t="s">
        <v>2509</v>
      </c>
    </row>
    <row r="430" spans="1:13">
      <c r="A430" s="288">
        <v>429</v>
      </c>
      <c r="B430" s="278">
        <v>45796</v>
      </c>
      <c r="C430" s="285" t="s">
        <v>1069</v>
      </c>
      <c r="D430" s="279" t="s">
        <v>1822</v>
      </c>
      <c r="E430" s="285" t="s">
        <v>1241</v>
      </c>
      <c r="F430" s="285" t="s">
        <v>1822</v>
      </c>
      <c r="G430" s="280">
        <v>1200000</v>
      </c>
      <c r="H430" s="285">
        <v>1</v>
      </c>
      <c r="K430" s="280">
        <v>1200000</v>
      </c>
      <c r="M430" t="s">
        <v>2509</v>
      </c>
    </row>
    <row r="431" spans="1:13">
      <c r="A431" s="288">
        <v>430</v>
      </c>
      <c r="B431" s="278">
        <v>45796</v>
      </c>
      <c r="C431" s="285" t="s">
        <v>1069</v>
      </c>
      <c r="E431" s="285" t="s">
        <v>1161</v>
      </c>
      <c r="L431" s="280">
        <v>-1650000</v>
      </c>
    </row>
    <row r="432" spans="1:13">
      <c r="A432" s="288">
        <v>431</v>
      </c>
      <c r="B432" s="278">
        <v>45797</v>
      </c>
      <c r="C432" s="285" t="s">
        <v>1027</v>
      </c>
      <c r="D432" s="279" t="s">
        <v>1238</v>
      </c>
      <c r="E432" s="285" t="s">
        <v>2284</v>
      </c>
      <c r="F432" s="285" t="s">
        <v>1238</v>
      </c>
      <c r="G432" s="280">
        <v>800000</v>
      </c>
      <c r="H432" s="285">
        <v>1</v>
      </c>
      <c r="K432" s="280">
        <v>800000</v>
      </c>
      <c r="M432" t="s">
        <v>2509</v>
      </c>
    </row>
    <row r="433" spans="1:13">
      <c r="A433" s="288">
        <v>432</v>
      </c>
      <c r="B433" s="278">
        <v>45797</v>
      </c>
      <c r="C433" s="285" t="s">
        <v>2458</v>
      </c>
      <c r="D433" s="279" t="s">
        <v>2459</v>
      </c>
      <c r="E433" s="285" t="s">
        <v>2460</v>
      </c>
      <c r="F433" s="285" t="s">
        <v>2459</v>
      </c>
      <c r="G433" s="280">
        <v>1500000</v>
      </c>
      <c r="H433" s="285">
        <v>1</v>
      </c>
      <c r="J433" s="281">
        <v>150000</v>
      </c>
      <c r="K433" s="280">
        <v>1650000</v>
      </c>
    </row>
    <row r="434" spans="1:13">
      <c r="A434" s="288">
        <v>433</v>
      </c>
      <c r="B434" s="278">
        <v>45797</v>
      </c>
      <c r="C434" s="285" t="s">
        <v>1946</v>
      </c>
      <c r="D434" s="279" t="s">
        <v>1238</v>
      </c>
      <c r="E434" s="285" t="s">
        <v>2284</v>
      </c>
      <c r="F434" s="285" t="s">
        <v>1238</v>
      </c>
      <c r="G434" s="280">
        <v>900000</v>
      </c>
      <c r="H434" s="285">
        <v>1</v>
      </c>
      <c r="K434" s="280">
        <v>900000</v>
      </c>
      <c r="M434" t="s">
        <v>2509</v>
      </c>
    </row>
    <row r="435" spans="1:13">
      <c r="A435" s="288">
        <v>434</v>
      </c>
      <c r="B435" s="278">
        <v>45798</v>
      </c>
      <c r="C435" s="285" t="s">
        <v>2189</v>
      </c>
      <c r="E435" s="285" t="s">
        <v>1161</v>
      </c>
      <c r="L435" s="280">
        <v>-250000</v>
      </c>
    </row>
    <row r="436" spans="1:13">
      <c r="A436" s="288">
        <v>435</v>
      </c>
      <c r="B436" s="278">
        <v>45798</v>
      </c>
      <c r="C436" s="285" t="s">
        <v>2340</v>
      </c>
      <c r="E436" s="285" t="s">
        <v>1161</v>
      </c>
      <c r="L436" s="280">
        <v>-1815000</v>
      </c>
    </row>
    <row r="437" spans="1:13">
      <c r="A437" s="288">
        <v>436</v>
      </c>
      <c r="B437" s="278">
        <v>45798</v>
      </c>
      <c r="C437" s="285" t="s">
        <v>1437</v>
      </c>
      <c r="E437" s="285" t="s">
        <v>1161</v>
      </c>
      <c r="L437" s="280">
        <v>-1210000</v>
      </c>
    </row>
    <row r="438" spans="1:13">
      <c r="A438" s="288">
        <v>437</v>
      </c>
      <c r="B438" s="278">
        <v>45798</v>
      </c>
      <c r="C438" s="285" t="s">
        <v>1600</v>
      </c>
      <c r="E438" s="285" t="s">
        <v>2359</v>
      </c>
      <c r="G438" s="280">
        <v>900000</v>
      </c>
      <c r="H438" s="285">
        <v>1</v>
      </c>
      <c r="I438" s="281">
        <v>600000</v>
      </c>
      <c r="K438" s="280">
        <v>900000</v>
      </c>
      <c r="M438" t="s">
        <v>2509</v>
      </c>
    </row>
    <row r="439" spans="1:13">
      <c r="A439" s="288">
        <v>438</v>
      </c>
      <c r="B439" s="278">
        <v>45798</v>
      </c>
      <c r="C439" s="285" t="s">
        <v>2361</v>
      </c>
      <c r="D439" s="279" t="s">
        <v>1254</v>
      </c>
      <c r="E439" s="285" t="s">
        <v>2276</v>
      </c>
      <c r="F439" s="285" t="s">
        <v>1510</v>
      </c>
      <c r="G439" s="280">
        <v>1500000</v>
      </c>
      <c r="H439" s="285">
        <v>1</v>
      </c>
      <c r="K439" s="280">
        <v>1500000</v>
      </c>
      <c r="M439" t="s">
        <v>2509</v>
      </c>
    </row>
    <row r="440" spans="1:13">
      <c r="A440" s="288">
        <v>439</v>
      </c>
      <c r="B440" s="278">
        <v>45798</v>
      </c>
      <c r="C440" s="285" t="s">
        <v>1734</v>
      </c>
      <c r="D440" s="279" t="s">
        <v>2041</v>
      </c>
      <c r="E440" s="285" t="s">
        <v>2302</v>
      </c>
      <c r="F440" s="285" t="s">
        <v>2041</v>
      </c>
      <c r="G440" s="280">
        <v>1800000</v>
      </c>
      <c r="H440" s="285">
        <v>1</v>
      </c>
      <c r="J440" s="281">
        <v>180000</v>
      </c>
      <c r="K440" s="280">
        <v>1980000</v>
      </c>
      <c r="M440" t="s">
        <v>2509</v>
      </c>
    </row>
    <row r="441" spans="1:13">
      <c r="A441" s="288">
        <v>440</v>
      </c>
      <c r="B441" s="278">
        <v>45798</v>
      </c>
      <c r="C441" s="285" t="s">
        <v>1734</v>
      </c>
      <c r="D441" s="279" t="s">
        <v>1879</v>
      </c>
      <c r="E441" s="285" t="s">
        <v>2279</v>
      </c>
      <c r="F441" s="285" t="s">
        <v>1879</v>
      </c>
      <c r="G441" s="280">
        <v>50000</v>
      </c>
      <c r="H441" s="285">
        <v>1</v>
      </c>
      <c r="I441" s="281">
        <v>33000</v>
      </c>
      <c r="J441" s="281">
        <v>5000</v>
      </c>
      <c r="K441" s="280">
        <v>55000</v>
      </c>
      <c r="M441" t="s">
        <v>2509</v>
      </c>
    </row>
    <row r="442" spans="1:13">
      <c r="A442" s="288">
        <v>441</v>
      </c>
      <c r="B442" s="278">
        <v>45798</v>
      </c>
      <c r="C442" s="285" t="s">
        <v>1734</v>
      </c>
      <c r="E442" s="285" t="s">
        <v>2303</v>
      </c>
      <c r="G442" s="280">
        <v>150000</v>
      </c>
      <c r="H442" s="285">
        <v>1</v>
      </c>
      <c r="J442" s="281">
        <v>15000</v>
      </c>
      <c r="K442" s="280">
        <v>165000</v>
      </c>
      <c r="M442" t="s">
        <v>2509</v>
      </c>
    </row>
    <row r="443" spans="1:13">
      <c r="A443" s="288">
        <v>442</v>
      </c>
      <c r="B443" s="278">
        <v>45798</v>
      </c>
      <c r="C443" s="285" t="s">
        <v>2364</v>
      </c>
      <c r="D443" s="279" t="s">
        <v>1239</v>
      </c>
      <c r="E443" s="285" t="s">
        <v>2278</v>
      </c>
      <c r="F443" s="285" t="s">
        <v>1239</v>
      </c>
      <c r="G443" s="280">
        <v>1500000</v>
      </c>
      <c r="H443" s="285">
        <v>1</v>
      </c>
      <c r="K443" s="280">
        <v>1500000</v>
      </c>
      <c r="M443" t="s">
        <v>2509</v>
      </c>
    </row>
    <row r="444" spans="1:13">
      <c r="A444" s="288">
        <v>443</v>
      </c>
      <c r="B444" s="278">
        <v>45798</v>
      </c>
      <c r="C444" s="285" t="s">
        <v>2364</v>
      </c>
      <c r="D444" s="279" t="s">
        <v>1879</v>
      </c>
      <c r="E444" s="285" t="s">
        <v>2279</v>
      </c>
      <c r="F444" s="285" t="s">
        <v>1879</v>
      </c>
      <c r="G444" s="280">
        <v>50000</v>
      </c>
      <c r="H444" s="285">
        <v>1</v>
      </c>
      <c r="I444" s="281">
        <v>33000</v>
      </c>
      <c r="K444" s="280">
        <v>50000</v>
      </c>
      <c r="M444" t="s">
        <v>2509</v>
      </c>
    </row>
    <row r="445" spans="1:13">
      <c r="A445" s="288">
        <v>444</v>
      </c>
      <c r="B445" s="278">
        <v>45798</v>
      </c>
      <c r="C445" s="285" t="s">
        <v>1946</v>
      </c>
      <c r="D445" s="279" t="s">
        <v>1239</v>
      </c>
      <c r="E445" s="285" t="s">
        <v>2278</v>
      </c>
      <c r="F445" s="285" t="s">
        <v>1239</v>
      </c>
      <c r="G445" s="280">
        <v>1500000</v>
      </c>
      <c r="H445" s="285">
        <v>1</v>
      </c>
      <c r="K445" s="280">
        <v>1500000</v>
      </c>
      <c r="M445" t="s">
        <v>2509</v>
      </c>
    </row>
    <row r="446" spans="1:13">
      <c r="A446" s="288">
        <v>445</v>
      </c>
      <c r="B446" s="278">
        <v>45798</v>
      </c>
      <c r="C446" s="285" t="s">
        <v>1946</v>
      </c>
      <c r="D446" s="279" t="s">
        <v>1879</v>
      </c>
      <c r="E446" s="285" t="s">
        <v>2279</v>
      </c>
      <c r="F446" s="285" t="s">
        <v>1879</v>
      </c>
      <c r="G446" s="280">
        <v>50000</v>
      </c>
      <c r="H446" s="285">
        <v>1</v>
      </c>
      <c r="I446" s="281">
        <v>33000</v>
      </c>
      <c r="K446" s="280">
        <v>50000</v>
      </c>
      <c r="M446" t="s">
        <v>2509</v>
      </c>
    </row>
    <row r="447" spans="1:13">
      <c r="A447" s="288">
        <v>446</v>
      </c>
      <c r="B447" s="278">
        <v>45798</v>
      </c>
      <c r="C447" s="285" t="s">
        <v>2364</v>
      </c>
      <c r="E447" s="285" t="s">
        <v>1161</v>
      </c>
      <c r="L447" s="280">
        <v>-1550000</v>
      </c>
    </row>
    <row r="448" spans="1:13">
      <c r="A448" s="288">
        <v>447</v>
      </c>
      <c r="B448" s="278">
        <v>45798</v>
      </c>
      <c r="C448" s="285" t="s">
        <v>2361</v>
      </c>
      <c r="E448" s="285" t="s">
        <v>1161</v>
      </c>
      <c r="L448" s="280">
        <v>-1500000</v>
      </c>
    </row>
    <row r="449" spans="1:13">
      <c r="A449" s="288">
        <v>448</v>
      </c>
      <c r="B449" s="278">
        <v>45798</v>
      </c>
      <c r="C449" s="285" t="s">
        <v>1500</v>
      </c>
      <c r="E449" s="285" t="s">
        <v>1161</v>
      </c>
      <c r="L449" s="280">
        <v>-450000</v>
      </c>
    </row>
    <row r="450" spans="1:13">
      <c r="A450" s="288">
        <v>449</v>
      </c>
      <c r="B450" s="278">
        <v>45798</v>
      </c>
      <c r="C450" s="285" t="s">
        <v>1019</v>
      </c>
      <c r="E450" s="285" t="s">
        <v>1161</v>
      </c>
      <c r="L450" s="280">
        <v>-140000</v>
      </c>
    </row>
    <row r="451" spans="1:13">
      <c r="A451" s="288">
        <v>450</v>
      </c>
      <c r="B451" s="278">
        <v>45799</v>
      </c>
      <c r="C451" s="285" t="s">
        <v>1445</v>
      </c>
      <c r="D451" s="279">
        <v>7252703114</v>
      </c>
      <c r="E451" s="285" t="s">
        <v>1770</v>
      </c>
      <c r="F451" s="285">
        <v>7252703114</v>
      </c>
      <c r="G451" s="280">
        <v>129000</v>
      </c>
      <c r="H451" s="285">
        <v>1</v>
      </c>
      <c r="I451" s="281">
        <v>70000</v>
      </c>
      <c r="K451" s="280">
        <v>129000</v>
      </c>
      <c r="M451" t="s">
        <v>2509</v>
      </c>
    </row>
    <row r="452" spans="1:13">
      <c r="A452" s="288">
        <v>451</v>
      </c>
      <c r="B452" s="278">
        <v>45799</v>
      </c>
      <c r="C452" s="285" t="s">
        <v>1069</v>
      </c>
      <c r="E452" s="285" t="s">
        <v>1581</v>
      </c>
      <c r="G452" s="280">
        <v>450000</v>
      </c>
      <c r="H452" s="285">
        <v>1</v>
      </c>
      <c r="K452" s="280">
        <v>450000</v>
      </c>
      <c r="M452" t="s">
        <v>2509</v>
      </c>
    </row>
    <row r="453" spans="1:13">
      <c r="A453" s="288">
        <v>452</v>
      </c>
      <c r="B453" s="278">
        <v>45799</v>
      </c>
      <c r="C453" s="285" t="s">
        <v>1600</v>
      </c>
      <c r="D453" s="279" t="s">
        <v>1309</v>
      </c>
      <c r="E453" s="285" t="s">
        <v>1310</v>
      </c>
      <c r="F453" s="285" t="s">
        <v>1309</v>
      </c>
      <c r="G453" s="280">
        <v>50000</v>
      </c>
      <c r="H453" s="285">
        <v>5</v>
      </c>
      <c r="K453" s="280">
        <v>250000</v>
      </c>
      <c r="M453" t="s">
        <v>2509</v>
      </c>
    </row>
    <row r="454" spans="1:13">
      <c r="A454" s="288">
        <v>453</v>
      </c>
      <c r="B454" s="278">
        <v>45799</v>
      </c>
      <c r="C454" s="285" t="s">
        <v>1495</v>
      </c>
      <c r="D454" s="279" t="s">
        <v>1236</v>
      </c>
      <c r="E454" s="285" t="s">
        <v>2373</v>
      </c>
      <c r="F454" s="285" t="s">
        <v>1236</v>
      </c>
      <c r="G454" s="280">
        <v>100000</v>
      </c>
      <c r="H454" s="285">
        <v>1</v>
      </c>
      <c r="K454" s="280">
        <v>100000</v>
      </c>
      <c r="M454" t="s">
        <v>2509</v>
      </c>
    </row>
    <row r="455" spans="1:13">
      <c r="A455" s="288">
        <v>454</v>
      </c>
      <c r="B455" s="278">
        <v>45799</v>
      </c>
      <c r="C455" s="285" t="s">
        <v>1525</v>
      </c>
      <c r="E455" s="285" t="s">
        <v>1813</v>
      </c>
      <c r="G455" s="280">
        <v>1100000</v>
      </c>
      <c r="H455" s="285">
        <v>1</v>
      </c>
      <c r="K455" s="280">
        <v>1100000</v>
      </c>
      <c r="M455" t="s">
        <v>2509</v>
      </c>
    </row>
    <row r="456" spans="1:13">
      <c r="A456" s="288">
        <v>455</v>
      </c>
      <c r="B456" s="278">
        <v>45799</v>
      </c>
      <c r="C456" s="285" t="s">
        <v>1069</v>
      </c>
      <c r="E456" s="285" t="s">
        <v>1161</v>
      </c>
      <c r="L456" s="280">
        <v>-450000</v>
      </c>
    </row>
    <row r="457" spans="1:13">
      <c r="A457" s="288">
        <v>456</v>
      </c>
      <c r="B457" s="278">
        <v>45800</v>
      </c>
      <c r="C457" s="285" t="s">
        <v>1495</v>
      </c>
      <c r="E457" s="285" t="s">
        <v>1161</v>
      </c>
      <c r="L457" s="280">
        <v>-100000</v>
      </c>
    </row>
    <row r="458" spans="1:13">
      <c r="A458" s="288">
        <v>457</v>
      </c>
      <c r="B458" s="278">
        <v>45800</v>
      </c>
      <c r="C458" s="285" t="s">
        <v>1069</v>
      </c>
      <c r="D458" s="279" t="s">
        <v>1242</v>
      </c>
      <c r="E458" s="285" t="s">
        <v>1243</v>
      </c>
      <c r="F458" s="285" t="s">
        <v>1242</v>
      </c>
      <c r="G458" s="280">
        <v>1200000</v>
      </c>
      <c r="H458" s="285">
        <v>1</v>
      </c>
      <c r="K458" s="280">
        <v>1200000</v>
      </c>
      <c r="M458" t="s">
        <v>2509</v>
      </c>
    </row>
    <row r="459" spans="1:13">
      <c r="A459" s="288">
        <v>458</v>
      </c>
      <c r="B459" s="278">
        <v>45800</v>
      </c>
      <c r="C459" s="285" t="s">
        <v>2568</v>
      </c>
      <c r="E459" s="285" t="s">
        <v>1787</v>
      </c>
      <c r="G459" s="280">
        <v>250000</v>
      </c>
      <c r="H459" s="285">
        <v>1</v>
      </c>
      <c r="J459" s="281">
        <v>25000</v>
      </c>
      <c r="K459" s="280">
        <v>275000</v>
      </c>
      <c r="M459" t="s">
        <v>2509</v>
      </c>
    </row>
    <row r="460" spans="1:13">
      <c r="A460" s="288">
        <v>459</v>
      </c>
      <c r="B460" s="278">
        <v>45800</v>
      </c>
      <c r="C460" s="285" t="s">
        <v>1790</v>
      </c>
      <c r="D460" s="279">
        <v>4150862090</v>
      </c>
      <c r="E460" s="285" t="s">
        <v>2665</v>
      </c>
      <c r="F460" s="285">
        <v>4150862090</v>
      </c>
      <c r="G460" s="280">
        <v>445000</v>
      </c>
      <c r="H460" s="285">
        <v>1</v>
      </c>
      <c r="K460" s="280">
        <v>445000</v>
      </c>
      <c r="M460" t="s">
        <v>2509</v>
      </c>
    </row>
    <row r="461" spans="1:13">
      <c r="A461" s="288">
        <v>460</v>
      </c>
      <c r="B461" s="278">
        <v>45801</v>
      </c>
      <c r="C461" s="285" t="s">
        <v>1498</v>
      </c>
      <c r="E461" s="285" t="s">
        <v>1814</v>
      </c>
      <c r="G461" s="280">
        <v>1650000</v>
      </c>
      <c r="H461" s="285">
        <v>1</v>
      </c>
      <c r="J461" s="281">
        <v>165000</v>
      </c>
      <c r="K461" s="280">
        <v>1815000</v>
      </c>
      <c r="M461" t="s">
        <v>2509</v>
      </c>
    </row>
    <row r="462" spans="1:13">
      <c r="A462" s="288">
        <v>461</v>
      </c>
      <c r="B462" s="278">
        <v>45801</v>
      </c>
      <c r="C462" s="285" t="s">
        <v>1030</v>
      </c>
      <c r="D462" s="279">
        <v>4150862090</v>
      </c>
      <c r="E462" s="285" t="s">
        <v>2665</v>
      </c>
      <c r="F462" s="285">
        <v>4150862090</v>
      </c>
      <c r="G462" s="280">
        <v>450000</v>
      </c>
      <c r="H462" s="285">
        <v>1</v>
      </c>
      <c r="K462" s="280">
        <v>450000</v>
      </c>
      <c r="M462" t="s">
        <v>2509</v>
      </c>
    </row>
    <row r="463" spans="1:13">
      <c r="A463" s="288">
        <v>462</v>
      </c>
      <c r="B463" s="278">
        <v>45801</v>
      </c>
      <c r="C463" s="285" t="s">
        <v>1030</v>
      </c>
      <c r="D463" s="279">
        <v>50229</v>
      </c>
      <c r="E463" s="285" t="s">
        <v>2288</v>
      </c>
      <c r="F463" s="285">
        <v>50229</v>
      </c>
      <c r="G463" s="280">
        <v>75000</v>
      </c>
      <c r="H463" s="285">
        <v>1</v>
      </c>
      <c r="K463" s="280">
        <v>75000</v>
      </c>
      <c r="M463" t="s">
        <v>2509</v>
      </c>
    </row>
    <row r="464" spans="1:13">
      <c r="A464" s="288">
        <v>463</v>
      </c>
      <c r="B464" s="278">
        <v>45801</v>
      </c>
      <c r="C464" s="285" t="s">
        <v>1030</v>
      </c>
      <c r="E464" s="285" t="s">
        <v>2282</v>
      </c>
      <c r="G464" s="280">
        <v>35000</v>
      </c>
      <c r="H464" s="285">
        <v>1</v>
      </c>
      <c r="K464" s="280">
        <v>35000</v>
      </c>
      <c r="M464" t="s">
        <v>2509</v>
      </c>
    </row>
    <row r="465" spans="1:13">
      <c r="A465" s="288">
        <v>464</v>
      </c>
      <c r="B465" s="278">
        <v>45801</v>
      </c>
      <c r="C465" s="285" t="s">
        <v>1030</v>
      </c>
      <c r="D465" s="279" t="s">
        <v>1901</v>
      </c>
      <c r="E465" s="285" t="s">
        <v>2290</v>
      </c>
      <c r="F465" s="285" t="s">
        <v>1901</v>
      </c>
      <c r="G465" s="280">
        <v>10000</v>
      </c>
      <c r="H465" s="285">
        <v>2</v>
      </c>
      <c r="I465" s="281">
        <v>8500</v>
      </c>
      <c r="K465" s="280">
        <v>20000</v>
      </c>
      <c r="M465" t="s">
        <v>2509</v>
      </c>
    </row>
    <row r="466" spans="1:13">
      <c r="A466" s="288">
        <v>465</v>
      </c>
      <c r="B466" s="278">
        <v>45801</v>
      </c>
      <c r="C466" s="285" t="s">
        <v>1590</v>
      </c>
      <c r="E466" s="285" t="s">
        <v>2396</v>
      </c>
      <c r="G466" s="280">
        <v>1600000</v>
      </c>
      <c r="H466" s="285">
        <v>1</v>
      </c>
      <c r="K466" s="280">
        <v>1600000</v>
      </c>
      <c r="M466" t="s">
        <v>2509</v>
      </c>
    </row>
    <row r="467" spans="1:13">
      <c r="A467" s="288">
        <v>466</v>
      </c>
      <c r="B467" s="278">
        <v>45801</v>
      </c>
      <c r="C467" s="285" t="s">
        <v>1590</v>
      </c>
      <c r="E467" s="285" t="s">
        <v>1816</v>
      </c>
      <c r="L467" s="280">
        <v>-1600000</v>
      </c>
    </row>
    <row r="468" spans="1:13">
      <c r="A468" s="288">
        <v>467</v>
      </c>
      <c r="B468" s="278">
        <v>45803</v>
      </c>
      <c r="C468" s="285" t="s">
        <v>1600</v>
      </c>
      <c r="E468" s="285" t="s">
        <v>1161</v>
      </c>
      <c r="L468" s="280">
        <v>-900000</v>
      </c>
    </row>
    <row r="469" spans="1:13">
      <c r="A469" s="288">
        <v>468</v>
      </c>
      <c r="B469" s="278">
        <v>45803</v>
      </c>
      <c r="C469" s="285" t="s">
        <v>2398</v>
      </c>
      <c r="D469" s="279" t="s">
        <v>1236</v>
      </c>
      <c r="E469" s="285" t="s">
        <v>2296</v>
      </c>
      <c r="F469" s="285" t="s">
        <v>1236</v>
      </c>
      <c r="G469" s="280">
        <v>1000000</v>
      </c>
      <c r="H469" s="285">
        <v>1</v>
      </c>
      <c r="J469" s="281">
        <v>100000</v>
      </c>
      <c r="K469" s="280">
        <v>1100000</v>
      </c>
      <c r="M469" t="s">
        <v>2509</v>
      </c>
    </row>
    <row r="470" spans="1:13">
      <c r="A470" s="288">
        <v>469</v>
      </c>
      <c r="B470" s="278">
        <v>45803</v>
      </c>
      <c r="C470" s="285" t="s">
        <v>2398</v>
      </c>
      <c r="E470" s="285" t="s">
        <v>1161</v>
      </c>
      <c r="L470" s="280">
        <v>-1100000</v>
      </c>
    </row>
    <row r="471" spans="1:13">
      <c r="A471" s="288">
        <v>470</v>
      </c>
      <c r="B471" s="278">
        <v>45803</v>
      </c>
      <c r="C471" s="285" t="s">
        <v>1183</v>
      </c>
      <c r="E471" s="285" t="s">
        <v>1161</v>
      </c>
      <c r="L471" s="280">
        <v>-2000000</v>
      </c>
    </row>
    <row r="472" spans="1:13">
      <c r="A472" s="288">
        <v>471</v>
      </c>
      <c r="B472" s="278">
        <v>45803</v>
      </c>
      <c r="C472" s="285" t="s">
        <v>1445</v>
      </c>
      <c r="E472" s="285" t="s">
        <v>1813</v>
      </c>
      <c r="G472" s="280">
        <v>650000</v>
      </c>
      <c r="H472" s="285">
        <v>1</v>
      </c>
      <c r="K472" s="280">
        <v>650000</v>
      </c>
      <c r="M472" t="s">
        <v>2509</v>
      </c>
    </row>
    <row r="473" spans="1:13">
      <c r="A473" s="288">
        <v>472</v>
      </c>
      <c r="B473" s="278">
        <v>45803</v>
      </c>
      <c r="C473" s="285" t="s">
        <v>1600</v>
      </c>
      <c r="E473" s="285" t="s">
        <v>1161</v>
      </c>
      <c r="L473" s="280">
        <v>-250000</v>
      </c>
    </row>
    <row r="474" spans="1:13">
      <c r="A474" s="288">
        <v>473</v>
      </c>
      <c r="B474" s="278">
        <v>45803</v>
      </c>
      <c r="C474" s="285" t="s">
        <v>1734</v>
      </c>
      <c r="E474" s="285" t="s">
        <v>1161</v>
      </c>
      <c r="L474" s="280">
        <v>-2550000</v>
      </c>
    </row>
    <row r="475" spans="1:13">
      <c r="A475" s="288">
        <v>474</v>
      </c>
      <c r="B475" s="278">
        <v>45803</v>
      </c>
      <c r="C475" s="285" t="s">
        <v>1027</v>
      </c>
      <c r="E475" s="285" t="s">
        <v>1161</v>
      </c>
      <c r="L475" s="280">
        <v>-1350000</v>
      </c>
    </row>
    <row r="476" spans="1:13">
      <c r="A476" s="288">
        <v>475</v>
      </c>
      <c r="B476" s="278">
        <v>45803</v>
      </c>
      <c r="C476" s="285" t="s">
        <v>1626</v>
      </c>
      <c r="D476" s="279" t="s">
        <v>1245</v>
      </c>
      <c r="E476" s="285" t="s">
        <v>2285</v>
      </c>
      <c r="F476" s="285" t="s">
        <v>1245</v>
      </c>
      <c r="G476" s="280">
        <v>517273</v>
      </c>
      <c r="H476" s="285">
        <v>1</v>
      </c>
      <c r="I476" s="281">
        <v>480000</v>
      </c>
      <c r="J476" s="281">
        <v>51727</v>
      </c>
      <c r="K476" s="280">
        <v>569000</v>
      </c>
      <c r="M476" t="s">
        <v>2509</v>
      </c>
    </row>
    <row r="477" spans="1:13">
      <c r="A477" s="288">
        <v>476</v>
      </c>
      <c r="B477" s="278">
        <v>45803</v>
      </c>
      <c r="C477" s="285" t="s">
        <v>1626</v>
      </c>
      <c r="D477" s="279">
        <v>50229</v>
      </c>
      <c r="E477" s="285" t="s">
        <v>2288</v>
      </c>
      <c r="F477" s="285">
        <v>50229</v>
      </c>
      <c r="G477" s="280">
        <v>72728</v>
      </c>
      <c r="H477" s="285">
        <v>1</v>
      </c>
      <c r="J477" s="281">
        <v>7272.8</v>
      </c>
      <c r="K477" s="280">
        <v>80000</v>
      </c>
      <c r="M477" t="s">
        <v>2509</v>
      </c>
    </row>
    <row r="478" spans="1:13">
      <c r="A478" s="288">
        <v>477</v>
      </c>
      <c r="B478" s="278">
        <v>45803</v>
      </c>
      <c r="C478" s="285" t="s">
        <v>1626</v>
      </c>
      <c r="D478" s="279" t="s">
        <v>1871</v>
      </c>
      <c r="E478" s="285" t="s">
        <v>2289</v>
      </c>
      <c r="F478" s="285" t="s">
        <v>1871</v>
      </c>
      <c r="G478" s="280">
        <v>32000</v>
      </c>
      <c r="H478" s="285">
        <v>1</v>
      </c>
      <c r="I478" s="281">
        <v>16000</v>
      </c>
      <c r="J478" s="281">
        <v>3200</v>
      </c>
      <c r="K478" s="280">
        <v>35000</v>
      </c>
      <c r="M478" t="s">
        <v>2509</v>
      </c>
    </row>
    <row r="479" spans="1:13">
      <c r="A479" s="288">
        <v>478</v>
      </c>
      <c r="B479" s="278">
        <v>45803</v>
      </c>
      <c r="C479" s="285" t="s">
        <v>2414</v>
      </c>
      <c r="D479" s="279" t="s">
        <v>1822</v>
      </c>
      <c r="E479" s="285" t="s">
        <v>2406</v>
      </c>
      <c r="F479" s="285" t="s">
        <v>1822</v>
      </c>
      <c r="G479" s="280">
        <v>650000</v>
      </c>
      <c r="H479" s="285">
        <v>1</v>
      </c>
      <c r="J479" s="281">
        <v>65000</v>
      </c>
      <c r="K479" s="280">
        <v>715000</v>
      </c>
      <c r="M479" t="s">
        <v>2509</v>
      </c>
    </row>
    <row r="480" spans="1:13">
      <c r="A480" s="288">
        <v>479</v>
      </c>
      <c r="B480" s="278">
        <v>45803</v>
      </c>
      <c r="C480" s="285" t="s">
        <v>2414</v>
      </c>
      <c r="E480" s="285" t="s">
        <v>1542</v>
      </c>
      <c r="G480" s="280">
        <v>350000</v>
      </c>
      <c r="H480" s="285">
        <v>1</v>
      </c>
      <c r="J480" s="281">
        <v>35000</v>
      </c>
      <c r="K480" s="280">
        <v>385000</v>
      </c>
      <c r="M480" t="s">
        <v>2509</v>
      </c>
    </row>
    <row r="481" spans="1:13">
      <c r="A481" s="288">
        <v>480</v>
      </c>
      <c r="B481" s="278">
        <v>45803</v>
      </c>
      <c r="C481" s="285" t="s">
        <v>1030</v>
      </c>
      <c r="D481" s="279" t="s">
        <v>1303</v>
      </c>
      <c r="E481" s="285" t="s">
        <v>2286</v>
      </c>
      <c r="F481" s="285" t="s">
        <v>1303</v>
      </c>
      <c r="G481" s="280">
        <v>130000</v>
      </c>
      <c r="H481" s="285">
        <v>2</v>
      </c>
      <c r="I481" s="281">
        <v>90000</v>
      </c>
      <c r="K481" s="280">
        <v>260000</v>
      </c>
      <c r="M481" t="s">
        <v>2509</v>
      </c>
    </row>
    <row r="482" spans="1:13">
      <c r="A482" s="288">
        <v>481</v>
      </c>
      <c r="B482" s="278">
        <v>45803</v>
      </c>
      <c r="C482" s="285" t="s">
        <v>1734</v>
      </c>
      <c r="E482" s="285" t="s">
        <v>1542</v>
      </c>
      <c r="G482" s="280">
        <v>350000</v>
      </c>
      <c r="H482" s="285">
        <v>1</v>
      </c>
      <c r="J482" s="281">
        <v>35000</v>
      </c>
      <c r="K482" s="280">
        <v>385000</v>
      </c>
      <c r="M482" t="s">
        <v>2509</v>
      </c>
    </row>
    <row r="483" spans="1:13">
      <c r="A483" s="288">
        <v>482</v>
      </c>
      <c r="B483" s="278">
        <v>45804</v>
      </c>
      <c r="C483" s="285" t="s">
        <v>1946</v>
      </c>
      <c r="E483" s="285" t="s">
        <v>1161</v>
      </c>
      <c r="L483" s="280">
        <v>-2450000</v>
      </c>
    </row>
    <row r="484" spans="1:13">
      <c r="A484" s="288">
        <v>483</v>
      </c>
      <c r="B484" s="278">
        <v>45803</v>
      </c>
      <c r="C484" s="285" t="s">
        <v>1635</v>
      </c>
      <c r="D484" s="279" t="s">
        <v>1254</v>
      </c>
      <c r="E484" s="285" t="s">
        <v>2276</v>
      </c>
      <c r="F484" s="285" t="s">
        <v>1510</v>
      </c>
      <c r="G484" s="280">
        <v>1500000</v>
      </c>
      <c r="H484" s="285">
        <v>1</v>
      </c>
      <c r="J484" s="281">
        <v>150000</v>
      </c>
      <c r="K484" s="280">
        <v>1650000</v>
      </c>
      <c r="M484" t="s">
        <v>2509</v>
      </c>
    </row>
    <row r="485" spans="1:13">
      <c r="A485" s="288">
        <v>484</v>
      </c>
      <c r="B485" s="278">
        <v>45804</v>
      </c>
      <c r="C485" s="285" t="s">
        <v>2414</v>
      </c>
      <c r="E485" s="285" t="s">
        <v>1161</v>
      </c>
      <c r="L485" s="280">
        <v>-1100000</v>
      </c>
    </row>
    <row r="486" spans="1:13">
      <c r="A486" s="288">
        <v>485</v>
      </c>
      <c r="B486" s="278">
        <v>45804</v>
      </c>
      <c r="C486" s="285" t="s">
        <v>1734</v>
      </c>
      <c r="E486" s="285" t="s">
        <v>1161</v>
      </c>
      <c r="L486" s="280">
        <v>-35000</v>
      </c>
    </row>
    <row r="487" spans="1:13">
      <c r="A487" s="288">
        <v>486</v>
      </c>
      <c r="B487" s="278">
        <v>45804</v>
      </c>
      <c r="C487" s="285" t="s">
        <v>1525</v>
      </c>
      <c r="D487" s="279">
        <v>501220639</v>
      </c>
      <c r="E487" s="285" t="s">
        <v>1831</v>
      </c>
      <c r="F487" s="285">
        <v>501220639</v>
      </c>
      <c r="G487" s="280">
        <v>350000</v>
      </c>
      <c r="H487" s="285">
        <v>1</v>
      </c>
      <c r="I487" s="281">
        <v>250000</v>
      </c>
      <c r="K487" s="280">
        <v>350000</v>
      </c>
      <c r="M487" t="s">
        <v>2509</v>
      </c>
    </row>
    <row r="488" spans="1:13">
      <c r="A488" s="288">
        <v>487</v>
      </c>
      <c r="B488" s="278">
        <v>45796</v>
      </c>
      <c r="C488" s="285" t="s">
        <v>1629</v>
      </c>
      <c r="E488" s="285" t="s">
        <v>1161</v>
      </c>
      <c r="L488" s="280">
        <v>-549000</v>
      </c>
    </row>
    <row r="489" spans="1:13">
      <c r="A489" s="288">
        <v>488</v>
      </c>
      <c r="B489" s="278">
        <v>45804</v>
      </c>
      <c r="C489" s="285" t="s">
        <v>1790</v>
      </c>
      <c r="E489" s="285" t="s">
        <v>1814</v>
      </c>
      <c r="G489" s="280">
        <v>1550000</v>
      </c>
      <c r="H489" s="285">
        <v>1</v>
      </c>
      <c r="K489" s="280">
        <v>1550000</v>
      </c>
      <c r="M489" t="s">
        <v>2509</v>
      </c>
    </row>
    <row r="490" spans="1:13">
      <c r="A490" s="288">
        <v>489</v>
      </c>
      <c r="B490" s="278">
        <v>45804</v>
      </c>
      <c r="C490" s="285" t="s">
        <v>1626</v>
      </c>
      <c r="E490" s="285" t="s">
        <v>1581</v>
      </c>
      <c r="G490" s="280">
        <v>450000</v>
      </c>
      <c r="H490" s="285">
        <v>1</v>
      </c>
      <c r="J490" s="281">
        <v>45000</v>
      </c>
      <c r="K490" s="280">
        <v>495000</v>
      </c>
      <c r="M490" t="s">
        <v>2509</v>
      </c>
    </row>
    <row r="491" spans="1:13">
      <c r="A491" s="288">
        <v>490</v>
      </c>
      <c r="B491" s="278">
        <v>45804</v>
      </c>
      <c r="C491" s="285" t="s">
        <v>1866</v>
      </c>
      <c r="E491" s="285" t="s">
        <v>1161</v>
      </c>
      <c r="L491" s="280">
        <v>-1229000</v>
      </c>
    </row>
    <row r="492" spans="1:13">
      <c r="A492" s="288">
        <v>491</v>
      </c>
      <c r="B492" s="278">
        <v>45804</v>
      </c>
      <c r="C492" s="285" t="s">
        <v>1069</v>
      </c>
      <c r="E492" s="285" t="s">
        <v>1161</v>
      </c>
      <c r="L492" s="280">
        <v>-1200000</v>
      </c>
    </row>
    <row r="493" spans="1:13">
      <c r="A493" s="288">
        <v>492</v>
      </c>
      <c r="B493" s="278">
        <v>45804</v>
      </c>
      <c r="C493" s="285" t="s">
        <v>1418</v>
      </c>
      <c r="E493" s="285" t="s">
        <v>1813</v>
      </c>
      <c r="G493" s="280">
        <v>650000</v>
      </c>
      <c r="H493" s="285">
        <v>1</v>
      </c>
      <c r="K493" s="280">
        <v>650000</v>
      </c>
      <c r="M493" t="s">
        <v>2509</v>
      </c>
    </row>
    <row r="494" spans="1:13">
      <c r="A494" s="288">
        <v>493</v>
      </c>
      <c r="B494" s="278">
        <v>45804</v>
      </c>
      <c r="C494" s="285" t="s">
        <v>1587</v>
      </c>
      <c r="E494" s="285" t="s">
        <v>1167</v>
      </c>
      <c r="G494" s="280">
        <v>1000000</v>
      </c>
      <c r="H494" s="285">
        <v>1</v>
      </c>
      <c r="K494" s="280">
        <v>1000000</v>
      </c>
      <c r="M494" t="s">
        <v>2509</v>
      </c>
    </row>
    <row r="495" spans="1:13">
      <c r="A495" s="288">
        <v>494</v>
      </c>
      <c r="B495" s="278">
        <v>45804</v>
      </c>
      <c r="C495" s="285" t="s">
        <v>1587</v>
      </c>
      <c r="E495" s="285" t="s">
        <v>2424</v>
      </c>
      <c r="L495" s="280">
        <v>-50000</v>
      </c>
      <c r="M495" t="s">
        <v>2509</v>
      </c>
    </row>
    <row r="496" spans="1:13">
      <c r="A496" s="288">
        <v>495</v>
      </c>
      <c r="B496" s="278">
        <v>45805</v>
      </c>
      <c r="C496" s="285" t="s">
        <v>2245</v>
      </c>
      <c r="E496" s="285" t="s">
        <v>1940</v>
      </c>
      <c r="F496" s="285">
        <v>2800801</v>
      </c>
      <c r="G496" s="280">
        <v>150000</v>
      </c>
      <c r="H496" s="285">
        <v>3</v>
      </c>
      <c r="K496" s="281">
        <v>450000</v>
      </c>
      <c r="M496" t="s">
        <v>2509</v>
      </c>
    </row>
    <row r="497" spans="1:13">
      <c r="A497" s="288">
        <v>496</v>
      </c>
      <c r="B497" s="278">
        <v>45805</v>
      </c>
      <c r="C497" s="285" t="s">
        <v>1445</v>
      </c>
      <c r="E497" s="285" t="s">
        <v>2426</v>
      </c>
      <c r="G497" s="280">
        <v>1200000</v>
      </c>
      <c r="H497" s="285">
        <v>1</v>
      </c>
      <c r="K497" s="281">
        <v>1200000</v>
      </c>
      <c r="M497" t="s">
        <v>2509</v>
      </c>
    </row>
    <row r="498" spans="1:13">
      <c r="A498" s="288">
        <v>497</v>
      </c>
      <c r="B498" s="278">
        <v>45805</v>
      </c>
      <c r="C498" s="285" t="s">
        <v>1817</v>
      </c>
      <c r="E498" s="285" t="s">
        <v>1161</v>
      </c>
      <c r="H498" s="61"/>
      <c r="L498" s="280">
        <v>-2332000</v>
      </c>
    </row>
    <row r="499" spans="1:13">
      <c r="A499" s="288">
        <v>498</v>
      </c>
      <c r="B499" s="278">
        <v>45805</v>
      </c>
      <c r="C499" s="285" t="s">
        <v>1635</v>
      </c>
      <c r="E499" s="285" t="s">
        <v>1161</v>
      </c>
      <c r="L499" s="280">
        <v>-1650000</v>
      </c>
    </row>
    <row r="500" spans="1:13">
      <c r="A500" s="288">
        <v>499</v>
      </c>
      <c r="B500" s="278">
        <v>45805</v>
      </c>
      <c r="C500" s="285" t="s">
        <v>1979</v>
      </c>
      <c r="E500" s="285" t="s">
        <v>2428</v>
      </c>
      <c r="G500" s="280">
        <v>200000</v>
      </c>
      <c r="H500" s="285">
        <v>1</v>
      </c>
      <c r="K500" s="281">
        <v>200000</v>
      </c>
      <c r="M500" t="s">
        <v>2509</v>
      </c>
    </row>
    <row r="501" spans="1:13">
      <c r="A501" s="288">
        <v>500</v>
      </c>
      <c r="B501" s="278">
        <v>45805</v>
      </c>
      <c r="C501" s="285" t="s">
        <v>1069</v>
      </c>
      <c r="E501" s="285" t="s">
        <v>2129</v>
      </c>
      <c r="G501" s="280">
        <v>800000</v>
      </c>
      <c r="H501" s="285">
        <v>1</v>
      </c>
      <c r="K501" s="281">
        <v>800000</v>
      </c>
      <c r="M501" t="s">
        <v>2509</v>
      </c>
    </row>
    <row r="502" spans="1:13">
      <c r="A502" s="288">
        <v>501</v>
      </c>
      <c r="B502" s="278">
        <v>45805</v>
      </c>
      <c r="C502" s="285" t="s">
        <v>2427</v>
      </c>
      <c r="E502" s="285" t="s">
        <v>2296</v>
      </c>
      <c r="F502" s="285">
        <v>927769</v>
      </c>
      <c r="G502" s="280">
        <v>1000000</v>
      </c>
      <c r="H502" s="285">
        <v>1</v>
      </c>
      <c r="J502" s="281">
        <v>100000</v>
      </c>
      <c r="K502" s="281">
        <v>1100000</v>
      </c>
      <c r="M502" t="s">
        <v>2509</v>
      </c>
    </row>
    <row r="503" spans="1:13">
      <c r="A503" s="288">
        <v>502</v>
      </c>
      <c r="B503" s="278">
        <v>45805</v>
      </c>
      <c r="C503" s="285" t="s">
        <v>2427</v>
      </c>
      <c r="E503" s="285" t="s">
        <v>1161</v>
      </c>
      <c r="L503" s="280">
        <v>-1100000</v>
      </c>
    </row>
    <row r="504" spans="1:13">
      <c r="A504" s="288">
        <v>503</v>
      </c>
      <c r="B504" s="278">
        <v>45805</v>
      </c>
      <c r="C504" s="285" t="s">
        <v>2429</v>
      </c>
      <c r="E504" s="285" t="s">
        <v>1785</v>
      </c>
      <c r="F504" s="285">
        <v>2800802</v>
      </c>
      <c r="G504" s="280">
        <v>200000</v>
      </c>
      <c r="H504" s="285">
        <v>1</v>
      </c>
      <c r="K504" s="281">
        <v>200000</v>
      </c>
      <c r="M504" t="s">
        <v>2509</v>
      </c>
    </row>
    <row r="505" spans="1:13">
      <c r="A505" s="288">
        <v>504</v>
      </c>
      <c r="B505" s="278">
        <v>45805</v>
      </c>
      <c r="C505" s="285" t="s">
        <v>1979</v>
      </c>
      <c r="E505" s="285" t="s">
        <v>1161</v>
      </c>
      <c r="L505" s="280">
        <v>-200000</v>
      </c>
    </row>
    <row r="506" spans="1:13">
      <c r="A506" s="288">
        <v>505</v>
      </c>
      <c r="B506" s="278">
        <v>45805</v>
      </c>
      <c r="C506" s="285" t="s">
        <v>2382</v>
      </c>
      <c r="E506" s="285" t="s">
        <v>1161</v>
      </c>
      <c r="L506" s="280">
        <v>-275000</v>
      </c>
    </row>
    <row r="507" spans="1:13">
      <c r="A507" s="288">
        <v>506</v>
      </c>
      <c r="B507" s="278">
        <v>45805</v>
      </c>
      <c r="C507" s="285" t="s">
        <v>2429</v>
      </c>
      <c r="E507" s="285" t="s">
        <v>1161</v>
      </c>
      <c r="L507" s="280">
        <v>-200000</v>
      </c>
    </row>
    <row r="508" spans="1:13">
      <c r="A508" s="288">
        <v>507</v>
      </c>
      <c r="B508" s="278">
        <v>45800</v>
      </c>
      <c r="C508" s="285" t="s">
        <v>1817</v>
      </c>
      <c r="E508" s="285" t="s">
        <v>2406</v>
      </c>
      <c r="G508" s="280">
        <v>650000</v>
      </c>
      <c r="H508" s="61">
        <v>1</v>
      </c>
      <c r="J508" s="281">
        <v>65000</v>
      </c>
      <c r="K508" s="280">
        <v>715000</v>
      </c>
      <c r="M508" t="s">
        <v>2509</v>
      </c>
    </row>
    <row r="509" spans="1:13">
      <c r="A509" s="288">
        <v>508</v>
      </c>
      <c r="B509" s="278">
        <v>45800</v>
      </c>
      <c r="C509" s="285" t="s">
        <v>1817</v>
      </c>
      <c r="E509" s="285" t="s">
        <v>1542</v>
      </c>
      <c r="G509" s="285">
        <v>350000</v>
      </c>
      <c r="H509" s="61">
        <v>1</v>
      </c>
      <c r="J509" s="287">
        <v>35000</v>
      </c>
      <c r="K509" s="287">
        <v>385000</v>
      </c>
      <c r="M509" t="s">
        <v>2509</v>
      </c>
    </row>
    <row r="510" spans="1:13">
      <c r="A510" s="288">
        <v>509</v>
      </c>
      <c r="B510" s="278">
        <v>45800</v>
      </c>
      <c r="C510" s="285" t="s">
        <v>1817</v>
      </c>
      <c r="E510" s="285" t="s">
        <v>1565</v>
      </c>
      <c r="G510" s="285">
        <v>20000</v>
      </c>
      <c r="H510" s="61">
        <v>1</v>
      </c>
      <c r="J510" s="287">
        <v>2000</v>
      </c>
      <c r="K510" s="287">
        <v>22000</v>
      </c>
      <c r="M510" t="s">
        <v>2509</v>
      </c>
    </row>
    <row r="511" spans="1:13">
      <c r="A511" s="288">
        <v>510</v>
      </c>
      <c r="B511" s="278">
        <v>45806</v>
      </c>
      <c r="C511" s="285" t="s">
        <v>1437</v>
      </c>
      <c r="E511" s="285" t="s">
        <v>2665</v>
      </c>
      <c r="G511" s="280">
        <v>498000</v>
      </c>
      <c r="H511" s="285">
        <v>1</v>
      </c>
      <c r="K511" s="280">
        <v>498000</v>
      </c>
      <c r="M511" t="s">
        <v>2509</v>
      </c>
    </row>
    <row r="512" spans="1:13">
      <c r="A512" s="288">
        <v>511</v>
      </c>
      <c r="B512" s="278">
        <v>45806</v>
      </c>
      <c r="C512" s="285" t="s">
        <v>1445</v>
      </c>
      <c r="E512" s="285" t="s">
        <v>2113</v>
      </c>
      <c r="F512" s="285" t="s">
        <v>1258</v>
      </c>
      <c r="G512" s="280">
        <v>1500000</v>
      </c>
      <c r="H512" s="285">
        <v>1</v>
      </c>
      <c r="K512" s="280">
        <v>1500000</v>
      </c>
      <c r="M512" t="s">
        <v>2509</v>
      </c>
    </row>
    <row r="513" spans="1:13">
      <c r="A513" s="288">
        <v>512</v>
      </c>
      <c r="B513" s="278">
        <v>45807</v>
      </c>
      <c r="C513" s="285" t="s">
        <v>1587</v>
      </c>
      <c r="E513" s="285" t="s">
        <v>1161</v>
      </c>
      <c r="L513" s="280">
        <v>-3400000</v>
      </c>
    </row>
    <row r="514" spans="1:13">
      <c r="A514" s="288">
        <v>513</v>
      </c>
      <c r="B514" s="278">
        <v>45807</v>
      </c>
      <c r="C514" s="285" t="s">
        <v>2466</v>
      </c>
      <c r="E514" s="285" t="s">
        <v>2467</v>
      </c>
      <c r="F514" s="287">
        <v>2800802</v>
      </c>
      <c r="G514" s="280">
        <v>200000</v>
      </c>
      <c r="H514" s="285">
        <v>1</v>
      </c>
      <c r="J514" s="281">
        <v>20000</v>
      </c>
      <c r="K514" s="280">
        <v>220000</v>
      </c>
      <c r="M514" t="s">
        <v>2509</v>
      </c>
    </row>
    <row r="515" spans="1:13">
      <c r="A515" s="288">
        <v>514</v>
      </c>
      <c r="B515" s="278">
        <v>45807</v>
      </c>
      <c r="C515" s="285" t="s">
        <v>1069</v>
      </c>
      <c r="E515" s="285" t="s">
        <v>1241</v>
      </c>
      <c r="F515" s="285" t="s">
        <v>1822</v>
      </c>
      <c r="G515" s="280">
        <v>1200000</v>
      </c>
      <c r="H515" s="285">
        <v>1</v>
      </c>
      <c r="K515" s="280">
        <v>1200000</v>
      </c>
      <c r="M515" t="s">
        <v>2509</v>
      </c>
    </row>
    <row r="516" spans="1:13">
      <c r="A516" s="288">
        <v>515</v>
      </c>
      <c r="B516" s="278">
        <v>45807</v>
      </c>
      <c r="C516" s="285" t="s">
        <v>2600</v>
      </c>
      <c r="E516" s="285" t="s">
        <v>2436</v>
      </c>
      <c r="F516" s="285" t="s">
        <v>2435</v>
      </c>
      <c r="G516" s="280">
        <v>900000</v>
      </c>
      <c r="H516" s="285">
        <v>1</v>
      </c>
      <c r="J516" s="281">
        <v>90000</v>
      </c>
      <c r="K516" s="280">
        <v>990000</v>
      </c>
      <c r="M516" t="s">
        <v>2509</v>
      </c>
    </row>
    <row r="517" spans="1:13">
      <c r="A517" s="288">
        <v>516</v>
      </c>
      <c r="B517" s="278">
        <v>45807</v>
      </c>
      <c r="C517" s="285" t="s">
        <v>2195</v>
      </c>
      <c r="E517" s="285" t="s">
        <v>1241</v>
      </c>
      <c r="F517" s="285" t="s">
        <v>1822</v>
      </c>
      <c r="G517" s="280">
        <v>1200000</v>
      </c>
      <c r="H517" s="285">
        <v>1</v>
      </c>
      <c r="K517" s="280">
        <v>1200000</v>
      </c>
      <c r="M517" t="s">
        <v>2509</v>
      </c>
    </row>
    <row r="518" spans="1:13">
      <c r="A518" s="288">
        <v>517</v>
      </c>
      <c r="B518" s="278">
        <v>45807</v>
      </c>
      <c r="C518" s="285" t="s">
        <v>2195</v>
      </c>
      <c r="E518" s="285" t="s">
        <v>2446</v>
      </c>
      <c r="G518" s="280">
        <v>350000</v>
      </c>
      <c r="H518" s="285">
        <v>1</v>
      </c>
      <c r="K518" s="280">
        <v>350000</v>
      </c>
      <c r="M518" t="s">
        <v>2509</v>
      </c>
    </row>
    <row r="519" spans="1:13">
      <c r="A519" s="288">
        <v>518</v>
      </c>
      <c r="B519" s="278">
        <v>45807</v>
      </c>
      <c r="C519" s="285" t="s">
        <v>1817</v>
      </c>
      <c r="E519" s="285" t="s">
        <v>1161</v>
      </c>
      <c r="H519" s="61"/>
      <c r="L519" s="280">
        <v>-1122000</v>
      </c>
    </row>
    <row r="520" spans="1:13">
      <c r="A520" s="288">
        <v>520</v>
      </c>
      <c r="B520" s="278">
        <v>45808</v>
      </c>
      <c r="C520" s="285" t="s">
        <v>2208</v>
      </c>
      <c r="E520" s="285" t="s">
        <v>1161</v>
      </c>
      <c r="L520" s="280">
        <v>-660000</v>
      </c>
    </row>
    <row r="521" spans="1:13">
      <c r="A521" s="288">
        <v>521</v>
      </c>
      <c r="B521" s="278">
        <v>45808</v>
      </c>
      <c r="C521" s="285" t="s">
        <v>1281</v>
      </c>
      <c r="E521" s="285" t="s">
        <v>2453</v>
      </c>
      <c r="G521" s="280">
        <v>150000</v>
      </c>
      <c r="H521" s="285">
        <v>1</v>
      </c>
      <c r="K521" s="280">
        <v>150000</v>
      </c>
      <c r="M521" t="s">
        <v>2509</v>
      </c>
    </row>
    <row r="522" spans="1:13">
      <c r="A522" s="288">
        <v>522</v>
      </c>
      <c r="B522" s="278">
        <v>45808</v>
      </c>
      <c r="C522" s="285" t="s">
        <v>1351</v>
      </c>
      <c r="E522" s="285" t="s">
        <v>2276</v>
      </c>
      <c r="F522" s="285" t="s">
        <v>1510</v>
      </c>
      <c r="G522" s="280">
        <v>1500000</v>
      </c>
      <c r="H522" s="285">
        <v>1</v>
      </c>
      <c r="K522" s="280">
        <v>1500000</v>
      </c>
      <c r="M522" t="s">
        <v>2509</v>
      </c>
    </row>
    <row r="523" spans="1:13">
      <c r="A523" s="288">
        <v>523</v>
      </c>
      <c r="B523" s="278">
        <v>45808</v>
      </c>
      <c r="C523" s="285" t="s">
        <v>1629</v>
      </c>
      <c r="E523" s="285" t="s">
        <v>2144</v>
      </c>
      <c r="L523" s="280">
        <v>-2200000</v>
      </c>
    </row>
    <row r="524" spans="1:13">
      <c r="A524" s="288">
        <v>524</v>
      </c>
      <c r="B524" s="278">
        <v>45808</v>
      </c>
      <c r="C524" s="285" t="s">
        <v>1418</v>
      </c>
      <c r="E524" s="285" t="s">
        <v>1161</v>
      </c>
      <c r="L524" s="280">
        <v>-650000</v>
      </c>
    </row>
    <row r="525" spans="1:13">
      <c r="A525" s="288">
        <v>525</v>
      </c>
      <c r="B525" s="278">
        <v>45808</v>
      </c>
      <c r="C525" s="285" t="s">
        <v>2464</v>
      </c>
      <c r="E525" s="285" t="s">
        <v>2465</v>
      </c>
      <c r="F525" s="287">
        <v>1068298044</v>
      </c>
      <c r="G525" s="280">
        <v>400000</v>
      </c>
      <c r="H525" s="285">
        <v>1</v>
      </c>
      <c r="K525" s="280">
        <v>400000</v>
      </c>
      <c r="M525" t="s">
        <v>2509</v>
      </c>
    </row>
    <row r="526" spans="1:13">
      <c r="A526" s="288">
        <v>526</v>
      </c>
      <c r="B526" s="278">
        <v>45808</v>
      </c>
      <c r="C526" s="285" t="s">
        <v>1626</v>
      </c>
      <c r="E526" s="285" t="s">
        <v>1816</v>
      </c>
      <c r="L526" s="280">
        <v>-1179000</v>
      </c>
    </row>
    <row r="527" spans="1:13">
      <c r="A527" s="288">
        <v>527</v>
      </c>
      <c r="B527" s="278">
        <v>45808</v>
      </c>
      <c r="C527" s="285" t="s">
        <v>1498</v>
      </c>
      <c r="E527" s="285" t="s">
        <v>1816</v>
      </c>
      <c r="L527" s="280">
        <v>-1815000</v>
      </c>
    </row>
    <row r="528" spans="1:13">
      <c r="A528" s="288">
        <v>528</v>
      </c>
      <c r="B528" s="278">
        <v>45808</v>
      </c>
      <c r="C528" s="285" t="s">
        <v>2441</v>
      </c>
      <c r="E528" s="285" t="s">
        <v>1816</v>
      </c>
      <c r="L528" s="280">
        <v>-220000</v>
      </c>
    </row>
    <row r="529" spans="1:12">
      <c r="A529" s="288">
        <v>529</v>
      </c>
      <c r="B529" s="278">
        <v>45808</v>
      </c>
      <c r="C529" s="285" t="s">
        <v>1437</v>
      </c>
      <c r="E529" s="285" t="s">
        <v>1816</v>
      </c>
      <c r="L529" s="280">
        <v>-498000</v>
      </c>
    </row>
    <row r="530" spans="1:12">
      <c r="A530" s="288">
        <v>530</v>
      </c>
      <c r="B530" s="278">
        <v>45809</v>
      </c>
      <c r="C530" s="285" t="s">
        <v>1525</v>
      </c>
      <c r="E530" s="285" t="s">
        <v>1816</v>
      </c>
      <c r="L530" s="280">
        <v>-2000000</v>
      </c>
    </row>
    <row r="531" spans="1:12">
      <c r="A531" s="288">
        <v>531</v>
      </c>
      <c r="B531" s="278">
        <v>45810</v>
      </c>
      <c r="C531" s="285" t="s">
        <v>1351</v>
      </c>
      <c r="E531" s="285" t="s">
        <v>1161</v>
      </c>
      <c r="L531" s="280">
        <v>-1500000</v>
      </c>
    </row>
    <row r="532" spans="1:12">
      <c r="A532" s="288">
        <v>532</v>
      </c>
      <c r="B532" s="278">
        <v>45810</v>
      </c>
      <c r="C532" s="285" t="s">
        <v>2476</v>
      </c>
      <c r="E532" s="285" t="s">
        <v>2477</v>
      </c>
      <c r="F532" s="285" t="s">
        <v>2478</v>
      </c>
      <c r="G532" s="280">
        <v>1000000</v>
      </c>
      <c r="H532" s="285">
        <v>1</v>
      </c>
      <c r="K532" s="280">
        <v>1000000</v>
      </c>
    </row>
    <row r="533" spans="1:12">
      <c r="A533" s="288">
        <v>533</v>
      </c>
      <c r="B533" s="278">
        <v>45810</v>
      </c>
      <c r="C533" s="285" t="s">
        <v>1587</v>
      </c>
      <c r="E533" s="285" t="s">
        <v>1310</v>
      </c>
      <c r="F533" s="285" t="s">
        <v>1309</v>
      </c>
      <c r="G533" s="280">
        <v>50000</v>
      </c>
      <c r="H533" s="285">
        <v>2</v>
      </c>
      <c r="K533" s="280">
        <v>100000</v>
      </c>
    </row>
    <row r="534" spans="1:12">
      <c r="A534" s="288">
        <v>534</v>
      </c>
      <c r="B534" s="278">
        <v>45810</v>
      </c>
      <c r="C534" s="285" t="s">
        <v>2398</v>
      </c>
      <c r="E534" s="285" t="s">
        <v>2285</v>
      </c>
      <c r="F534" s="285" t="s">
        <v>1245</v>
      </c>
      <c r="G534" s="280">
        <v>517273</v>
      </c>
      <c r="H534" s="285">
        <v>1</v>
      </c>
      <c r="J534" s="281">
        <v>51727</v>
      </c>
      <c r="K534" s="280">
        <v>569000</v>
      </c>
    </row>
    <row r="535" spans="1:12">
      <c r="A535" s="288">
        <v>535</v>
      </c>
      <c r="B535" s="278">
        <v>45810</v>
      </c>
      <c r="C535" s="285" t="s">
        <v>2398</v>
      </c>
      <c r="E535" s="285" t="s">
        <v>2288</v>
      </c>
      <c r="F535" s="285">
        <v>50229</v>
      </c>
      <c r="G535" s="280">
        <v>70000</v>
      </c>
      <c r="H535" s="285">
        <v>1</v>
      </c>
      <c r="J535" s="281">
        <v>7000</v>
      </c>
      <c r="K535" s="280">
        <v>77000</v>
      </c>
    </row>
    <row r="536" spans="1:12">
      <c r="A536" s="288">
        <v>536</v>
      </c>
      <c r="B536" s="278">
        <v>45810</v>
      </c>
      <c r="C536" s="285" t="s">
        <v>2398</v>
      </c>
      <c r="E536" s="285" t="s">
        <v>1161</v>
      </c>
      <c r="L536" s="280">
        <v>-646000</v>
      </c>
    </row>
    <row r="537" spans="1:12">
      <c r="A537" s="288">
        <v>537</v>
      </c>
      <c r="B537" s="278">
        <v>45810</v>
      </c>
      <c r="C537" s="285" t="s">
        <v>1502</v>
      </c>
      <c r="E537" s="285" t="s">
        <v>1785</v>
      </c>
      <c r="F537" s="285">
        <v>2800802</v>
      </c>
      <c r="G537" s="280">
        <v>150000</v>
      </c>
      <c r="H537" s="285">
        <v>1</v>
      </c>
      <c r="K537" s="280">
        <v>150000</v>
      </c>
    </row>
    <row r="538" spans="1:12">
      <c r="A538" s="288">
        <v>538</v>
      </c>
      <c r="B538" s="278">
        <v>45810</v>
      </c>
      <c r="C538" s="285" t="s">
        <v>1445</v>
      </c>
      <c r="E538" s="285" t="s">
        <v>1161</v>
      </c>
      <c r="L538" s="280">
        <v>-10907000</v>
      </c>
    </row>
    <row r="539" spans="1:12">
      <c r="A539" s="288">
        <v>539</v>
      </c>
      <c r="B539" s="278">
        <v>45810</v>
      </c>
      <c r="C539" s="285" t="s">
        <v>1587</v>
      </c>
      <c r="E539" s="285" t="s">
        <v>1241</v>
      </c>
      <c r="F539" s="285" t="s">
        <v>1822</v>
      </c>
      <c r="G539" s="280">
        <v>1200000</v>
      </c>
      <c r="H539" s="285">
        <v>1</v>
      </c>
      <c r="K539" s="280">
        <v>1200000</v>
      </c>
    </row>
    <row r="540" spans="1:12">
      <c r="A540" s="288">
        <v>540</v>
      </c>
      <c r="B540" s="278">
        <v>45810</v>
      </c>
      <c r="C540" s="285" t="s">
        <v>1587</v>
      </c>
      <c r="E540" s="285" t="s">
        <v>1542</v>
      </c>
      <c r="G540" s="280">
        <v>350000</v>
      </c>
      <c r="H540" s="285">
        <v>1</v>
      </c>
      <c r="K540" s="280">
        <v>350000</v>
      </c>
    </row>
    <row r="541" spans="1:12">
      <c r="A541" s="288">
        <v>541</v>
      </c>
      <c r="B541" s="278">
        <v>45810</v>
      </c>
      <c r="C541" s="285" t="s">
        <v>1587</v>
      </c>
      <c r="E541" s="285" t="s">
        <v>1770</v>
      </c>
      <c r="F541" s="285">
        <v>7252703114</v>
      </c>
      <c r="G541" s="280">
        <v>129000</v>
      </c>
      <c r="H541" s="285">
        <v>1</v>
      </c>
      <c r="K541" s="280">
        <v>129000</v>
      </c>
    </row>
    <row r="542" spans="1:12">
      <c r="A542" s="288">
        <v>542</v>
      </c>
      <c r="B542" s="278">
        <v>45810</v>
      </c>
      <c r="C542" s="285" t="s">
        <v>2361</v>
      </c>
      <c r="E542" s="285" t="s">
        <v>2295</v>
      </c>
      <c r="G542" s="280">
        <v>1500000</v>
      </c>
      <c r="H542" s="285">
        <v>1</v>
      </c>
      <c r="K542" s="280">
        <v>1500000</v>
      </c>
    </row>
    <row r="543" spans="1:12">
      <c r="A543" s="288">
        <v>543</v>
      </c>
      <c r="B543" s="278">
        <v>45811</v>
      </c>
      <c r="C543" s="285" t="s">
        <v>997</v>
      </c>
      <c r="E543" s="285" t="s">
        <v>1161</v>
      </c>
      <c r="L543" s="280">
        <v>-1000000</v>
      </c>
    </row>
    <row r="544" spans="1:12">
      <c r="A544" s="288">
        <v>544</v>
      </c>
      <c r="B544" s="278">
        <v>45811</v>
      </c>
      <c r="C544" s="285" t="s">
        <v>2510</v>
      </c>
      <c r="E544" s="285" t="s">
        <v>2511</v>
      </c>
      <c r="G544" s="280">
        <v>700000</v>
      </c>
      <c r="H544" s="285">
        <v>1</v>
      </c>
      <c r="K544" s="280">
        <v>700000</v>
      </c>
    </row>
    <row r="545" spans="1:12">
      <c r="A545" s="288">
        <v>545</v>
      </c>
      <c r="B545" s="278">
        <v>45811</v>
      </c>
      <c r="C545" s="285" t="s">
        <v>1495</v>
      </c>
      <c r="E545" s="285" t="s">
        <v>2482</v>
      </c>
      <c r="G545" s="280">
        <v>200000</v>
      </c>
      <c r="H545" s="285">
        <v>1</v>
      </c>
      <c r="K545" s="280">
        <v>200000</v>
      </c>
    </row>
    <row r="546" spans="1:12">
      <c r="A546" s="288">
        <v>546</v>
      </c>
      <c r="B546" s="278">
        <v>45811</v>
      </c>
      <c r="C546" s="285" t="s">
        <v>2497</v>
      </c>
      <c r="E546" s="285" t="s">
        <v>2493</v>
      </c>
      <c r="G546" s="280">
        <v>1818182</v>
      </c>
      <c r="H546" s="285">
        <v>1</v>
      </c>
      <c r="J546" s="281">
        <v>181818</v>
      </c>
      <c r="K546" s="280">
        <v>2000000</v>
      </c>
    </row>
    <row r="547" spans="1:12">
      <c r="A547" s="288">
        <v>547</v>
      </c>
      <c r="B547" s="278">
        <v>45812</v>
      </c>
      <c r="C547" s="285" t="s">
        <v>1495</v>
      </c>
      <c r="E547" s="285" t="s">
        <v>1161</v>
      </c>
      <c r="L547" s="280">
        <v>-200000</v>
      </c>
    </row>
    <row r="548" spans="1:12">
      <c r="A548" s="288">
        <v>548</v>
      </c>
      <c r="B548" s="278">
        <v>45812</v>
      </c>
      <c r="C548" s="285" t="s">
        <v>1027</v>
      </c>
      <c r="E548" s="285" t="s">
        <v>1161</v>
      </c>
      <c r="L548" s="280">
        <v>-990000</v>
      </c>
    </row>
    <row r="549" spans="1:12">
      <c r="A549" s="288">
        <v>549</v>
      </c>
      <c r="B549" s="278">
        <v>45812</v>
      </c>
      <c r="C549" s="285" t="s">
        <v>1647</v>
      </c>
      <c r="E549" s="285" t="s">
        <v>2295</v>
      </c>
      <c r="G549" s="280">
        <v>1500000</v>
      </c>
      <c r="H549" s="285">
        <v>1</v>
      </c>
      <c r="K549" s="280">
        <v>1500000</v>
      </c>
    </row>
    <row r="550" spans="1:12">
      <c r="A550" s="288">
        <v>550</v>
      </c>
      <c r="B550" s="278">
        <v>45812</v>
      </c>
      <c r="C550" s="285" t="s">
        <v>2501</v>
      </c>
      <c r="E550" s="285" t="s">
        <v>2506</v>
      </c>
      <c r="F550" s="285" t="s">
        <v>2507</v>
      </c>
      <c r="G550" s="280">
        <v>700000</v>
      </c>
      <c r="H550" s="285">
        <v>1</v>
      </c>
      <c r="J550" s="281">
        <v>70000</v>
      </c>
      <c r="K550" s="280">
        <v>770000</v>
      </c>
    </row>
    <row r="551" spans="1:12">
      <c r="A551" s="288">
        <v>551</v>
      </c>
      <c r="B551" s="278">
        <v>45812</v>
      </c>
      <c r="C551" s="285" t="s">
        <v>1502</v>
      </c>
      <c r="E551" s="285" t="s">
        <v>1161</v>
      </c>
      <c r="L551" s="280">
        <v>-150000</v>
      </c>
    </row>
    <row r="552" spans="1:12">
      <c r="A552" s="288">
        <v>552</v>
      </c>
      <c r="B552" s="278">
        <v>45812</v>
      </c>
      <c r="C552" s="285" t="s">
        <v>2508</v>
      </c>
      <c r="E552" s="285" t="s">
        <v>1161</v>
      </c>
      <c r="L552" s="280">
        <v>-2000000</v>
      </c>
    </row>
    <row r="553" spans="1:12">
      <c r="A553" s="288">
        <v>553</v>
      </c>
      <c r="B553" s="278">
        <v>45812</v>
      </c>
      <c r="C553" s="285" t="s">
        <v>2500</v>
      </c>
      <c r="E553" s="285" t="s">
        <v>1161</v>
      </c>
      <c r="L553" s="280">
        <v>-770000</v>
      </c>
    </row>
    <row r="554" spans="1:12">
      <c r="A554" s="288">
        <v>554</v>
      </c>
      <c r="B554" s="278">
        <v>45812</v>
      </c>
      <c r="C554" s="285" t="s">
        <v>1629</v>
      </c>
      <c r="E554" s="285" t="s">
        <v>1581</v>
      </c>
      <c r="G554" s="280">
        <v>450000</v>
      </c>
      <c r="H554" s="285">
        <v>1</v>
      </c>
      <c r="J554" s="281">
        <v>45000</v>
      </c>
      <c r="K554" s="280">
        <v>495000</v>
      </c>
    </row>
    <row r="555" spans="1:12">
      <c r="A555" s="288">
        <v>555</v>
      </c>
      <c r="B555" s="278">
        <v>45812</v>
      </c>
      <c r="C555" s="285" t="s">
        <v>1629</v>
      </c>
      <c r="E555" s="285" t="s">
        <v>1595</v>
      </c>
      <c r="F555" s="285">
        <v>24152333907</v>
      </c>
      <c r="G555" s="280">
        <v>50000</v>
      </c>
      <c r="H555" s="285">
        <v>1</v>
      </c>
      <c r="J555" s="281">
        <v>5000</v>
      </c>
      <c r="K555" s="280">
        <v>55000</v>
      </c>
    </row>
    <row r="556" spans="1:12">
      <c r="A556" s="288">
        <v>556</v>
      </c>
      <c r="B556" s="278">
        <v>45812</v>
      </c>
      <c r="C556" s="285" t="s">
        <v>1790</v>
      </c>
      <c r="E556" s="285" t="s">
        <v>1161</v>
      </c>
      <c r="L556" s="280">
        <v>-7000000</v>
      </c>
    </row>
    <row r="557" spans="1:12">
      <c r="A557" s="288">
        <v>557</v>
      </c>
      <c r="B557" s="278">
        <v>45812</v>
      </c>
      <c r="C557" s="285" t="s">
        <v>1790</v>
      </c>
      <c r="E557" s="285" t="s">
        <v>2513</v>
      </c>
      <c r="L557" s="280">
        <v>-805000</v>
      </c>
    </row>
    <row r="558" spans="1:12">
      <c r="A558" s="288">
        <v>558</v>
      </c>
      <c r="B558" s="278">
        <v>45813</v>
      </c>
      <c r="C558" s="285" t="s">
        <v>1587</v>
      </c>
      <c r="E558" s="285" t="s">
        <v>2285</v>
      </c>
      <c r="F558" s="285" t="s">
        <v>1245</v>
      </c>
      <c r="G558" s="280">
        <v>569000</v>
      </c>
      <c r="H558" s="285">
        <v>1</v>
      </c>
      <c r="K558" s="280">
        <v>569000</v>
      </c>
    </row>
    <row r="559" spans="1:12">
      <c r="A559" s="288">
        <v>559</v>
      </c>
      <c r="B559" s="278">
        <v>45813</v>
      </c>
      <c r="C559" s="285" t="s">
        <v>1587</v>
      </c>
      <c r="E559" s="285" t="s">
        <v>2288</v>
      </c>
      <c r="F559" s="285">
        <v>50229</v>
      </c>
      <c r="G559" s="280">
        <v>77000</v>
      </c>
      <c r="H559" s="285">
        <v>1</v>
      </c>
      <c r="K559" s="280">
        <v>77000</v>
      </c>
    </row>
    <row r="560" spans="1:12">
      <c r="A560" s="288">
        <v>560</v>
      </c>
      <c r="B560" s="278">
        <v>45813</v>
      </c>
      <c r="C560" s="285" t="s">
        <v>1587</v>
      </c>
      <c r="E560" s="285" t="s">
        <v>2286</v>
      </c>
      <c r="F560" s="285" t="s">
        <v>1303</v>
      </c>
      <c r="G560" s="280">
        <v>130000</v>
      </c>
      <c r="H560" s="285">
        <v>1</v>
      </c>
      <c r="K560" s="280">
        <v>130000</v>
      </c>
    </row>
    <row r="561" spans="1:12">
      <c r="A561" s="288">
        <v>561</v>
      </c>
      <c r="B561" s="278">
        <v>45813</v>
      </c>
      <c r="C561" s="285" t="s">
        <v>1587</v>
      </c>
      <c r="E561" s="285" t="s">
        <v>2290</v>
      </c>
      <c r="F561" s="285" t="s">
        <v>1901</v>
      </c>
      <c r="G561" s="280">
        <v>10000</v>
      </c>
      <c r="H561" s="285">
        <v>2</v>
      </c>
      <c r="K561" s="280">
        <v>20000</v>
      </c>
    </row>
    <row r="562" spans="1:12">
      <c r="A562" s="288">
        <v>562</v>
      </c>
      <c r="B562" s="278">
        <v>45813</v>
      </c>
      <c r="C562" s="285" t="s">
        <v>1587</v>
      </c>
      <c r="E562" s="285" t="s">
        <v>2289</v>
      </c>
      <c r="F562" s="285" t="s">
        <v>1871</v>
      </c>
      <c r="G562" s="280">
        <v>35000</v>
      </c>
      <c r="H562" s="285">
        <v>1</v>
      </c>
      <c r="K562" s="280">
        <v>35000</v>
      </c>
    </row>
    <row r="563" spans="1:12">
      <c r="A563" s="288">
        <v>563</v>
      </c>
      <c r="B563" s="278">
        <v>45813</v>
      </c>
      <c r="C563" s="285" t="s">
        <v>1647</v>
      </c>
      <c r="E563" s="285" t="s">
        <v>1161</v>
      </c>
      <c r="L563" s="280">
        <v>-1500000</v>
      </c>
    </row>
    <row r="564" spans="1:12">
      <c r="A564" s="288">
        <v>564</v>
      </c>
      <c r="B564" s="278">
        <v>45813</v>
      </c>
      <c r="C564" s="285" t="s">
        <v>1502</v>
      </c>
      <c r="E564" s="285" t="s">
        <v>1785</v>
      </c>
      <c r="F564" s="285">
        <v>2800802</v>
      </c>
      <c r="G564" s="280">
        <v>150000</v>
      </c>
      <c r="H564" s="285">
        <v>1</v>
      </c>
      <c r="K564" s="280">
        <v>150000</v>
      </c>
    </row>
    <row r="565" spans="1:12">
      <c r="A565" s="288">
        <v>565</v>
      </c>
      <c r="B565" s="278">
        <v>45813</v>
      </c>
      <c r="C565" s="285" t="s">
        <v>1183</v>
      </c>
      <c r="E565" s="285" t="s">
        <v>2520</v>
      </c>
      <c r="G565" s="280">
        <v>450000</v>
      </c>
      <c r="H565" s="285">
        <v>1</v>
      </c>
      <c r="K565" s="280">
        <v>450000</v>
      </c>
    </row>
    <row r="566" spans="1:12">
      <c r="A566" s="288">
        <v>566</v>
      </c>
      <c r="B566" s="278">
        <v>45813</v>
      </c>
      <c r="C566" s="285" t="s">
        <v>1183</v>
      </c>
      <c r="E566" s="285" t="s">
        <v>2289</v>
      </c>
      <c r="F566" s="285" t="s">
        <v>1871</v>
      </c>
      <c r="G566" s="280">
        <v>55000</v>
      </c>
      <c r="H566" s="285">
        <v>1</v>
      </c>
      <c r="K566" s="280">
        <v>55000</v>
      </c>
    </row>
    <row r="567" spans="1:12">
      <c r="A567" s="288">
        <v>567</v>
      </c>
      <c r="B567" s="278">
        <v>45813</v>
      </c>
      <c r="C567" s="285" t="s">
        <v>1183</v>
      </c>
      <c r="E567" s="285" t="s">
        <v>2292</v>
      </c>
      <c r="G567" s="280">
        <v>600000</v>
      </c>
      <c r="H567" s="285">
        <v>1</v>
      </c>
      <c r="K567" s="280">
        <v>600000</v>
      </c>
    </row>
    <row r="568" spans="1:12">
      <c r="A568" s="288">
        <v>568</v>
      </c>
      <c r="B568" s="278">
        <v>45813</v>
      </c>
      <c r="C568" s="285" t="s">
        <v>1183</v>
      </c>
      <c r="E568" s="285" t="s">
        <v>2521</v>
      </c>
      <c r="G568" s="280">
        <v>600000</v>
      </c>
      <c r="H568" s="285">
        <v>1</v>
      </c>
      <c r="K568" s="280">
        <v>600000</v>
      </c>
    </row>
    <row r="569" spans="1:12">
      <c r="A569" s="288">
        <v>569</v>
      </c>
      <c r="B569" s="278">
        <v>45813</v>
      </c>
      <c r="C569" s="285" t="s">
        <v>1629</v>
      </c>
      <c r="E569" s="285" t="s">
        <v>1161</v>
      </c>
      <c r="L569" s="280">
        <v>-550000</v>
      </c>
    </row>
    <row r="570" spans="1:12">
      <c r="A570" s="288">
        <v>570</v>
      </c>
      <c r="B570" s="278">
        <v>45813</v>
      </c>
      <c r="C570" s="285" t="s">
        <v>2529</v>
      </c>
      <c r="E570" s="285" t="s">
        <v>2528</v>
      </c>
      <c r="G570" s="280">
        <v>200000</v>
      </c>
      <c r="H570" s="285">
        <v>1</v>
      </c>
      <c r="K570" s="280">
        <v>200000</v>
      </c>
    </row>
    <row r="571" spans="1:12">
      <c r="A571" s="288">
        <v>571</v>
      </c>
      <c r="B571" s="278">
        <v>45814</v>
      </c>
      <c r="C571" s="285" t="s">
        <v>1790</v>
      </c>
      <c r="E571" s="285" t="s">
        <v>2285</v>
      </c>
      <c r="F571" s="285" t="s">
        <v>1245</v>
      </c>
      <c r="G571" s="280">
        <v>500000</v>
      </c>
      <c r="H571" s="285">
        <v>5</v>
      </c>
      <c r="K571" s="280">
        <v>2500000</v>
      </c>
    </row>
    <row r="572" spans="1:12">
      <c r="A572" s="288">
        <v>572</v>
      </c>
      <c r="B572" s="278">
        <v>45817</v>
      </c>
      <c r="C572" s="285" t="s">
        <v>2553</v>
      </c>
      <c r="E572" s="285" t="s">
        <v>2554</v>
      </c>
      <c r="F572" s="285" t="s">
        <v>2555</v>
      </c>
      <c r="G572" s="280">
        <v>2200000</v>
      </c>
      <c r="H572" s="285">
        <v>1</v>
      </c>
      <c r="J572" s="281">
        <v>220000</v>
      </c>
      <c r="K572" s="280">
        <v>2420000</v>
      </c>
    </row>
    <row r="573" spans="1:12">
      <c r="A573" s="288">
        <v>573</v>
      </c>
      <c r="B573" s="278">
        <v>45817</v>
      </c>
      <c r="C573" s="285" t="s">
        <v>2560</v>
      </c>
      <c r="E573" s="285" t="s">
        <v>2561</v>
      </c>
      <c r="F573" s="285" t="s">
        <v>2562</v>
      </c>
      <c r="G573" s="280">
        <v>1550000</v>
      </c>
      <c r="H573" s="285">
        <v>1</v>
      </c>
      <c r="K573" s="280">
        <v>1550000</v>
      </c>
    </row>
    <row r="574" spans="1:12">
      <c r="A574" s="288">
        <v>574</v>
      </c>
      <c r="B574" s="278">
        <v>45817</v>
      </c>
      <c r="C574" s="285" t="s">
        <v>2560</v>
      </c>
      <c r="E574" s="285" t="s">
        <v>2563</v>
      </c>
      <c r="F574" s="285" t="s">
        <v>2564</v>
      </c>
      <c r="G574" s="280">
        <v>650000</v>
      </c>
      <c r="H574" s="285">
        <v>1</v>
      </c>
      <c r="K574" s="280">
        <v>650000</v>
      </c>
    </row>
    <row r="575" spans="1:12">
      <c r="A575" s="288">
        <v>575</v>
      </c>
      <c r="B575" s="278">
        <v>45817</v>
      </c>
      <c r="C575" s="285" t="s">
        <v>1183</v>
      </c>
      <c r="E575" s="285" t="s">
        <v>2537</v>
      </c>
      <c r="G575" s="280">
        <v>35000</v>
      </c>
      <c r="H575" s="285">
        <v>1</v>
      </c>
      <c r="K575" s="280">
        <v>35000</v>
      </c>
    </row>
    <row r="576" spans="1:12">
      <c r="A576" s="288">
        <v>576</v>
      </c>
      <c r="B576" s="278">
        <v>45817</v>
      </c>
      <c r="C576" s="285" t="s">
        <v>1183</v>
      </c>
      <c r="E576" s="285" t="s">
        <v>1959</v>
      </c>
      <c r="F576" s="285" t="s">
        <v>2538</v>
      </c>
      <c r="G576" s="280">
        <v>20000</v>
      </c>
      <c r="H576" s="285">
        <v>1</v>
      </c>
      <c r="K576" s="280">
        <v>20000</v>
      </c>
    </row>
    <row r="577" spans="1:12">
      <c r="A577" s="288">
        <v>577</v>
      </c>
      <c r="B577" s="278">
        <v>45817</v>
      </c>
      <c r="C577" s="285" t="s">
        <v>1790</v>
      </c>
      <c r="E577" s="285" t="s">
        <v>1813</v>
      </c>
      <c r="G577" s="280">
        <v>1100000</v>
      </c>
      <c r="H577" s="285">
        <v>1</v>
      </c>
      <c r="K577" s="280">
        <v>1100000</v>
      </c>
    </row>
    <row r="578" spans="1:12">
      <c r="A578" s="288">
        <v>578</v>
      </c>
      <c r="B578" s="278">
        <v>45817</v>
      </c>
      <c r="C578" s="285" t="s">
        <v>1030</v>
      </c>
      <c r="E578" s="285" t="s">
        <v>2542</v>
      </c>
      <c r="G578" s="280">
        <v>1100000</v>
      </c>
      <c r="H578" s="285">
        <v>1</v>
      </c>
      <c r="K578" s="280">
        <v>1100000</v>
      </c>
    </row>
    <row r="579" spans="1:12">
      <c r="A579" s="288">
        <v>579</v>
      </c>
      <c r="B579" s="278">
        <v>45817</v>
      </c>
      <c r="C579" s="285" t="s">
        <v>1490</v>
      </c>
      <c r="E579" s="285" t="s">
        <v>2295</v>
      </c>
      <c r="G579" s="280">
        <v>1500000</v>
      </c>
      <c r="H579" s="285">
        <v>1</v>
      </c>
      <c r="K579" s="280">
        <v>1500000</v>
      </c>
    </row>
    <row r="580" spans="1:12">
      <c r="A580" s="288">
        <v>580</v>
      </c>
      <c r="B580" s="278">
        <v>45817</v>
      </c>
      <c r="C580" s="285" t="s">
        <v>1445</v>
      </c>
      <c r="E580" s="285" t="s">
        <v>2295</v>
      </c>
      <c r="G580" s="280">
        <v>1500000</v>
      </c>
      <c r="H580" s="285">
        <v>1</v>
      </c>
      <c r="K580" s="280">
        <v>1500000</v>
      </c>
    </row>
    <row r="581" spans="1:12">
      <c r="A581" s="288">
        <v>581</v>
      </c>
      <c r="B581" s="278">
        <v>45817</v>
      </c>
      <c r="C581" s="285" t="s">
        <v>1629</v>
      </c>
      <c r="E581" s="285" t="s">
        <v>2285</v>
      </c>
      <c r="F581" s="285" t="s">
        <v>1245</v>
      </c>
      <c r="G581" s="280">
        <v>517273</v>
      </c>
      <c r="H581" s="285">
        <v>1</v>
      </c>
      <c r="J581" s="281">
        <v>51727</v>
      </c>
      <c r="K581" s="280">
        <v>569000</v>
      </c>
    </row>
    <row r="582" spans="1:12">
      <c r="A582" s="288">
        <v>582</v>
      </c>
      <c r="B582" s="278">
        <v>45817</v>
      </c>
      <c r="C582" s="285" t="s">
        <v>1629</v>
      </c>
      <c r="E582" s="285" t="s">
        <v>2286</v>
      </c>
      <c r="F582" s="285" t="s">
        <v>1303</v>
      </c>
      <c r="G582" s="280">
        <v>130000</v>
      </c>
      <c r="H582" s="285">
        <v>2</v>
      </c>
      <c r="J582" s="281">
        <v>26000</v>
      </c>
      <c r="K582" s="280">
        <v>286000</v>
      </c>
    </row>
    <row r="583" spans="1:12">
      <c r="A583" s="288">
        <v>583</v>
      </c>
      <c r="B583" s="278">
        <v>45817</v>
      </c>
      <c r="C583" s="285" t="s">
        <v>2565</v>
      </c>
      <c r="E583" s="285" t="s">
        <v>2566</v>
      </c>
      <c r="G583" s="280">
        <v>600000</v>
      </c>
      <c r="H583" s="285">
        <v>1</v>
      </c>
      <c r="J583" s="281">
        <v>60000</v>
      </c>
      <c r="K583" s="280">
        <v>660000</v>
      </c>
    </row>
    <row r="584" spans="1:12">
      <c r="A584" s="288">
        <v>584</v>
      </c>
      <c r="B584" s="278">
        <v>45817</v>
      </c>
      <c r="C584" s="285" t="s">
        <v>1626</v>
      </c>
      <c r="E584" s="285" t="s">
        <v>2547</v>
      </c>
      <c r="H584" s="285">
        <v>1</v>
      </c>
      <c r="K584" s="280">
        <v>0</v>
      </c>
    </row>
    <row r="585" spans="1:12">
      <c r="A585" s="288">
        <v>585</v>
      </c>
      <c r="B585" s="278">
        <v>45817</v>
      </c>
      <c r="C585" s="285" t="s">
        <v>1626</v>
      </c>
      <c r="E585" s="285" t="s">
        <v>2549</v>
      </c>
      <c r="F585" s="285" t="s">
        <v>2548</v>
      </c>
      <c r="G585" s="280">
        <v>590910</v>
      </c>
      <c r="H585" s="285">
        <v>1</v>
      </c>
      <c r="J585" s="281">
        <v>59091</v>
      </c>
      <c r="K585" s="280">
        <v>650001</v>
      </c>
    </row>
    <row r="586" spans="1:12">
      <c r="A586" s="288">
        <v>586</v>
      </c>
      <c r="B586" s="278">
        <v>45817</v>
      </c>
      <c r="C586" s="285" t="s">
        <v>1626</v>
      </c>
      <c r="E586" s="285" t="s">
        <v>2551</v>
      </c>
      <c r="F586" s="285" t="s">
        <v>2550</v>
      </c>
      <c r="G586" s="280">
        <v>100000</v>
      </c>
      <c r="H586" s="285">
        <v>1</v>
      </c>
      <c r="J586" s="281">
        <v>10000</v>
      </c>
      <c r="K586" s="280">
        <v>110000</v>
      </c>
    </row>
    <row r="587" spans="1:12">
      <c r="A587" s="288">
        <v>587</v>
      </c>
      <c r="B587" s="278">
        <v>45817</v>
      </c>
      <c r="C587" s="285" t="s">
        <v>1626</v>
      </c>
      <c r="E587" s="285" t="s">
        <v>2290</v>
      </c>
      <c r="F587" s="285" t="s">
        <v>1901</v>
      </c>
      <c r="G587" s="280">
        <v>20000</v>
      </c>
      <c r="H587" s="285">
        <v>1</v>
      </c>
      <c r="J587" s="281">
        <v>2000</v>
      </c>
      <c r="K587" s="280">
        <v>22000</v>
      </c>
    </row>
    <row r="588" spans="1:12">
      <c r="A588" s="288">
        <v>588</v>
      </c>
      <c r="B588" s="278">
        <v>45817</v>
      </c>
      <c r="C588" s="285" t="s">
        <v>2534</v>
      </c>
      <c r="E588" s="285" t="s">
        <v>1161</v>
      </c>
      <c r="L588" s="280">
        <v>-2420000</v>
      </c>
    </row>
    <row r="589" spans="1:12">
      <c r="A589" s="288">
        <v>589</v>
      </c>
      <c r="B589" s="278">
        <v>45817</v>
      </c>
      <c r="C589" s="285" t="s">
        <v>1490</v>
      </c>
      <c r="E589" s="285" t="s">
        <v>2556</v>
      </c>
      <c r="L589" s="280">
        <v>-500000</v>
      </c>
    </row>
    <row r="590" spans="1:12">
      <c r="A590" s="288">
        <v>590</v>
      </c>
      <c r="B590" s="278">
        <v>45817</v>
      </c>
      <c r="C590" s="285" t="s">
        <v>1490</v>
      </c>
      <c r="E590" s="285" t="s">
        <v>2557</v>
      </c>
      <c r="L590" s="280">
        <v>-300000</v>
      </c>
    </row>
    <row r="591" spans="1:12">
      <c r="A591" s="288">
        <v>591</v>
      </c>
      <c r="B591" s="278">
        <v>45817</v>
      </c>
      <c r="C591" s="285" t="s">
        <v>1490</v>
      </c>
      <c r="E591" s="285" t="s">
        <v>2558</v>
      </c>
      <c r="L591" s="280">
        <v>-300000</v>
      </c>
    </row>
    <row r="592" spans="1:12">
      <c r="A592" s="288">
        <v>592</v>
      </c>
      <c r="B592" s="278">
        <v>45817</v>
      </c>
      <c r="C592" s="285" t="s">
        <v>1490</v>
      </c>
      <c r="E592" s="285" t="s">
        <v>2559</v>
      </c>
      <c r="L592" s="280">
        <v>-380000</v>
      </c>
    </row>
    <row r="593" spans="1:12">
      <c r="A593" s="288">
        <v>593</v>
      </c>
      <c r="B593" s="278">
        <v>45817</v>
      </c>
      <c r="C593" s="285" t="s">
        <v>997</v>
      </c>
      <c r="E593" s="285" t="s">
        <v>1161</v>
      </c>
      <c r="L593" s="280">
        <v>-2200000</v>
      </c>
    </row>
    <row r="594" spans="1:12">
      <c r="A594" s="288">
        <v>594</v>
      </c>
      <c r="B594" s="278">
        <v>45817</v>
      </c>
      <c r="C594" s="285" t="s">
        <v>2361</v>
      </c>
      <c r="E594" s="285" t="s">
        <v>1161</v>
      </c>
      <c r="L594" s="280">
        <v>-1500000</v>
      </c>
    </row>
    <row r="595" spans="1:12">
      <c r="A595" s="288">
        <v>595</v>
      </c>
      <c r="B595" s="278">
        <v>45807</v>
      </c>
      <c r="C595" s="285" t="s">
        <v>1069</v>
      </c>
      <c r="E595" s="285" t="s">
        <v>1161</v>
      </c>
      <c r="L595" s="280">
        <v>-2000000</v>
      </c>
    </row>
    <row r="596" spans="1:12">
      <c r="A596" s="288">
        <v>596</v>
      </c>
      <c r="B596" s="278">
        <v>45817</v>
      </c>
      <c r="C596" s="285" t="s">
        <v>1445</v>
      </c>
      <c r="E596" s="285" t="s">
        <v>2448</v>
      </c>
      <c r="F596" s="285">
        <v>1087298437</v>
      </c>
      <c r="G596" s="280">
        <v>80000</v>
      </c>
      <c r="H596" s="285">
        <v>1</v>
      </c>
      <c r="K596" s="280">
        <v>80000</v>
      </c>
    </row>
    <row r="597" spans="1:12">
      <c r="A597" s="288">
        <v>597</v>
      </c>
      <c r="B597" s="278">
        <v>45818</v>
      </c>
      <c r="C597" s="285" t="s">
        <v>2195</v>
      </c>
      <c r="E597" s="285" t="s">
        <v>1161</v>
      </c>
      <c r="L597" s="280">
        <v>-1550000</v>
      </c>
    </row>
    <row r="598" spans="1:12">
      <c r="A598" s="288">
        <v>598</v>
      </c>
      <c r="B598" s="278">
        <v>45818</v>
      </c>
      <c r="C598" s="285" t="s">
        <v>1645</v>
      </c>
      <c r="E598" s="285" t="s">
        <v>1161</v>
      </c>
      <c r="L598" s="280">
        <v>-700000</v>
      </c>
    </row>
    <row r="599" spans="1:12">
      <c r="A599" s="288">
        <v>599</v>
      </c>
      <c r="B599" s="278">
        <v>45818</v>
      </c>
      <c r="C599" s="285" t="s">
        <v>2484</v>
      </c>
      <c r="E599" s="285" t="s">
        <v>2584</v>
      </c>
      <c r="G599" s="280">
        <v>3000000</v>
      </c>
      <c r="H599" s="285">
        <v>1</v>
      </c>
      <c r="K599" s="280">
        <v>3000000</v>
      </c>
    </row>
    <row r="600" spans="1:12">
      <c r="A600" s="288">
        <v>600</v>
      </c>
      <c r="B600" s="278">
        <v>45818</v>
      </c>
      <c r="C600" s="285" t="s">
        <v>1817</v>
      </c>
      <c r="E600" s="285" t="s">
        <v>2288</v>
      </c>
      <c r="F600" s="285">
        <v>50229</v>
      </c>
      <c r="G600" s="280">
        <v>75000</v>
      </c>
      <c r="H600" s="285">
        <v>2</v>
      </c>
      <c r="J600" s="281">
        <v>15000</v>
      </c>
      <c r="K600" s="280">
        <v>165000</v>
      </c>
    </row>
    <row r="601" spans="1:12">
      <c r="A601" s="288">
        <v>601</v>
      </c>
      <c r="B601" s="278">
        <v>45818</v>
      </c>
      <c r="C601" s="285" t="s">
        <v>1817</v>
      </c>
      <c r="E601" s="285" t="s">
        <v>2286</v>
      </c>
      <c r="F601" s="285" t="s">
        <v>1303</v>
      </c>
      <c r="G601" s="280">
        <v>130000</v>
      </c>
      <c r="H601" s="285">
        <v>1</v>
      </c>
      <c r="J601" s="281">
        <v>13000</v>
      </c>
      <c r="K601" s="280">
        <v>143000</v>
      </c>
    </row>
    <row r="602" spans="1:12">
      <c r="A602" s="288">
        <v>602</v>
      </c>
      <c r="B602" s="278">
        <v>45818</v>
      </c>
      <c r="C602" s="285" t="s">
        <v>1445</v>
      </c>
      <c r="E602" s="285" t="s">
        <v>2294</v>
      </c>
      <c r="F602" s="285">
        <v>602000700</v>
      </c>
      <c r="G602" s="280">
        <v>340000</v>
      </c>
      <c r="H602" s="285">
        <v>1</v>
      </c>
      <c r="K602" s="280">
        <v>340000</v>
      </c>
    </row>
    <row r="603" spans="1:12">
      <c r="A603" s="288">
        <v>603</v>
      </c>
      <c r="B603" s="278">
        <v>45818</v>
      </c>
      <c r="C603" s="285" t="s">
        <v>1351</v>
      </c>
      <c r="E603" s="285" t="s">
        <v>2588</v>
      </c>
      <c r="G603" s="280">
        <v>850000</v>
      </c>
      <c r="H603" s="285">
        <v>1</v>
      </c>
      <c r="K603" s="280">
        <v>850000</v>
      </c>
    </row>
    <row r="604" spans="1:12">
      <c r="A604" s="288">
        <v>604</v>
      </c>
      <c r="B604" s="278">
        <v>45818</v>
      </c>
      <c r="C604" s="285" t="s">
        <v>1351</v>
      </c>
      <c r="E604" s="285" t="s">
        <v>2198</v>
      </c>
      <c r="G604" s="280">
        <v>1000000</v>
      </c>
      <c r="H604" s="285">
        <v>1</v>
      </c>
      <c r="K604" s="280">
        <v>1000000</v>
      </c>
    </row>
    <row r="605" spans="1:12">
      <c r="A605" s="288">
        <v>605</v>
      </c>
      <c r="B605" s="278">
        <v>45818</v>
      </c>
      <c r="C605" s="285" t="s">
        <v>1626</v>
      </c>
      <c r="E605" s="285" t="s">
        <v>2305</v>
      </c>
      <c r="G605" s="280">
        <v>1600000</v>
      </c>
      <c r="H605" s="285">
        <v>1</v>
      </c>
      <c r="J605" s="281">
        <v>160000</v>
      </c>
      <c r="K605" s="280">
        <v>1760000</v>
      </c>
    </row>
    <row r="606" spans="1:12">
      <c r="A606" s="288">
        <v>606</v>
      </c>
      <c r="B606" s="278">
        <v>45818</v>
      </c>
      <c r="C606" s="285" t="s">
        <v>1626</v>
      </c>
      <c r="E606" s="285" t="s">
        <v>1565</v>
      </c>
      <c r="G606" s="280">
        <v>20000</v>
      </c>
      <c r="H606" s="285">
        <v>1</v>
      </c>
      <c r="J606" s="281">
        <v>2000</v>
      </c>
      <c r="K606" s="280">
        <v>22000</v>
      </c>
    </row>
    <row r="607" spans="1:12">
      <c r="A607" s="288">
        <v>607</v>
      </c>
      <c r="B607" s="278">
        <v>45818</v>
      </c>
      <c r="C607" s="285" t="s">
        <v>1490</v>
      </c>
      <c r="E607" s="285" t="s">
        <v>2591</v>
      </c>
      <c r="G607" s="280">
        <v>100000</v>
      </c>
      <c r="H607" s="285">
        <v>1</v>
      </c>
      <c r="K607" s="280">
        <v>100000</v>
      </c>
    </row>
    <row r="608" spans="1:12">
      <c r="A608" s="288">
        <v>608</v>
      </c>
      <c r="B608" s="278">
        <v>45818</v>
      </c>
      <c r="C608" s="285" t="s">
        <v>2427</v>
      </c>
      <c r="E608" s="285" t="s">
        <v>2595</v>
      </c>
      <c r="F608" s="285" t="s">
        <v>1236</v>
      </c>
      <c r="G608" s="280">
        <v>100000</v>
      </c>
      <c r="H608" s="285">
        <v>1</v>
      </c>
      <c r="K608" s="280">
        <v>100000</v>
      </c>
    </row>
    <row r="609" spans="1:12">
      <c r="A609" s="288">
        <v>609</v>
      </c>
      <c r="B609" s="278">
        <v>45818</v>
      </c>
      <c r="C609" s="285" t="s">
        <v>1979</v>
      </c>
      <c r="E609" s="285" t="s">
        <v>1241</v>
      </c>
      <c r="F609" s="285" t="s">
        <v>1406</v>
      </c>
      <c r="G609" s="280">
        <v>1200000</v>
      </c>
      <c r="H609" s="285">
        <v>1</v>
      </c>
      <c r="K609" s="280">
        <v>1200000</v>
      </c>
    </row>
    <row r="610" spans="1:12">
      <c r="A610" s="288">
        <v>610</v>
      </c>
      <c r="B610" s="278">
        <v>45818</v>
      </c>
      <c r="C610" s="285" t="s">
        <v>1490</v>
      </c>
      <c r="E610" s="285" t="s">
        <v>2598</v>
      </c>
      <c r="L610" s="280">
        <v>-1200000</v>
      </c>
    </row>
    <row r="611" spans="1:12">
      <c r="A611" s="288">
        <v>611</v>
      </c>
      <c r="B611" s="278">
        <v>45813</v>
      </c>
      <c r="C611" s="285" t="s">
        <v>1502</v>
      </c>
      <c r="E611" s="285" t="s">
        <v>1161</v>
      </c>
      <c r="L611" s="280">
        <v>-150000</v>
      </c>
    </row>
    <row r="612" spans="1:12">
      <c r="A612" s="288">
        <v>612</v>
      </c>
      <c r="B612" s="278">
        <v>45818</v>
      </c>
      <c r="C612" s="285" t="s">
        <v>2602</v>
      </c>
      <c r="D612" s="279" t="s">
        <v>1254</v>
      </c>
      <c r="E612" s="285" t="s">
        <v>2603</v>
      </c>
      <c r="F612" s="285" t="s">
        <v>2604</v>
      </c>
      <c r="G612" s="280">
        <v>-1500000</v>
      </c>
      <c r="H612" s="285">
        <v>1</v>
      </c>
      <c r="J612" s="281">
        <v>-150000</v>
      </c>
      <c r="K612" s="280">
        <v>-1650000</v>
      </c>
    </row>
    <row r="613" spans="1:12">
      <c r="A613" s="288">
        <v>613</v>
      </c>
      <c r="B613" s="278">
        <v>45819</v>
      </c>
      <c r="C613" s="285" t="s">
        <v>1351</v>
      </c>
      <c r="E613" s="285" t="s">
        <v>1161</v>
      </c>
      <c r="L613" s="280">
        <v>-1850000</v>
      </c>
    </row>
    <row r="614" spans="1:12">
      <c r="A614" s="288">
        <v>614</v>
      </c>
      <c r="B614" s="278">
        <v>45819</v>
      </c>
      <c r="C614" s="285" t="s">
        <v>1030</v>
      </c>
      <c r="E614" s="285" t="s">
        <v>1161</v>
      </c>
      <c r="L614" s="280">
        <v>-5487000</v>
      </c>
    </row>
    <row r="615" spans="1:12">
      <c r="A615" s="288">
        <v>615</v>
      </c>
      <c r="B615" s="278">
        <v>45819</v>
      </c>
      <c r="C615" s="285" t="s">
        <v>2614</v>
      </c>
      <c r="E615" s="285" t="s">
        <v>1241</v>
      </c>
      <c r="F615" s="285" t="s">
        <v>1822</v>
      </c>
      <c r="G615" s="280">
        <v>1200000</v>
      </c>
      <c r="H615" s="285">
        <v>1</v>
      </c>
      <c r="J615" s="281">
        <v>120000</v>
      </c>
      <c r="K615" s="280">
        <v>1320000</v>
      </c>
    </row>
    <row r="616" spans="1:12">
      <c r="A616" s="288">
        <v>616</v>
      </c>
      <c r="B616" s="278">
        <v>45819</v>
      </c>
      <c r="C616" s="285" t="s">
        <v>1498</v>
      </c>
      <c r="E616" s="285" t="s">
        <v>1243</v>
      </c>
      <c r="F616" s="285" t="s">
        <v>1242</v>
      </c>
      <c r="G616" s="280">
        <v>1200000</v>
      </c>
      <c r="H616" s="285">
        <v>1</v>
      </c>
      <c r="J616" s="281">
        <v>120000</v>
      </c>
      <c r="K616" s="280">
        <v>1320000</v>
      </c>
    </row>
    <row r="617" spans="1:12">
      <c r="A617" s="288">
        <v>617</v>
      </c>
      <c r="B617" s="278">
        <v>45819</v>
      </c>
      <c r="C617" s="285" t="s">
        <v>1418</v>
      </c>
      <c r="E617" s="285" t="s">
        <v>1805</v>
      </c>
      <c r="F617" s="285">
        <v>2850701</v>
      </c>
      <c r="G617" s="280">
        <v>600000</v>
      </c>
      <c r="H617" s="285">
        <v>1</v>
      </c>
      <c r="K617" s="280">
        <v>600000</v>
      </c>
    </row>
    <row r="618" spans="1:12">
      <c r="A618" s="288">
        <v>618</v>
      </c>
      <c r="B618" s="278">
        <v>45819</v>
      </c>
      <c r="C618" s="285" t="s">
        <v>2605</v>
      </c>
      <c r="E618" s="285" t="s">
        <v>1785</v>
      </c>
      <c r="F618" s="285">
        <v>2800802</v>
      </c>
      <c r="G618" s="280">
        <v>200000</v>
      </c>
      <c r="H618" s="285">
        <v>1</v>
      </c>
      <c r="J618" s="281">
        <v>20000</v>
      </c>
      <c r="K618" s="280">
        <v>220000</v>
      </c>
    </row>
    <row r="619" spans="1:12">
      <c r="A619" s="288">
        <v>619</v>
      </c>
      <c r="B619" s="278">
        <v>45819</v>
      </c>
      <c r="C619" s="285" t="s">
        <v>1495</v>
      </c>
      <c r="E619" s="285" t="s">
        <v>1241</v>
      </c>
      <c r="F619" s="285" t="s">
        <v>1822</v>
      </c>
      <c r="G619" s="280">
        <v>1200000</v>
      </c>
      <c r="H619" s="285">
        <v>1</v>
      </c>
      <c r="K619" s="280">
        <v>1200000</v>
      </c>
    </row>
    <row r="620" spans="1:12">
      <c r="A620" s="288">
        <v>620</v>
      </c>
      <c r="B620" s="278">
        <v>45818</v>
      </c>
      <c r="C620" s="285" t="s">
        <v>2484</v>
      </c>
      <c r="E620" s="285" t="s">
        <v>1161</v>
      </c>
      <c r="L620" s="280">
        <v>-3000000</v>
      </c>
    </row>
    <row r="621" spans="1:12">
      <c r="A621" s="288">
        <v>621</v>
      </c>
      <c r="B621" s="278">
        <v>45819</v>
      </c>
      <c r="C621" s="285" t="s">
        <v>2605</v>
      </c>
      <c r="E621" s="285" t="s">
        <v>1161</v>
      </c>
      <c r="L621" s="280">
        <v>-220000</v>
      </c>
    </row>
    <row r="622" spans="1:12">
      <c r="A622" s="288">
        <v>622</v>
      </c>
      <c r="B622" s="278">
        <v>45818</v>
      </c>
      <c r="C622" s="285" t="s">
        <v>2427</v>
      </c>
      <c r="E622" s="285" t="s">
        <v>1161</v>
      </c>
      <c r="L622" s="280">
        <v>-100000</v>
      </c>
    </row>
    <row r="623" spans="1:12">
      <c r="A623" s="61">
        <v>622</v>
      </c>
      <c r="B623" s="278">
        <v>45820</v>
      </c>
      <c r="C623" s="285" t="s">
        <v>1495</v>
      </c>
      <c r="E623" s="285" t="s">
        <v>1161</v>
      </c>
      <c r="L623" s="280">
        <v>-1200000</v>
      </c>
    </row>
    <row r="624" spans="1:12">
      <c r="A624" s="61">
        <v>623</v>
      </c>
      <c r="B624" s="278">
        <v>45820</v>
      </c>
      <c r="C624" s="285" t="s">
        <v>2622</v>
      </c>
      <c r="E624" s="285" t="s">
        <v>2278</v>
      </c>
      <c r="F624" s="285" t="s">
        <v>1239</v>
      </c>
      <c r="G624" s="280">
        <v>1500000</v>
      </c>
      <c r="H624" s="285">
        <v>1</v>
      </c>
      <c r="K624" s="280">
        <v>1500000</v>
      </c>
    </row>
    <row r="625" spans="1:12">
      <c r="A625" s="61">
        <v>624</v>
      </c>
      <c r="B625" s="278">
        <v>45820</v>
      </c>
      <c r="C625" s="285" t="s">
        <v>2622</v>
      </c>
      <c r="E625" s="285" t="s">
        <v>2279</v>
      </c>
      <c r="F625" s="285" t="s">
        <v>1879</v>
      </c>
      <c r="G625" s="280">
        <v>50000</v>
      </c>
      <c r="H625" s="285">
        <v>1</v>
      </c>
      <c r="K625" s="280">
        <v>50000</v>
      </c>
    </row>
    <row r="626" spans="1:12">
      <c r="A626" s="61">
        <v>625</v>
      </c>
      <c r="B626" s="278">
        <v>45820</v>
      </c>
      <c r="C626" s="285" t="s">
        <v>1519</v>
      </c>
      <c r="E626" s="285" t="s">
        <v>2295</v>
      </c>
      <c r="G626" s="280">
        <v>1500000</v>
      </c>
      <c r="H626" s="285">
        <v>1</v>
      </c>
      <c r="K626" s="280">
        <v>1500000</v>
      </c>
    </row>
    <row r="627" spans="1:12">
      <c r="A627" s="61">
        <v>626</v>
      </c>
      <c r="B627" s="278">
        <v>45820</v>
      </c>
      <c r="C627" s="285" t="s">
        <v>1525</v>
      </c>
      <c r="E627" s="285" t="s">
        <v>1243</v>
      </c>
      <c r="F627" s="285" t="s">
        <v>1242</v>
      </c>
      <c r="G627" s="280">
        <v>1100000</v>
      </c>
      <c r="H627" s="285">
        <v>1</v>
      </c>
      <c r="K627" s="280">
        <v>1100000</v>
      </c>
    </row>
    <row r="628" spans="1:12">
      <c r="A628" s="61">
        <v>627</v>
      </c>
      <c r="B628" s="278">
        <v>45820</v>
      </c>
      <c r="C628" s="285" t="s">
        <v>2614</v>
      </c>
      <c r="E628" s="285" t="s">
        <v>1161</v>
      </c>
      <c r="L628" s="280">
        <v>-1320000</v>
      </c>
    </row>
    <row r="629" spans="1:12">
      <c r="A629" s="61">
        <v>628</v>
      </c>
      <c r="B629" s="278">
        <v>45821</v>
      </c>
      <c r="C629" s="285" t="s">
        <v>2245</v>
      </c>
      <c r="E629" s="285" t="s">
        <v>1161</v>
      </c>
      <c r="L629" s="280">
        <v>-900000</v>
      </c>
    </row>
    <row r="630" spans="1:12">
      <c r="A630" s="61">
        <v>629</v>
      </c>
      <c r="B630" s="278">
        <v>45821</v>
      </c>
      <c r="C630" s="285" t="s">
        <v>2625</v>
      </c>
      <c r="E630" s="285" t="s">
        <v>1785</v>
      </c>
      <c r="F630" s="285">
        <v>2800802</v>
      </c>
      <c r="G630" s="280">
        <v>150000</v>
      </c>
      <c r="H630" s="285">
        <v>1</v>
      </c>
      <c r="K630" s="280">
        <v>150000</v>
      </c>
    </row>
    <row r="631" spans="1:12">
      <c r="A631" s="61">
        <v>630</v>
      </c>
      <c r="B631" s="278">
        <v>45821</v>
      </c>
      <c r="C631" s="285" t="s">
        <v>1979</v>
      </c>
      <c r="E631" s="285" t="s">
        <v>1161</v>
      </c>
      <c r="L631" s="280">
        <v>-1200000</v>
      </c>
    </row>
    <row r="632" spans="1:12">
      <c r="A632" s="61">
        <v>631</v>
      </c>
      <c r="B632" s="278">
        <v>45728</v>
      </c>
      <c r="C632" s="285" t="s">
        <v>1105</v>
      </c>
      <c r="E632" s="285" t="s">
        <v>1161</v>
      </c>
      <c r="L632" s="280">
        <v>-1500000</v>
      </c>
    </row>
    <row r="633" spans="1:12">
      <c r="A633" s="61">
        <v>632</v>
      </c>
      <c r="B633" s="278">
        <v>45821</v>
      </c>
      <c r="C633" s="285" t="s">
        <v>1030</v>
      </c>
      <c r="E633" s="285" t="s">
        <v>2289</v>
      </c>
      <c r="F633" s="285" t="s">
        <v>1871</v>
      </c>
      <c r="G633" s="280">
        <v>35000</v>
      </c>
      <c r="H633" s="285">
        <v>1</v>
      </c>
      <c r="K633" s="280">
        <v>35000</v>
      </c>
    </row>
    <row r="634" spans="1:12">
      <c r="A634" s="61">
        <v>633</v>
      </c>
      <c r="B634" s="278">
        <v>45821</v>
      </c>
      <c r="C634" s="285" t="s">
        <v>1030</v>
      </c>
      <c r="E634" s="285" t="s">
        <v>2290</v>
      </c>
      <c r="F634" s="285" t="s">
        <v>1901</v>
      </c>
      <c r="G634" s="280">
        <v>10000</v>
      </c>
      <c r="H634" s="285">
        <v>1</v>
      </c>
      <c r="K634" s="280">
        <v>10000</v>
      </c>
    </row>
    <row r="635" spans="1:12">
      <c r="A635" s="61">
        <v>634</v>
      </c>
      <c r="B635" s="278">
        <v>45821</v>
      </c>
      <c r="C635" s="285" t="s">
        <v>1885</v>
      </c>
      <c r="E635" s="285" t="s">
        <v>2276</v>
      </c>
      <c r="F635" s="285" t="s">
        <v>1510</v>
      </c>
      <c r="G635" s="280">
        <v>1500000</v>
      </c>
      <c r="H635" s="285">
        <v>1</v>
      </c>
      <c r="K635" s="280">
        <v>1500000</v>
      </c>
    </row>
    <row r="636" spans="1:12">
      <c r="A636" s="61">
        <v>635</v>
      </c>
      <c r="B636" s="278">
        <v>45821</v>
      </c>
      <c r="C636" s="285" t="s">
        <v>2066</v>
      </c>
      <c r="E636" s="285" t="s">
        <v>2284</v>
      </c>
      <c r="F636" s="285" t="s">
        <v>1238</v>
      </c>
      <c r="G636" s="280">
        <v>1400000</v>
      </c>
      <c r="H636" s="285">
        <v>1</v>
      </c>
      <c r="K636" s="280">
        <v>1400000</v>
      </c>
    </row>
    <row r="637" spans="1:12">
      <c r="A637" s="61">
        <v>636</v>
      </c>
      <c r="B637" s="278">
        <v>45821</v>
      </c>
      <c r="C637" s="285" t="s">
        <v>2635</v>
      </c>
      <c r="E637" s="285" t="s">
        <v>2278</v>
      </c>
      <c r="F637" s="285" t="s">
        <v>1239</v>
      </c>
      <c r="G637" s="280">
        <v>1500000</v>
      </c>
      <c r="H637" s="285">
        <v>1</v>
      </c>
      <c r="K637" s="280">
        <v>1500000</v>
      </c>
    </row>
    <row r="638" spans="1:12">
      <c r="A638" s="61">
        <v>637</v>
      </c>
      <c r="B638" s="278">
        <v>45821</v>
      </c>
      <c r="C638" s="285" t="s">
        <v>2635</v>
      </c>
      <c r="E638" s="285" t="s">
        <v>2279</v>
      </c>
      <c r="F638" s="285" t="s">
        <v>1879</v>
      </c>
      <c r="G638" s="280">
        <v>50000</v>
      </c>
      <c r="H638" s="285">
        <v>1</v>
      </c>
      <c r="K638" s="280">
        <v>50000</v>
      </c>
    </row>
    <row r="639" spans="1:12">
      <c r="A639" s="61">
        <v>638</v>
      </c>
      <c r="B639" s="278">
        <v>45821</v>
      </c>
      <c r="C639" s="285" t="s">
        <v>2817</v>
      </c>
      <c r="E639" s="285" t="s">
        <v>2818</v>
      </c>
      <c r="G639" s="280">
        <v>300000</v>
      </c>
      <c r="H639" s="285">
        <v>1</v>
      </c>
      <c r="K639" s="280">
        <v>300000</v>
      </c>
    </row>
    <row r="640" spans="1:12">
      <c r="A640" s="61">
        <v>639</v>
      </c>
      <c r="B640" s="278">
        <v>45821</v>
      </c>
      <c r="C640" s="285" t="s">
        <v>1515</v>
      </c>
      <c r="E640" s="285" t="s">
        <v>2639</v>
      </c>
      <c r="G640" s="280">
        <v>150000</v>
      </c>
      <c r="H640" s="285">
        <v>1</v>
      </c>
      <c r="K640" s="280">
        <v>150000</v>
      </c>
    </row>
    <row r="641" spans="1:12">
      <c r="A641" s="61">
        <v>640</v>
      </c>
      <c r="B641" s="278">
        <v>45821</v>
      </c>
      <c r="C641" s="285" t="s">
        <v>1540</v>
      </c>
      <c r="E641" s="285" t="s">
        <v>2406</v>
      </c>
      <c r="G641" s="280">
        <v>650000</v>
      </c>
      <c r="H641" s="285">
        <v>1</v>
      </c>
      <c r="K641" s="280">
        <v>650000</v>
      </c>
    </row>
    <row r="642" spans="1:12">
      <c r="A642" s="61">
        <v>641</v>
      </c>
      <c r="B642" s="278">
        <v>45821</v>
      </c>
      <c r="C642" s="285" t="s">
        <v>1540</v>
      </c>
      <c r="E642" s="285" t="s">
        <v>1542</v>
      </c>
      <c r="G642" s="280">
        <v>350000</v>
      </c>
      <c r="H642" s="285">
        <v>1</v>
      </c>
      <c r="K642" s="280">
        <v>350000</v>
      </c>
    </row>
    <row r="643" spans="1:12">
      <c r="A643" s="61">
        <v>642</v>
      </c>
      <c r="B643" s="278">
        <v>45821</v>
      </c>
      <c r="C643" s="285" t="s">
        <v>2635</v>
      </c>
      <c r="E643" s="285" t="s">
        <v>1161</v>
      </c>
      <c r="L643" s="280">
        <v>-1550000</v>
      </c>
    </row>
    <row r="644" spans="1:12">
      <c r="A644" s="61">
        <v>643</v>
      </c>
      <c r="B644" s="278">
        <v>45821</v>
      </c>
      <c r="C644" s="285" t="s">
        <v>2066</v>
      </c>
      <c r="E644" s="285" t="s">
        <v>1161</v>
      </c>
      <c r="L644" s="280">
        <v>-1400000</v>
      </c>
    </row>
    <row r="645" spans="1:12">
      <c r="A645" s="61">
        <v>644</v>
      </c>
      <c r="B645" s="278">
        <v>45822</v>
      </c>
      <c r="C645" s="285" t="s">
        <v>1445</v>
      </c>
      <c r="E645" s="285" t="s">
        <v>1813</v>
      </c>
      <c r="G645" s="280">
        <v>650000</v>
      </c>
      <c r="H645" s="285">
        <v>1</v>
      </c>
      <c r="K645" s="280">
        <v>650000</v>
      </c>
    </row>
    <row r="646" spans="1:12">
      <c r="A646" s="61">
        <v>645</v>
      </c>
      <c r="B646" s="278">
        <v>45822</v>
      </c>
      <c r="C646" s="285" t="s">
        <v>2625</v>
      </c>
      <c r="E646" s="285" t="s">
        <v>1161</v>
      </c>
      <c r="L646" s="280">
        <v>-150000</v>
      </c>
    </row>
    <row r="647" spans="1:12">
      <c r="A647" s="61">
        <v>646</v>
      </c>
      <c r="B647" s="278">
        <v>45822</v>
      </c>
      <c r="C647" s="285" t="s">
        <v>1587</v>
      </c>
      <c r="E647" s="285" t="s">
        <v>1813</v>
      </c>
      <c r="G647" s="280">
        <v>1100000</v>
      </c>
      <c r="H647" s="285">
        <v>1</v>
      </c>
      <c r="K647" s="280">
        <v>1100000</v>
      </c>
    </row>
    <row r="648" spans="1:12">
      <c r="A648" s="61">
        <v>647</v>
      </c>
      <c r="B648" s="278">
        <v>45824</v>
      </c>
      <c r="C648" s="285" t="s">
        <v>1060</v>
      </c>
      <c r="E648" s="285" t="s">
        <v>1161</v>
      </c>
      <c r="L648" s="280">
        <v>-1550000</v>
      </c>
    </row>
    <row r="649" spans="1:12">
      <c r="A649" s="61">
        <v>648</v>
      </c>
      <c r="B649" s="278">
        <v>45824</v>
      </c>
      <c r="C649" s="285" t="s">
        <v>1500</v>
      </c>
      <c r="E649" s="285" t="s">
        <v>2222</v>
      </c>
      <c r="G649" s="280">
        <v>250000</v>
      </c>
      <c r="H649" s="285">
        <v>1</v>
      </c>
      <c r="K649" s="280">
        <v>250000</v>
      </c>
    </row>
    <row r="650" spans="1:12">
      <c r="A650" s="61">
        <v>649</v>
      </c>
      <c r="B650" s="278">
        <v>45824</v>
      </c>
      <c r="C650" s="285" t="s">
        <v>1540</v>
      </c>
      <c r="E650" s="285" t="s">
        <v>1161</v>
      </c>
      <c r="L650" s="280">
        <v>-1000000</v>
      </c>
    </row>
    <row r="651" spans="1:12">
      <c r="A651" s="61">
        <v>650</v>
      </c>
      <c r="B651" s="278">
        <v>45824</v>
      </c>
      <c r="C651" s="285" t="s">
        <v>1030</v>
      </c>
      <c r="E651" s="285" t="s">
        <v>1607</v>
      </c>
      <c r="F651" s="285" t="s">
        <v>1841</v>
      </c>
      <c r="G651" s="280">
        <v>1400000</v>
      </c>
      <c r="H651" s="285">
        <v>1</v>
      </c>
      <c r="K651" s="280">
        <v>1400000</v>
      </c>
    </row>
    <row r="652" spans="1:12">
      <c r="A652" s="61">
        <v>651</v>
      </c>
      <c r="B652" s="278">
        <v>45824</v>
      </c>
      <c r="C652" s="285" t="s">
        <v>1030</v>
      </c>
      <c r="E652" s="285" t="s">
        <v>2652</v>
      </c>
      <c r="F652" s="285">
        <v>2463772400</v>
      </c>
      <c r="G652" s="280">
        <v>67500</v>
      </c>
      <c r="H652" s="285">
        <v>1</v>
      </c>
      <c r="K652" s="280">
        <v>67500</v>
      </c>
    </row>
    <row r="653" spans="1:12">
      <c r="A653" s="61">
        <v>652</v>
      </c>
      <c r="B653" s="278">
        <v>45824</v>
      </c>
      <c r="C653" s="285" t="s">
        <v>1030</v>
      </c>
      <c r="E653" s="285" t="s">
        <v>2653</v>
      </c>
      <c r="F653" s="285">
        <v>2462500901</v>
      </c>
      <c r="G653" s="280">
        <v>1170000</v>
      </c>
      <c r="H653" s="285">
        <v>1</v>
      </c>
      <c r="K653" s="280">
        <v>1170000</v>
      </c>
    </row>
    <row r="654" spans="1:12">
      <c r="A654" s="61">
        <v>653</v>
      </c>
      <c r="B654" s="278">
        <v>45824</v>
      </c>
      <c r="C654" s="285" t="s">
        <v>1030</v>
      </c>
      <c r="E654" s="285" t="s">
        <v>1806</v>
      </c>
      <c r="F654" s="285">
        <v>2810701</v>
      </c>
      <c r="G654" s="280">
        <v>450000</v>
      </c>
      <c r="H654" s="285">
        <v>1</v>
      </c>
      <c r="K654" s="280">
        <v>450000</v>
      </c>
    </row>
    <row r="655" spans="1:12">
      <c r="A655" s="61">
        <v>654</v>
      </c>
      <c r="B655" s="278">
        <v>45824</v>
      </c>
      <c r="C655" s="285" t="s">
        <v>1445</v>
      </c>
      <c r="E655" s="285" t="s">
        <v>1813</v>
      </c>
      <c r="G655" s="280">
        <v>650000</v>
      </c>
      <c r="H655" s="285">
        <v>1</v>
      </c>
      <c r="K655" s="280">
        <v>650000</v>
      </c>
    </row>
    <row r="656" spans="1:12">
      <c r="A656" s="61">
        <v>655</v>
      </c>
      <c r="B656" s="278">
        <v>45824</v>
      </c>
      <c r="C656" s="285" t="s">
        <v>1515</v>
      </c>
      <c r="E656" s="285" t="s">
        <v>1161</v>
      </c>
      <c r="L656" s="280">
        <v>-650000</v>
      </c>
    </row>
    <row r="657" spans="1:12">
      <c r="A657" s="61">
        <v>656</v>
      </c>
      <c r="B657" s="278">
        <v>45824</v>
      </c>
      <c r="C657" s="285" t="s">
        <v>1525</v>
      </c>
      <c r="E657" s="285" t="s">
        <v>1161</v>
      </c>
      <c r="L657" s="280">
        <v>-2000000</v>
      </c>
    </row>
    <row r="658" spans="1:12">
      <c r="A658" s="61">
        <v>657</v>
      </c>
      <c r="B658" s="278">
        <v>45825</v>
      </c>
      <c r="C658" s="285" t="s">
        <v>1424</v>
      </c>
      <c r="E658" s="285" t="s">
        <v>1241</v>
      </c>
      <c r="F658" s="285" t="s">
        <v>1822</v>
      </c>
      <c r="G658" s="280">
        <v>1300000</v>
      </c>
      <c r="H658" s="285">
        <v>1</v>
      </c>
      <c r="K658" s="280">
        <v>1300000</v>
      </c>
    </row>
    <row r="659" spans="1:12">
      <c r="A659" s="61">
        <v>658</v>
      </c>
      <c r="B659" s="278">
        <v>45825</v>
      </c>
      <c r="C659" s="285" t="s">
        <v>1424</v>
      </c>
      <c r="E659" s="285" t="s">
        <v>1542</v>
      </c>
      <c r="G659" s="280">
        <v>350000</v>
      </c>
      <c r="H659" s="285">
        <v>1</v>
      </c>
      <c r="K659" s="280">
        <v>350000</v>
      </c>
    </row>
    <row r="660" spans="1:12">
      <c r="A660" s="61">
        <v>659</v>
      </c>
      <c r="B660" s="278">
        <v>45825</v>
      </c>
      <c r="C660" s="285" t="s">
        <v>1424</v>
      </c>
      <c r="E660" s="285" t="s">
        <v>1565</v>
      </c>
      <c r="G660" s="280">
        <v>20000</v>
      </c>
      <c r="H660" s="285">
        <v>1</v>
      </c>
      <c r="K660" s="280">
        <v>20000</v>
      </c>
    </row>
    <row r="661" spans="1:12">
      <c r="A661" s="61">
        <v>660</v>
      </c>
      <c r="B661" s="278">
        <v>45825</v>
      </c>
      <c r="C661" s="285" t="s">
        <v>1424</v>
      </c>
      <c r="E661" s="285" t="s">
        <v>1161</v>
      </c>
      <c r="L661" s="280">
        <v>-1670000</v>
      </c>
    </row>
    <row r="662" spans="1:12">
      <c r="A662" s="61">
        <v>661</v>
      </c>
      <c r="B662" s="278">
        <v>45825</v>
      </c>
      <c r="C662" s="285" t="s">
        <v>1587</v>
      </c>
      <c r="E662" s="285" t="s">
        <v>2697</v>
      </c>
      <c r="G662" s="280">
        <v>2500000</v>
      </c>
      <c r="H662" s="285">
        <v>1</v>
      </c>
      <c r="K662" s="280">
        <v>2500000</v>
      </c>
    </row>
    <row r="663" spans="1:12">
      <c r="A663" s="61">
        <v>662</v>
      </c>
      <c r="B663" s="278">
        <v>45825</v>
      </c>
      <c r="C663" s="285" t="s">
        <v>1587</v>
      </c>
      <c r="E663" s="285" t="s">
        <v>2699</v>
      </c>
      <c r="L663" s="280">
        <v>-2500000</v>
      </c>
    </row>
    <row r="664" spans="1:12">
      <c r="A664" s="61">
        <v>663</v>
      </c>
      <c r="B664" s="278">
        <v>45825</v>
      </c>
      <c r="C664" s="285" t="s">
        <v>1445</v>
      </c>
      <c r="E664" s="285" t="s">
        <v>1813</v>
      </c>
      <c r="G664" s="280">
        <v>650000</v>
      </c>
      <c r="H664" s="285">
        <v>1</v>
      </c>
      <c r="K664" s="280">
        <v>650000</v>
      </c>
    </row>
    <row r="665" spans="1:12">
      <c r="A665" s="61">
        <v>664</v>
      </c>
      <c r="B665" s="278">
        <v>45825</v>
      </c>
      <c r="C665" s="285" t="s">
        <v>2700</v>
      </c>
      <c r="E665" s="285" t="s">
        <v>2276</v>
      </c>
      <c r="F665" s="285" t="s">
        <v>1510</v>
      </c>
      <c r="G665" s="280">
        <v>1500000</v>
      </c>
      <c r="H665" s="285">
        <v>1</v>
      </c>
      <c r="K665" s="280">
        <v>1500000</v>
      </c>
    </row>
    <row r="666" spans="1:12">
      <c r="A666" s="61">
        <v>665</v>
      </c>
      <c r="B666" s="278">
        <v>45825</v>
      </c>
      <c r="C666" s="285" t="s">
        <v>2700</v>
      </c>
      <c r="E666" s="285" t="s">
        <v>1161</v>
      </c>
      <c r="L666" s="280">
        <v>-1500000</v>
      </c>
    </row>
    <row r="667" spans="1:12">
      <c r="A667" s="61">
        <v>666</v>
      </c>
      <c r="B667" s="278">
        <v>45826</v>
      </c>
      <c r="C667" s="285" t="s">
        <v>1498</v>
      </c>
      <c r="E667" s="285" t="s">
        <v>1161</v>
      </c>
      <c r="L667" s="280">
        <v>-1320000</v>
      </c>
    </row>
    <row r="668" spans="1:12">
      <c r="A668" s="61">
        <v>667</v>
      </c>
      <c r="B668" s="278">
        <v>45826</v>
      </c>
      <c r="C668" s="285" t="s">
        <v>1030</v>
      </c>
      <c r="E668" s="285" t="s">
        <v>1814</v>
      </c>
      <c r="G668" s="280">
        <v>1350000</v>
      </c>
      <c r="H668" s="285">
        <v>1</v>
      </c>
      <c r="K668" s="280">
        <v>1350000</v>
      </c>
    </row>
    <row r="669" spans="1:12">
      <c r="A669" s="61">
        <v>668</v>
      </c>
      <c r="B669" s="278">
        <v>45826</v>
      </c>
      <c r="C669" s="285" t="s">
        <v>1445</v>
      </c>
      <c r="E669" s="285" t="s">
        <v>2710</v>
      </c>
      <c r="F669" s="285" t="s">
        <v>2709</v>
      </c>
      <c r="G669" s="280">
        <v>1000000</v>
      </c>
      <c r="H669" s="285">
        <v>1</v>
      </c>
      <c r="K669" s="280">
        <v>1000000</v>
      </c>
    </row>
    <row r="670" spans="1:12">
      <c r="A670" s="61">
        <v>669</v>
      </c>
      <c r="B670" s="278">
        <v>45826</v>
      </c>
      <c r="C670" s="285" t="s">
        <v>2847</v>
      </c>
      <c r="E670" s="285" t="s">
        <v>2857</v>
      </c>
      <c r="F670" s="287">
        <v>1087298388</v>
      </c>
      <c r="G670" s="280">
        <v>550000</v>
      </c>
      <c r="H670" s="285">
        <v>2</v>
      </c>
      <c r="J670" s="281">
        <v>110000</v>
      </c>
      <c r="K670" s="280">
        <v>1210000</v>
      </c>
    </row>
    <row r="671" spans="1:12">
      <c r="A671" s="61">
        <v>670</v>
      </c>
      <c r="B671" s="278">
        <v>45826</v>
      </c>
      <c r="C671" s="285" t="s">
        <v>2063</v>
      </c>
      <c r="E671" s="285" t="s">
        <v>2296</v>
      </c>
      <c r="F671" s="285" t="s">
        <v>1236</v>
      </c>
      <c r="G671" s="280">
        <v>1000000</v>
      </c>
      <c r="H671" s="285">
        <v>1</v>
      </c>
      <c r="K671" s="280">
        <v>1000000</v>
      </c>
    </row>
    <row r="672" spans="1:12">
      <c r="A672" s="61">
        <v>671</v>
      </c>
      <c r="B672" s="278">
        <v>45826</v>
      </c>
      <c r="C672" s="285" t="s">
        <v>2063</v>
      </c>
      <c r="E672" s="285" t="s">
        <v>1565</v>
      </c>
      <c r="G672" s="280">
        <v>20000</v>
      </c>
      <c r="H672" s="285">
        <v>1</v>
      </c>
      <c r="K672" s="280">
        <v>20000</v>
      </c>
    </row>
    <row r="673" spans="1:12">
      <c r="A673" s="61">
        <v>672</v>
      </c>
      <c r="B673" s="278">
        <v>45826</v>
      </c>
      <c r="C673" s="285" t="s">
        <v>2063</v>
      </c>
      <c r="E673" s="285" t="s">
        <v>2296</v>
      </c>
      <c r="F673" s="285" t="s">
        <v>1236</v>
      </c>
      <c r="G673" s="280">
        <v>1000000</v>
      </c>
      <c r="H673" s="285">
        <v>1</v>
      </c>
      <c r="K673" s="280">
        <v>1000000</v>
      </c>
    </row>
    <row r="674" spans="1:12">
      <c r="A674" s="61">
        <v>673</v>
      </c>
      <c r="B674" s="278">
        <v>45826</v>
      </c>
      <c r="C674" s="285" t="s">
        <v>2398</v>
      </c>
      <c r="E674" s="285" t="s">
        <v>2123</v>
      </c>
      <c r="G674" s="280">
        <v>1000000</v>
      </c>
      <c r="H674" s="285">
        <v>1</v>
      </c>
      <c r="J674" s="281">
        <v>100000</v>
      </c>
      <c r="K674" s="280">
        <v>1100000</v>
      </c>
    </row>
    <row r="675" spans="1:12">
      <c r="A675" s="61">
        <v>674</v>
      </c>
      <c r="B675" s="278">
        <v>45826</v>
      </c>
      <c r="C675" s="285" t="s">
        <v>2398</v>
      </c>
      <c r="E675" s="285" t="s">
        <v>1161</v>
      </c>
      <c r="L675" s="280">
        <v>-1100000</v>
      </c>
    </row>
    <row r="676" spans="1:12">
      <c r="A676" s="61">
        <v>675</v>
      </c>
      <c r="B676" s="278">
        <v>45826</v>
      </c>
      <c r="C676" s="285" t="s">
        <v>1500</v>
      </c>
      <c r="E676" s="285" t="s">
        <v>1161</v>
      </c>
      <c r="L676" s="280">
        <v>-250000</v>
      </c>
    </row>
    <row r="677" spans="1:12">
      <c r="A677" s="61">
        <v>676</v>
      </c>
      <c r="B677" s="278">
        <v>45826</v>
      </c>
      <c r="C677" s="285" t="s">
        <v>2063</v>
      </c>
      <c r="E677" s="285" t="s">
        <v>1161</v>
      </c>
      <c r="L677" s="280">
        <v>-2020000</v>
      </c>
    </row>
    <row r="678" spans="1:12">
      <c r="A678" s="61">
        <v>677</v>
      </c>
      <c r="B678" s="278">
        <v>45826</v>
      </c>
      <c r="C678" s="285" t="s">
        <v>1790</v>
      </c>
      <c r="E678" s="285" t="s">
        <v>2438</v>
      </c>
      <c r="F678" s="285">
        <v>28120411</v>
      </c>
      <c r="G678" s="280">
        <v>1350000</v>
      </c>
      <c r="H678" s="285">
        <v>1</v>
      </c>
      <c r="K678" s="280">
        <v>1350000</v>
      </c>
    </row>
    <row r="679" spans="1:12">
      <c r="A679" s="61">
        <v>678</v>
      </c>
      <c r="B679" s="278">
        <v>45826</v>
      </c>
      <c r="C679" s="285" t="s">
        <v>1445</v>
      </c>
      <c r="E679" s="285" t="s">
        <v>1241</v>
      </c>
      <c r="F679" s="285" t="s">
        <v>1822</v>
      </c>
      <c r="G679" s="280">
        <v>1200000</v>
      </c>
      <c r="H679" s="285">
        <v>1</v>
      </c>
      <c r="K679" s="280">
        <v>1200000</v>
      </c>
    </row>
    <row r="680" spans="1:12">
      <c r="A680" s="61">
        <v>679</v>
      </c>
      <c r="B680" s="278">
        <v>45826</v>
      </c>
      <c r="C680" s="285" t="s">
        <v>1445</v>
      </c>
      <c r="E680" s="285" t="s">
        <v>1935</v>
      </c>
      <c r="F680" s="285" t="s">
        <v>1934</v>
      </c>
      <c r="G680" s="280">
        <v>190000</v>
      </c>
      <c r="H680" s="285">
        <v>1</v>
      </c>
      <c r="K680" s="280">
        <v>190000</v>
      </c>
    </row>
    <row r="681" spans="1:12">
      <c r="A681" s="61">
        <v>680</v>
      </c>
      <c r="B681" s="278">
        <v>45827</v>
      </c>
      <c r="C681" s="285" t="s">
        <v>2063</v>
      </c>
      <c r="E681" s="285" t="s">
        <v>2305</v>
      </c>
      <c r="G681" s="280">
        <v>1500000</v>
      </c>
      <c r="H681" s="285">
        <v>1</v>
      </c>
      <c r="J681" s="281">
        <v>150000</v>
      </c>
      <c r="K681" s="280">
        <v>1650000</v>
      </c>
    </row>
    <row r="682" spans="1:12">
      <c r="A682" s="61">
        <v>681</v>
      </c>
      <c r="B682" s="278">
        <v>45827</v>
      </c>
      <c r="C682" s="285" t="s">
        <v>1495</v>
      </c>
      <c r="E682" s="285" t="s">
        <v>1241</v>
      </c>
      <c r="F682" s="285" t="s">
        <v>1822</v>
      </c>
      <c r="G682" s="280">
        <v>1200000</v>
      </c>
      <c r="H682" s="285">
        <v>1</v>
      </c>
      <c r="K682" s="280">
        <v>1200000</v>
      </c>
    </row>
    <row r="683" spans="1:12">
      <c r="A683" s="61">
        <v>682</v>
      </c>
      <c r="B683" s="278">
        <v>45827</v>
      </c>
      <c r="C683" s="285" t="s">
        <v>2700</v>
      </c>
      <c r="E683" s="285" t="s">
        <v>1241</v>
      </c>
      <c r="F683" s="285" t="s">
        <v>1822</v>
      </c>
      <c r="G683" s="280">
        <v>1200000</v>
      </c>
      <c r="H683" s="285">
        <v>1</v>
      </c>
      <c r="J683" s="281">
        <v>120000</v>
      </c>
      <c r="K683" s="280">
        <v>1320000</v>
      </c>
    </row>
    <row r="684" spans="1:12">
      <c r="A684" s="61">
        <v>683</v>
      </c>
      <c r="B684" s="278">
        <v>45827</v>
      </c>
      <c r="C684" s="285" t="s">
        <v>2700</v>
      </c>
      <c r="E684" s="285" t="s">
        <v>1161</v>
      </c>
      <c r="L684" s="280">
        <v>-1320000</v>
      </c>
    </row>
    <row r="685" spans="1:12">
      <c r="A685" s="61">
        <v>684</v>
      </c>
      <c r="B685" s="278">
        <v>45827</v>
      </c>
      <c r="C685" s="285" t="s">
        <v>1445</v>
      </c>
      <c r="E685" s="285" t="s">
        <v>2278</v>
      </c>
      <c r="F685" s="285" t="s">
        <v>1239</v>
      </c>
      <c r="G685" s="280">
        <v>1500000</v>
      </c>
      <c r="H685" s="285">
        <v>1</v>
      </c>
      <c r="K685" s="280">
        <v>1500000</v>
      </c>
    </row>
    <row r="686" spans="1:12">
      <c r="A686" s="61">
        <v>685</v>
      </c>
      <c r="B686" s="278">
        <v>45827</v>
      </c>
      <c r="C686" s="285" t="s">
        <v>1445</v>
      </c>
      <c r="E686" s="285" t="s">
        <v>2279</v>
      </c>
      <c r="F686" s="285" t="s">
        <v>1879</v>
      </c>
      <c r="G686" s="280">
        <v>50000</v>
      </c>
      <c r="H686" s="285">
        <v>1</v>
      </c>
      <c r="K686" s="280">
        <v>50000</v>
      </c>
    </row>
    <row r="687" spans="1:12">
      <c r="A687" s="61">
        <v>686</v>
      </c>
      <c r="B687" s="278">
        <v>45827</v>
      </c>
      <c r="C687" s="285" t="s">
        <v>1490</v>
      </c>
      <c r="E687" s="285" t="s">
        <v>2276</v>
      </c>
      <c r="F687" s="285" t="s">
        <v>1510</v>
      </c>
      <c r="G687" s="280">
        <v>1500000</v>
      </c>
      <c r="H687" s="285">
        <v>1</v>
      </c>
      <c r="K687" s="280">
        <v>1500000</v>
      </c>
    </row>
    <row r="688" spans="1:12">
      <c r="A688" s="61">
        <v>687</v>
      </c>
      <c r="B688" s="278">
        <v>45827</v>
      </c>
      <c r="C688" s="285" t="s">
        <v>2822</v>
      </c>
      <c r="E688" s="285" t="s">
        <v>2823</v>
      </c>
      <c r="G688" s="280">
        <v>650000</v>
      </c>
      <c r="H688" s="285">
        <v>1</v>
      </c>
      <c r="K688" s="280">
        <v>650000</v>
      </c>
    </row>
    <row r="689" spans="1:12">
      <c r="A689" s="61">
        <v>688</v>
      </c>
      <c r="B689" s="278">
        <v>45827</v>
      </c>
      <c r="C689" s="285" t="s">
        <v>2534</v>
      </c>
      <c r="E689" s="285" t="s">
        <v>2113</v>
      </c>
      <c r="F689" s="285" t="s">
        <v>1258</v>
      </c>
      <c r="G689" s="280">
        <v>1500000</v>
      </c>
      <c r="H689" s="285">
        <v>1</v>
      </c>
      <c r="J689" s="281">
        <v>150000</v>
      </c>
      <c r="K689" s="280">
        <v>1650000</v>
      </c>
    </row>
    <row r="690" spans="1:12">
      <c r="A690" s="61">
        <v>689</v>
      </c>
      <c r="B690" s="278">
        <v>45827</v>
      </c>
      <c r="C690" s="285" t="s">
        <v>1626</v>
      </c>
      <c r="E690" s="285" t="s">
        <v>2734</v>
      </c>
      <c r="G690" s="280">
        <v>500000</v>
      </c>
      <c r="H690" s="285">
        <v>1</v>
      </c>
      <c r="J690" s="281">
        <v>50000</v>
      </c>
      <c r="K690" s="280">
        <v>550000</v>
      </c>
    </row>
    <row r="691" spans="1:12">
      <c r="A691" s="61">
        <v>690</v>
      </c>
      <c r="B691" s="278">
        <v>45827</v>
      </c>
      <c r="C691" s="285" t="s">
        <v>1626</v>
      </c>
      <c r="E691" s="285" t="s">
        <v>1831</v>
      </c>
      <c r="F691" s="285">
        <v>6172091600</v>
      </c>
      <c r="G691" s="280">
        <v>250000</v>
      </c>
      <c r="H691" s="285">
        <v>1</v>
      </c>
      <c r="J691" s="281">
        <v>25000</v>
      </c>
      <c r="K691" s="280">
        <v>275000</v>
      </c>
    </row>
    <row r="692" spans="1:12">
      <c r="A692" s="61">
        <v>691</v>
      </c>
      <c r="B692" s="278">
        <v>45827</v>
      </c>
      <c r="C692" s="285" t="s">
        <v>1626</v>
      </c>
      <c r="E692" s="285" t="s">
        <v>2207</v>
      </c>
      <c r="F692" s="285" t="s">
        <v>2729</v>
      </c>
      <c r="G692" s="280">
        <v>59091</v>
      </c>
      <c r="H692" s="285">
        <v>1</v>
      </c>
      <c r="J692" s="281">
        <v>5909</v>
      </c>
      <c r="K692" s="280">
        <v>65000</v>
      </c>
    </row>
    <row r="693" spans="1:12">
      <c r="A693" s="61">
        <v>692</v>
      </c>
      <c r="B693" s="278">
        <v>45827</v>
      </c>
      <c r="C693" s="285" t="s">
        <v>1626</v>
      </c>
      <c r="E693" s="285" t="s">
        <v>2736</v>
      </c>
      <c r="G693" s="280">
        <v>330000</v>
      </c>
      <c r="H693" s="285">
        <v>1</v>
      </c>
      <c r="K693" s="280">
        <v>330000</v>
      </c>
    </row>
    <row r="694" spans="1:12">
      <c r="A694" s="61">
        <v>693</v>
      </c>
      <c r="B694" s="278">
        <v>45827</v>
      </c>
      <c r="C694" s="285" t="s">
        <v>2063</v>
      </c>
      <c r="E694" s="285" t="s">
        <v>1161</v>
      </c>
      <c r="L694" s="280">
        <v>-1650000</v>
      </c>
    </row>
    <row r="695" spans="1:12">
      <c r="A695" s="61">
        <v>694</v>
      </c>
      <c r="B695" s="278">
        <v>45827</v>
      </c>
      <c r="C695" s="285" t="s">
        <v>1885</v>
      </c>
      <c r="E695" s="285" t="s">
        <v>1161</v>
      </c>
      <c r="L695" s="280">
        <v>-1500000</v>
      </c>
    </row>
    <row r="696" spans="1:12">
      <c r="A696" s="61">
        <v>695</v>
      </c>
      <c r="B696" s="278">
        <v>45828</v>
      </c>
      <c r="C696" s="285" t="s">
        <v>2762</v>
      </c>
      <c r="E696" s="285" t="s">
        <v>2763</v>
      </c>
      <c r="F696" s="285" t="s">
        <v>2764</v>
      </c>
      <c r="G696" s="280">
        <v>1500000</v>
      </c>
      <c r="H696" s="285">
        <v>1</v>
      </c>
      <c r="J696" s="281">
        <v>150000</v>
      </c>
      <c r="K696" s="280">
        <v>1650000</v>
      </c>
    </row>
    <row r="697" spans="1:12">
      <c r="A697" s="61">
        <v>696</v>
      </c>
      <c r="B697" s="278">
        <v>45828</v>
      </c>
      <c r="C697" s="285" t="s">
        <v>2762</v>
      </c>
      <c r="E697" s="285" t="s">
        <v>2765</v>
      </c>
      <c r="F697" s="285" t="s">
        <v>2766</v>
      </c>
      <c r="G697" s="280">
        <v>50000</v>
      </c>
      <c r="H697" s="285">
        <v>1</v>
      </c>
      <c r="J697" s="281">
        <v>5000</v>
      </c>
      <c r="K697" s="280">
        <v>55000</v>
      </c>
    </row>
    <row r="698" spans="1:12">
      <c r="A698" s="61">
        <v>697</v>
      </c>
      <c r="B698" s="278">
        <v>45828</v>
      </c>
      <c r="C698" s="285" t="s">
        <v>2534</v>
      </c>
      <c r="E698" s="285" t="s">
        <v>1161</v>
      </c>
      <c r="L698" s="280">
        <v>-1650000</v>
      </c>
    </row>
    <row r="699" spans="1:12">
      <c r="A699" s="61">
        <v>698</v>
      </c>
      <c r="B699" s="278">
        <v>45828</v>
      </c>
      <c r="C699" s="285" t="s">
        <v>1587</v>
      </c>
      <c r="E699" s="285" t="s">
        <v>1161</v>
      </c>
      <c r="L699" s="280">
        <v>-3000000</v>
      </c>
    </row>
    <row r="700" spans="1:12">
      <c r="A700" s="61">
        <v>699</v>
      </c>
      <c r="B700" s="278">
        <v>45828</v>
      </c>
      <c r="C700" s="285" t="s">
        <v>1629</v>
      </c>
      <c r="E700" s="285" t="s">
        <v>1241</v>
      </c>
      <c r="F700" s="285" t="s">
        <v>1822</v>
      </c>
      <c r="G700" s="280">
        <v>1200000</v>
      </c>
      <c r="H700" s="285">
        <v>1</v>
      </c>
      <c r="J700" s="281">
        <v>120000</v>
      </c>
      <c r="K700" s="280">
        <v>1320000</v>
      </c>
    </row>
    <row r="701" spans="1:12">
      <c r="A701" s="61">
        <v>700</v>
      </c>
      <c r="B701" s="278">
        <v>45828</v>
      </c>
      <c r="C701" s="285" t="s">
        <v>1629</v>
      </c>
      <c r="E701" s="285" t="s">
        <v>1773</v>
      </c>
      <c r="F701" s="285" t="s">
        <v>1772</v>
      </c>
      <c r="G701" s="280">
        <v>50000</v>
      </c>
      <c r="H701" s="285">
        <v>1</v>
      </c>
      <c r="J701" s="281">
        <v>5000</v>
      </c>
      <c r="K701" s="280">
        <v>55000</v>
      </c>
    </row>
    <row r="702" spans="1:12">
      <c r="A702" s="61">
        <v>701</v>
      </c>
      <c r="B702" s="278">
        <v>45828</v>
      </c>
      <c r="C702" s="285" t="s">
        <v>2843</v>
      </c>
      <c r="E702" s="285" t="s">
        <v>2844</v>
      </c>
      <c r="F702" s="285" t="s">
        <v>2845</v>
      </c>
      <c r="G702" s="280">
        <v>1200000</v>
      </c>
      <c r="H702" s="285">
        <v>1</v>
      </c>
      <c r="K702" s="280">
        <v>1200000</v>
      </c>
    </row>
    <row r="703" spans="1:12">
      <c r="A703" s="61">
        <v>702</v>
      </c>
      <c r="B703" s="278">
        <v>45828</v>
      </c>
      <c r="C703" s="285" t="s">
        <v>2843</v>
      </c>
      <c r="E703" s="285" t="s">
        <v>2846</v>
      </c>
      <c r="G703" s="280">
        <v>350000</v>
      </c>
      <c r="H703" s="285">
        <v>1</v>
      </c>
      <c r="K703" s="280">
        <v>350000</v>
      </c>
    </row>
    <row r="704" spans="1:12">
      <c r="A704" s="61">
        <v>703</v>
      </c>
      <c r="B704" s="278">
        <v>45828</v>
      </c>
      <c r="C704" s="285" t="s">
        <v>1587</v>
      </c>
      <c r="E704" s="285" t="s">
        <v>1241</v>
      </c>
      <c r="F704" s="285" t="s">
        <v>1822</v>
      </c>
      <c r="G704" s="280">
        <v>1200000</v>
      </c>
      <c r="H704" s="285">
        <v>1</v>
      </c>
      <c r="K704" s="280">
        <v>1200000</v>
      </c>
    </row>
    <row r="705" spans="1:12">
      <c r="A705" s="61">
        <v>704</v>
      </c>
      <c r="B705" s="278">
        <v>45828</v>
      </c>
      <c r="C705" s="285" t="s">
        <v>1587</v>
      </c>
      <c r="E705" s="285" t="s">
        <v>1770</v>
      </c>
      <c r="F705" s="285">
        <v>7252703114</v>
      </c>
      <c r="G705" s="280">
        <v>129000</v>
      </c>
      <c r="H705" s="285">
        <v>1</v>
      </c>
      <c r="K705" s="280">
        <v>129000</v>
      </c>
    </row>
    <row r="706" spans="1:12">
      <c r="A706" s="61">
        <v>705</v>
      </c>
      <c r="B706" s="278">
        <v>45828</v>
      </c>
      <c r="C706" s="285" t="s">
        <v>1587</v>
      </c>
      <c r="E706" s="285" t="s">
        <v>1542</v>
      </c>
      <c r="G706" s="280">
        <v>350000</v>
      </c>
      <c r="H706" s="285">
        <v>1</v>
      </c>
      <c r="K706" s="280">
        <v>350000</v>
      </c>
    </row>
    <row r="707" spans="1:12">
      <c r="A707" s="61">
        <v>706</v>
      </c>
      <c r="B707" s="278">
        <v>45828</v>
      </c>
      <c r="C707" s="285" t="s">
        <v>2750</v>
      </c>
      <c r="E707" s="285" t="s">
        <v>1241</v>
      </c>
      <c r="F707" s="285" t="s">
        <v>1822</v>
      </c>
      <c r="G707" s="280">
        <v>1300000</v>
      </c>
      <c r="H707" s="285">
        <v>1</v>
      </c>
      <c r="K707" s="280">
        <v>1300000</v>
      </c>
    </row>
    <row r="708" spans="1:12">
      <c r="A708" s="61">
        <v>707</v>
      </c>
      <c r="B708" s="278">
        <v>45828</v>
      </c>
      <c r="C708" s="285" t="s">
        <v>2750</v>
      </c>
      <c r="E708" s="285" t="s">
        <v>1565</v>
      </c>
      <c r="G708" s="280">
        <v>20000</v>
      </c>
      <c r="H708" s="285">
        <v>1</v>
      </c>
      <c r="K708" s="280">
        <v>20000</v>
      </c>
    </row>
    <row r="709" spans="1:12">
      <c r="A709" s="61">
        <v>708</v>
      </c>
      <c r="B709" s="278">
        <v>45828</v>
      </c>
      <c r="C709" s="285" t="s">
        <v>1629</v>
      </c>
      <c r="E709" s="285" t="s">
        <v>1310</v>
      </c>
      <c r="F709" s="285" t="s">
        <v>1309</v>
      </c>
      <c r="G709" s="280">
        <v>50000</v>
      </c>
      <c r="H709" s="285">
        <v>1</v>
      </c>
      <c r="J709" s="281">
        <v>5000</v>
      </c>
      <c r="K709" s="280">
        <v>55000</v>
      </c>
    </row>
    <row r="710" spans="1:12">
      <c r="A710" s="61">
        <v>709</v>
      </c>
      <c r="B710" s="278">
        <v>45828</v>
      </c>
      <c r="C710" s="285" t="s">
        <v>1495</v>
      </c>
      <c r="E710" s="285" t="s">
        <v>1161</v>
      </c>
      <c r="L710" s="280">
        <v>-1200000</v>
      </c>
    </row>
    <row r="711" spans="1:12">
      <c r="A711" s="61">
        <v>710</v>
      </c>
      <c r="B711" s="278">
        <v>45828</v>
      </c>
      <c r="C711" s="285" t="s">
        <v>1629</v>
      </c>
      <c r="E711" s="285" t="s">
        <v>1161</v>
      </c>
      <c r="L711" s="280">
        <v>-2285000</v>
      </c>
    </row>
    <row r="712" spans="1:12">
      <c r="A712" s="61">
        <v>711</v>
      </c>
      <c r="B712" s="278">
        <v>45828</v>
      </c>
      <c r="C712" s="285" t="s">
        <v>2760</v>
      </c>
      <c r="E712" s="285" t="s">
        <v>1785</v>
      </c>
      <c r="F712" s="285">
        <v>2800802</v>
      </c>
      <c r="G712" s="280">
        <v>200000</v>
      </c>
      <c r="H712" s="285">
        <v>1</v>
      </c>
      <c r="K712" s="280">
        <v>200000</v>
      </c>
    </row>
    <row r="713" spans="1:12">
      <c r="A713" s="61">
        <v>712</v>
      </c>
      <c r="B713" s="278">
        <v>45828</v>
      </c>
      <c r="C713" s="285" t="s">
        <v>2760</v>
      </c>
      <c r="E713" s="285" t="s">
        <v>1816</v>
      </c>
      <c r="L713" s="280">
        <v>-200000</v>
      </c>
    </row>
    <row r="714" spans="1:12">
      <c r="A714" s="61">
        <v>713</v>
      </c>
      <c r="B714" s="278">
        <v>45829</v>
      </c>
      <c r="C714" s="285" t="s">
        <v>2745</v>
      </c>
      <c r="E714" s="285" t="s">
        <v>1161</v>
      </c>
      <c r="L714" s="280">
        <v>-1705000</v>
      </c>
    </row>
    <row r="715" spans="1:12">
      <c r="A715" s="61">
        <v>714</v>
      </c>
      <c r="B715" s="278">
        <v>45829</v>
      </c>
      <c r="C715" s="285" t="s">
        <v>1635</v>
      </c>
      <c r="E715" s="285" t="s">
        <v>1813</v>
      </c>
      <c r="G715" s="280">
        <v>650000</v>
      </c>
      <c r="H715" s="285">
        <v>1</v>
      </c>
      <c r="J715" s="281">
        <v>65000</v>
      </c>
      <c r="K715" s="280">
        <v>715000</v>
      </c>
    </row>
    <row r="716" spans="1:12">
      <c r="A716" s="61">
        <v>715</v>
      </c>
      <c r="B716" s="278">
        <v>45829</v>
      </c>
      <c r="C716" s="285" t="s">
        <v>2850</v>
      </c>
      <c r="E716" s="285" t="s">
        <v>2851</v>
      </c>
      <c r="G716" s="280">
        <v>300000</v>
      </c>
      <c r="H716" s="285">
        <v>1</v>
      </c>
      <c r="J716" s="281">
        <v>30000</v>
      </c>
      <c r="K716" s="280">
        <v>330000</v>
      </c>
    </row>
    <row r="717" spans="1:12">
      <c r="A717" s="61">
        <v>716</v>
      </c>
      <c r="B717" s="278">
        <v>45829</v>
      </c>
      <c r="C717" s="285" t="s">
        <v>1790</v>
      </c>
      <c r="E717" s="285" t="s">
        <v>2772</v>
      </c>
      <c r="F717" s="285" t="s">
        <v>2771</v>
      </c>
      <c r="G717" s="280">
        <v>1500000</v>
      </c>
      <c r="H717" s="285">
        <v>1</v>
      </c>
      <c r="K717" s="280">
        <v>1500000</v>
      </c>
    </row>
    <row r="718" spans="1:12">
      <c r="A718" s="61">
        <v>717</v>
      </c>
      <c r="B718" s="278">
        <v>45831</v>
      </c>
      <c r="C718" s="285" t="s">
        <v>1817</v>
      </c>
      <c r="E718" s="285" t="s">
        <v>1161</v>
      </c>
      <c r="L718" s="280">
        <v>-308000</v>
      </c>
    </row>
    <row r="719" spans="1:12">
      <c r="A719" s="61">
        <v>718</v>
      </c>
      <c r="B719" s="278">
        <v>45831</v>
      </c>
      <c r="C719" s="285" t="s">
        <v>2750</v>
      </c>
      <c r="E719" s="285" t="s">
        <v>1161</v>
      </c>
      <c r="L719" s="280">
        <v>-1320000</v>
      </c>
    </row>
    <row r="720" spans="1:12">
      <c r="A720" s="61">
        <v>719</v>
      </c>
      <c r="B720" s="278">
        <v>45831</v>
      </c>
      <c r="C720" s="285" t="s">
        <v>2774</v>
      </c>
      <c r="E720" s="285" t="s">
        <v>1243</v>
      </c>
      <c r="F720" s="285" t="s">
        <v>1609</v>
      </c>
      <c r="G720" s="280">
        <v>600000</v>
      </c>
      <c r="H720" s="285">
        <v>1</v>
      </c>
      <c r="K720" s="280">
        <v>600000</v>
      </c>
    </row>
    <row r="721" spans="1:12">
      <c r="A721" s="61">
        <v>720</v>
      </c>
      <c r="B721" s="278">
        <v>45831</v>
      </c>
      <c r="C721" s="285" t="s">
        <v>2774</v>
      </c>
      <c r="E721" s="285" t="s">
        <v>1161</v>
      </c>
      <c r="L721" s="280">
        <v>-600000</v>
      </c>
    </row>
    <row r="722" spans="1:12">
      <c r="A722" s="61">
        <v>721</v>
      </c>
      <c r="B722" s="278">
        <v>45831</v>
      </c>
      <c r="C722" s="285" t="s">
        <v>2781</v>
      </c>
      <c r="E722" s="285" t="s">
        <v>2780</v>
      </c>
      <c r="G722" s="280">
        <v>1100000</v>
      </c>
      <c r="H722" s="285">
        <v>1</v>
      </c>
      <c r="J722" s="281">
        <v>110000</v>
      </c>
      <c r="K722" s="280">
        <v>1210000</v>
      </c>
    </row>
    <row r="723" spans="1:12">
      <c r="A723" s="61">
        <v>722</v>
      </c>
      <c r="B723" s="278">
        <v>45831</v>
      </c>
      <c r="C723" s="285" t="s">
        <v>2815</v>
      </c>
      <c r="E723" s="285" t="s">
        <v>2816</v>
      </c>
      <c r="G723" s="280">
        <v>100000</v>
      </c>
      <c r="H723" s="285">
        <v>2</v>
      </c>
      <c r="J723" s="281">
        <v>10000</v>
      </c>
      <c r="K723" s="280">
        <v>110000</v>
      </c>
    </row>
    <row r="724" spans="1:12">
      <c r="A724" s="61">
        <v>723</v>
      </c>
      <c r="B724" s="278">
        <v>45831</v>
      </c>
      <c r="C724" s="285" t="s">
        <v>1490</v>
      </c>
      <c r="E724" s="285" t="s">
        <v>2783</v>
      </c>
      <c r="L724" s="280">
        <v>-300000</v>
      </c>
    </row>
    <row r="725" spans="1:12">
      <c r="A725" s="61">
        <v>724</v>
      </c>
      <c r="B725" s="278">
        <v>45832</v>
      </c>
      <c r="C725" s="285" t="s">
        <v>1183</v>
      </c>
      <c r="E725" s="285" t="s">
        <v>1542</v>
      </c>
      <c r="G725" s="280">
        <v>350000</v>
      </c>
      <c r="H725" s="285">
        <v>1</v>
      </c>
      <c r="K725" s="280">
        <v>350000</v>
      </c>
    </row>
    <row r="726" spans="1:12">
      <c r="A726" s="61">
        <v>725</v>
      </c>
      <c r="B726" s="278">
        <v>45832</v>
      </c>
      <c r="C726" s="285" t="s">
        <v>1183</v>
      </c>
      <c r="E726" s="285" t="s">
        <v>2787</v>
      </c>
    </row>
    <row r="727" spans="1:12">
      <c r="A727" s="61">
        <v>726</v>
      </c>
      <c r="B727" s="278">
        <v>45832</v>
      </c>
      <c r="C727" s="285" t="s">
        <v>1629</v>
      </c>
      <c r="E727" s="285" t="s">
        <v>2278</v>
      </c>
      <c r="F727" s="285" t="s">
        <v>1239</v>
      </c>
      <c r="G727" s="280">
        <v>1500000</v>
      </c>
      <c r="H727" s="285">
        <v>1</v>
      </c>
      <c r="J727" s="281">
        <v>150000</v>
      </c>
      <c r="K727" s="280">
        <v>1650000</v>
      </c>
    </row>
    <row r="728" spans="1:12">
      <c r="A728" s="61">
        <v>727</v>
      </c>
      <c r="B728" s="278">
        <v>45832</v>
      </c>
      <c r="C728" s="285" t="s">
        <v>1629</v>
      </c>
      <c r="E728" s="285" t="s">
        <v>2279</v>
      </c>
      <c r="F728" s="285" t="s">
        <v>1879</v>
      </c>
      <c r="G728" s="280">
        <v>50000</v>
      </c>
      <c r="H728" s="285">
        <v>1</v>
      </c>
      <c r="J728" s="281">
        <v>5000</v>
      </c>
      <c r="K728" s="280">
        <v>55000</v>
      </c>
    </row>
    <row r="729" spans="1:12">
      <c r="A729" s="61">
        <v>728</v>
      </c>
      <c r="B729" s="278">
        <v>45832</v>
      </c>
      <c r="C729" s="285" t="s">
        <v>2847</v>
      </c>
      <c r="E729" s="285" t="s">
        <v>2844</v>
      </c>
      <c r="F729" s="285" t="s">
        <v>2845</v>
      </c>
      <c r="G729" s="280">
        <v>1200000</v>
      </c>
      <c r="H729" s="285">
        <v>1</v>
      </c>
      <c r="J729" s="281">
        <v>120000</v>
      </c>
      <c r="K729" s="280">
        <v>1320000</v>
      </c>
    </row>
    <row r="730" spans="1:12">
      <c r="A730" s="61">
        <v>729</v>
      </c>
      <c r="B730" s="278">
        <v>45832</v>
      </c>
      <c r="C730" s="285" t="s">
        <v>2847</v>
      </c>
      <c r="E730" s="285" t="s">
        <v>2848</v>
      </c>
      <c r="F730" s="287">
        <v>7252703114</v>
      </c>
      <c r="G730" s="280">
        <v>129000</v>
      </c>
      <c r="H730" s="285">
        <v>1</v>
      </c>
      <c r="J730" s="281">
        <v>12900</v>
      </c>
      <c r="K730" s="280">
        <v>141900</v>
      </c>
    </row>
    <row r="731" spans="1:12">
      <c r="A731" s="61">
        <v>730</v>
      </c>
      <c r="B731" s="278">
        <v>45832</v>
      </c>
      <c r="C731" s="285" t="s">
        <v>2790</v>
      </c>
      <c r="E731" s="285" t="s">
        <v>1542</v>
      </c>
      <c r="G731" s="280">
        <v>350000</v>
      </c>
      <c r="H731" s="285">
        <v>1</v>
      </c>
      <c r="J731" s="281">
        <v>35000</v>
      </c>
      <c r="K731" s="280">
        <v>385000</v>
      </c>
    </row>
    <row r="732" spans="1:12">
      <c r="A732" s="61">
        <v>731</v>
      </c>
      <c r="B732" s="278">
        <v>45832</v>
      </c>
      <c r="C732" s="285" t="s">
        <v>1790</v>
      </c>
      <c r="E732" s="285" t="s">
        <v>2284</v>
      </c>
      <c r="F732" s="285" t="s">
        <v>1238</v>
      </c>
      <c r="G732" s="280">
        <v>1400000</v>
      </c>
      <c r="H732" s="285">
        <v>1</v>
      </c>
      <c r="K732" s="280">
        <v>1400000</v>
      </c>
    </row>
    <row r="733" spans="1:12">
      <c r="A733" s="61">
        <v>732</v>
      </c>
      <c r="B733" s="278">
        <v>45832</v>
      </c>
      <c r="C733" s="285" t="s">
        <v>1587</v>
      </c>
      <c r="E733" s="285" t="s">
        <v>2279</v>
      </c>
      <c r="F733" s="285" t="s">
        <v>1879</v>
      </c>
      <c r="G733" s="280">
        <v>50000</v>
      </c>
      <c r="H733" s="285">
        <v>1</v>
      </c>
      <c r="K733" s="280">
        <v>50000</v>
      </c>
    </row>
    <row r="734" spans="1:12">
      <c r="A734" s="61">
        <v>733</v>
      </c>
      <c r="B734" s="278">
        <v>45833</v>
      </c>
      <c r="C734" s="285" t="s">
        <v>1060</v>
      </c>
      <c r="E734" s="285" t="s">
        <v>2278</v>
      </c>
      <c r="F734" s="285" t="s">
        <v>1239</v>
      </c>
      <c r="G734" s="280">
        <v>1500000</v>
      </c>
      <c r="H734" s="285">
        <v>1</v>
      </c>
      <c r="K734" s="280">
        <v>1500000</v>
      </c>
    </row>
    <row r="735" spans="1:12">
      <c r="A735" s="61">
        <v>734</v>
      </c>
      <c r="B735" s="278">
        <v>45833</v>
      </c>
      <c r="C735" s="285" t="s">
        <v>1060</v>
      </c>
      <c r="E735" s="285" t="s">
        <v>2279</v>
      </c>
      <c r="F735" s="285" t="s">
        <v>1879</v>
      </c>
      <c r="G735" s="280">
        <v>50000</v>
      </c>
      <c r="H735" s="285">
        <v>1</v>
      </c>
      <c r="K735" s="280">
        <v>50000</v>
      </c>
    </row>
    <row r="736" spans="1:12">
      <c r="A736" s="61">
        <v>735</v>
      </c>
      <c r="B736" s="278">
        <v>45833</v>
      </c>
      <c r="C736" s="285" t="s">
        <v>987</v>
      </c>
      <c r="E736" s="285" t="s">
        <v>1630</v>
      </c>
      <c r="F736" s="285" t="s">
        <v>2008</v>
      </c>
      <c r="G736" s="280">
        <v>1000000</v>
      </c>
      <c r="H736" s="285">
        <v>1</v>
      </c>
      <c r="J736" s="281">
        <v>100000</v>
      </c>
      <c r="K736" s="280">
        <v>1100000</v>
      </c>
    </row>
    <row r="737" spans="1:12">
      <c r="A737" s="61">
        <v>736</v>
      </c>
      <c r="B737" s="278">
        <v>45833</v>
      </c>
      <c r="C737" s="285" t="s">
        <v>1979</v>
      </c>
      <c r="E737" s="285" t="s">
        <v>1241</v>
      </c>
      <c r="F737" s="285" t="s">
        <v>1822</v>
      </c>
      <c r="G737" s="280">
        <v>1200000</v>
      </c>
      <c r="H737" s="285">
        <v>1</v>
      </c>
      <c r="K737" s="280">
        <v>1200000</v>
      </c>
    </row>
    <row r="738" spans="1:12">
      <c r="A738" s="61">
        <v>737</v>
      </c>
      <c r="B738" s="278">
        <v>45833</v>
      </c>
      <c r="C738" s="285" t="s">
        <v>2813</v>
      </c>
      <c r="E738" s="285" t="s">
        <v>2814</v>
      </c>
      <c r="G738" s="280">
        <v>1700000</v>
      </c>
      <c r="H738" s="285">
        <v>1</v>
      </c>
      <c r="J738" s="281">
        <v>170000</v>
      </c>
      <c r="K738" s="280">
        <v>1870000</v>
      </c>
    </row>
    <row r="739" spans="1:12">
      <c r="A739" s="61">
        <v>738</v>
      </c>
      <c r="B739" s="278">
        <v>45833</v>
      </c>
      <c r="C739" s="285" t="s">
        <v>2802</v>
      </c>
      <c r="E739" s="285" t="s">
        <v>2406</v>
      </c>
      <c r="G739" s="280">
        <v>600000</v>
      </c>
      <c r="H739" s="285">
        <v>2</v>
      </c>
      <c r="J739" s="281">
        <v>120000</v>
      </c>
      <c r="K739" s="280">
        <v>1320000</v>
      </c>
    </row>
    <row r="740" spans="1:12">
      <c r="A740" s="61">
        <v>739</v>
      </c>
      <c r="B740" s="278">
        <v>45833</v>
      </c>
      <c r="C740" s="285" t="s">
        <v>1647</v>
      </c>
      <c r="E740" s="285" t="s">
        <v>1161</v>
      </c>
      <c r="L740" s="280">
        <v>-1870000</v>
      </c>
    </row>
    <row r="741" spans="1:12">
      <c r="A741" s="61">
        <v>740</v>
      </c>
      <c r="B741" s="278">
        <v>45833</v>
      </c>
      <c r="C741" s="285" t="s">
        <v>1069</v>
      </c>
      <c r="E741" s="285" t="s">
        <v>1176</v>
      </c>
      <c r="G741" s="280">
        <v>800000</v>
      </c>
      <c r="H741" s="285">
        <v>1</v>
      </c>
      <c r="K741" s="280">
        <v>800000</v>
      </c>
    </row>
    <row r="742" spans="1:12">
      <c r="A742" s="61">
        <v>741</v>
      </c>
      <c r="B742" s="278">
        <v>45833</v>
      </c>
      <c r="C742" s="285" t="s">
        <v>1635</v>
      </c>
      <c r="E742" s="285" t="s">
        <v>1813</v>
      </c>
      <c r="G742" s="280">
        <v>650000</v>
      </c>
      <c r="H742" s="285">
        <v>1</v>
      </c>
      <c r="J742" s="281">
        <v>65000</v>
      </c>
      <c r="K742" s="280">
        <v>715000</v>
      </c>
    </row>
    <row r="743" spans="1:12">
      <c r="A743" s="61">
        <v>742</v>
      </c>
      <c r="B743" s="278">
        <v>45833</v>
      </c>
      <c r="C743" s="285" t="s">
        <v>2802</v>
      </c>
      <c r="E743" s="285" t="s">
        <v>1161</v>
      </c>
      <c r="L743" s="280">
        <v>-1320000</v>
      </c>
    </row>
    <row r="744" spans="1:12">
      <c r="A744" s="61">
        <v>743</v>
      </c>
      <c r="B744" s="278">
        <v>45832</v>
      </c>
      <c r="C744" s="285" t="s">
        <v>2790</v>
      </c>
      <c r="E744" s="285" t="s">
        <v>1161</v>
      </c>
      <c r="L744" s="280">
        <v>-385000</v>
      </c>
    </row>
    <row r="745" spans="1:12">
      <c r="A745" s="61">
        <v>744</v>
      </c>
      <c r="B745" s="278">
        <v>45833</v>
      </c>
      <c r="C745" s="285" t="s">
        <v>2836</v>
      </c>
      <c r="E745" s="285" t="s">
        <v>2838</v>
      </c>
      <c r="F745" s="287">
        <v>1087298437</v>
      </c>
      <c r="G745" s="280">
        <v>80000</v>
      </c>
      <c r="H745" s="285">
        <v>3</v>
      </c>
      <c r="K745" s="280">
        <v>240000</v>
      </c>
    </row>
    <row r="746" spans="1:12">
      <c r="A746" s="61">
        <v>745</v>
      </c>
      <c r="B746" s="278">
        <v>45821</v>
      </c>
      <c r="C746" s="285" t="s">
        <v>2830</v>
      </c>
      <c r="E746" s="285" t="s">
        <v>2831</v>
      </c>
      <c r="F746" s="285" t="s">
        <v>2832</v>
      </c>
      <c r="G746" s="280">
        <v>10000</v>
      </c>
      <c r="H746" s="285">
        <v>2</v>
      </c>
      <c r="K746" s="280">
        <v>20000</v>
      </c>
    </row>
    <row r="747" spans="1:12">
      <c r="A747" s="61">
        <v>746</v>
      </c>
      <c r="B747" s="278">
        <v>45834</v>
      </c>
      <c r="C747" s="285" t="s">
        <v>1790</v>
      </c>
      <c r="E747" s="285" t="s">
        <v>2833</v>
      </c>
      <c r="F747" s="285" t="s">
        <v>1871</v>
      </c>
      <c r="G747" s="280">
        <v>20000</v>
      </c>
      <c r="H747" s="285">
        <v>3</v>
      </c>
      <c r="K747" s="280">
        <v>60000</v>
      </c>
    </row>
    <row r="748" spans="1:12">
      <c r="A748" s="61">
        <v>747</v>
      </c>
      <c r="B748" s="278">
        <v>45834</v>
      </c>
      <c r="C748" s="285" t="s">
        <v>1445</v>
      </c>
      <c r="E748" s="285" t="s">
        <v>2278</v>
      </c>
      <c r="F748" s="285" t="s">
        <v>1239</v>
      </c>
      <c r="G748" s="280">
        <v>1500000</v>
      </c>
      <c r="H748" s="285">
        <v>1</v>
      </c>
      <c r="K748" s="280">
        <v>1500000</v>
      </c>
    </row>
    <row r="749" spans="1:12">
      <c r="A749" s="61">
        <v>748</v>
      </c>
      <c r="B749" s="278">
        <v>45834</v>
      </c>
      <c r="C749" s="285" t="s">
        <v>1445</v>
      </c>
      <c r="E749" s="285" t="s">
        <v>2279</v>
      </c>
      <c r="F749" s="285" t="s">
        <v>1879</v>
      </c>
      <c r="G749" s="280">
        <v>50000</v>
      </c>
      <c r="H749" s="285">
        <v>1</v>
      </c>
      <c r="K749" s="280">
        <v>50000</v>
      </c>
    </row>
    <row r="750" spans="1:12">
      <c r="A750" s="61">
        <v>749</v>
      </c>
      <c r="B750" s="278">
        <v>45834</v>
      </c>
      <c r="C750" s="285" t="s">
        <v>987</v>
      </c>
      <c r="E750" s="285" t="s">
        <v>1161</v>
      </c>
      <c r="L750" s="280">
        <v>-1100000</v>
      </c>
    </row>
    <row r="751" spans="1:12">
      <c r="A751" s="61">
        <v>750</v>
      </c>
      <c r="B751" s="278">
        <v>45834</v>
      </c>
      <c r="C751" s="285" t="s">
        <v>1445</v>
      </c>
      <c r="E751" s="285" t="s">
        <v>1770</v>
      </c>
      <c r="F751" s="285">
        <v>7252703114</v>
      </c>
      <c r="G751" s="280">
        <v>129000</v>
      </c>
      <c r="H751" s="285">
        <v>1</v>
      </c>
      <c r="K751" s="280">
        <v>129000</v>
      </c>
    </row>
    <row r="752" spans="1:12">
      <c r="A752" s="61">
        <v>751</v>
      </c>
      <c r="B752" s="278">
        <v>45834</v>
      </c>
      <c r="C752" s="285" t="s">
        <v>2840</v>
      </c>
      <c r="E752" s="285" t="s">
        <v>2842</v>
      </c>
      <c r="G752" s="280">
        <v>25000</v>
      </c>
      <c r="H752" s="285">
        <v>1</v>
      </c>
      <c r="K752" s="280">
        <v>25000</v>
      </c>
    </row>
    <row r="753" spans="1:12">
      <c r="A753" s="61">
        <v>752</v>
      </c>
      <c r="B753" s="278">
        <v>45834</v>
      </c>
      <c r="C753" s="285" t="s">
        <v>1027</v>
      </c>
      <c r="E753" s="285" t="s">
        <v>2849</v>
      </c>
      <c r="L753" s="280">
        <v>-1550000</v>
      </c>
    </row>
    <row r="754" spans="1:12">
      <c r="A754" s="61">
        <v>753</v>
      </c>
      <c r="B754" s="278">
        <v>45834</v>
      </c>
      <c r="C754" s="285" t="s">
        <v>2641</v>
      </c>
      <c r="E754" s="285" t="s">
        <v>1161</v>
      </c>
      <c r="L754" s="280">
        <v>-330000</v>
      </c>
    </row>
    <row r="755" spans="1:12">
      <c r="A755" s="61">
        <v>754</v>
      </c>
      <c r="B755" s="278">
        <v>45834</v>
      </c>
      <c r="C755" s="285" t="s">
        <v>2614</v>
      </c>
      <c r="E755" s="285" t="s">
        <v>1161</v>
      </c>
      <c r="L755" s="280">
        <v>-2671900</v>
      </c>
    </row>
    <row r="756" spans="1:12">
      <c r="A756" s="61">
        <v>755</v>
      </c>
      <c r="B756" s="278">
        <v>45834</v>
      </c>
      <c r="C756" s="285" t="s">
        <v>1445</v>
      </c>
      <c r="E756" s="285" t="s">
        <v>2396</v>
      </c>
      <c r="G756" s="280">
        <v>1100000</v>
      </c>
      <c r="H756" s="285">
        <v>1</v>
      </c>
      <c r="K756" s="280">
        <v>1100000</v>
      </c>
    </row>
    <row r="757" spans="1:12">
      <c r="A757" s="61">
        <v>756</v>
      </c>
      <c r="B757" s="278">
        <v>45834</v>
      </c>
      <c r="C757" s="285" t="s">
        <v>1069</v>
      </c>
      <c r="E757" s="285" t="s">
        <v>2302</v>
      </c>
      <c r="F757" s="285" t="s">
        <v>2041</v>
      </c>
      <c r="G757" s="280">
        <v>1800000</v>
      </c>
      <c r="H757" s="285">
        <v>1</v>
      </c>
      <c r="K757" s="280">
        <v>1800000</v>
      </c>
    </row>
    <row r="758" spans="1:12">
      <c r="A758" s="61">
        <v>757</v>
      </c>
      <c r="B758" s="278">
        <v>45834</v>
      </c>
      <c r="C758" s="285" t="s">
        <v>1069</v>
      </c>
      <c r="E758" s="285" t="s">
        <v>2279</v>
      </c>
      <c r="F758" s="285" t="s">
        <v>1879</v>
      </c>
      <c r="G758" s="280">
        <v>50000</v>
      </c>
      <c r="H758" s="285">
        <v>1</v>
      </c>
      <c r="K758" s="280">
        <v>50000</v>
      </c>
    </row>
    <row r="759" spans="1:12">
      <c r="A759" s="61">
        <v>758</v>
      </c>
      <c r="B759" s="278">
        <v>45834</v>
      </c>
      <c r="C759" s="285" t="s">
        <v>1069</v>
      </c>
      <c r="E759" s="285" t="s">
        <v>2860</v>
      </c>
      <c r="G759" s="280">
        <v>150000</v>
      </c>
      <c r="H759" s="285">
        <v>1</v>
      </c>
      <c r="K759" s="280">
        <v>150000</v>
      </c>
    </row>
  </sheetData>
  <autoFilter ref="A1:K622" xr:uid="{5A822D6F-A9DB-437B-9087-9A5E8AF0CADA}"/>
  <phoneticPr fontId="2" type="noConversion"/>
  <pageMargins left="0.7" right="0.7" top="0.75" bottom="0.75" header="0.3" footer="0.3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F8F0A96-8AAB-402E-A9D0-F8470108AD8B}">
  <sheetPr codeName="shtSaleManagement"/>
  <dimension ref="A1:V236"/>
  <sheetViews>
    <sheetView workbookViewId="0">
      <selection activeCell="I236" sqref="I236"/>
    </sheetView>
  </sheetViews>
  <sheetFormatPr defaultColWidth="8.75" defaultRowHeight="18" customHeight="1"/>
  <cols>
    <col min="1" max="1" width="6.875" style="90" customWidth="1"/>
    <col min="2" max="2" width="16.375" style="102" customWidth="1"/>
    <col min="3" max="3" width="19.625" style="91" customWidth="1"/>
    <col min="4" max="4" width="19.875" style="125" customWidth="1"/>
    <col min="5" max="5" width="11.375" style="92" customWidth="1"/>
    <col min="6" max="6" width="14.5" style="132" customWidth="1"/>
    <col min="7" max="7" width="13.875" style="93" customWidth="1"/>
    <col min="8" max="8" width="11.75" style="138" customWidth="1"/>
    <col min="9" max="10" width="12.375" style="88" customWidth="1"/>
    <col min="11" max="11" width="13" style="86" customWidth="1"/>
    <col min="12" max="12" width="12.5" style="86" customWidth="1"/>
    <col min="13" max="13" width="13.375" style="86" customWidth="1"/>
    <col min="14" max="14" width="13.125" style="86" customWidth="1"/>
    <col min="15" max="15" width="17.25" style="86" customWidth="1"/>
    <col min="16" max="16" width="15.25" style="86" customWidth="1"/>
    <col min="17" max="17" width="11.125" style="75" bestFit="1" customWidth="1"/>
    <col min="18" max="18" width="15.25" style="73" bestFit="1" customWidth="1"/>
    <col min="19" max="19" width="13.125" style="73" bestFit="1" customWidth="1"/>
    <col min="20" max="21" width="15.25" style="73" bestFit="1" customWidth="1"/>
    <col min="22" max="16384" width="8.75" style="73"/>
  </cols>
  <sheetData>
    <row r="1" spans="1:22" ht="18" customHeight="1">
      <c r="A1" s="69"/>
      <c r="B1" s="99"/>
      <c r="C1" s="70"/>
      <c r="D1" s="126"/>
      <c r="E1" s="71"/>
      <c r="F1" s="233"/>
      <c r="G1" s="72"/>
      <c r="H1" s="136"/>
      <c r="I1" s="133"/>
      <c r="J1" s="133"/>
      <c r="K1" s="73"/>
      <c r="L1" s="73"/>
      <c r="M1" s="73"/>
      <c r="N1" s="73"/>
      <c r="O1" s="73"/>
      <c r="P1" s="73"/>
      <c r="Q1" s="73"/>
    </row>
    <row r="2" spans="1:22" ht="25.5" customHeight="1">
      <c r="A2" s="76"/>
      <c r="B2" s="100"/>
      <c r="C2" s="77"/>
      <c r="D2" s="127"/>
      <c r="E2" s="78"/>
      <c r="F2" s="234"/>
      <c r="G2" s="79"/>
      <c r="H2" s="137"/>
      <c r="I2" s="134"/>
      <c r="J2" s="134"/>
      <c r="K2" s="73"/>
      <c r="L2" s="73"/>
      <c r="M2" s="73"/>
      <c r="N2" s="73"/>
      <c r="O2" s="73"/>
      <c r="P2" s="73"/>
      <c r="Q2" s="73"/>
    </row>
    <row r="3" spans="1:22" ht="15.95" customHeight="1">
      <c r="A3" s="247">
        <v>45834</v>
      </c>
      <c r="B3" s="248" t="s">
        <v>1162</v>
      </c>
      <c r="C3" s="249">
        <f>SUMIF($B:$B,A3,I:I)</f>
        <v>4864000</v>
      </c>
      <c r="D3" s="250" t="s">
        <v>1148</v>
      </c>
      <c r="E3" s="249">
        <f ca="1">SUMIF($B:$B,TODAY(),E:E)</f>
        <v>0</v>
      </c>
      <c r="F3" s="260" t="s">
        <v>2661</v>
      </c>
      <c r="G3" s="249">
        <f>SUMIF($D:$D,"*schaeffler*",I:I)</f>
        <v>265000</v>
      </c>
      <c r="H3" s="252"/>
      <c r="I3" s="253"/>
      <c r="J3" s="75"/>
      <c r="K3" s="75"/>
      <c r="L3" s="73"/>
      <c r="M3" s="73"/>
      <c r="N3" s="73"/>
      <c r="O3" s="73"/>
      <c r="P3" s="73"/>
      <c r="Q3" s="73"/>
    </row>
    <row r="4" spans="1:22" ht="15.95" customHeight="1">
      <c r="A4" s="254">
        <f>MONTH(A3)</f>
        <v>6</v>
      </c>
      <c r="B4" s="248" t="s">
        <v>1163</v>
      </c>
      <c r="C4" s="249">
        <f>SUMIFS($I:$I,$B:$B,"&gt;="&amp;DATE(A5,A4,1),$B:$B,"&lt;="&amp;EOMONTH(DATE(A5,A4,1),0))</f>
        <v>113965401</v>
      </c>
      <c r="D4" s="251"/>
      <c r="E4" s="255"/>
      <c r="F4" s="260" t="s">
        <v>2662</v>
      </c>
      <c r="G4" s="249">
        <f>SUMIF($D:$D,"*schaeffler*",E:E)</f>
        <v>0</v>
      </c>
      <c r="H4" s="257"/>
      <c r="I4" s="253"/>
      <c r="J4" s="75"/>
      <c r="K4" s="75"/>
      <c r="L4" s="73"/>
      <c r="M4" s="73"/>
      <c r="N4" s="73"/>
      <c r="O4" s="73"/>
      <c r="P4" s="73"/>
      <c r="Q4" s="73"/>
    </row>
    <row r="5" spans="1:22" ht="15.95" customHeight="1">
      <c r="A5" s="261">
        <f>YEAR(A3)</f>
        <v>2025</v>
      </c>
      <c r="B5" s="248" t="s">
        <v>1164</v>
      </c>
      <c r="C5" s="249">
        <f>SUMIFS($I:$I,$B:$B,"&gt;="&amp;DATE(A5,A4,1),$B:$B,"&lt;="&amp;EOMONTH(DATE(A5,A4,1),0))</f>
        <v>113965401</v>
      </c>
      <c r="D5" s="258"/>
      <c r="E5" s="255"/>
      <c r="F5" s="256"/>
      <c r="G5" s="255"/>
      <c r="H5" s="257"/>
      <c r="I5" s="253"/>
      <c r="J5" s="75"/>
      <c r="K5" s="75"/>
      <c r="L5" s="73"/>
      <c r="M5" s="73"/>
      <c r="N5" s="73"/>
      <c r="O5" s="73"/>
      <c r="P5" s="73"/>
      <c r="Q5" s="73"/>
    </row>
    <row r="6" spans="1:22" ht="15.95" customHeight="1">
      <c r="A6" s="94"/>
      <c r="B6" s="101"/>
      <c r="C6" s="95"/>
      <c r="D6" s="128"/>
      <c r="E6" s="96"/>
      <c r="F6" s="235"/>
      <c r="G6" s="96"/>
      <c r="H6" s="139"/>
      <c r="I6" s="135"/>
      <c r="J6" s="135"/>
      <c r="K6" s="73"/>
      <c r="L6" s="73"/>
      <c r="M6" s="73"/>
      <c r="N6" s="73"/>
      <c r="O6" s="73"/>
      <c r="P6" s="73"/>
      <c r="Q6" s="73"/>
    </row>
    <row r="7" spans="1:22" ht="18" customHeight="1">
      <c r="A7" s="76"/>
      <c r="B7" s="100"/>
      <c r="C7" s="77"/>
      <c r="D7" s="127"/>
      <c r="E7" s="78"/>
      <c r="F7" s="234"/>
      <c r="G7" s="79"/>
      <c r="H7" s="137"/>
      <c r="I7" s="134"/>
      <c r="J7" s="134"/>
      <c r="K7" s="80"/>
      <c r="L7" s="80"/>
      <c r="M7" s="80"/>
      <c r="N7" s="80"/>
      <c r="O7" s="81"/>
      <c r="P7" s="81"/>
      <c r="Q7" s="54"/>
      <c r="R7" s="54"/>
      <c r="S7" s="54"/>
      <c r="T7" s="54"/>
      <c r="U7" s="54"/>
      <c r="V7" s="54"/>
    </row>
    <row r="8" spans="1:22" ht="18" customHeight="1">
      <c r="A8" s="82" t="s">
        <v>2</v>
      </c>
      <c r="B8" s="83" t="s">
        <v>14</v>
      </c>
      <c r="C8" s="83" t="s">
        <v>8</v>
      </c>
      <c r="D8" s="83" t="s">
        <v>0</v>
      </c>
      <c r="E8" s="84" t="s">
        <v>1147</v>
      </c>
      <c r="F8" s="131" t="s">
        <v>47</v>
      </c>
      <c r="G8" s="84" t="s">
        <v>55</v>
      </c>
      <c r="H8" s="131" t="s">
        <v>88</v>
      </c>
      <c r="I8" s="131" t="s">
        <v>64</v>
      </c>
      <c r="J8" s="131" t="s">
        <v>1750</v>
      </c>
      <c r="K8" s="84" t="s">
        <v>1148</v>
      </c>
      <c r="L8" s="84" t="s">
        <v>1149</v>
      </c>
      <c r="M8" s="84" t="s">
        <v>1150</v>
      </c>
      <c r="N8" s="84" t="s">
        <v>1155</v>
      </c>
      <c r="O8" s="84" t="s">
        <v>1156</v>
      </c>
      <c r="P8" s="85" t="s">
        <v>1157</v>
      </c>
      <c r="S8" s="54"/>
      <c r="T8" s="54"/>
      <c r="U8" s="54"/>
      <c r="V8" s="54"/>
    </row>
    <row r="9" spans="1:22" ht="18" customHeight="1">
      <c r="A9" s="98">
        <v>530</v>
      </c>
      <c r="B9" s="103">
        <v>45809</v>
      </c>
      <c r="C9" s="93" t="s">
        <v>1525</v>
      </c>
      <c r="D9" s="124" t="s">
        <v>1816</v>
      </c>
      <c r="E9" s="87"/>
      <c r="F9" s="236"/>
      <c r="H9" s="140"/>
      <c r="J9" s="88">
        <v>-2000000</v>
      </c>
      <c r="K9" s="88"/>
      <c r="L9" s="89"/>
      <c r="M9" s="89"/>
      <c r="N9" s="89"/>
      <c r="O9" s="88"/>
      <c r="S9" s="54"/>
      <c r="T9" s="54"/>
      <c r="U9" s="54"/>
      <c r="V9" s="54"/>
    </row>
    <row r="10" spans="1:22" ht="18" customHeight="1">
      <c r="A10" s="98">
        <v>531</v>
      </c>
      <c r="B10" s="103">
        <v>45810</v>
      </c>
      <c r="C10" s="93" t="s">
        <v>1351</v>
      </c>
      <c r="D10" s="124" t="s">
        <v>1161</v>
      </c>
      <c r="E10" s="87"/>
      <c r="F10" s="236"/>
      <c r="H10" s="140"/>
      <c r="J10" s="88">
        <v>-1500000</v>
      </c>
      <c r="K10" s="88"/>
      <c r="L10" s="89"/>
      <c r="M10" s="89"/>
      <c r="N10" s="89"/>
      <c r="S10" s="54"/>
      <c r="T10" s="54"/>
      <c r="U10" s="54"/>
      <c r="V10" s="54"/>
    </row>
    <row r="11" spans="1:22" ht="18" customHeight="1">
      <c r="A11" s="98">
        <v>532</v>
      </c>
      <c r="B11" s="103">
        <v>45810</v>
      </c>
      <c r="C11" s="93" t="s">
        <v>997</v>
      </c>
      <c r="D11" s="124" t="s">
        <v>1241</v>
      </c>
      <c r="E11" s="87"/>
      <c r="F11" s="236">
        <v>1000000</v>
      </c>
      <c r="G11" s="93">
        <v>1</v>
      </c>
      <c r="H11" s="140"/>
      <c r="I11" s="88">
        <v>1000000</v>
      </c>
      <c r="K11" s="88"/>
      <c r="L11" s="89"/>
      <c r="M11" s="89"/>
      <c r="N11" s="89"/>
      <c r="S11" s="54"/>
      <c r="T11" s="54"/>
      <c r="U11" s="54"/>
      <c r="V11" s="54"/>
    </row>
    <row r="12" spans="1:22" ht="18" customHeight="1">
      <c r="A12" s="98">
        <v>533</v>
      </c>
      <c r="B12" s="103">
        <v>45810</v>
      </c>
      <c r="C12" s="93" t="s">
        <v>1587</v>
      </c>
      <c r="D12" s="124" t="s">
        <v>1310</v>
      </c>
      <c r="E12" s="87"/>
      <c r="F12" s="236">
        <v>50000</v>
      </c>
      <c r="G12" s="93">
        <v>2</v>
      </c>
      <c r="H12" s="140"/>
      <c r="I12" s="88">
        <v>100000</v>
      </c>
      <c r="K12" s="88"/>
      <c r="L12" s="89"/>
      <c r="M12" s="89"/>
      <c r="N12" s="89"/>
      <c r="S12" s="54"/>
      <c r="T12" s="54"/>
      <c r="U12" s="54"/>
      <c r="V12" s="54"/>
    </row>
    <row r="13" spans="1:22" ht="18" customHeight="1">
      <c r="A13" s="98">
        <v>534</v>
      </c>
      <c r="B13" s="103">
        <v>45810</v>
      </c>
      <c r="C13" s="93" t="s">
        <v>2398</v>
      </c>
      <c r="D13" s="124" t="s">
        <v>2285</v>
      </c>
      <c r="E13" s="86"/>
      <c r="F13" s="88">
        <v>517273</v>
      </c>
      <c r="G13" s="93">
        <v>1</v>
      </c>
      <c r="H13" s="138">
        <v>51727</v>
      </c>
      <c r="I13" s="88">
        <v>569000</v>
      </c>
      <c r="K13" s="88"/>
      <c r="M13" s="89"/>
      <c r="N13" s="89"/>
      <c r="S13" s="54"/>
      <c r="T13" s="54"/>
      <c r="U13" s="54"/>
      <c r="V13" s="54"/>
    </row>
    <row r="14" spans="1:22" ht="18" customHeight="1">
      <c r="A14" s="98">
        <v>535</v>
      </c>
      <c r="B14" s="103">
        <v>45810</v>
      </c>
      <c r="C14" s="93" t="s">
        <v>2398</v>
      </c>
      <c r="D14" s="124" t="s">
        <v>2288</v>
      </c>
      <c r="E14" s="87"/>
      <c r="F14" s="236">
        <v>70000</v>
      </c>
      <c r="G14" s="93">
        <v>1</v>
      </c>
      <c r="H14" s="140">
        <v>7000</v>
      </c>
      <c r="I14" s="88">
        <v>77000</v>
      </c>
      <c r="K14" s="88"/>
      <c r="L14" s="89"/>
      <c r="M14" s="89"/>
      <c r="N14" s="89"/>
      <c r="S14" s="54"/>
      <c r="T14" s="54"/>
      <c r="U14" s="54"/>
      <c r="V14" s="54"/>
    </row>
    <row r="15" spans="1:22" ht="18" customHeight="1">
      <c r="A15" s="98">
        <v>536</v>
      </c>
      <c r="B15" s="103">
        <v>45810</v>
      </c>
      <c r="C15" s="93" t="s">
        <v>2398</v>
      </c>
      <c r="D15" s="124" t="s">
        <v>1161</v>
      </c>
      <c r="E15" s="86"/>
      <c r="F15" s="88"/>
      <c r="J15" s="88">
        <v>-646000</v>
      </c>
      <c r="M15" s="89"/>
      <c r="N15" s="89"/>
      <c r="S15" s="54"/>
      <c r="T15" s="54"/>
      <c r="U15" s="54"/>
      <c r="V15" s="54"/>
    </row>
    <row r="16" spans="1:22" ht="18" customHeight="1">
      <c r="A16" s="90">
        <v>537</v>
      </c>
      <c r="B16" s="102">
        <v>45810</v>
      </c>
      <c r="C16" s="91" t="s">
        <v>1502</v>
      </c>
      <c r="D16" s="125" t="s">
        <v>1785</v>
      </c>
      <c r="F16" s="132">
        <v>150000</v>
      </c>
      <c r="G16" s="93">
        <v>1</v>
      </c>
      <c r="I16" s="88">
        <v>150000</v>
      </c>
      <c r="S16" s="54"/>
      <c r="T16" s="54"/>
      <c r="U16" s="54"/>
      <c r="V16" s="54"/>
    </row>
    <row r="17" spans="1:22" ht="18" customHeight="1">
      <c r="A17" s="98">
        <v>538</v>
      </c>
      <c r="B17" s="103">
        <v>45810</v>
      </c>
      <c r="C17" s="93" t="s">
        <v>1445</v>
      </c>
      <c r="D17" s="124" t="s">
        <v>1161</v>
      </c>
      <c r="E17" s="86"/>
      <c r="F17" s="88"/>
      <c r="J17" s="88">
        <v>-10907000</v>
      </c>
      <c r="M17" s="89"/>
      <c r="N17" s="89"/>
      <c r="S17" s="54"/>
      <c r="T17" s="54"/>
      <c r="U17" s="54"/>
      <c r="V17" s="54"/>
    </row>
    <row r="18" spans="1:22" s="74" customFormat="1" ht="18" customHeight="1">
      <c r="A18" s="98">
        <v>539</v>
      </c>
      <c r="B18" s="103">
        <v>45810</v>
      </c>
      <c r="C18" s="93" t="s">
        <v>1587</v>
      </c>
      <c r="D18" s="124" t="s">
        <v>1241</v>
      </c>
      <c r="E18" s="87"/>
      <c r="F18" s="236">
        <v>1200000</v>
      </c>
      <c r="G18" s="93">
        <v>1</v>
      </c>
      <c r="H18" s="140"/>
      <c r="I18" s="88">
        <v>1200000</v>
      </c>
      <c r="J18" s="88"/>
      <c r="K18" s="88"/>
      <c r="L18" s="89"/>
      <c r="M18" s="89"/>
      <c r="N18" s="89"/>
      <c r="O18" s="86"/>
      <c r="P18" s="86"/>
      <c r="Q18" s="75"/>
      <c r="R18" s="73"/>
      <c r="S18" s="54"/>
      <c r="T18" s="54"/>
      <c r="U18" s="54"/>
      <c r="V18" s="54"/>
    </row>
    <row r="19" spans="1:22" s="74" customFormat="1" ht="18" customHeight="1">
      <c r="A19" s="98">
        <v>540</v>
      </c>
      <c r="B19" s="103">
        <v>45810</v>
      </c>
      <c r="C19" s="93" t="s">
        <v>1587</v>
      </c>
      <c r="D19" s="124" t="s">
        <v>1542</v>
      </c>
      <c r="E19" s="86"/>
      <c r="F19" s="88">
        <v>350000</v>
      </c>
      <c r="G19" s="93">
        <v>1</v>
      </c>
      <c r="H19" s="138"/>
      <c r="I19" s="88">
        <v>350000</v>
      </c>
      <c r="J19" s="88"/>
      <c r="K19" s="86"/>
      <c r="L19" s="86"/>
      <c r="M19" s="89"/>
      <c r="N19" s="89"/>
      <c r="O19" s="86"/>
      <c r="P19" s="86"/>
      <c r="Q19" s="75"/>
      <c r="R19" s="73"/>
      <c r="S19" s="54"/>
      <c r="T19" s="54"/>
      <c r="U19" s="54"/>
      <c r="V19" s="54"/>
    </row>
    <row r="20" spans="1:22" s="74" customFormat="1" ht="18" customHeight="1">
      <c r="A20" s="98">
        <v>541</v>
      </c>
      <c r="B20" s="103">
        <v>45810</v>
      </c>
      <c r="C20" s="93" t="s">
        <v>1587</v>
      </c>
      <c r="D20" s="124" t="s">
        <v>1770</v>
      </c>
      <c r="E20" s="87"/>
      <c r="F20" s="236">
        <v>129000</v>
      </c>
      <c r="G20" s="93">
        <v>1</v>
      </c>
      <c r="H20" s="140"/>
      <c r="I20" s="88">
        <v>129000</v>
      </c>
      <c r="J20" s="88"/>
      <c r="K20" s="88"/>
      <c r="L20" s="89"/>
      <c r="M20" s="89"/>
      <c r="N20" s="89"/>
      <c r="O20" s="86"/>
      <c r="P20" s="86"/>
      <c r="Q20" s="75"/>
      <c r="R20" s="73"/>
      <c r="S20" s="54"/>
      <c r="T20" s="54"/>
      <c r="U20" s="54"/>
      <c r="V20" s="54"/>
    </row>
    <row r="21" spans="1:22" s="74" customFormat="1" ht="18" customHeight="1">
      <c r="A21" s="98">
        <v>542</v>
      </c>
      <c r="B21" s="103">
        <v>45810</v>
      </c>
      <c r="C21" s="93" t="s">
        <v>2361</v>
      </c>
      <c r="D21" s="124" t="s">
        <v>2295</v>
      </c>
      <c r="E21" s="87"/>
      <c r="F21" s="236">
        <v>1500000</v>
      </c>
      <c r="G21" s="93">
        <v>1</v>
      </c>
      <c r="H21" s="140"/>
      <c r="I21" s="88">
        <v>1500000</v>
      </c>
      <c r="J21" s="88"/>
      <c r="K21" s="88"/>
      <c r="L21" s="89"/>
      <c r="M21" s="89"/>
      <c r="N21" s="89"/>
      <c r="O21" s="86"/>
      <c r="P21" s="86"/>
      <c r="Q21" s="75"/>
      <c r="R21" s="73"/>
      <c r="S21" s="54"/>
      <c r="T21" s="54"/>
      <c r="U21" s="54"/>
    </row>
    <row r="22" spans="1:22" s="74" customFormat="1" ht="18" customHeight="1">
      <c r="A22" s="98">
        <v>543</v>
      </c>
      <c r="B22" s="103">
        <v>45811</v>
      </c>
      <c r="C22" s="93" t="s">
        <v>997</v>
      </c>
      <c r="D22" s="124" t="s">
        <v>1161</v>
      </c>
      <c r="E22" s="86"/>
      <c r="F22" s="88"/>
      <c r="G22" s="93"/>
      <c r="H22" s="138"/>
      <c r="I22" s="88"/>
      <c r="J22" s="88">
        <v>-1000000</v>
      </c>
      <c r="K22" s="88"/>
      <c r="L22" s="86"/>
      <c r="M22" s="89"/>
      <c r="N22" s="89"/>
      <c r="O22" s="86"/>
      <c r="P22" s="86"/>
      <c r="Q22" s="75"/>
      <c r="R22" s="73"/>
    </row>
    <row r="23" spans="1:22" s="74" customFormat="1" ht="18" customHeight="1">
      <c r="A23" s="98">
        <v>544</v>
      </c>
      <c r="B23" s="103">
        <v>45811</v>
      </c>
      <c r="C23" s="93" t="s">
        <v>1645</v>
      </c>
      <c r="D23" s="124" t="s">
        <v>2770</v>
      </c>
      <c r="E23" s="86"/>
      <c r="F23" s="88">
        <v>700000</v>
      </c>
      <c r="G23" s="93">
        <v>1</v>
      </c>
      <c r="H23" s="138"/>
      <c r="I23" s="88">
        <v>700000</v>
      </c>
      <c r="J23" s="88"/>
      <c r="K23" s="88"/>
      <c r="L23" s="86"/>
      <c r="M23" s="89"/>
      <c r="N23" s="89"/>
      <c r="O23" s="86"/>
      <c r="P23" s="86"/>
      <c r="Q23" s="75"/>
      <c r="R23" s="73"/>
    </row>
    <row r="24" spans="1:22" s="74" customFormat="1" ht="18" customHeight="1">
      <c r="A24" s="98">
        <v>545</v>
      </c>
      <c r="B24" s="103">
        <v>45811</v>
      </c>
      <c r="C24" s="93" t="s">
        <v>1495</v>
      </c>
      <c r="D24" s="124" t="s">
        <v>2482</v>
      </c>
      <c r="E24" s="86"/>
      <c r="F24" s="88">
        <v>200000</v>
      </c>
      <c r="G24" s="93">
        <v>1</v>
      </c>
      <c r="H24" s="138"/>
      <c r="I24" s="88">
        <v>200000</v>
      </c>
      <c r="J24" s="88"/>
      <c r="K24" s="86"/>
      <c r="L24" s="86"/>
      <c r="M24" s="89"/>
      <c r="N24" s="89"/>
      <c r="O24" s="86"/>
      <c r="P24" s="86"/>
      <c r="Q24" s="75"/>
      <c r="R24" s="73"/>
    </row>
    <row r="25" spans="1:22" ht="18" customHeight="1">
      <c r="A25" s="98">
        <v>546</v>
      </c>
      <c r="B25" s="103">
        <v>45811</v>
      </c>
      <c r="C25" s="93" t="s">
        <v>2508</v>
      </c>
      <c r="D25" s="124" t="s">
        <v>1581</v>
      </c>
      <c r="E25" s="86"/>
      <c r="F25" s="88">
        <v>1818182</v>
      </c>
      <c r="G25" s="93">
        <v>1</v>
      </c>
      <c r="H25" s="138">
        <v>181818</v>
      </c>
      <c r="I25" s="88">
        <v>2000000</v>
      </c>
      <c r="M25" s="89"/>
      <c r="N25" s="89"/>
    </row>
    <row r="26" spans="1:22" ht="18" customHeight="1">
      <c r="A26" s="98">
        <v>547</v>
      </c>
      <c r="B26" s="103">
        <v>45812</v>
      </c>
      <c r="C26" s="93" t="s">
        <v>1495</v>
      </c>
      <c r="D26" s="124" t="s">
        <v>1161</v>
      </c>
      <c r="E26" s="86"/>
      <c r="F26" s="88"/>
      <c r="J26" s="88">
        <v>-200000</v>
      </c>
      <c r="M26" s="89"/>
      <c r="N26" s="89"/>
    </row>
    <row r="27" spans="1:22" ht="18" customHeight="1">
      <c r="A27" s="98">
        <v>548</v>
      </c>
      <c r="B27" s="103">
        <v>45812</v>
      </c>
      <c r="C27" s="93" t="s">
        <v>1027</v>
      </c>
      <c r="D27" s="124" t="s">
        <v>1161</v>
      </c>
      <c r="E27" s="86"/>
      <c r="F27" s="88"/>
      <c r="J27" s="88">
        <v>-990000</v>
      </c>
      <c r="M27" s="89"/>
      <c r="N27" s="89"/>
    </row>
    <row r="28" spans="1:22" ht="18" customHeight="1">
      <c r="A28" s="98">
        <v>549</v>
      </c>
      <c r="B28" s="103">
        <v>45812</v>
      </c>
      <c r="C28" s="93" t="s">
        <v>1647</v>
      </c>
      <c r="D28" s="124" t="s">
        <v>2295</v>
      </c>
      <c r="E28" s="86"/>
      <c r="F28" s="88">
        <v>1500000</v>
      </c>
      <c r="G28" s="93">
        <v>1</v>
      </c>
      <c r="I28" s="88">
        <v>1500000</v>
      </c>
      <c r="M28" s="89"/>
      <c r="N28" s="89"/>
    </row>
    <row r="29" spans="1:22" ht="18" customHeight="1">
      <c r="A29" s="98">
        <v>550</v>
      </c>
      <c r="B29" s="103">
        <v>45812</v>
      </c>
      <c r="C29" s="93" t="s">
        <v>2500</v>
      </c>
      <c r="D29" s="124" t="s">
        <v>2504</v>
      </c>
      <c r="E29" s="86"/>
      <c r="F29" s="88">
        <v>700000</v>
      </c>
      <c r="G29" s="93">
        <v>1</v>
      </c>
      <c r="H29" s="138">
        <v>70000</v>
      </c>
      <c r="I29" s="88">
        <v>770000</v>
      </c>
      <c r="M29" s="89"/>
      <c r="N29" s="89"/>
    </row>
    <row r="30" spans="1:22" ht="18" customHeight="1">
      <c r="A30" s="98">
        <v>551</v>
      </c>
      <c r="B30" s="103">
        <v>45812</v>
      </c>
      <c r="C30" s="93" t="s">
        <v>1502</v>
      </c>
      <c r="D30" s="124" t="s">
        <v>1161</v>
      </c>
      <c r="E30" s="86"/>
      <c r="F30" s="88"/>
      <c r="J30" s="88">
        <v>-150000</v>
      </c>
      <c r="M30" s="89"/>
      <c r="N30" s="89"/>
    </row>
    <row r="31" spans="1:22" ht="18" customHeight="1">
      <c r="A31" s="98">
        <v>552</v>
      </c>
      <c r="B31" s="103">
        <v>45812</v>
      </c>
      <c r="C31" s="93" t="s">
        <v>2508</v>
      </c>
      <c r="D31" s="124" t="s">
        <v>1161</v>
      </c>
      <c r="E31" s="86"/>
      <c r="F31" s="88"/>
      <c r="J31" s="88">
        <v>-2000000</v>
      </c>
      <c r="M31" s="89"/>
      <c r="N31" s="89"/>
    </row>
    <row r="32" spans="1:22" ht="18" customHeight="1">
      <c r="A32" s="98">
        <v>553</v>
      </c>
      <c r="B32" s="103">
        <v>45812</v>
      </c>
      <c r="C32" s="93" t="s">
        <v>2500</v>
      </c>
      <c r="D32" s="124" t="s">
        <v>1161</v>
      </c>
      <c r="E32" s="86"/>
      <c r="F32" s="88"/>
      <c r="J32" s="88">
        <v>-770000</v>
      </c>
      <c r="M32" s="89"/>
      <c r="N32" s="89"/>
    </row>
    <row r="33" spans="1:14" ht="18" customHeight="1">
      <c r="A33" s="98">
        <v>554</v>
      </c>
      <c r="B33" s="103">
        <v>45812</v>
      </c>
      <c r="C33" s="93" t="s">
        <v>1629</v>
      </c>
      <c r="D33" s="124" t="s">
        <v>1581</v>
      </c>
      <c r="E33" s="87"/>
      <c r="F33" s="236">
        <v>450000</v>
      </c>
      <c r="G33" s="93">
        <v>1</v>
      </c>
      <c r="H33" s="140">
        <v>45000</v>
      </c>
      <c r="I33" s="88">
        <v>495000</v>
      </c>
      <c r="K33" s="88"/>
      <c r="L33" s="89"/>
      <c r="M33" s="89"/>
      <c r="N33" s="89"/>
    </row>
    <row r="34" spans="1:14" ht="18" customHeight="1">
      <c r="A34" s="90">
        <v>555</v>
      </c>
      <c r="B34" s="102">
        <v>45812</v>
      </c>
      <c r="C34" s="91" t="s">
        <v>1629</v>
      </c>
      <c r="D34" s="125" t="s">
        <v>1595</v>
      </c>
      <c r="F34" s="132">
        <v>50000</v>
      </c>
      <c r="G34" s="93">
        <v>1</v>
      </c>
      <c r="H34" s="138">
        <v>5000</v>
      </c>
      <c r="I34" s="88">
        <v>55000</v>
      </c>
    </row>
    <row r="35" spans="1:14" ht="18" customHeight="1">
      <c r="A35" s="90">
        <v>556</v>
      </c>
      <c r="B35" s="102">
        <v>45812</v>
      </c>
      <c r="C35" s="91" t="s">
        <v>1790</v>
      </c>
      <c r="D35" s="125" t="s">
        <v>1161</v>
      </c>
      <c r="J35" s="88">
        <v>-7000000</v>
      </c>
      <c r="M35" s="89"/>
      <c r="N35" s="89"/>
    </row>
    <row r="36" spans="1:14" ht="18" customHeight="1">
      <c r="A36" s="90">
        <v>557</v>
      </c>
      <c r="B36" s="102">
        <v>45812</v>
      </c>
      <c r="C36" s="91" t="s">
        <v>1790</v>
      </c>
      <c r="D36" s="125" t="s">
        <v>2513</v>
      </c>
      <c r="J36" s="88">
        <v>-805000</v>
      </c>
      <c r="M36" s="89"/>
      <c r="N36" s="89"/>
    </row>
    <row r="37" spans="1:14" ht="18" customHeight="1">
      <c r="A37" s="90">
        <v>558</v>
      </c>
      <c r="B37" s="102">
        <v>45813</v>
      </c>
      <c r="C37" s="91" t="s">
        <v>1587</v>
      </c>
      <c r="D37" s="125" t="s">
        <v>2285</v>
      </c>
      <c r="F37" s="132">
        <v>569000</v>
      </c>
      <c r="G37" s="93">
        <v>1</v>
      </c>
      <c r="I37" s="88">
        <v>569000</v>
      </c>
    </row>
    <row r="38" spans="1:14" ht="18" customHeight="1">
      <c r="A38" s="90">
        <v>559</v>
      </c>
      <c r="B38" s="102">
        <v>45813</v>
      </c>
      <c r="C38" s="91" t="s">
        <v>1587</v>
      </c>
      <c r="D38" s="125" t="s">
        <v>2288</v>
      </c>
      <c r="F38" s="132">
        <v>77000</v>
      </c>
      <c r="G38" s="93">
        <v>1</v>
      </c>
      <c r="I38" s="88">
        <v>77000</v>
      </c>
    </row>
    <row r="39" spans="1:14" ht="18" customHeight="1">
      <c r="A39" s="90">
        <v>560</v>
      </c>
      <c r="B39" s="102">
        <v>45813</v>
      </c>
      <c r="C39" s="91" t="s">
        <v>1587</v>
      </c>
      <c r="D39" s="125" t="s">
        <v>2286</v>
      </c>
      <c r="F39" s="132">
        <v>130000</v>
      </c>
      <c r="G39" s="93">
        <v>1</v>
      </c>
      <c r="I39" s="88">
        <v>130000</v>
      </c>
    </row>
    <row r="40" spans="1:14" ht="18" customHeight="1">
      <c r="A40" s="90">
        <v>561</v>
      </c>
      <c r="B40" s="102">
        <v>45813</v>
      </c>
      <c r="C40" s="91" t="s">
        <v>1587</v>
      </c>
      <c r="D40" s="125" t="s">
        <v>2290</v>
      </c>
      <c r="F40" s="132">
        <v>10000</v>
      </c>
      <c r="G40" s="93">
        <v>2</v>
      </c>
      <c r="I40" s="88">
        <v>20000</v>
      </c>
    </row>
    <row r="41" spans="1:14" ht="18" customHeight="1">
      <c r="A41" s="90">
        <v>562</v>
      </c>
      <c r="B41" s="102">
        <v>45813</v>
      </c>
      <c r="C41" s="91" t="s">
        <v>1587</v>
      </c>
      <c r="D41" s="125" t="s">
        <v>2289</v>
      </c>
      <c r="F41" s="132">
        <v>35000</v>
      </c>
      <c r="G41" s="93">
        <v>1</v>
      </c>
      <c r="I41" s="88">
        <v>35000</v>
      </c>
    </row>
    <row r="42" spans="1:14" ht="18" customHeight="1">
      <c r="A42" s="90">
        <v>563</v>
      </c>
      <c r="B42" s="103">
        <v>45813</v>
      </c>
      <c r="C42" s="93" t="s">
        <v>1647</v>
      </c>
      <c r="D42" s="124" t="s">
        <v>1161</v>
      </c>
      <c r="E42" s="86"/>
      <c r="F42" s="88"/>
      <c r="J42" s="88">
        <v>-1500000</v>
      </c>
      <c r="M42" s="89"/>
      <c r="N42" s="89"/>
    </row>
    <row r="43" spans="1:14" ht="18" customHeight="1">
      <c r="A43" s="98">
        <v>564</v>
      </c>
      <c r="B43" s="103">
        <v>45813</v>
      </c>
      <c r="C43" s="93" t="s">
        <v>1502</v>
      </c>
      <c r="D43" s="124" t="s">
        <v>1785</v>
      </c>
      <c r="E43" s="87"/>
      <c r="F43" s="236">
        <v>150000</v>
      </c>
      <c r="G43" s="93">
        <v>1</v>
      </c>
      <c r="H43" s="140"/>
      <c r="I43" s="88">
        <v>150000</v>
      </c>
      <c r="K43" s="88"/>
      <c r="L43" s="89"/>
      <c r="M43" s="89"/>
      <c r="N43" s="89"/>
    </row>
    <row r="44" spans="1:14" ht="18" customHeight="1">
      <c r="A44" s="90">
        <v>565</v>
      </c>
      <c r="B44" s="103">
        <v>45813</v>
      </c>
      <c r="C44" s="93" t="s">
        <v>1183</v>
      </c>
      <c r="D44" s="124" t="s">
        <v>2520</v>
      </c>
      <c r="E44" s="86"/>
      <c r="F44" s="88">
        <v>450000</v>
      </c>
      <c r="G44" s="93">
        <v>1</v>
      </c>
      <c r="I44" s="88">
        <v>450000</v>
      </c>
      <c r="M44" s="89"/>
      <c r="N44" s="89"/>
    </row>
    <row r="45" spans="1:14" ht="18" customHeight="1">
      <c r="A45" s="90">
        <v>566</v>
      </c>
      <c r="B45" s="103">
        <v>45813</v>
      </c>
      <c r="C45" s="93" t="s">
        <v>1183</v>
      </c>
      <c r="D45" s="124" t="s">
        <v>2289</v>
      </c>
      <c r="E45" s="86"/>
      <c r="F45" s="88">
        <v>55000</v>
      </c>
      <c r="G45" s="93">
        <v>1</v>
      </c>
      <c r="I45" s="88">
        <v>55000</v>
      </c>
      <c r="M45" s="89"/>
      <c r="N45" s="89"/>
    </row>
    <row r="46" spans="1:14" ht="18" customHeight="1">
      <c r="A46" s="98">
        <v>567</v>
      </c>
      <c r="B46" s="103">
        <v>45813</v>
      </c>
      <c r="C46" s="93" t="s">
        <v>1183</v>
      </c>
      <c r="D46" s="124" t="s">
        <v>2292</v>
      </c>
      <c r="E46" s="86"/>
      <c r="F46" s="88">
        <v>600000</v>
      </c>
      <c r="G46" s="93">
        <v>1</v>
      </c>
      <c r="I46" s="88">
        <v>600000</v>
      </c>
      <c r="M46" s="89"/>
      <c r="N46" s="89"/>
    </row>
    <row r="47" spans="1:14" ht="18" customHeight="1">
      <c r="A47" s="90">
        <v>568</v>
      </c>
      <c r="B47" s="102">
        <v>45813</v>
      </c>
      <c r="C47" s="91" t="s">
        <v>1183</v>
      </c>
      <c r="D47" s="125" t="s">
        <v>2521</v>
      </c>
      <c r="F47" s="132">
        <v>600000</v>
      </c>
      <c r="G47" s="93">
        <v>1</v>
      </c>
      <c r="I47" s="88">
        <v>600000</v>
      </c>
      <c r="M47" s="89"/>
      <c r="N47" s="89"/>
    </row>
    <row r="48" spans="1:14" ht="18" customHeight="1">
      <c r="A48" s="90">
        <v>569</v>
      </c>
      <c r="B48" s="102">
        <v>45813</v>
      </c>
      <c r="C48" s="91" t="s">
        <v>1629</v>
      </c>
      <c r="D48" s="125" t="s">
        <v>1161</v>
      </c>
      <c r="J48" s="88">
        <v>-550000</v>
      </c>
      <c r="M48" s="89"/>
      <c r="N48" s="89"/>
    </row>
    <row r="49" spans="1:14" ht="18" customHeight="1">
      <c r="A49" s="90">
        <v>570</v>
      </c>
      <c r="B49" s="102">
        <v>45813</v>
      </c>
      <c r="C49" s="91" t="s">
        <v>2529</v>
      </c>
      <c r="D49" s="125" t="s">
        <v>2528</v>
      </c>
      <c r="F49" s="132">
        <v>200000</v>
      </c>
      <c r="G49" s="93">
        <v>1</v>
      </c>
      <c r="I49" s="88">
        <v>200000</v>
      </c>
      <c r="M49" s="89"/>
      <c r="N49" s="89"/>
    </row>
    <row r="50" spans="1:14" ht="18" customHeight="1">
      <c r="A50" s="90">
        <v>571</v>
      </c>
      <c r="B50" s="102">
        <v>45814</v>
      </c>
      <c r="C50" s="91" t="s">
        <v>1790</v>
      </c>
      <c r="D50" s="125" t="s">
        <v>2285</v>
      </c>
      <c r="F50" s="132">
        <v>500000</v>
      </c>
      <c r="G50" s="93">
        <v>5</v>
      </c>
      <c r="I50" s="88">
        <v>2500000</v>
      </c>
      <c r="M50" s="89"/>
      <c r="N50" s="89"/>
    </row>
    <row r="51" spans="1:14" ht="18" customHeight="1">
      <c r="A51" s="90">
        <v>572</v>
      </c>
      <c r="B51" s="102">
        <v>45817</v>
      </c>
      <c r="C51" s="91" t="s">
        <v>2534</v>
      </c>
      <c r="D51" s="125" t="s">
        <v>2277</v>
      </c>
      <c r="F51" s="132">
        <v>2200000</v>
      </c>
      <c r="G51" s="93">
        <v>1</v>
      </c>
      <c r="H51" s="138">
        <v>220000</v>
      </c>
      <c r="I51" s="88">
        <v>2420000</v>
      </c>
    </row>
    <row r="52" spans="1:14" ht="18" customHeight="1">
      <c r="A52" s="90">
        <v>573</v>
      </c>
      <c r="B52" s="102">
        <v>45817</v>
      </c>
      <c r="C52" s="91" t="s">
        <v>997</v>
      </c>
      <c r="D52" s="125" t="s">
        <v>2278</v>
      </c>
      <c r="F52" s="132">
        <v>1550000</v>
      </c>
      <c r="G52" s="93">
        <v>1</v>
      </c>
      <c r="I52" s="88">
        <v>1550000</v>
      </c>
    </row>
    <row r="53" spans="1:14" ht="18" customHeight="1">
      <c r="A53" s="90">
        <v>574</v>
      </c>
      <c r="B53" s="102">
        <v>45817</v>
      </c>
      <c r="C53" s="91" t="s">
        <v>997</v>
      </c>
      <c r="D53" s="125" t="s">
        <v>2001</v>
      </c>
      <c r="F53" s="132">
        <v>650000</v>
      </c>
      <c r="G53" s="93">
        <v>1</v>
      </c>
      <c r="I53" s="88">
        <v>650000</v>
      </c>
    </row>
    <row r="54" spans="1:14" ht="18" customHeight="1">
      <c r="A54" s="90">
        <v>575</v>
      </c>
      <c r="B54" s="102">
        <v>45817</v>
      </c>
      <c r="C54" s="91" t="s">
        <v>1183</v>
      </c>
      <c r="D54" s="125" t="s">
        <v>2537</v>
      </c>
      <c r="F54" s="132">
        <v>35000</v>
      </c>
      <c r="G54" s="93">
        <v>1</v>
      </c>
      <c r="I54" s="88">
        <v>35000</v>
      </c>
    </row>
    <row r="55" spans="1:14" ht="18" customHeight="1">
      <c r="A55" s="90">
        <v>576</v>
      </c>
      <c r="B55" s="102">
        <v>45817</v>
      </c>
      <c r="C55" s="91" t="s">
        <v>1183</v>
      </c>
      <c r="D55" s="125" t="s">
        <v>1959</v>
      </c>
      <c r="F55" s="132">
        <v>20000</v>
      </c>
      <c r="G55" s="93">
        <v>1</v>
      </c>
      <c r="I55" s="88">
        <v>20000</v>
      </c>
    </row>
    <row r="56" spans="1:14" ht="18" customHeight="1">
      <c r="A56" s="90">
        <v>577</v>
      </c>
      <c r="B56" s="102">
        <v>45817</v>
      </c>
      <c r="C56" s="91" t="s">
        <v>1790</v>
      </c>
      <c r="D56" s="125" t="s">
        <v>1813</v>
      </c>
      <c r="F56" s="132">
        <v>1100000</v>
      </c>
      <c r="G56" s="93">
        <v>1</v>
      </c>
      <c r="I56" s="88">
        <v>1100000</v>
      </c>
    </row>
    <row r="57" spans="1:14" ht="18" customHeight="1">
      <c r="A57" s="90">
        <v>578</v>
      </c>
      <c r="B57" s="102">
        <v>45817</v>
      </c>
      <c r="C57" s="91" t="s">
        <v>1030</v>
      </c>
      <c r="D57" s="125" t="s">
        <v>2542</v>
      </c>
      <c r="F57" s="132">
        <v>1100000</v>
      </c>
      <c r="G57" s="93">
        <v>1</v>
      </c>
      <c r="I57" s="88">
        <v>1100000</v>
      </c>
    </row>
    <row r="58" spans="1:14" ht="18" customHeight="1">
      <c r="A58" s="90">
        <v>579</v>
      </c>
      <c r="B58" s="102">
        <v>45817</v>
      </c>
      <c r="C58" s="91" t="s">
        <v>1490</v>
      </c>
      <c r="D58" s="125" t="s">
        <v>2295</v>
      </c>
      <c r="F58" s="132">
        <v>1500000</v>
      </c>
      <c r="G58" s="93">
        <v>1</v>
      </c>
      <c r="I58" s="88">
        <v>1500000</v>
      </c>
    </row>
    <row r="59" spans="1:14" ht="18" customHeight="1">
      <c r="A59" s="90">
        <v>580</v>
      </c>
      <c r="B59" s="102">
        <v>45817</v>
      </c>
      <c r="C59" s="91" t="s">
        <v>1445</v>
      </c>
      <c r="D59" s="125" t="s">
        <v>2295</v>
      </c>
      <c r="F59" s="132">
        <v>1500000</v>
      </c>
      <c r="G59" s="93">
        <v>1</v>
      </c>
      <c r="I59" s="88">
        <v>1500000</v>
      </c>
    </row>
    <row r="60" spans="1:14" ht="18" customHeight="1">
      <c r="A60" s="90">
        <v>581</v>
      </c>
      <c r="B60" s="102">
        <v>45817</v>
      </c>
      <c r="C60" s="91" t="s">
        <v>1629</v>
      </c>
      <c r="D60" s="125" t="s">
        <v>2285</v>
      </c>
      <c r="F60" s="132">
        <v>517273</v>
      </c>
      <c r="G60" s="93">
        <v>1</v>
      </c>
      <c r="H60" s="138">
        <v>51727</v>
      </c>
      <c r="I60" s="88">
        <v>569000</v>
      </c>
    </row>
    <row r="61" spans="1:14" ht="18" customHeight="1">
      <c r="A61" s="90">
        <v>582</v>
      </c>
      <c r="B61" s="102">
        <v>45817</v>
      </c>
      <c r="C61" s="91" t="s">
        <v>1629</v>
      </c>
      <c r="D61" s="125" t="s">
        <v>2286</v>
      </c>
      <c r="F61" s="132">
        <v>130000</v>
      </c>
      <c r="G61" s="93">
        <v>2</v>
      </c>
      <c r="H61" s="138">
        <v>26000</v>
      </c>
      <c r="I61" s="88">
        <v>286000</v>
      </c>
    </row>
    <row r="62" spans="1:14" ht="18" customHeight="1">
      <c r="A62" s="90">
        <v>583</v>
      </c>
      <c r="B62" s="102">
        <v>45817</v>
      </c>
      <c r="C62" s="91" t="s">
        <v>1626</v>
      </c>
      <c r="D62" s="125" t="s">
        <v>2292</v>
      </c>
      <c r="F62" s="132">
        <v>600000</v>
      </c>
      <c r="G62" s="93">
        <v>1</v>
      </c>
      <c r="H62" s="138">
        <v>60000</v>
      </c>
      <c r="I62" s="88">
        <v>660000</v>
      </c>
    </row>
    <row r="63" spans="1:14" ht="18" customHeight="1">
      <c r="A63" s="90">
        <v>584</v>
      </c>
      <c r="B63" s="102">
        <v>45817</v>
      </c>
      <c r="C63" s="91" t="s">
        <v>1626</v>
      </c>
      <c r="D63" s="125" t="s">
        <v>2547</v>
      </c>
      <c r="G63" s="93">
        <v>1</v>
      </c>
      <c r="I63" s="88">
        <v>0</v>
      </c>
    </row>
    <row r="64" spans="1:14" ht="18" customHeight="1">
      <c r="A64" s="90">
        <v>585</v>
      </c>
      <c r="B64" s="102">
        <v>45817</v>
      </c>
      <c r="C64" s="91" t="s">
        <v>1626</v>
      </c>
      <c r="D64" s="125" t="s">
        <v>2549</v>
      </c>
      <c r="F64" s="132">
        <v>590910</v>
      </c>
      <c r="G64" s="93">
        <v>1</v>
      </c>
      <c r="H64" s="138">
        <v>59091</v>
      </c>
      <c r="I64" s="88">
        <v>650001</v>
      </c>
    </row>
    <row r="65" spans="1:10" ht="18" customHeight="1">
      <c r="A65" s="90">
        <v>586</v>
      </c>
      <c r="B65" s="102">
        <v>45817</v>
      </c>
      <c r="C65" s="91" t="s">
        <v>1626</v>
      </c>
      <c r="D65" s="125" t="s">
        <v>2551</v>
      </c>
      <c r="F65" s="132">
        <v>100000</v>
      </c>
      <c r="G65" s="93">
        <v>1</v>
      </c>
      <c r="H65" s="138">
        <v>10000</v>
      </c>
      <c r="I65" s="88">
        <v>110000</v>
      </c>
    </row>
    <row r="66" spans="1:10" ht="18" customHeight="1">
      <c r="A66" s="90">
        <v>587</v>
      </c>
      <c r="B66" s="102">
        <v>45817</v>
      </c>
      <c r="C66" s="91" t="s">
        <v>1626</v>
      </c>
      <c r="D66" s="125" t="s">
        <v>2290</v>
      </c>
      <c r="F66" s="132">
        <v>20000</v>
      </c>
      <c r="G66" s="93">
        <v>1</v>
      </c>
      <c r="H66" s="138">
        <v>2000</v>
      </c>
      <c r="I66" s="88">
        <v>22000</v>
      </c>
    </row>
    <row r="67" spans="1:10" ht="18" customHeight="1">
      <c r="A67" s="90">
        <v>588</v>
      </c>
      <c r="B67" s="102">
        <v>45817</v>
      </c>
      <c r="C67" s="91" t="s">
        <v>2534</v>
      </c>
      <c r="D67" s="125" t="s">
        <v>1161</v>
      </c>
      <c r="J67" s="88">
        <v>-2420000</v>
      </c>
    </row>
    <row r="68" spans="1:10" ht="18" customHeight="1">
      <c r="A68" s="90">
        <v>589</v>
      </c>
      <c r="B68" s="102">
        <v>45817</v>
      </c>
      <c r="C68" s="91" t="s">
        <v>1490</v>
      </c>
      <c r="D68" s="125" t="s">
        <v>2556</v>
      </c>
      <c r="J68" s="88">
        <v>-500000</v>
      </c>
    </row>
    <row r="69" spans="1:10" ht="18" customHeight="1">
      <c r="A69" s="90">
        <v>590</v>
      </c>
      <c r="B69" s="102">
        <v>45817</v>
      </c>
      <c r="C69" s="91" t="s">
        <v>1490</v>
      </c>
      <c r="D69" s="125" t="s">
        <v>2557</v>
      </c>
      <c r="J69" s="88">
        <v>-300000</v>
      </c>
    </row>
    <row r="70" spans="1:10" ht="18" customHeight="1">
      <c r="A70" s="90">
        <v>591</v>
      </c>
      <c r="B70" s="102">
        <v>45817</v>
      </c>
      <c r="C70" s="91" t="s">
        <v>1490</v>
      </c>
      <c r="D70" s="125" t="s">
        <v>2558</v>
      </c>
      <c r="J70" s="88">
        <v>-300000</v>
      </c>
    </row>
    <row r="71" spans="1:10" ht="18" customHeight="1">
      <c r="A71" s="90">
        <v>592</v>
      </c>
      <c r="B71" s="102">
        <v>45817</v>
      </c>
      <c r="C71" s="91" t="s">
        <v>1490</v>
      </c>
      <c r="D71" s="125" t="s">
        <v>2559</v>
      </c>
      <c r="J71" s="88">
        <v>-380000</v>
      </c>
    </row>
    <row r="72" spans="1:10" ht="18" customHeight="1">
      <c r="A72" s="90">
        <v>593</v>
      </c>
      <c r="B72" s="102">
        <v>45817</v>
      </c>
      <c r="C72" s="91" t="s">
        <v>997</v>
      </c>
      <c r="D72" s="125" t="s">
        <v>1161</v>
      </c>
      <c r="J72" s="88">
        <v>-2200000</v>
      </c>
    </row>
    <row r="73" spans="1:10" ht="18" customHeight="1">
      <c r="A73" s="90">
        <v>594</v>
      </c>
      <c r="B73" s="102">
        <v>45817</v>
      </c>
      <c r="C73" s="91" t="s">
        <v>2361</v>
      </c>
      <c r="D73" s="125" t="s">
        <v>1161</v>
      </c>
      <c r="J73" s="88">
        <v>-1500000</v>
      </c>
    </row>
    <row r="74" spans="1:10" ht="18" customHeight="1">
      <c r="A74" s="90">
        <v>596</v>
      </c>
      <c r="B74" s="102">
        <v>45817</v>
      </c>
      <c r="C74" s="91" t="s">
        <v>1445</v>
      </c>
      <c r="D74" s="125" t="s">
        <v>2448</v>
      </c>
      <c r="F74" s="132">
        <v>80000</v>
      </c>
      <c r="G74" s="93">
        <v>1</v>
      </c>
      <c r="I74" s="88">
        <v>80000</v>
      </c>
    </row>
    <row r="75" spans="1:10" ht="18" customHeight="1">
      <c r="A75" s="90">
        <v>597</v>
      </c>
      <c r="B75" s="102">
        <v>45818</v>
      </c>
      <c r="C75" s="91" t="s">
        <v>2195</v>
      </c>
      <c r="D75" s="125" t="s">
        <v>1161</v>
      </c>
      <c r="J75" s="88">
        <v>-1550000</v>
      </c>
    </row>
    <row r="76" spans="1:10" ht="18" customHeight="1">
      <c r="A76" s="90">
        <v>598</v>
      </c>
      <c r="B76" s="102">
        <v>45818</v>
      </c>
      <c r="C76" s="91" t="s">
        <v>1645</v>
      </c>
      <c r="D76" s="125" t="s">
        <v>1161</v>
      </c>
      <c r="J76" s="88">
        <v>-700000</v>
      </c>
    </row>
    <row r="77" spans="1:10" ht="18" customHeight="1">
      <c r="A77" s="90">
        <v>599</v>
      </c>
      <c r="B77" s="102">
        <v>45818</v>
      </c>
      <c r="C77" s="91" t="s">
        <v>2484</v>
      </c>
      <c r="D77" s="125" t="s">
        <v>2584</v>
      </c>
      <c r="F77" s="132">
        <v>3000000</v>
      </c>
      <c r="G77" s="93">
        <v>1</v>
      </c>
      <c r="I77" s="88">
        <v>3000000</v>
      </c>
    </row>
    <row r="78" spans="1:10" ht="18" customHeight="1">
      <c r="A78" s="90">
        <v>600</v>
      </c>
      <c r="B78" s="102">
        <v>45818</v>
      </c>
      <c r="C78" s="91" t="s">
        <v>1817</v>
      </c>
      <c r="D78" s="125" t="s">
        <v>2288</v>
      </c>
      <c r="F78" s="132">
        <v>75000</v>
      </c>
      <c r="G78" s="93">
        <v>2</v>
      </c>
      <c r="H78" s="138">
        <v>15000</v>
      </c>
      <c r="I78" s="88">
        <v>165000</v>
      </c>
    </row>
    <row r="79" spans="1:10" ht="18" customHeight="1">
      <c r="A79" s="90">
        <v>601</v>
      </c>
      <c r="B79" s="102">
        <v>45818</v>
      </c>
      <c r="C79" s="91" t="s">
        <v>1817</v>
      </c>
      <c r="D79" s="125" t="s">
        <v>2286</v>
      </c>
      <c r="F79" s="132">
        <v>130000</v>
      </c>
      <c r="G79" s="93">
        <v>1</v>
      </c>
      <c r="H79" s="138">
        <v>13000</v>
      </c>
      <c r="I79" s="88">
        <v>143000</v>
      </c>
    </row>
    <row r="80" spans="1:10" ht="18" customHeight="1">
      <c r="A80" s="90">
        <v>602</v>
      </c>
      <c r="B80" s="102">
        <v>45818</v>
      </c>
      <c r="C80" s="91" t="s">
        <v>1445</v>
      </c>
      <c r="D80" s="125" t="s">
        <v>2294</v>
      </c>
      <c r="F80" s="132">
        <v>340000</v>
      </c>
      <c r="G80" s="93">
        <v>1</v>
      </c>
      <c r="I80" s="88">
        <v>340000</v>
      </c>
    </row>
    <row r="81" spans="1:12" ht="18" customHeight="1">
      <c r="A81" s="90">
        <v>603</v>
      </c>
      <c r="B81" s="102">
        <v>45818</v>
      </c>
      <c r="C81" s="91" t="s">
        <v>1351</v>
      </c>
      <c r="D81" s="125" t="s">
        <v>2588</v>
      </c>
      <c r="F81" s="132">
        <v>850000</v>
      </c>
      <c r="G81" s="93">
        <v>1</v>
      </c>
      <c r="I81" s="88">
        <v>850000</v>
      </c>
    </row>
    <row r="82" spans="1:12" ht="18" customHeight="1">
      <c r="A82" s="90">
        <v>604</v>
      </c>
      <c r="B82" s="102">
        <v>45818</v>
      </c>
      <c r="C82" s="91" t="s">
        <v>1351</v>
      </c>
      <c r="D82" s="125" t="s">
        <v>2198</v>
      </c>
      <c r="F82" s="132">
        <v>1000000</v>
      </c>
      <c r="G82" s="93">
        <v>1</v>
      </c>
      <c r="I82" s="88">
        <v>1000000</v>
      </c>
    </row>
    <row r="83" spans="1:12" ht="18" customHeight="1">
      <c r="A83" s="90">
        <v>605</v>
      </c>
      <c r="B83" s="102">
        <v>45818</v>
      </c>
      <c r="C83" s="91" t="s">
        <v>1626</v>
      </c>
      <c r="D83" s="125" t="s">
        <v>2305</v>
      </c>
      <c r="F83" s="132">
        <v>1600000</v>
      </c>
      <c r="G83" s="93">
        <v>1</v>
      </c>
      <c r="H83" s="138">
        <v>160000</v>
      </c>
      <c r="I83" s="88">
        <v>1760000</v>
      </c>
    </row>
    <row r="84" spans="1:12" ht="18" customHeight="1">
      <c r="A84" s="90">
        <v>606</v>
      </c>
      <c r="B84" s="102">
        <v>45818</v>
      </c>
      <c r="C84" s="91" t="s">
        <v>1626</v>
      </c>
      <c r="D84" s="125" t="s">
        <v>1565</v>
      </c>
      <c r="F84" s="132">
        <v>20000</v>
      </c>
      <c r="G84" s="93">
        <v>1</v>
      </c>
      <c r="H84" s="138">
        <v>2000</v>
      </c>
      <c r="I84" s="88">
        <v>22000</v>
      </c>
    </row>
    <row r="85" spans="1:12" ht="18" customHeight="1">
      <c r="A85" s="90">
        <v>607</v>
      </c>
      <c r="B85" s="102">
        <v>45818</v>
      </c>
      <c r="C85" s="91" t="s">
        <v>1490</v>
      </c>
      <c r="D85" s="125" t="s">
        <v>2591</v>
      </c>
      <c r="F85" s="132">
        <v>100000</v>
      </c>
      <c r="G85" s="93">
        <v>1</v>
      </c>
      <c r="I85" s="88">
        <v>100000</v>
      </c>
    </row>
    <row r="86" spans="1:12" ht="18" customHeight="1">
      <c r="A86" s="90">
        <v>608</v>
      </c>
      <c r="B86" s="102">
        <v>45818</v>
      </c>
      <c r="C86" s="91" t="s">
        <v>2427</v>
      </c>
      <c r="D86" s="125" t="s">
        <v>2595</v>
      </c>
      <c r="F86" s="88">
        <v>100000</v>
      </c>
      <c r="G86" s="93">
        <v>1</v>
      </c>
      <c r="I86" s="88">
        <v>100000</v>
      </c>
    </row>
    <row r="87" spans="1:12" ht="18" customHeight="1">
      <c r="A87" s="90">
        <v>609</v>
      </c>
      <c r="B87" s="102">
        <v>45818</v>
      </c>
      <c r="C87" s="91" t="s">
        <v>1979</v>
      </c>
      <c r="D87" s="125" t="s">
        <v>1241</v>
      </c>
      <c r="F87" s="132">
        <v>1200000</v>
      </c>
      <c r="G87" s="93">
        <v>1</v>
      </c>
      <c r="I87" s="88">
        <v>1200000</v>
      </c>
    </row>
    <row r="88" spans="1:12" ht="18" customHeight="1">
      <c r="A88" s="90">
        <v>610</v>
      </c>
      <c r="B88" s="102">
        <v>45818</v>
      </c>
      <c r="C88" s="91" t="s">
        <v>1490</v>
      </c>
      <c r="D88" s="125" t="s">
        <v>2598</v>
      </c>
      <c r="F88" s="88"/>
      <c r="J88" s="88">
        <v>-1200000</v>
      </c>
    </row>
    <row r="89" spans="1:12" ht="18" customHeight="1">
      <c r="A89" s="90">
        <v>611</v>
      </c>
      <c r="B89" s="102">
        <v>45813</v>
      </c>
      <c r="C89" s="91" t="s">
        <v>1502</v>
      </c>
      <c r="D89" s="125" t="s">
        <v>1161</v>
      </c>
      <c r="J89" s="88">
        <v>-150000</v>
      </c>
    </row>
    <row r="90" spans="1:12" ht="18" customHeight="1">
      <c r="A90" s="90">
        <v>612</v>
      </c>
      <c r="B90" s="102">
        <v>45818</v>
      </c>
      <c r="C90" s="91" t="s">
        <v>2769</v>
      </c>
      <c r="D90" s="125" t="s">
        <v>2276</v>
      </c>
      <c r="F90" s="88">
        <v>-1500000</v>
      </c>
      <c r="G90" s="93">
        <v>1</v>
      </c>
      <c r="H90" s="138">
        <v>-150000</v>
      </c>
      <c r="I90" s="88">
        <v>-1650000</v>
      </c>
    </row>
    <row r="91" spans="1:12" ht="18" customHeight="1">
      <c r="A91" s="90">
        <v>613</v>
      </c>
      <c r="B91" s="102">
        <v>45819</v>
      </c>
      <c r="C91" s="91" t="s">
        <v>1351</v>
      </c>
      <c r="D91" s="125" t="s">
        <v>1161</v>
      </c>
      <c r="J91" s="88">
        <v>-1850000</v>
      </c>
    </row>
    <row r="92" spans="1:12" ht="18" customHeight="1">
      <c r="A92" s="90">
        <v>614</v>
      </c>
      <c r="B92" s="102">
        <v>45819</v>
      </c>
      <c r="C92" s="91" t="s">
        <v>1030</v>
      </c>
      <c r="D92" s="125" t="s">
        <v>1161</v>
      </c>
      <c r="F92" s="88"/>
      <c r="G92" s="132"/>
      <c r="J92" s="88">
        <v>-5487000</v>
      </c>
      <c r="L92" s="132"/>
    </row>
    <row r="93" spans="1:12" ht="18" customHeight="1">
      <c r="A93" s="90">
        <v>615</v>
      </c>
      <c r="B93" s="102">
        <v>45819</v>
      </c>
      <c r="C93" s="91" t="s">
        <v>2614</v>
      </c>
      <c r="D93" s="125" t="s">
        <v>1241</v>
      </c>
      <c r="F93" s="88">
        <v>1200000</v>
      </c>
      <c r="G93" s="132">
        <v>1</v>
      </c>
      <c r="H93" s="138">
        <v>120000</v>
      </c>
      <c r="I93" s="88">
        <v>1320000</v>
      </c>
      <c r="L93" s="132"/>
    </row>
    <row r="94" spans="1:12" ht="18" customHeight="1">
      <c r="A94" s="90">
        <v>616</v>
      </c>
      <c r="B94" s="102">
        <v>45819</v>
      </c>
      <c r="C94" s="91" t="s">
        <v>1498</v>
      </c>
      <c r="D94" s="125" t="s">
        <v>1243</v>
      </c>
      <c r="F94" s="88">
        <v>1200000</v>
      </c>
      <c r="G94" s="132">
        <v>1</v>
      </c>
      <c r="H94" s="138">
        <v>120000</v>
      </c>
      <c r="I94" s="88">
        <v>1320000</v>
      </c>
      <c r="L94" s="132"/>
    </row>
    <row r="95" spans="1:12" ht="18" customHeight="1">
      <c r="A95" s="90">
        <v>617</v>
      </c>
      <c r="B95" s="102">
        <v>45819</v>
      </c>
      <c r="C95" s="91" t="s">
        <v>1418</v>
      </c>
      <c r="D95" s="125" t="s">
        <v>1805</v>
      </c>
      <c r="F95" s="88">
        <v>600000</v>
      </c>
      <c r="G95" s="132">
        <v>1</v>
      </c>
      <c r="I95" s="88">
        <v>600000</v>
      </c>
      <c r="L95" s="132"/>
    </row>
    <row r="96" spans="1:12" ht="18" customHeight="1">
      <c r="A96" s="90">
        <v>618</v>
      </c>
      <c r="B96" s="102">
        <v>45819</v>
      </c>
      <c r="C96" s="91" t="s">
        <v>2605</v>
      </c>
      <c r="D96" s="125" t="s">
        <v>1785</v>
      </c>
      <c r="F96" s="88">
        <v>200000</v>
      </c>
      <c r="G96" s="132">
        <v>1</v>
      </c>
      <c r="H96" s="138">
        <v>20000</v>
      </c>
      <c r="I96" s="88">
        <v>220000</v>
      </c>
      <c r="L96" s="132"/>
    </row>
    <row r="97" spans="1:13" ht="18" customHeight="1">
      <c r="A97" s="90">
        <v>619</v>
      </c>
      <c r="B97" s="102">
        <v>45819</v>
      </c>
      <c r="C97" s="91" t="s">
        <v>1495</v>
      </c>
      <c r="D97" s="125" t="s">
        <v>1241</v>
      </c>
      <c r="F97" s="88">
        <v>1200000</v>
      </c>
      <c r="G97" s="132">
        <v>1</v>
      </c>
      <c r="I97" s="88">
        <v>1200000</v>
      </c>
      <c r="L97" s="132"/>
    </row>
    <row r="98" spans="1:13" ht="18" customHeight="1">
      <c r="A98" s="90">
        <v>620</v>
      </c>
      <c r="B98" s="102">
        <v>45818</v>
      </c>
      <c r="C98" s="91" t="s">
        <v>2484</v>
      </c>
      <c r="D98" s="125" t="s">
        <v>1161</v>
      </c>
      <c r="F98" s="88"/>
      <c r="G98" s="132"/>
      <c r="J98" s="88">
        <v>-3000000</v>
      </c>
      <c r="L98" s="132"/>
    </row>
    <row r="99" spans="1:13" ht="18" customHeight="1">
      <c r="A99" s="90">
        <v>621</v>
      </c>
      <c r="B99" s="102">
        <v>45819</v>
      </c>
      <c r="C99" s="91" t="s">
        <v>2605</v>
      </c>
      <c r="D99" s="125" t="s">
        <v>1161</v>
      </c>
      <c r="F99" s="88"/>
      <c r="G99" s="132"/>
      <c r="J99" s="88">
        <v>-220000</v>
      </c>
      <c r="L99" s="132"/>
    </row>
    <row r="100" spans="1:13" ht="18" customHeight="1">
      <c r="A100" s="90">
        <v>622</v>
      </c>
      <c r="B100" s="102">
        <v>45818</v>
      </c>
      <c r="C100" s="91" t="s">
        <v>2427</v>
      </c>
      <c r="D100" s="125" t="s">
        <v>1161</v>
      </c>
      <c r="F100" s="88"/>
      <c r="G100" s="132"/>
      <c r="J100" s="88">
        <v>-100000</v>
      </c>
      <c r="L100" s="132"/>
    </row>
    <row r="101" spans="1:13" ht="18" customHeight="1">
      <c r="A101" s="90">
        <v>622</v>
      </c>
      <c r="B101" s="102">
        <v>45820</v>
      </c>
      <c r="C101" s="91" t="s">
        <v>1495</v>
      </c>
      <c r="D101" s="125" t="s">
        <v>1161</v>
      </c>
      <c r="F101" s="88"/>
      <c r="G101" s="132"/>
      <c r="J101" s="88">
        <v>-1200000</v>
      </c>
      <c r="L101" s="132"/>
    </row>
    <row r="102" spans="1:13" ht="18" customHeight="1">
      <c r="A102" s="90">
        <v>623</v>
      </c>
      <c r="B102" s="102">
        <v>45820</v>
      </c>
      <c r="C102" s="91" t="s">
        <v>1060</v>
      </c>
      <c r="D102" s="125" t="s">
        <v>2278</v>
      </c>
      <c r="F102" s="88">
        <v>1500000</v>
      </c>
      <c r="G102" s="132">
        <v>1</v>
      </c>
      <c r="I102" s="88">
        <v>1500000</v>
      </c>
      <c r="L102" s="132"/>
    </row>
    <row r="103" spans="1:13" ht="18" customHeight="1">
      <c r="A103" s="90">
        <v>624</v>
      </c>
      <c r="B103" s="102">
        <v>45820</v>
      </c>
      <c r="C103" s="91" t="s">
        <v>1060</v>
      </c>
      <c r="D103" s="125" t="s">
        <v>2279</v>
      </c>
      <c r="F103" s="88">
        <v>50000</v>
      </c>
      <c r="G103" s="132">
        <v>1</v>
      </c>
      <c r="I103" s="88">
        <v>50000</v>
      </c>
      <c r="L103" s="132"/>
    </row>
    <row r="104" spans="1:13" ht="18" customHeight="1">
      <c r="A104" s="90">
        <v>625</v>
      </c>
      <c r="B104" s="102">
        <v>45820</v>
      </c>
      <c r="C104" s="91" t="s">
        <v>1519</v>
      </c>
      <c r="D104" s="125" t="s">
        <v>2295</v>
      </c>
      <c r="F104" s="88">
        <v>1500000</v>
      </c>
      <c r="G104" s="132">
        <v>1</v>
      </c>
      <c r="I104" s="88">
        <v>1500000</v>
      </c>
      <c r="L104" s="132"/>
    </row>
    <row r="105" spans="1:13" ht="18" customHeight="1">
      <c r="A105" s="90">
        <v>626</v>
      </c>
      <c r="B105" s="102">
        <v>45820</v>
      </c>
      <c r="C105" s="91" t="s">
        <v>1525</v>
      </c>
      <c r="D105" s="125" t="s">
        <v>1243</v>
      </c>
      <c r="F105" s="88">
        <v>1100000</v>
      </c>
      <c r="G105" s="132">
        <v>1</v>
      </c>
      <c r="I105" s="88">
        <v>1100000</v>
      </c>
      <c r="L105" s="132"/>
    </row>
    <row r="106" spans="1:13" ht="18" customHeight="1">
      <c r="A106" s="90">
        <v>627</v>
      </c>
      <c r="B106" s="102">
        <v>45820</v>
      </c>
      <c r="C106" s="91" t="s">
        <v>2614</v>
      </c>
      <c r="D106" s="125" t="s">
        <v>1161</v>
      </c>
      <c r="F106" s="88"/>
      <c r="G106" s="132"/>
      <c r="J106" s="88">
        <v>-1320000</v>
      </c>
      <c r="L106" s="132"/>
    </row>
    <row r="107" spans="1:13" ht="18" customHeight="1">
      <c r="A107" s="90">
        <v>628</v>
      </c>
      <c r="B107" s="102">
        <v>45821</v>
      </c>
      <c r="C107" s="91" t="s">
        <v>2245</v>
      </c>
      <c r="D107" s="125" t="s">
        <v>1161</v>
      </c>
      <c r="F107" s="88"/>
      <c r="G107" s="132"/>
      <c r="J107" s="88">
        <v>-900000</v>
      </c>
      <c r="L107" s="132"/>
    </row>
    <row r="108" spans="1:13" ht="18" customHeight="1">
      <c r="A108" s="90">
        <v>629</v>
      </c>
      <c r="B108" s="102">
        <v>45821</v>
      </c>
      <c r="C108" s="91" t="s">
        <v>2625</v>
      </c>
      <c r="D108" s="125" t="s">
        <v>1785</v>
      </c>
      <c r="F108" s="88">
        <v>150000</v>
      </c>
      <c r="G108" s="132">
        <v>1</v>
      </c>
      <c r="I108" s="88">
        <v>150000</v>
      </c>
      <c r="L108" s="132"/>
    </row>
    <row r="109" spans="1:13" ht="18" customHeight="1">
      <c r="A109" s="90">
        <v>630</v>
      </c>
      <c r="B109" s="102">
        <v>45821</v>
      </c>
      <c r="C109" s="91" t="s">
        <v>1979</v>
      </c>
      <c r="D109" s="125" t="s">
        <v>1161</v>
      </c>
      <c r="F109" s="88"/>
      <c r="G109" s="132"/>
      <c r="J109" s="88">
        <v>-1200000</v>
      </c>
      <c r="L109" s="132"/>
    </row>
    <row r="110" spans="1:13" ht="18" customHeight="1">
      <c r="A110" s="90">
        <v>632</v>
      </c>
      <c r="B110" s="102">
        <v>45821</v>
      </c>
      <c r="C110" s="91" t="s">
        <v>1030</v>
      </c>
      <c r="D110" s="125" t="s">
        <v>2289</v>
      </c>
      <c r="F110" s="88">
        <v>35000</v>
      </c>
      <c r="G110" s="132">
        <v>1</v>
      </c>
      <c r="I110" s="88">
        <v>35000</v>
      </c>
      <c r="L110" s="132"/>
    </row>
    <row r="111" spans="1:13" ht="18" customHeight="1">
      <c r="A111" s="90">
        <v>633</v>
      </c>
      <c r="B111" s="102">
        <v>45821</v>
      </c>
      <c r="C111" s="91" t="s">
        <v>1030</v>
      </c>
      <c r="D111" s="125" t="s">
        <v>2290</v>
      </c>
      <c r="F111" s="88">
        <v>10000</v>
      </c>
      <c r="G111" s="132">
        <v>1</v>
      </c>
      <c r="I111" s="88">
        <v>10000</v>
      </c>
      <c r="L111" s="132"/>
      <c r="M111" s="88"/>
    </row>
    <row r="112" spans="1:13" ht="18" customHeight="1">
      <c r="A112" s="90">
        <v>634</v>
      </c>
      <c r="B112" s="102">
        <v>45821</v>
      </c>
      <c r="C112" s="91" t="s">
        <v>1885</v>
      </c>
      <c r="D112" s="125" t="s">
        <v>2276</v>
      </c>
      <c r="F112" s="88">
        <v>1500000</v>
      </c>
      <c r="G112" s="132">
        <v>1</v>
      </c>
      <c r="I112" s="88">
        <v>1500000</v>
      </c>
      <c r="L112" s="132"/>
    </row>
    <row r="113" spans="1:14" ht="18" customHeight="1">
      <c r="A113" s="90">
        <v>635</v>
      </c>
      <c r="B113" s="102">
        <v>45821</v>
      </c>
      <c r="C113" s="91" t="s">
        <v>2066</v>
      </c>
      <c r="D113" s="125" t="s">
        <v>2284</v>
      </c>
      <c r="F113" s="88">
        <v>1400000</v>
      </c>
      <c r="G113" s="132">
        <v>1</v>
      </c>
      <c r="I113" s="88">
        <v>1400000</v>
      </c>
      <c r="L113" s="132"/>
      <c r="N113" s="88"/>
    </row>
    <row r="114" spans="1:14" ht="18" customHeight="1">
      <c r="A114" s="90">
        <v>636</v>
      </c>
      <c r="B114" s="102">
        <v>45821</v>
      </c>
      <c r="C114" s="91" t="s">
        <v>2635</v>
      </c>
      <c r="D114" s="125" t="s">
        <v>2278</v>
      </c>
      <c r="F114" s="88">
        <v>1500000</v>
      </c>
      <c r="G114" s="132">
        <v>1</v>
      </c>
      <c r="I114" s="88">
        <v>1500000</v>
      </c>
      <c r="L114" s="132"/>
    </row>
    <row r="115" spans="1:14" ht="18" customHeight="1">
      <c r="A115" s="90">
        <v>637</v>
      </c>
      <c r="B115" s="102">
        <v>45821</v>
      </c>
      <c r="C115" s="91" t="s">
        <v>2635</v>
      </c>
      <c r="D115" s="125" t="s">
        <v>2279</v>
      </c>
      <c r="F115" s="88">
        <v>50000</v>
      </c>
      <c r="G115" s="132">
        <v>1</v>
      </c>
      <c r="I115" s="88">
        <v>50000</v>
      </c>
      <c r="L115" s="132"/>
    </row>
    <row r="116" spans="1:14" ht="18" customHeight="1">
      <c r="A116" s="90">
        <v>638</v>
      </c>
      <c r="B116" s="102">
        <v>45821</v>
      </c>
      <c r="C116" s="91" t="s">
        <v>1515</v>
      </c>
      <c r="D116" s="125" t="s">
        <v>2286</v>
      </c>
      <c r="F116" s="88">
        <v>300000</v>
      </c>
      <c r="G116" s="132">
        <v>1</v>
      </c>
      <c r="I116" s="88">
        <v>300000</v>
      </c>
      <c r="L116" s="132"/>
    </row>
    <row r="117" spans="1:14" ht="18" customHeight="1">
      <c r="A117" s="90">
        <v>639</v>
      </c>
      <c r="B117" s="102">
        <v>45821</v>
      </c>
      <c r="C117" s="91" t="s">
        <v>1515</v>
      </c>
      <c r="D117" s="125" t="s">
        <v>2639</v>
      </c>
      <c r="F117" s="88">
        <v>150000</v>
      </c>
      <c r="G117" s="132">
        <v>1</v>
      </c>
      <c r="I117" s="88">
        <v>150000</v>
      </c>
      <c r="L117" s="132"/>
    </row>
    <row r="118" spans="1:14" ht="18" customHeight="1">
      <c r="A118" s="90">
        <v>640</v>
      </c>
      <c r="B118" s="102">
        <v>45821</v>
      </c>
      <c r="C118" s="91" t="s">
        <v>1540</v>
      </c>
      <c r="D118" s="125" t="s">
        <v>2406</v>
      </c>
      <c r="F118" s="88">
        <v>650000</v>
      </c>
      <c r="G118" s="132">
        <v>1</v>
      </c>
      <c r="I118" s="88">
        <v>650000</v>
      </c>
      <c r="L118" s="132"/>
    </row>
    <row r="119" spans="1:14" ht="18" customHeight="1">
      <c r="A119" s="90">
        <v>641</v>
      </c>
      <c r="B119" s="102">
        <v>45821</v>
      </c>
      <c r="C119" s="91" t="s">
        <v>1540</v>
      </c>
      <c r="D119" s="125" t="s">
        <v>1542</v>
      </c>
      <c r="F119" s="88">
        <v>350000</v>
      </c>
      <c r="G119" s="132">
        <v>1</v>
      </c>
      <c r="I119" s="88">
        <v>350000</v>
      </c>
      <c r="L119" s="132"/>
    </row>
    <row r="120" spans="1:14" ht="18" customHeight="1">
      <c r="A120" s="90">
        <v>642</v>
      </c>
      <c r="B120" s="102">
        <v>45821</v>
      </c>
      <c r="C120" s="91" t="s">
        <v>2635</v>
      </c>
      <c r="D120" s="125" t="s">
        <v>1161</v>
      </c>
      <c r="F120" s="88"/>
      <c r="G120" s="132"/>
      <c r="J120" s="88">
        <v>-1550000</v>
      </c>
      <c r="L120" s="132"/>
    </row>
    <row r="121" spans="1:14" ht="18" customHeight="1">
      <c r="A121" s="90">
        <v>643</v>
      </c>
      <c r="B121" s="102">
        <v>45821</v>
      </c>
      <c r="C121" s="91" t="s">
        <v>2066</v>
      </c>
      <c r="D121" s="125" t="s">
        <v>1161</v>
      </c>
      <c r="F121" s="88"/>
      <c r="G121" s="132"/>
      <c r="J121" s="88">
        <v>-1400000</v>
      </c>
      <c r="L121" s="132"/>
    </row>
    <row r="122" spans="1:14" ht="18" customHeight="1">
      <c r="A122" s="90">
        <v>644</v>
      </c>
      <c r="B122" s="102">
        <v>45822</v>
      </c>
      <c r="C122" s="91" t="s">
        <v>1445</v>
      </c>
      <c r="D122" s="125" t="s">
        <v>1813</v>
      </c>
      <c r="F122" s="132">
        <v>650000</v>
      </c>
      <c r="G122" s="93">
        <v>1</v>
      </c>
      <c r="I122" s="88">
        <v>650000</v>
      </c>
    </row>
    <row r="123" spans="1:14" ht="18" customHeight="1">
      <c r="A123" s="90">
        <v>645</v>
      </c>
      <c r="B123" s="102">
        <v>45822</v>
      </c>
      <c r="C123" s="91" t="s">
        <v>2625</v>
      </c>
      <c r="D123" s="125" t="s">
        <v>1161</v>
      </c>
      <c r="J123" s="88">
        <v>-150000</v>
      </c>
    </row>
    <row r="124" spans="1:14" ht="18" customHeight="1">
      <c r="A124" s="90">
        <v>646</v>
      </c>
      <c r="B124" s="102">
        <v>45822</v>
      </c>
      <c r="C124" s="91" t="s">
        <v>1587</v>
      </c>
      <c r="D124" s="125" t="s">
        <v>1813</v>
      </c>
      <c r="F124" s="132">
        <v>1100000</v>
      </c>
      <c r="G124" s="93">
        <v>1</v>
      </c>
      <c r="I124" s="88">
        <v>1100000</v>
      </c>
    </row>
    <row r="125" spans="1:14" ht="18" customHeight="1">
      <c r="A125" s="90">
        <v>647</v>
      </c>
      <c r="B125" s="102">
        <v>45824</v>
      </c>
      <c r="C125" s="91" t="s">
        <v>1060</v>
      </c>
      <c r="D125" s="125" t="s">
        <v>1161</v>
      </c>
      <c r="J125" s="88">
        <v>-1550000</v>
      </c>
    </row>
    <row r="126" spans="1:14" ht="18" customHeight="1">
      <c r="A126" s="90">
        <v>648</v>
      </c>
      <c r="B126" s="102">
        <v>45824</v>
      </c>
      <c r="C126" s="91" t="s">
        <v>1500</v>
      </c>
      <c r="D126" s="125" t="s">
        <v>2222</v>
      </c>
      <c r="F126" s="132">
        <v>250000</v>
      </c>
      <c r="G126" s="93">
        <v>1</v>
      </c>
      <c r="I126" s="88">
        <v>250000</v>
      </c>
    </row>
    <row r="127" spans="1:14" ht="18" customHeight="1">
      <c r="A127" s="90">
        <v>649</v>
      </c>
      <c r="B127" s="102">
        <v>45824</v>
      </c>
      <c r="C127" s="91" t="s">
        <v>1540</v>
      </c>
      <c r="D127" s="125" t="s">
        <v>1161</v>
      </c>
      <c r="J127" s="88">
        <v>-1000000</v>
      </c>
    </row>
    <row r="128" spans="1:14" ht="18" customHeight="1">
      <c r="A128" s="90">
        <v>650</v>
      </c>
      <c r="B128" s="102">
        <v>45824</v>
      </c>
      <c r="C128" s="91" t="s">
        <v>1030</v>
      </c>
      <c r="D128" s="125" t="s">
        <v>1607</v>
      </c>
      <c r="F128" s="132">
        <v>1400000</v>
      </c>
      <c r="G128" s="93">
        <v>1</v>
      </c>
      <c r="I128" s="88">
        <v>1400000</v>
      </c>
    </row>
    <row r="129" spans="1:10" ht="18" customHeight="1">
      <c r="A129" s="90">
        <v>651</v>
      </c>
      <c r="B129" s="102">
        <v>45824</v>
      </c>
      <c r="C129" s="91" t="s">
        <v>1030</v>
      </c>
      <c r="D129" s="125" t="s">
        <v>2652</v>
      </c>
      <c r="F129" s="132">
        <v>67500</v>
      </c>
      <c r="G129" s="93">
        <v>1</v>
      </c>
      <c r="I129" s="88">
        <v>67500</v>
      </c>
    </row>
    <row r="130" spans="1:10" ht="18" customHeight="1">
      <c r="A130" s="90">
        <v>652</v>
      </c>
      <c r="B130" s="102">
        <v>45824</v>
      </c>
      <c r="C130" s="91" t="s">
        <v>1030</v>
      </c>
      <c r="D130" s="125" t="s">
        <v>2653</v>
      </c>
      <c r="F130" s="132">
        <v>1170000</v>
      </c>
      <c r="G130" s="93">
        <v>1</v>
      </c>
      <c r="I130" s="88">
        <v>1170000</v>
      </c>
    </row>
    <row r="131" spans="1:10" ht="18" customHeight="1">
      <c r="A131" s="90">
        <v>653</v>
      </c>
      <c r="B131" s="102">
        <v>45824</v>
      </c>
      <c r="C131" s="91" t="s">
        <v>1030</v>
      </c>
      <c r="D131" s="125" t="s">
        <v>1806</v>
      </c>
      <c r="F131" s="132">
        <v>450000</v>
      </c>
      <c r="G131" s="93">
        <v>1</v>
      </c>
      <c r="I131" s="88">
        <v>450000</v>
      </c>
    </row>
    <row r="132" spans="1:10" ht="18" customHeight="1">
      <c r="A132" s="90">
        <v>654</v>
      </c>
      <c r="B132" s="102">
        <v>45824</v>
      </c>
      <c r="C132" s="91" t="s">
        <v>1445</v>
      </c>
      <c r="D132" s="125" t="s">
        <v>1813</v>
      </c>
      <c r="F132" s="132">
        <v>650000</v>
      </c>
      <c r="G132" s="93">
        <v>1</v>
      </c>
      <c r="I132" s="88">
        <v>650000</v>
      </c>
    </row>
    <row r="133" spans="1:10" ht="18" customHeight="1">
      <c r="A133" s="90">
        <v>655</v>
      </c>
      <c r="B133" s="102">
        <v>45824</v>
      </c>
      <c r="C133" s="91" t="s">
        <v>1515</v>
      </c>
      <c r="D133" s="125" t="s">
        <v>1161</v>
      </c>
      <c r="J133" s="88">
        <v>-650000</v>
      </c>
    </row>
    <row r="134" spans="1:10" ht="18" customHeight="1">
      <c r="A134" s="90">
        <v>656</v>
      </c>
      <c r="B134" s="102">
        <v>45824</v>
      </c>
      <c r="C134" s="91" t="s">
        <v>1525</v>
      </c>
      <c r="D134" s="125" t="s">
        <v>1161</v>
      </c>
      <c r="J134" s="88">
        <v>-2000000</v>
      </c>
    </row>
    <row r="135" spans="1:10" ht="18" customHeight="1">
      <c r="A135" s="90">
        <v>657</v>
      </c>
      <c r="B135" s="102">
        <v>45825</v>
      </c>
      <c r="C135" s="91" t="s">
        <v>1424</v>
      </c>
      <c r="D135" s="125" t="s">
        <v>1241</v>
      </c>
      <c r="F135" s="132">
        <v>1300000</v>
      </c>
      <c r="G135" s="93">
        <v>1</v>
      </c>
      <c r="I135" s="88">
        <v>1300000</v>
      </c>
    </row>
    <row r="136" spans="1:10" ht="18" customHeight="1">
      <c r="A136" s="90">
        <v>658</v>
      </c>
      <c r="B136" s="102">
        <v>45825</v>
      </c>
      <c r="C136" s="91" t="s">
        <v>1424</v>
      </c>
      <c r="D136" s="125" t="s">
        <v>1542</v>
      </c>
      <c r="F136" s="132">
        <v>350000</v>
      </c>
      <c r="G136" s="93">
        <v>1</v>
      </c>
      <c r="I136" s="88">
        <v>350000</v>
      </c>
    </row>
    <row r="137" spans="1:10" ht="18" customHeight="1">
      <c r="A137" s="90">
        <v>659</v>
      </c>
      <c r="B137" s="102">
        <v>45825</v>
      </c>
      <c r="C137" s="91" t="s">
        <v>1424</v>
      </c>
      <c r="D137" s="125" t="s">
        <v>1565</v>
      </c>
      <c r="F137" s="132">
        <v>20000</v>
      </c>
      <c r="G137" s="93">
        <v>1</v>
      </c>
      <c r="I137" s="88">
        <v>20000</v>
      </c>
    </row>
    <row r="138" spans="1:10" ht="18" customHeight="1">
      <c r="A138" s="90">
        <v>660</v>
      </c>
      <c r="B138" s="102">
        <v>45825</v>
      </c>
      <c r="C138" s="91" t="s">
        <v>1424</v>
      </c>
      <c r="D138" s="125" t="s">
        <v>1161</v>
      </c>
      <c r="J138" s="88">
        <v>-1670000</v>
      </c>
    </row>
    <row r="139" spans="1:10" ht="18" customHeight="1">
      <c r="A139" s="90">
        <v>661</v>
      </c>
      <c r="B139" s="102">
        <v>45825</v>
      </c>
      <c r="C139" s="91" t="s">
        <v>1587</v>
      </c>
      <c r="D139" s="125" t="s">
        <v>2697</v>
      </c>
      <c r="F139" s="132">
        <v>2500000</v>
      </c>
      <c r="G139" s="93">
        <v>1</v>
      </c>
      <c r="I139" s="88">
        <v>2500000</v>
      </c>
    </row>
    <row r="140" spans="1:10" ht="18" customHeight="1">
      <c r="A140" s="90">
        <v>662</v>
      </c>
      <c r="B140" s="102">
        <v>45825</v>
      </c>
      <c r="C140" s="91" t="s">
        <v>1587</v>
      </c>
      <c r="D140" s="125" t="s">
        <v>2699</v>
      </c>
      <c r="J140" s="88">
        <v>-2500000</v>
      </c>
    </row>
    <row r="141" spans="1:10" ht="18" customHeight="1">
      <c r="A141" s="90">
        <v>663</v>
      </c>
      <c r="B141" s="102">
        <v>45825</v>
      </c>
      <c r="C141" s="91" t="s">
        <v>1445</v>
      </c>
      <c r="D141" s="125" t="s">
        <v>1813</v>
      </c>
      <c r="F141" s="132">
        <v>650000</v>
      </c>
      <c r="G141" s="93">
        <v>1</v>
      </c>
      <c r="I141" s="88">
        <v>650000</v>
      </c>
    </row>
    <row r="142" spans="1:10" ht="18" customHeight="1">
      <c r="A142" s="90">
        <v>664</v>
      </c>
      <c r="B142" s="102">
        <v>45825</v>
      </c>
      <c r="C142" s="91" t="s">
        <v>2700</v>
      </c>
      <c r="D142" s="125" t="s">
        <v>2276</v>
      </c>
      <c r="F142" s="132">
        <v>1500000</v>
      </c>
      <c r="G142" s="93">
        <v>1</v>
      </c>
      <c r="I142" s="88">
        <v>1500000</v>
      </c>
    </row>
    <row r="143" spans="1:10" ht="18" customHeight="1">
      <c r="A143" s="90">
        <v>665</v>
      </c>
      <c r="B143" s="102">
        <v>45825</v>
      </c>
      <c r="C143" s="91" t="s">
        <v>2700</v>
      </c>
      <c r="D143" s="125" t="s">
        <v>1161</v>
      </c>
      <c r="J143" s="88">
        <v>-1500000</v>
      </c>
    </row>
    <row r="144" spans="1:10" ht="18" customHeight="1">
      <c r="A144" s="90">
        <v>666</v>
      </c>
      <c r="B144" s="102">
        <v>45826</v>
      </c>
      <c r="C144" s="91" t="s">
        <v>1498</v>
      </c>
      <c r="D144" s="125" t="s">
        <v>1161</v>
      </c>
      <c r="J144" s="88">
        <v>-1320000</v>
      </c>
    </row>
    <row r="145" spans="1:10" ht="18" customHeight="1">
      <c r="A145" s="90">
        <v>667</v>
      </c>
      <c r="B145" s="102">
        <v>45826</v>
      </c>
      <c r="C145" s="91" t="s">
        <v>1030</v>
      </c>
      <c r="D145" s="125" t="s">
        <v>1814</v>
      </c>
      <c r="F145" s="132">
        <v>1350000</v>
      </c>
      <c r="G145" s="93">
        <v>1</v>
      </c>
      <c r="I145" s="88">
        <v>1350000</v>
      </c>
    </row>
    <row r="146" spans="1:10" ht="18" customHeight="1">
      <c r="A146" s="90">
        <v>668</v>
      </c>
      <c r="B146" s="102">
        <v>45826</v>
      </c>
      <c r="C146" s="91" t="s">
        <v>1445</v>
      </c>
      <c r="D146" s="125" t="s">
        <v>2710</v>
      </c>
      <c r="F146" s="132">
        <v>1000000</v>
      </c>
      <c r="G146" s="93">
        <v>1</v>
      </c>
      <c r="I146" s="88">
        <v>1000000</v>
      </c>
    </row>
    <row r="147" spans="1:10" ht="18" customHeight="1">
      <c r="A147" s="90">
        <v>669</v>
      </c>
      <c r="B147" s="102">
        <v>45826</v>
      </c>
      <c r="C147" s="91" t="s">
        <v>2614</v>
      </c>
      <c r="D147" s="125" t="s">
        <v>2714</v>
      </c>
      <c r="F147" s="132">
        <v>550000</v>
      </c>
      <c r="G147" s="93">
        <v>2</v>
      </c>
      <c r="H147" s="138">
        <v>110000</v>
      </c>
      <c r="I147" s="88">
        <v>1210000</v>
      </c>
    </row>
    <row r="148" spans="1:10" ht="18" customHeight="1">
      <c r="A148" s="90">
        <v>670</v>
      </c>
      <c r="B148" s="102">
        <v>45826</v>
      </c>
      <c r="C148" s="91" t="s">
        <v>2063</v>
      </c>
      <c r="D148" s="125" t="s">
        <v>2296</v>
      </c>
      <c r="F148" s="132">
        <v>1000000</v>
      </c>
      <c r="G148" s="93">
        <v>1</v>
      </c>
      <c r="I148" s="88">
        <v>1000000</v>
      </c>
    </row>
    <row r="149" spans="1:10" ht="18" customHeight="1">
      <c r="A149" s="90">
        <v>671</v>
      </c>
      <c r="B149" s="102">
        <v>45826</v>
      </c>
      <c r="C149" s="91" t="s">
        <v>2063</v>
      </c>
      <c r="D149" s="125" t="s">
        <v>1565</v>
      </c>
      <c r="F149" s="132">
        <v>20000</v>
      </c>
      <c r="G149" s="93">
        <v>1</v>
      </c>
      <c r="I149" s="88">
        <v>20000</v>
      </c>
    </row>
    <row r="150" spans="1:10" ht="18" customHeight="1">
      <c r="A150" s="90">
        <v>672</v>
      </c>
      <c r="B150" s="102">
        <v>45826</v>
      </c>
      <c r="C150" s="91" t="s">
        <v>2063</v>
      </c>
      <c r="D150" s="125" t="s">
        <v>2296</v>
      </c>
      <c r="F150" s="132">
        <v>1000000</v>
      </c>
      <c r="G150" s="93">
        <v>1</v>
      </c>
      <c r="I150" s="88">
        <v>1000000</v>
      </c>
    </row>
    <row r="151" spans="1:10" ht="18" customHeight="1">
      <c r="A151" s="90">
        <v>673</v>
      </c>
      <c r="B151" s="102">
        <v>45826</v>
      </c>
      <c r="C151" s="91" t="s">
        <v>2398</v>
      </c>
      <c r="D151" s="125" t="s">
        <v>2123</v>
      </c>
      <c r="F151" s="132">
        <v>1000000</v>
      </c>
      <c r="G151" s="93">
        <v>1</v>
      </c>
      <c r="H151" s="138">
        <v>100000</v>
      </c>
      <c r="I151" s="88">
        <v>1100000</v>
      </c>
    </row>
    <row r="152" spans="1:10" ht="18" customHeight="1">
      <c r="A152" s="90">
        <v>674</v>
      </c>
      <c r="B152" s="102">
        <v>45826</v>
      </c>
      <c r="C152" s="91" t="s">
        <v>2398</v>
      </c>
      <c r="D152" s="125" t="s">
        <v>1161</v>
      </c>
      <c r="J152" s="88">
        <v>-1100000</v>
      </c>
    </row>
    <row r="153" spans="1:10" ht="18" customHeight="1">
      <c r="A153" s="90">
        <v>675</v>
      </c>
      <c r="B153" s="102">
        <v>45826</v>
      </c>
      <c r="C153" s="91" t="s">
        <v>1500</v>
      </c>
      <c r="D153" s="125" t="s">
        <v>1161</v>
      </c>
      <c r="J153" s="88">
        <v>-250000</v>
      </c>
    </row>
    <row r="154" spans="1:10" ht="18" customHeight="1">
      <c r="A154" s="90">
        <v>676</v>
      </c>
      <c r="B154" s="102">
        <v>45826</v>
      </c>
      <c r="C154" s="91" t="s">
        <v>2063</v>
      </c>
      <c r="D154" s="125" t="s">
        <v>1161</v>
      </c>
      <c r="J154" s="88">
        <v>-2020000</v>
      </c>
    </row>
    <row r="155" spans="1:10" ht="18" customHeight="1">
      <c r="A155" s="90">
        <v>677</v>
      </c>
      <c r="B155" s="102">
        <v>45826</v>
      </c>
      <c r="C155" s="91" t="s">
        <v>1790</v>
      </c>
      <c r="D155" s="125" t="s">
        <v>2438</v>
      </c>
      <c r="F155" s="132">
        <v>1350000</v>
      </c>
      <c r="G155" s="93">
        <v>1</v>
      </c>
      <c r="I155" s="88">
        <v>1350000</v>
      </c>
    </row>
    <row r="156" spans="1:10" ht="18" customHeight="1">
      <c r="A156" s="90">
        <v>678</v>
      </c>
      <c r="B156" s="102">
        <v>45826</v>
      </c>
      <c r="C156" s="91" t="s">
        <v>1445</v>
      </c>
      <c r="D156" s="125" t="s">
        <v>1241</v>
      </c>
      <c r="F156" s="132">
        <v>1200000</v>
      </c>
      <c r="G156" s="93">
        <v>1</v>
      </c>
      <c r="I156" s="88">
        <v>1200000</v>
      </c>
    </row>
    <row r="157" spans="1:10" ht="18" customHeight="1">
      <c r="A157" s="90">
        <v>679</v>
      </c>
      <c r="B157" s="102">
        <v>45826</v>
      </c>
      <c r="C157" s="91" t="s">
        <v>1445</v>
      </c>
      <c r="D157" s="125" t="s">
        <v>1935</v>
      </c>
      <c r="F157" s="132">
        <v>190000</v>
      </c>
      <c r="G157" s="93">
        <v>1</v>
      </c>
      <c r="I157" s="88">
        <v>190000</v>
      </c>
    </row>
    <row r="158" spans="1:10" ht="18" customHeight="1">
      <c r="A158" s="90">
        <v>680</v>
      </c>
      <c r="B158" s="102">
        <v>45827</v>
      </c>
      <c r="C158" s="91" t="s">
        <v>2063</v>
      </c>
      <c r="D158" s="125" t="s">
        <v>2305</v>
      </c>
      <c r="F158" s="132">
        <v>1500000</v>
      </c>
      <c r="G158" s="93">
        <v>1</v>
      </c>
      <c r="H158" s="138">
        <v>150000</v>
      </c>
      <c r="I158" s="88">
        <v>1650000</v>
      </c>
    </row>
    <row r="159" spans="1:10" ht="18" customHeight="1">
      <c r="A159" s="90">
        <v>681</v>
      </c>
      <c r="B159" s="102">
        <v>45827</v>
      </c>
      <c r="C159" s="91" t="s">
        <v>1495</v>
      </c>
      <c r="D159" s="125" t="s">
        <v>1241</v>
      </c>
      <c r="F159" s="132">
        <v>1200000</v>
      </c>
      <c r="G159" s="93">
        <v>1</v>
      </c>
      <c r="I159" s="88">
        <v>1200000</v>
      </c>
    </row>
    <row r="160" spans="1:10" ht="18" customHeight="1">
      <c r="A160" s="90">
        <v>682</v>
      </c>
      <c r="B160" s="102">
        <v>45827</v>
      </c>
      <c r="C160" s="91" t="s">
        <v>2700</v>
      </c>
      <c r="D160" s="125" t="s">
        <v>1241</v>
      </c>
      <c r="F160" s="132">
        <v>1200000</v>
      </c>
      <c r="G160" s="93">
        <v>1</v>
      </c>
      <c r="H160" s="138">
        <v>120000</v>
      </c>
      <c r="I160" s="88">
        <v>1320000</v>
      </c>
    </row>
    <row r="161" spans="1:10" ht="18" customHeight="1">
      <c r="A161" s="90">
        <v>683</v>
      </c>
      <c r="B161" s="102">
        <v>45827</v>
      </c>
      <c r="C161" s="91" t="s">
        <v>2700</v>
      </c>
      <c r="D161" s="125" t="s">
        <v>1161</v>
      </c>
      <c r="J161" s="88">
        <v>-1320000</v>
      </c>
    </row>
    <row r="162" spans="1:10" ht="18" customHeight="1">
      <c r="A162" s="90">
        <v>684</v>
      </c>
      <c r="B162" s="102">
        <v>45827</v>
      </c>
      <c r="C162" s="91" t="s">
        <v>1445</v>
      </c>
      <c r="D162" s="125" t="s">
        <v>2278</v>
      </c>
      <c r="F162" s="132">
        <v>1500000</v>
      </c>
      <c r="G162" s="93">
        <v>1</v>
      </c>
      <c r="I162" s="88">
        <v>1500000</v>
      </c>
    </row>
    <row r="163" spans="1:10" ht="18" customHeight="1">
      <c r="A163" s="90">
        <v>685</v>
      </c>
      <c r="B163" s="102">
        <v>45827</v>
      </c>
      <c r="C163" s="91" t="s">
        <v>1445</v>
      </c>
      <c r="D163" s="125" t="s">
        <v>2279</v>
      </c>
      <c r="F163" s="132">
        <v>50000</v>
      </c>
      <c r="G163" s="93">
        <v>1</v>
      </c>
      <c r="I163" s="88">
        <v>50000</v>
      </c>
    </row>
    <row r="164" spans="1:10" ht="18" customHeight="1">
      <c r="A164" s="90">
        <v>686</v>
      </c>
      <c r="B164" s="102">
        <v>45827</v>
      </c>
      <c r="C164" s="91" t="s">
        <v>1490</v>
      </c>
      <c r="D164" s="125" t="s">
        <v>2276</v>
      </c>
      <c r="F164" s="132">
        <v>1500000</v>
      </c>
      <c r="G164" s="93">
        <v>1</v>
      </c>
      <c r="I164" s="88">
        <v>1500000</v>
      </c>
    </row>
    <row r="165" spans="1:10" ht="18" customHeight="1">
      <c r="A165" s="90">
        <v>687</v>
      </c>
      <c r="B165" s="102">
        <v>45827</v>
      </c>
      <c r="C165" s="91" t="s">
        <v>1790</v>
      </c>
      <c r="D165" s="125" t="s">
        <v>1813</v>
      </c>
      <c r="F165" s="132">
        <v>650000</v>
      </c>
      <c r="G165" s="93">
        <v>1</v>
      </c>
      <c r="I165" s="88">
        <v>650000</v>
      </c>
    </row>
    <row r="166" spans="1:10" ht="18" customHeight="1">
      <c r="A166" s="90">
        <v>688</v>
      </c>
      <c r="B166" s="102">
        <v>45827</v>
      </c>
      <c r="C166" s="91" t="s">
        <v>2534</v>
      </c>
      <c r="D166" s="125" t="s">
        <v>2113</v>
      </c>
      <c r="F166" s="132">
        <v>1500000</v>
      </c>
      <c r="G166" s="93">
        <v>1</v>
      </c>
      <c r="H166" s="138">
        <v>150000</v>
      </c>
      <c r="I166" s="88">
        <v>1650000</v>
      </c>
    </row>
    <row r="167" spans="1:10" ht="18" customHeight="1">
      <c r="A167" s="90">
        <v>689</v>
      </c>
      <c r="B167" s="102">
        <v>45827</v>
      </c>
      <c r="C167" s="91" t="s">
        <v>1626</v>
      </c>
      <c r="D167" s="125" t="s">
        <v>2734</v>
      </c>
      <c r="F167" s="132">
        <v>500000</v>
      </c>
      <c r="G167" s="93">
        <v>1</v>
      </c>
      <c r="H167" s="138">
        <v>50000</v>
      </c>
      <c r="I167" s="88">
        <v>550000</v>
      </c>
    </row>
    <row r="168" spans="1:10" ht="18" customHeight="1">
      <c r="A168" s="90">
        <v>690</v>
      </c>
      <c r="B168" s="102">
        <v>45827</v>
      </c>
      <c r="C168" s="91" t="s">
        <v>1626</v>
      </c>
      <c r="D168" s="125" t="s">
        <v>1831</v>
      </c>
      <c r="F168" s="132">
        <v>250000</v>
      </c>
      <c r="G168" s="93">
        <v>1</v>
      </c>
      <c r="H168" s="138">
        <v>25000</v>
      </c>
      <c r="I168" s="88">
        <v>275000</v>
      </c>
    </row>
    <row r="169" spans="1:10" ht="18" customHeight="1">
      <c r="A169" s="90">
        <v>691</v>
      </c>
      <c r="B169" s="102">
        <v>45827</v>
      </c>
      <c r="C169" s="91" t="s">
        <v>1626</v>
      </c>
      <c r="D169" s="125" t="s">
        <v>2207</v>
      </c>
      <c r="F169" s="132">
        <v>59091</v>
      </c>
      <c r="G169" s="93">
        <v>1</v>
      </c>
      <c r="H169" s="138">
        <v>5909</v>
      </c>
      <c r="I169" s="88">
        <v>65000</v>
      </c>
    </row>
    <row r="170" spans="1:10" ht="18" customHeight="1">
      <c r="A170" s="90">
        <v>692</v>
      </c>
      <c r="B170" s="102">
        <v>45827</v>
      </c>
      <c r="C170" s="91" t="s">
        <v>1626</v>
      </c>
      <c r="D170" s="125" t="s">
        <v>2736</v>
      </c>
      <c r="F170" s="132">
        <v>330000</v>
      </c>
      <c r="G170" s="93">
        <v>1</v>
      </c>
      <c r="I170" s="88">
        <v>330000</v>
      </c>
    </row>
    <row r="171" spans="1:10" ht="18" customHeight="1">
      <c r="A171" s="90">
        <v>693</v>
      </c>
      <c r="B171" s="102">
        <v>45827</v>
      </c>
      <c r="C171" s="91" t="s">
        <v>2063</v>
      </c>
      <c r="D171" s="125" t="s">
        <v>1161</v>
      </c>
      <c r="J171" s="88">
        <v>-1650000</v>
      </c>
    </row>
    <row r="172" spans="1:10" ht="18" customHeight="1">
      <c r="A172" s="90">
        <v>694</v>
      </c>
      <c r="B172" s="102">
        <v>45827</v>
      </c>
      <c r="C172" s="91" t="s">
        <v>1885</v>
      </c>
      <c r="D172" s="125" t="s">
        <v>1161</v>
      </c>
      <c r="J172" s="88">
        <v>-1500000</v>
      </c>
    </row>
    <row r="173" spans="1:10" ht="18" customHeight="1">
      <c r="A173" s="90">
        <v>695</v>
      </c>
      <c r="B173" s="102">
        <v>45828</v>
      </c>
      <c r="C173" s="91" t="s">
        <v>2745</v>
      </c>
      <c r="D173" s="125" t="s">
        <v>2278</v>
      </c>
      <c r="F173" s="132">
        <v>1500000</v>
      </c>
      <c r="G173" s="93">
        <v>1</v>
      </c>
      <c r="H173" s="138">
        <v>150000</v>
      </c>
      <c r="I173" s="88">
        <v>1650000</v>
      </c>
    </row>
    <row r="174" spans="1:10" ht="18" customHeight="1">
      <c r="A174" s="90">
        <v>696</v>
      </c>
      <c r="B174" s="102">
        <v>45828</v>
      </c>
      <c r="C174" s="91" t="s">
        <v>2745</v>
      </c>
      <c r="D174" s="125" t="s">
        <v>2279</v>
      </c>
      <c r="F174" s="132">
        <v>50000</v>
      </c>
      <c r="G174" s="93">
        <v>1</v>
      </c>
      <c r="H174" s="138">
        <v>5000</v>
      </c>
      <c r="I174" s="88">
        <v>55000</v>
      </c>
    </row>
    <row r="175" spans="1:10" ht="18" customHeight="1">
      <c r="A175" s="90">
        <v>697</v>
      </c>
      <c r="B175" s="102">
        <v>45828</v>
      </c>
      <c r="C175" s="91" t="s">
        <v>2534</v>
      </c>
      <c r="D175" s="125" t="s">
        <v>1161</v>
      </c>
      <c r="J175" s="88">
        <v>-1650000</v>
      </c>
    </row>
    <row r="176" spans="1:10" ht="18" customHeight="1">
      <c r="A176" s="90">
        <v>698</v>
      </c>
      <c r="B176" s="102">
        <v>45828</v>
      </c>
      <c r="C176" s="91" t="s">
        <v>1587</v>
      </c>
      <c r="D176" s="125" t="s">
        <v>1161</v>
      </c>
      <c r="J176" s="88">
        <v>-3000000</v>
      </c>
    </row>
    <row r="177" spans="1:10" ht="18" customHeight="1">
      <c r="A177" s="90">
        <v>699</v>
      </c>
      <c r="B177" s="102">
        <v>45828</v>
      </c>
      <c r="C177" s="91" t="s">
        <v>1629</v>
      </c>
      <c r="D177" s="125" t="s">
        <v>1241</v>
      </c>
      <c r="F177" s="132">
        <v>1200000</v>
      </c>
      <c r="G177" s="93">
        <v>1</v>
      </c>
      <c r="H177" s="138">
        <v>120000</v>
      </c>
      <c r="I177" s="88">
        <v>1320000</v>
      </c>
    </row>
    <row r="178" spans="1:10" ht="18" customHeight="1">
      <c r="A178" s="90">
        <v>700</v>
      </c>
      <c r="B178" s="102">
        <v>45828</v>
      </c>
      <c r="C178" s="91" t="s">
        <v>1629</v>
      </c>
      <c r="D178" s="125" t="s">
        <v>1773</v>
      </c>
      <c r="F178" s="132">
        <v>50000</v>
      </c>
      <c r="G178" s="93">
        <v>1</v>
      </c>
      <c r="H178" s="138">
        <v>5000</v>
      </c>
      <c r="I178" s="88">
        <v>55000</v>
      </c>
    </row>
    <row r="179" spans="1:10" ht="18" customHeight="1">
      <c r="A179" s="90">
        <v>701</v>
      </c>
      <c r="B179" s="102">
        <v>45828</v>
      </c>
      <c r="C179" s="91" t="s">
        <v>1027</v>
      </c>
      <c r="D179" s="125" t="s">
        <v>1241</v>
      </c>
      <c r="F179" s="132">
        <v>1200000</v>
      </c>
      <c r="G179" s="93">
        <v>1</v>
      </c>
      <c r="I179" s="88">
        <v>1200000</v>
      </c>
    </row>
    <row r="180" spans="1:10" ht="18" customHeight="1">
      <c r="A180" s="90">
        <v>702</v>
      </c>
      <c r="B180" s="102">
        <v>45828</v>
      </c>
      <c r="C180" s="91" t="s">
        <v>1027</v>
      </c>
      <c r="D180" s="125" t="s">
        <v>1542</v>
      </c>
      <c r="F180" s="132">
        <v>350000</v>
      </c>
      <c r="G180" s="93">
        <v>1</v>
      </c>
      <c r="I180" s="88">
        <v>350000</v>
      </c>
    </row>
    <row r="181" spans="1:10" ht="18" customHeight="1">
      <c r="A181" s="90">
        <v>703</v>
      </c>
      <c r="B181" s="102">
        <v>45828</v>
      </c>
      <c r="C181" s="91" t="s">
        <v>1587</v>
      </c>
      <c r="D181" s="125" t="s">
        <v>1241</v>
      </c>
      <c r="F181" s="132">
        <v>1200000</v>
      </c>
      <c r="G181" s="93">
        <v>1</v>
      </c>
      <c r="I181" s="88">
        <v>1200000</v>
      </c>
    </row>
    <row r="182" spans="1:10" ht="18" customHeight="1">
      <c r="A182" s="90">
        <v>704</v>
      </c>
      <c r="B182" s="102">
        <v>45828</v>
      </c>
      <c r="C182" s="91" t="s">
        <v>1587</v>
      </c>
      <c r="D182" s="125" t="s">
        <v>1770</v>
      </c>
      <c r="F182" s="132">
        <v>129000</v>
      </c>
      <c r="G182" s="93">
        <v>1</v>
      </c>
      <c r="I182" s="88">
        <v>129000</v>
      </c>
    </row>
    <row r="183" spans="1:10" ht="18" customHeight="1">
      <c r="A183" s="90">
        <v>705</v>
      </c>
      <c r="B183" s="102">
        <v>45828</v>
      </c>
      <c r="C183" s="91" t="s">
        <v>1587</v>
      </c>
      <c r="D183" s="125" t="s">
        <v>1542</v>
      </c>
      <c r="F183" s="132">
        <v>350000</v>
      </c>
      <c r="G183" s="93">
        <v>1</v>
      </c>
      <c r="I183" s="88">
        <v>350000</v>
      </c>
    </row>
    <row r="184" spans="1:10" ht="18" customHeight="1">
      <c r="A184" s="90">
        <v>706</v>
      </c>
      <c r="B184" s="102">
        <v>45828</v>
      </c>
      <c r="C184" s="91" t="s">
        <v>2750</v>
      </c>
      <c r="D184" s="125" t="s">
        <v>1241</v>
      </c>
      <c r="F184" s="132">
        <v>1300000</v>
      </c>
      <c r="G184" s="93">
        <v>1</v>
      </c>
      <c r="I184" s="88">
        <v>1300000</v>
      </c>
    </row>
    <row r="185" spans="1:10" ht="18" customHeight="1">
      <c r="A185" s="90">
        <v>707</v>
      </c>
      <c r="B185" s="102">
        <v>45828</v>
      </c>
      <c r="C185" s="91" t="s">
        <v>2750</v>
      </c>
      <c r="D185" s="125" t="s">
        <v>1565</v>
      </c>
      <c r="F185" s="132">
        <v>20000</v>
      </c>
      <c r="G185" s="93">
        <v>1</v>
      </c>
      <c r="I185" s="88">
        <v>20000</v>
      </c>
    </row>
    <row r="186" spans="1:10" ht="18" customHeight="1">
      <c r="A186" s="90">
        <v>708</v>
      </c>
      <c r="B186" s="102">
        <v>45828</v>
      </c>
      <c r="C186" s="91" t="s">
        <v>1629</v>
      </c>
      <c r="D186" s="125" t="s">
        <v>1310</v>
      </c>
      <c r="F186" s="132">
        <v>50000</v>
      </c>
      <c r="G186" s="93">
        <v>1</v>
      </c>
      <c r="H186" s="138">
        <v>5000</v>
      </c>
      <c r="I186" s="88">
        <v>55000</v>
      </c>
    </row>
    <row r="187" spans="1:10" ht="18" customHeight="1">
      <c r="A187" s="90">
        <v>709</v>
      </c>
      <c r="B187" s="102">
        <v>45828</v>
      </c>
      <c r="C187" s="91" t="s">
        <v>1495</v>
      </c>
      <c r="D187" s="125" t="s">
        <v>1161</v>
      </c>
      <c r="J187" s="88">
        <v>-1200000</v>
      </c>
    </row>
    <row r="188" spans="1:10" ht="18" customHeight="1">
      <c r="A188" s="90">
        <v>710</v>
      </c>
      <c r="B188" s="102">
        <v>45828</v>
      </c>
      <c r="C188" s="91" t="s">
        <v>1629</v>
      </c>
      <c r="D188" s="125" t="s">
        <v>1161</v>
      </c>
      <c r="J188" s="88">
        <v>-2285000</v>
      </c>
    </row>
    <row r="189" spans="1:10" ht="18" customHeight="1">
      <c r="A189" s="90">
        <v>711</v>
      </c>
      <c r="B189" s="102">
        <v>45828</v>
      </c>
      <c r="C189" s="91" t="s">
        <v>2760</v>
      </c>
      <c r="D189" s="125" t="s">
        <v>1785</v>
      </c>
      <c r="F189" s="132">
        <v>200000</v>
      </c>
      <c r="G189" s="93">
        <v>1</v>
      </c>
      <c r="I189" s="88">
        <v>200000</v>
      </c>
    </row>
    <row r="190" spans="1:10" ht="18" customHeight="1">
      <c r="A190" s="90">
        <v>712</v>
      </c>
      <c r="B190" s="102">
        <v>45828</v>
      </c>
      <c r="C190" s="91" t="s">
        <v>2760</v>
      </c>
      <c r="D190" s="125" t="s">
        <v>1816</v>
      </c>
      <c r="J190" s="88">
        <v>-200000</v>
      </c>
    </row>
    <row r="191" spans="1:10" ht="18" customHeight="1">
      <c r="A191" s="90">
        <v>713</v>
      </c>
      <c r="B191" s="102">
        <v>45829</v>
      </c>
      <c r="C191" s="91" t="s">
        <v>2745</v>
      </c>
      <c r="D191" s="125" t="s">
        <v>1161</v>
      </c>
      <c r="J191" s="88">
        <v>-1705000</v>
      </c>
    </row>
    <row r="192" spans="1:10" ht="18" customHeight="1">
      <c r="A192" s="90">
        <v>714</v>
      </c>
      <c r="B192" s="102">
        <v>45829</v>
      </c>
      <c r="C192" s="91" t="s">
        <v>1635</v>
      </c>
      <c r="D192" s="125" t="s">
        <v>1813</v>
      </c>
      <c r="F192" s="132">
        <v>650000</v>
      </c>
      <c r="G192" s="93">
        <v>1</v>
      </c>
      <c r="H192" s="138">
        <v>65000</v>
      </c>
      <c r="I192" s="88">
        <v>715000</v>
      </c>
    </row>
    <row r="193" spans="1:10" ht="18" customHeight="1">
      <c r="A193" s="90">
        <v>715</v>
      </c>
      <c r="B193" s="102">
        <v>45829</v>
      </c>
      <c r="C193" s="91" t="s">
        <v>2641</v>
      </c>
      <c r="D193" s="125" t="s">
        <v>2396</v>
      </c>
      <c r="F193" s="132">
        <v>300000</v>
      </c>
      <c r="G193" s="93">
        <v>1</v>
      </c>
      <c r="H193" s="138">
        <v>30000</v>
      </c>
      <c r="I193" s="88">
        <v>330000</v>
      </c>
    </row>
    <row r="194" spans="1:10" ht="18" customHeight="1">
      <c r="A194" s="90">
        <v>716</v>
      </c>
      <c r="B194" s="102">
        <v>45829</v>
      </c>
      <c r="C194" s="91" t="s">
        <v>1790</v>
      </c>
      <c r="D194" s="125" t="s">
        <v>2772</v>
      </c>
      <c r="F194" s="132">
        <v>1500000</v>
      </c>
      <c r="G194" s="93">
        <v>1</v>
      </c>
      <c r="I194" s="88">
        <v>1500000</v>
      </c>
    </row>
    <row r="195" spans="1:10" ht="18" customHeight="1">
      <c r="A195" s="90">
        <v>717</v>
      </c>
      <c r="B195" s="102">
        <v>45831</v>
      </c>
      <c r="C195" s="91" t="s">
        <v>1817</v>
      </c>
      <c r="D195" s="125" t="s">
        <v>1161</v>
      </c>
      <c r="J195" s="88">
        <v>-308000</v>
      </c>
    </row>
    <row r="196" spans="1:10" ht="18" customHeight="1">
      <c r="A196" s="90">
        <v>718</v>
      </c>
      <c r="B196" s="102">
        <v>45831</v>
      </c>
      <c r="C196" s="91" t="s">
        <v>2750</v>
      </c>
      <c r="D196" s="125" t="s">
        <v>1161</v>
      </c>
      <c r="J196" s="88">
        <v>-1320000</v>
      </c>
    </row>
    <row r="197" spans="1:10" ht="18" customHeight="1">
      <c r="A197" s="90">
        <v>719</v>
      </c>
      <c r="B197" s="102">
        <v>45831</v>
      </c>
      <c r="C197" s="91" t="s">
        <v>2774</v>
      </c>
      <c r="D197" s="125" t="s">
        <v>1243</v>
      </c>
      <c r="F197" s="132">
        <v>600000</v>
      </c>
      <c r="G197" s="93">
        <v>1</v>
      </c>
      <c r="I197" s="88">
        <v>600000</v>
      </c>
    </row>
    <row r="198" spans="1:10" ht="18" customHeight="1">
      <c r="A198" s="90">
        <v>720</v>
      </c>
      <c r="B198" s="102">
        <v>45831</v>
      </c>
      <c r="C198" s="91" t="s">
        <v>2774</v>
      </c>
      <c r="D198" s="125" t="s">
        <v>1161</v>
      </c>
      <c r="J198" s="88">
        <v>-600000</v>
      </c>
    </row>
    <row r="199" spans="1:10" ht="18" customHeight="1">
      <c r="A199" s="90">
        <v>721</v>
      </c>
      <c r="B199" s="102">
        <v>45831</v>
      </c>
      <c r="C199" s="91" t="s">
        <v>2781</v>
      </c>
      <c r="D199" s="125" t="s">
        <v>2780</v>
      </c>
      <c r="F199" s="132">
        <v>1100000</v>
      </c>
      <c r="G199" s="93">
        <v>1</v>
      </c>
      <c r="H199" s="138">
        <v>110000</v>
      </c>
      <c r="I199" s="88">
        <v>1210000</v>
      </c>
    </row>
    <row r="200" spans="1:10" ht="18" customHeight="1">
      <c r="A200" s="90">
        <v>722</v>
      </c>
      <c r="B200" s="102">
        <v>45831</v>
      </c>
      <c r="C200" s="91" t="s">
        <v>2781</v>
      </c>
      <c r="D200" s="125" t="s">
        <v>2537</v>
      </c>
      <c r="F200" s="132">
        <v>100000</v>
      </c>
      <c r="G200" s="93">
        <v>2</v>
      </c>
      <c r="H200" s="138">
        <v>10000</v>
      </c>
      <c r="I200" s="138">
        <v>110000</v>
      </c>
    </row>
    <row r="201" spans="1:10" ht="18" customHeight="1">
      <c r="A201" s="90">
        <v>723</v>
      </c>
      <c r="B201" s="102">
        <v>45831</v>
      </c>
      <c r="C201" s="91" t="s">
        <v>1490</v>
      </c>
      <c r="D201" s="125" t="s">
        <v>2783</v>
      </c>
      <c r="I201" s="138"/>
      <c r="J201" s="88">
        <v>-300000</v>
      </c>
    </row>
    <row r="202" spans="1:10" ht="18" customHeight="1">
      <c r="A202" s="90">
        <v>724</v>
      </c>
      <c r="B202" s="102">
        <v>45832</v>
      </c>
      <c r="C202" s="91" t="s">
        <v>1183</v>
      </c>
      <c r="D202" s="125" t="s">
        <v>1542</v>
      </c>
      <c r="F202" s="132">
        <v>350000</v>
      </c>
      <c r="G202" s="93">
        <v>1</v>
      </c>
      <c r="I202" s="88">
        <v>350000</v>
      </c>
    </row>
    <row r="203" spans="1:10" ht="18" customHeight="1">
      <c r="A203" s="90">
        <v>725</v>
      </c>
      <c r="B203" s="102">
        <v>45832</v>
      </c>
      <c r="C203" s="91" t="s">
        <v>1183</v>
      </c>
      <c r="D203" s="125" t="s">
        <v>2787</v>
      </c>
    </row>
    <row r="204" spans="1:10" ht="18" customHeight="1">
      <c r="A204" s="90">
        <v>726</v>
      </c>
      <c r="B204" s="102">
        <v>45832</v>
      </c>
      <c r="C204" s="91" t="s">
        <v>1629</v>
      </c>
      <c r="D204" s="125" t="s">
        <v>2278</v>
      </c>
      <c r="F204" s="132">
        <v>1500000</v>
      </c>
      <c r="G204" s="93">
        <v>1</v>
      </c>
      <c r="H204" s="138">
        <v>150000</v>
      </c>
      <c r="I204" s="88">
        <v>1650000</v>
      </c>
    </row>
    <row r="205" spans="1:10" ht="18" customHeight="1">
      <c r="A205" s="90">
        <v>727</v>
      </c>
      <c r="B205" s="102">
        <v>45832</v>
      </c>
      <c r="C205" s="91" t="s">
        <v>1629</v>
      </c>
      <c r="D205" s="125" t="s">
        <v>2279</v>
      </c>
      <c r="F205" s="132">
        <v>50000</v>
      </c>
      <c r="G205" s="93">
        <v>1</v>
      </c>
      <c r="H205" s="138">
        <v>5000</v>
      </c>
      <c r="I205" s="88">
        <v>55000</v>
      </c>
    </row>
    <row r="206" spans="1:10" ht="18" customHeight="1">
      <c r="A206" s="90">
        <v>728</v>
      </c>
      <c r="B206" s="102">
        <v>45832</v>
      </c>
      <c r="C206" s="91" t="s">
        <v>2614</v>
      </c>
      <c r="D206" s="125" t="s">
        <v>1241</v>
      </c>
      <c r="F206" s="132">
        <v>1200000</v>
      </c>
      <c r="G206" s="93">
        <v>1</v>
      </c>
      <c r="H206" s="138">
        <v>120000</v>
      </c>
      <c r="I206" s="88">
        <v>1320000</v>
      </c>
    </row>
    <row r="207" spans="1:10" ht="18" customHeight="1">
      <c r="A207" s="90">
        <v>729</v>
      </c>
      <c r="B207" s="102">
        <v>45832</v>
      </c>
      <c r="C207" s="91" t="s">
        <v>2614</v>
      </c>
      <c r="D207" s="125" t="s">
        <v>1770</v>
      </c>
      <c r="F207" s="132">
        <v>129000</v>
      </c>
      <c r="G207" s="93">
        <v>1</v>
      </c>
      <c r="H207" s="138">
        <v>12900</v>
      </c>
      <c r="I207" s="88">
        <v>141900</v>
      </c>
    </row>
    <row r="208" spans="1:10" ht="18" customHeight="1">
      <c r="A208" s="90">
        <v>730</v>
      </c>
      <c r="B208" s="102">
        <v>45832</v>
      </c>
      <c r="C208" s="91" t="s">
        <v>2790</v>
      </c>
      <c r="D208" s="125" t="s">
        <v>1542</v>
      </c>
      <c r="F208" s="132">
        <v>350000</v>
      </c>
      <c r="G208" s="93">
        <v>1</v>
      </c>
      <c r="H208" s="138">
        <v>35000</v>
      </c>
      <c r="I208" s="88">
        <v>385000</v>
      </c>
    </row>
    <row r="209" spans="1:10" ht="18" customHeight="1">
      <c r="A209" s="90">
        <v>731</v>
      </c>
      <c r="B209" s="102">
        <v>45832</v>
      </c>
      <c r="C209" s="91" t="s">
        <v>1790</v>
      </c>
      <c r="D209" s="125" t="s">
        <v>2284</v>
      </c>
      <c r="F209" s="132">
        <v>1400000</v>
      </c>
      <c r="G209" s="93">
        <v>1</v>
      </c>
      <c r="I209" s="88">
        <v>1400000</v>
      </c>
    </row>
    <row r="210" spans="1:10" ht="18" customHeight="1">
      <c r="A210" s="90">
        <v>732</v>
      </c>
      <c r="B210" s="102">
        <v>45832</v>
      </c>
      <c r="C210" s="91" t="s">
        <v>1587</v>
      </c>
      <c r="D210" s="125" t="s">
        <v>2279</v>
      </c>
      <c r="F210" s="132">
        <v>50000</v>
      </c>
      <c r="G210" s="93">
        <v>1</v>
      </c>
      <c r="I210" s="88">
        <v>50000</v>
      </c>
    </row>
    <row r="211" spans="1:10" ht="18" customHeight="1">
      <c r="A211" s="90">
        <v>733</v>
      </c>
      <c r="B211" s="102">
        <v>45833</v>
      </c>
      <c r="C211" s="91" t="s">
        <v>1060</v>
      </c>
      <c r="D211" s="125" t="s">
        <v>2278</v>
      </c>
      <c r="F211" s="132">
        <v>1500000</v>
      </c>
      <c r="G211" s="93">
        <v>1</v>
      </c>
      <c r="I211" s="88">
        <v>1500000</v>
      </c>
    </row>
    <row r="212" spans="1:10" ht="18" customHeight="1">
      <c r="A212" s="90">
        <v>734</v>
      </c>
      <c r="B212" s="102">
        <v>45833</v>
      </c>
      <c r="C212" s="91" t="s">
        <v>1060</v>
      </c>
      <c r="D212" s="125" t="s">
        <v>2279</v>
      </c>
      <c r="F212" s="132">
        <v>50000</v>
      </c>
      <c r="G212" s="93">
        <v>1</v>
      </c>
      <c r="I212" s="88">
        <v>50000</v>
      </c>
    </row>
    <row r="213" spans="1:10" ht="18" customHeight="1">
      <c r="A213" s="90">
        <v>735</v>
      </c>
      <c r="B213" s="102">
        <v>45833</v>
      </c>
      <c r="C213" s="91" t="s">
        <v>987</v>
      </c>
      <c r="D213" s="125" t="s">
        <v>1630</v>
      </c>
      <c r="F213" s="132">
        <v>1000000</v>
      </c>
      <c r="G213" s="93">
        <v>1</v>
      </c>
      <c r="H213" s="138">
        <v>100000</v>
      </c>
      <c r="I213" s="88">
        <v>1100000</v>
      </c>
    </row>
    <row r="214" spans="1:10" ht="18" customHeight="1">
      <c r="A214" s="90">
        <v>736</v>
      </c>
      <c r="B214" s="102">
        <v>45833</v>
      </c>
      <c r="C214" s="91" t="s">
        <v>1979</v>
      </c>
      <c r="D214" s="125" t="s">
        <v>1241</v>
      </c>
      <c r="F214" s="132">
        <v>1200000</v>
      </c>
      <c r="G214" s="93">
        <v>1</v>
      </c>
      <c r="I214" s="88">
        <v>1200000</v>
      </c>
    </row>
    <row r="215" spans="1:10" ht="18" customHeight="1">
      <c r="A215" s="90">
        <v>737</v>
      </c>
      <c r="B215" s="102">
        <v>45833</v>
      </c>
      <c r="C215" s="91" t="s">
        <v>1647</v>
      </c>
      <c r="D215" s="125" t="s">
        <v>2810</v>
      </c>
      <c r="F215" s="132">
        <v>1700000</v>
      </c>
      <c r="G215" s="93">
        <v>1</v>
      </c>
      <c r="H215" s="138">
        <v>170000</v>
      </c>
      <c r="I215" s="88">
        <v>1870000</v>
      </c>
    </row>
    <row r="216" spans="1:10" ht="18" customHeight="1">
      <c r="A216" s="90">
        <v>738</v>
      </c>
      <c r="B216" s="102">
        <v>45833</v>
      </c>
      <c r="C216" s="91" t="s">
        <v>2802</v>
      </c>
      <c r="D216" s="125" t="s">
        <v>2406</v>
      </c>
      <c r="F216" s="132">
        <v>600000</v>
      </c>
      <c r="G216" s="93">
        <v>2</v>
      </c>
      <c r="H216" s="138">
        <v>120000</v>
      </c>
      <c r="I216" s="88">
        <v>1320000</v>
      </c>
    </row>
    <row r="217" spans="1:10" ht="18" customHeight="1">
      <c r="A217" s="90">
        <v>739</v>
      </c>
      <c r="B217" s="102">
        <v>45833</v>
      </c>
      <c r="C217" s="91" t="s">
        <v>1647</v>
      </c>
      <c r="D217" s="125" t="s">
        <v>1161</v>
      </c>
      <c r="J217" s="88">
        <v>-1870000</v>
      </c>
    </row>
    <row r="218" spans="1:10" ht="18" customHeight="1">
      <c r="A218" s="90">
        <v>740</v>
      </c>
      <c r="B218" s="102">
        <v>45833</v>
      </c>
      <c r="C218" s="91" t="s">
        <v>1069</v>
      </c>
      <c r="D218" s="125" t="s">
        <v>1176</v>
      </c>
      <c r="F218" s="132">
        <v>800000</v>
      </c>
      <c r="G218" s="93">
        <v>1</v>
      </c>
      <c r="I218" s="88">
        <v>800000</v>
      </c>
    </row>
    <row r="219" spans="1:10" ht="18" customHeight="1">
      <c r="A219" s="90">
        <v>741</v>
      </c>
      <c r="B219" s="102">
        <v>45833</v>
      </c>
      <c r="C219" s="91" t="s">
        <v>1635</v>
      </c>
      <c r="D219" s="125" t="s">
        <v>1813</v>
      </c>
      <c r="F219" s="132">
        <v>650000</v>
      </c>
      <c r="G219" s="93">
        <v>1</v>
      </c>
      <c r="H219" s="138">
        <v>65000</v>
      </c>
      <c r="I219" s="88">
        <v>715000</v>
      </c>
    </row>
    <row r="220" spans="1:10" ht="18" customHeight="1">
      <c r="A220" s="90">
        <v>742</v>
      </c>
      <c r="B220" s="102">
        <v>45833</v>
      </c>
      <c r="C220" s="91" t="s">
        <v>2802</v>
      </c>
      <c r="D220" s="125" t="s">
        <v>1161</v>
      </c>
      <c r="J220" s="88">
        <v>-1320000</v>
      </c>
    </row>
    <row r="221" spans="1:10" ht="18" customHeight="1">
      <c r="A221" s="90">
        <v>743</v>
      </c>
      <c r="B221" s="102">
        <v>45832</v>
      </c>
      <c r="C221" s="91" t="s">
        <v>2790</v>
      </c>
      <c r="D221" s="125" t="s">
        <v>1161</v>
      </c>
      <c r="J221" s="88">
        <v>-385000</v>
      </c>
    </row>
    <row r="222" spans="1:10" ht="18" customHeight="1">
      <c r="A222" s="90">
        <v>744</v>
      </c>
      <c r="B222" s="102">
        <v>45833</v>
      </c>
      <c r="C222" s="91" t="s">
        <v>1525</v>
      </c>
      <c r="D222" s="125" t="s">
        <v>2837</v>
      </c>
      <c r="F222" s="132">
        <v>80000</v>
      </c>
      <c r="G222" s="93">
        <v>3</v>
      </c>
      <c r="I222" s="88">
        <v>240000</v>
      </c>
    </row>
    <row r="223" spans="1:10" ht="18" customHeight="1">
      <c r="A223" s="90">
        <v>745</v>
      </c>
      <c r="B223" s="102">
        <v>45821</v>
      </c>
      <c r="C223" s="91" t="s">
        <v>1515</v>
      </c>
      <c r="D223" s="125" t="s">
        <v>2290</v>
      </c>
      <c r="F223" s="132">
        <v>10000</v>
      </c>
      <c r="G223" s="93">
        <v>2</v>
      </c>
      <c r="I223" s="88">
        <v>20000</v>
      </c>
    </row>
    <row r="224" spans="1:10" ht="18" customHeight="1">
      <c r="A224" s="90">
        <v>746</v>
      </c>
      <c r="B224" s="102">
        <v>45834</v>
      </c>
      <c r="C224" s="91" t="s">
        <v>1790</v>
      </c>
      <c r="D224" s="125" t="s">
        <v>2833</v>
      </c>
      <c r="F224" s="132">
        <v>20000</v>
      </c>
      <c r="G224" s="93">
        <v>3</v>
      </c>
      <c r="I224" s="88">
        <v>60000</v>
      </c>
    </row>
    <row r="225" spans="1:10" ht="18" customHeight="1">
      <c r="A225" s="90">
        <v>747</v>
      </c>
      <c r="B225" s="102">
        <v>45834</v>
      </c>
      <c r="C225" s="91" t="s">
        <v>1445</v>
      </c>
      <c r="D225" s="125" t="s">
        <v>2278</v>
      </c>
      <c r="F225" s="132">
        <v>1500000</v>
      </c>
      <c r="G225" s="93">
        <v>1</v>
      </c>
      <c r="I225" s="88">
        <v>1500000</v>
      </c>
    </row>
    <row r="226" spans="1:10" ht="18" customHeight="1">
      <c r="A226" s="90">
        <v>748</v>
      </c>
      <c r="B226" s="102">
        <v>45834</v>
      </c>
      <c r="C226" s="91" t="s">
        <v>1445</v>
      </c>
      <c r="D226" s="125" t="s">
        <v>2279</v>
      </c>
      <c r="F226" s="132">
        <v>50000</v>
      </c>
      <c r="G226" s="93">
        <v>1</v>
      </c>
      <c r="I226" s="88">
        <v>50000</v>
      </c>
    </row>
    <row r="227" spans="1:10" ht="18" customHeight="1">
      <c r="A227" s="90">
        <v>749</v>
      </c>
      <c r="B227" s="102">
        <v>45834</v>
      </c>
      <c r="C227" s="91" t="s">
        <v>987</v>
      </c>
      <c r="D227" s="125" t="s">
        <v>1161</v>
      </c>
      <c r="J227" s="88">
        <v>-1100000</v>
      </c>
    </row>
    <row r="228" spans="1:10" ht="18" customHeight="1">
      <c r="A228" s="90">
        <v>750</v>
      </c>
      <c r="B228" s="102">
        <v>45834</v>
      </c>
      <c r="C228" s="91" t="s">
        <v>1445</v>
      </c>
      <c r="D228" s="125" t="s">
        <v>1770</v>
      </c>
      <c r="F228" s="132">
        <v>129000</v>
      </c>
      <c r="G228" s="93">
        <v>1</v>
      </c>
      <c r="I228" s="88">
        <v>129000</v>
      </c>
    </row>
    <row r="229" spans="1:10" ht="18" customHeight="1">
      <c r="A229" s="90">
        <v>751</v>
      </c>
      <c r="B229" s="102">
        <v>45834</v>
      </c>
      <c r="C229" s="91" t="s">
        <v>1445</v>
      </c>
      <c r="D229" s="125" t="s">
        <v>2841</v>
      </c>
      <c r="F229" s="132">
        <v>25000</v>
      </c>
      <c r="G229" s="93">
        <v>1</v>
      </c>
      <c r="I229" s="88">
        <v>25000</v>
      </c>
    </row>
    <row r="230" spans="1:10" ht="18" customHeight="1">
      <c r="A230" s="90">
        <v>752</v>
      </c>
      <c r="B230" s="102">
        <v>45834</v>
      </c>
      <c r="C230" s="91" t="s">
        <v>1027</v>
      </c>
      <c r="D230" s="125" t="s">
        <v>2849</v>
      </c>
      <c r="J230" s="88">
        <v>-1550000</v>
      </c>
    </row>
    <row r="231" spans="1:10" ht="18" customHeight="1">
      <c r="A231" s="90">
        <v>753</v>
      </c>
      <c r="B231" s="102">
        <v>45834</v>
      </c>
      <c r="C231" s="91" t="s">
        <v>2641</v>
      </c>
      <c r="D231" s="125" t="s">
        <v>1161</v>
      </c>
      <c r="J231" s="88">
        <v>-330000</v>
      </c>
    </row>
    <row r="232" spans="1:10" ht="18" customHeight="1">
      <c r="A232" s="90">
        <v>754</v>
      </c>
      <c r="B232" s="102">
        <v>45834</v>
      </c>
      <c r="C232" s="91" t="s">
        <v>2614</v>
      </c>
      <c r="D232" s="125" t="s">
        <v>1161</v>
      </c>
      <c r="J232" s="88">
        <v>-2671900</v>
      </c>
    </row>
    <row r="233" spans="1:10" ht="18" customHeight="1">
      <c r="A233" s="90">
        <v>755</v>
      </c>
      <c r="B233" s="102">
        <v>45834</v>
      </c>
      <c r="C233" s="91" t="s">
        <v>1445</v>
      </c>
      <c r="D233" s="125" t="s">
        <v>2396</v>
      </c>
      <c r="F233" s="132">
        <v>1100000</v>
      </c>
      <c r="G233" s="93">
        <v>1</v>
      </c>
      <c r="I233" s="88">
        <v>1100000</v>
      </c>
    </row>
    <row r="234" spans="1:10" ht="18" customHeight="1">
      <c r="A234" s="90">
        <v>756</v>
      </c>
      <c r="B234" s="102">
        <v>45834</v>
      </c>
      <c r="C234" s="91" t="s">
        <v>1069</v>
      </c>
      <c r="D234" s="125" t="s">
        <v>2302</v>
      </c>
      <c r="F234" s="132">
        <v>1800000</v>
      </c>
      <c r="G234" s="93">
        <v>1</v>
      </c>
      <c r="I234" s="88">
        <v>1800000</v>
      </c>
    </row>
    <row r="235" spans="1:10" ht="18" customHeight="1">
      <c r="A235" s="90">
        <v>757</v>
      </c>
      <c r="B235" s="102">
        <v>45834</v>
      </c>
      <c r="C235" s="91" t="s">
        <v>1069</v>
      </c>
      <c r="D235" s="125" t="s">
        <v>2279</v>
      </c>
      <c r="F235" s="132">
        <v>50000</v>
      </c>
      <c r="G235" s="93">
        <v>1</v>
      </c>
      <c r="I235" s="88">
        <v>50000</v>
      </c>
    </row>
    <row r="236" spans="1:10" ht="18" customHeight="1">
      <c r="A236" s="90">
        <v>758</v>
      </c>
      <c r="B236" s="102">
        <v>45834</v>
      </c>
      <c r="C236" s="91" t="s">
        <v>1069</v>
      </c>
      <c r="D236" s="125" t="s">
        <v>2860</v>
      </c>
      <c r="F236" s="132">
        <v>150000</v>
      </c>
      <c r="G236" s="93">
        <v>1</v>
      </c>
      <c r="I236" s="88">
        <v>150000</v>
      </c>
    </row>
  </sheetData>
  <autoFilter ref="A8:P179" xr:uid="{AF8F0A96-8AAB-402E-A9D0-F8470108AD8B}">
    <sortState xmlns:xlrd2="http://schemas.microsoft.com/office/spreadsheetml/2017/richdata2" ref="A9:P50">
      <sortCondition ref="A8:A17"/>
    </sortState>
  </autoFilter>
  <phoneticPr fontId="2" type="noConversion"/>
  <pageMargins left="0.7" right="0.7" top="0.75" bottom="0.75" header="0.3" footer="0.3"/>
  <pageSetup paperSize="9" orientation="portrait" verticalDpi="0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D53994-BFA3-4D96-9967-8C339358C0E4}">
  <sheetPr codeName="sht_Fast_order_table"/>
  <dimension ref="A1:L147"/>
  <sheetViews>
    <sheetView workbookViewId="0">
      <selection activeCell="I21" sqref="I21"/>
    </sheetView>
  </sheetViews>
  <sheetFormatPr defaultRowHeight="16.5"/>
  <cols>
    <col min="1" max="1" width="4.25" style="263" customWidth="1"/>
    <col min="2" max="2" width="10.25" style="271" bestFit="1" customWidth="1"/>
    <col min="3" max="3" width="9" style="262"/>
    <col min="4" max="4" width="10" style="262" customWidth="1"/>
    <col min="5" max="5" width="5.5" style="262" customWidth="1"/>
    <col min="6" max="6" width="5.25" style="262" bestFit="1" customWidth="1"/>
    <col min="7" max="7" width="9" style="262"/>
    <col min="8" max="8" width="11.625" style="262" customWidth="1"/>
    <col min="9" max="9" width="9" style="262"/>
    <col min="10" max="10" width="11.625" style="262" customWidth="1"/>
    <col min="11" max="11" width="9" style="262"/>
    <col min="12" max="12" width="15" style="262" bestFit="1" customWidth="1"/>
    <col min="13" max="253" width="9" style="262"/>
    <col min="254" max="254" width="2" style="262" customWidth="1"/>
    <col min="255" max="255" width="5" style="262" customWidth="1"/>
    <col min="256" max="257" width="3.625" style="262" customWidth="1"/>
    <col min="258" max="258" width="9" style="262"/>
    <col min="259" max="259" width="10" style="262" customWidth="1"/>
    <col min="260" max="261" width="5.5" style="262" customWidth="1"/>
    <col min="262" max="262" width="9" style="262"/>
    <col min="263" max="263" width="11.625" style="262" customWidth="1"/>
    <col min="264" max="264" width="9" style="262"/>
    <col min="265" max="265" width="11.625" style="262" customWidth="1"/>
    <col min="266" max="266" width="9" style="262"/>
    <col min="267" max="267" width="15" style="262" bestFit="1" customWidth="1"/>
    <col min="268" max="268" width="13.625" style="262" bestFit="1" customWidth="1"/>
    <col min="269" max="509" width="9" style="262"/>
    <col min="510" max="510" width="2" style="262" customWidth="1"/>
    <col min="511" max="511" width="5" style="262" customWidth="1"/>
    <col min="512" max="513" width="3.625" style="262" customWidth="1"/>
    <col min="514" max="514" width="9" style="262"/>
    <col min="515" max="515" width="10" style="262" customWidth="1"/>
    <col min="516" max="517" width="5.5" style="262" customWidth="1"/>
    <col min="518" max="518" width="9" style="262"/>
    <col min="519" max="519" width="11.625" style="262" customWidth="1"/>
    <col min="520" max="520" width="9" style="262"/>
    <col min="521" max="521" width="11.625" style="262" customWidth="1"/>
    <col min="522" max="522" width="9" style="262"/>
    <col min="523" max="523" width="15" style="262" bestFit="1" customWidth="1"/>
    <col min="524" max="524" width="13.625" style="262" bestFit="1" customWidth="1"/>
    <col min="525" max="765" width="9" style="262"/>
    <col min="766" max="766" width="2" style="262" customWidth="1"/>
    <col min="767" max="767" width="5" style="262" customWidth="1"/>
    <col min="768" max="769" width="3.625" style="262" customWidth="1"/>
    <col min="770" max="770" width="9" style="262"/>
    <col min="771" max="771" width="10" style="262" customWidth="1"/>
    <col min="772" max="773" width="5.5" style="262" customWidth="1"/>
    <col min="774" max="774" width="9" style="262"/>
    <col min="775" max="775" width="11.625" style="262" customWidth="1"/>
    <col min="776" max="776" width="9" style="262"/>
    <col min="777" max="777" width="11.625" style="262" customWidth="1"/>
    <col min="778" max="778" width="9" style="262"/>
    <col min="779" max="779" width="15" style="262" bestFit="1" customWidth="1"/>
    <col min="780" max="780" width="13.625" style="262" bestFit="1" customWidth="1"/>
    <col min="781" max="1021" width="9" style="262"/>
    <col min="1022" max="1022" width="2" style="262" customWidth="1"/>
    <col min="1023" max="1023" width="5" style="262" customWidth="1"/>
    <col min="1024" max="1025" width="3.625" style="262" customWidth="1"/>
    <col min="1026" max="1026" width="9" style="262"/>
    <col min="1027" max="1027" width="10" style="262" customWidth="1"/>
    <col min="1028" max="1029" width="5.5" style="262" customWidth="1"/>
    <col min="1030" max="1030" width="9" style="262"/>
    <col min="1031" max="1031" width="11.625" style="262" customWidth="1"/>
    <col min="1032" max="1032" width="9" style="262"/>
    <col min="1033" max="1033" width="11.625" style="262" customWidth="1"/>
    <col min="1034" max="1034" width="9" style="262"/>
    <col min="1035" max="1035" width="15" style="262" bestFit="1" customWidth="1"/>
    <col min="1036" max="1036" width="13.625" style="262" bestFit="1" customWidth="1"/>
    <col min="1037" max="1277" width="9" style="262"/>
    <col min="1278" max="1278" width="2" style="262" customWidth="1"/>
    <col min="1279" max="1279" width="5" style="262" customWidth="1"/>
    <col min="1280" max="1281" width="3.625" style="262" customWidth="1"/>
    <col min="1282" max="1282" width="9" style="262"/>
    <col min="1283" max="1283" width="10" style="262" customWidth="1"/>
    <col min="1284" max="1285" width="5.5" style="262" customWidth="1"/>
    <col min="1286" max="1286" width="9" style="262"/>
    <col min="1287" max="1287" width="11.625" style="262" customWidth="1"/>
    <col min="1288" max="1288" width="9" style="262"/>
    <col min="1289" max="1289" width="11.625" style="262" customWidth="1"/>
    <col min="1290" max="1290" width="9" style="262"/>
    <col min="1291" max="1291" width="15" style="262" bestFit="1" customWidth="1"/>
    <col min="1292" max="1292" width="13.625" style="262" bestFit="1" customWidth="1"/>
    <col min="1293" max="1533" width="9" style="262"/>
    <col min="1534" max="1534" width="2" style="262" customWidth="1"/>
    <col min="1535" max="1535" width="5" style="262" customWidth="1"/>
    <col min="1536" max="1537" width="3.625" style="262" customWidth="1"/>
    <col min="1538" max="1538" width="9" style="262"/>
    <col min="1539" max="1539" width="10" style="262" customWidth="1"/>
    <col min="1540" max="1541" width="5.5" style="262" customWidth="1"/>
    <col min="1542" max="1542" width="9" style="262"/>
    <col min="1543" max="1543" width="11.625" style="262" customWidth="1"/>
    <col min="1544" max="1544" width="9" style="262"/>
    <col min="1545" max="1545" width="11.625" style="262" customWidth="1"/>
    <col min="1546" max="1546" width="9" style="262"/>
    <col min="1547" max="1547" width="15" style="262" bestFit="1" customWidth="1"/>
    <col min="1548" max="1548" width="13.625" style="262" bestFit="1" customWidth="1"/>
    <col min="1549" max="1789" width="9" style="262"/>
    <col min="1790" max="1790" width="2" style="262" customWidth="1"/>
    <col min="1791" max="1791" width="5" style="262" customWidth="1"/>
    <col min="1792" max="1793" width="3.625" style="262" customWidth="1"/>
    <col min="1794" max="1794" width="9" style="262"/>
    <col min="1795" max="1795" width="10" style="262" customWidth="1"/>
    <col min="1796" max="1797" width="5.5" style="262" customWidth="1"/>
    <col min="1798" max="1798" width="9" style="262"/>
    <col min="1799" max="1799" width="11.625" style="262" customWidth="1"/>
    <col min="1800" max="1800" width="9" style="262"/>
    <col min="1801" max="1801" width="11.625" style="262" customWidth="1"/>
    <col min="1802" max="1802" width="9" style="262"/>
    <col min="1803" max="1803" width="15" style="262" bestFit="1" customWidth="1"/>
    <col min="1804" max="1804" width="13.625" style="262" bestFit="1" customWidth="1"/>
    <col min="1805" max="2045" width="9" style="262"/>
    <col min="2046" max="2046" width="2" style="262" customWidth="1"/>
    <col min="2047" max="2047" width="5" style="262" customWidth="1"/>
    <col min="2048" max="2049" width="3.625" style="262" customWidth="1"/>
    <col min="2050" max="2050" width="9" style="262"/>
    <col min="2051" max="2051" width="10" style="262" customWidth="1"/>
    <col min="2052" max="2053" width="5.5" style="262" customWidth="1"/>
    <col min="2054" max="2054" width="9" style="262"/>
    <col min="2055" max="2055" width="11.625" style="262" customWidth="1"/>
    <col min="2056" max="2056" width="9" style="262"/>
    <col min="2057" max="2057" width="11.625" style="262" customWidth="1"/>
    <col min="2058" max="2058" width="9" style="262"/>
    <col min="2059" max="2059" width="15" style="262" bestFit="1" customWidth="1"/>
    <col min="2060" max="2060" width="13.625" style="262" bestFit="1" customWidth="1"/>
    <col min="2061" max="2301" width="9" style="262"/>
    <col min="2302" max="2302" width="2" style="262" customWidth="1"/>
    <col min="2303" max="2303" width="5" style="262" customWidth="1"/>
    <col min="2304" max="2305" width="3.625" style="262" customWidth="1"/>
    <col min="2306" max="2306" width="9" style="262"/>
    <col min="2307" max="2307" width="10" style="262" customWidth="1"/>
    <col min="2308" max="2309" width="5.5" style="262" customWidth="1"/>
    <col min="2310" max="2310" width="9" style="262"/>
    <col min="2311" max="2311" width="11.625" style="262" customWidth="1"/>
    <col min="2312" max="2312" width="9" style="262"/>
    <col min="2313" max="2313" width="11.625" style="262" customWidth="1"/>
    <col min="2314" max="2314" width="9" style="262"/>
    <col min="2315" max="2315" width="15" style="262" bestFit="1" customWidth="1"/>
    <col min="2316" max="2316" width="13.625" style="262" bestFit="1" customWidth="1"/>
    <col min="2317" max="2557" width="9" style="262"/>
    <col min="2558" max="2558" width="2" style="262" customWidth="1"/>
    <col min="2559" max="2559" width="5" style="262" customWidth="1"/>
    <col min="2560" max="2561" width="3.625" style="262" customWidth="1"/>
    <col min="2562" max="2562" width="9" style="262"/>
    <col min="2563" max="2563" width="10" style="262" customWidth="1"/>
    <col min="2564" max="2565" width="5.5" style="262" customWidth="1"/>
    <col min="2566" max="2566" width="9" style="262"/>
    <col min="2567" max="2567" width="11.625" style="262" customWidth="1"/>
    <col min="2568" max="2568" width="9" style="262"/>
    <col min="2569" max="2569" width="11.625" style="262" customWidth="1"/>
    <col min="2570" max="2570" width="9" style="262"/>
    <col min="2571" max="2571" width="15" style="262" bestFit="1" customWidth="1"/>
    <col min="2572" max="2572" width="13.625" style="262" bestFit="1" customWidth="1"/>
    <col min="2573" max="2813" width="9" style="262"/>
    <col min="2814" max="2814" width="2" style="262" customWidth="1"/>
    <col min="2815" max="2815" width="5" style="262" customWidth="1"/>
    <col min="2816" max="2817" width="3.625" style="262" customWidth="1"/>
    <col min="2818" max="2818" width="9" style="262"/>
    <col min="2819" max="2819" width="10" style="262" customWidth="1"/>
    <col min="2820" max="2821" width="5.5" style="262" customWidth="1"/>
    <col min="2822" max="2822" width="9" style="262"/>
    <col min="2823" max="2823" width="11.625" style="262" customWidth="1"/>
    <col min="2824" max="2824" width="9" style="262"/>
    <col min="2825" max="2825" width="11.625" style="262" customWidth="1"/>
    <col min="2826" max="2826" width="9" style="262"/>
    <col min="2827" max="2827" width="15" style="262" bestFit="1" customWidth="1"/>
    <col min="2828" max="2828" width="13.625" style="262" bestFit="1" customWidth="1"/>
    <col min="2829" max="3069" width="9" style="262"/>
    <col min="3070" max="3070" width="2" style="262" customWidth="1"/>
    <col min="3071" max="3071" width="5" style="262" customWidth="1"/>
    <col min="3072" max="3073" width="3.625" style="262" customWidth="1"/>
    <col min="3074" max="3074" width="9" style="262"/>
    <col min="3075" max="3075" width="10" style="262" customWidth="1"/>
    <col min="3076" max="3077" width="5.5" style="262" customWidth="1"/>
    <col min="3078" max="3078" width="9" style="262"/>
    <col min="3079" max="3079" width="11.625" style="262" customWidth="1"/>
    <col min="3080" max="3080" width="9" style="262"/>
    <col min="3081" max="3081" width="11.625" style="262" customWidth="1"/>
    <col min="3082" max="3082" width="9" style="262"/>
    <col min="3083" max="3083" width="15" style="262" bestFit="1" customWidth="1"/>
    <col min="3084" max="3084" width="13.625" style="262" bestFit="1" customWidth="1"/>
    <col min="3085" max="3325" width="9" style="262"/>
    <col min="3326" max="3326" width="2" style="262" customWidth="1"/>
    <col min="3327" max="3327" width="5" style="262" customWidth="1"/>
    <col min="3328" max="3329" width="3.625" style="262" customWidth="1"/>
    <col min="3330" max="3330" width="9" style="262"/>
    <col min="3331" max="3331" width="10" style="262" customWidth="1"/>
    <col min="3332" max="3333" width="5.5" style="262" customWidth="1"/>
    <col min="3334" max="3334" width="9" style="262"/>
    <col min="3335" max="3335" width="11.625" style="262" customWidth="1"/>
    <col min="3336" max="3336" width="9" style="262"/>
    <col min="3337" max="3337" width="11.625" style="262" customWidth="1"/>
    <col min="3338" max="3338" width="9" style="262"/>
    <col min="3339" max="3339" width="15" style="262" bestFit="1" customWidth="1"/>
    <col min="3340" max="3340" width="13.625" style="262" bestFit="1" customWidth="1"/>
    <col min="3341" max="3581" width="9" style="262"/>
    <col min="3582" max="3582" width="2" style="262" customWidth="1"/>
    <col min="3583" max="3583" width="5" style="262" customWidth="1"/>
    <col min="3584" max="3585" width="3.625" style="262" customWidth="1"/>
    <col min="3586" max="3586" width="9" style="262"/>
    <col min="3587" max="3587" width="10" style="262" customWidth="1"/>
    <col min="3588" max="3589" width="5.5" style="262" customWidth="1"/>
    <col min="3590" max="3590" width="9" style="262"/>
    <col min="3591" max="3591" width="11.625" style="262" customWidth="1"/>
    <col min="3592" max="3592" width="9" style="262"/>
    <col min="3593" max="3593" width="11.625" style="262" customWidth="1"/>
    <col min="3594" max="3594" width="9" style="262"/>
    <col min="3595" max="3595" width="15" style="262" bestFit="1" customWidth="1"/>
    <col min="3596" max="3596" width="13.625" style="262" bestFit="1" customWidth="1"/>
    <col min="3597" max="3837" width="9" style="262"/>
    <col min="3838" max="3838" width="2" style="262" customWidth="1"/>
    <col min="3839" max="3839" width="5" style="262" customWidth="1"/>
    <col min="3840" max="3841" width="3.625" style="262" customWidth="1"/>
    <col min="3842" max="3842" width="9" style="262"/>
    <col min="3843" max="3843" width="10" style="262" customWidth="1"/>
    <col min="3844" max="3845" width="5.5" style="262" customWidth="1"/>
    <col min="3846" max="3846" width="9" style="262"/>
    <col min="3847" max="3847" width="11.625" style="262" customWidth="1"/>
    <col min="3848" max="3848" width="9" style="262"/>
    <col min="3849" max="3849" width="11.625" style="262" customWidth="1"/>
    <col min="3850" max="3850" width="9" style="262"/>
    <col min="3851" max="3851" width="15" style="262" bestFit="1" customWidth="1"/>
    <col min="3852" max="3852" width="13.625" style="262" bestFit="1" customWidth="1"/>
    <col min="3853" max="4093" width="9" style="262"/>
    <col min="4094" max="4094" width="2" style="262" customWidth="1"/>
    <col min="4095" max="4095" width="5" style="262" customWidth="1"/>
    <col min="4096" max="4097" width="3.625" style="262" customWidth="1"/>
    <col min="4098" max="4098" width="9" style="262"/>
    <col min="4099" max="4099" width="10" style="262" customWidth="1"/>
    <col min="4100" max="4101" width="5.5" style="262" customWidth="1"/>
    <col min="4102" max="4102" width="9" style="262"/>
    <col min="4103" max="4103" width="11.625" style="262" customWidth="1"/>
    <col min="4104" max="4104" width="9" style="262"/>
    <col min="4105" max="4105" width="11.625" style="262" customWidth="1"/>
    <col min="4106" max="4106" width="9" style="262"/>
    <col min="4107" max="4107" width="15" style="262" bestFit="1" customWidth="1"/>
    <col min="4108" max="4108" width="13.625" style="262" bestFit="1" customWidth="1"/>
    <col min="4109" max="4349" width="9" style="262"/>
    <col min="4350" max="4350" width="2" style="262" customWidth="1"/>
    <col min="4351" max="4351" width="5" style="262" customWidth="1"/>
    <col min="4352" max="4353" width="3.625" style="262" customWidth="1"/>
    <col min="4354" max="4354" width="9" style="262"/>
    <col min="4355" max="4355" width="10" style="262" customWidth="1"/>
    <col min="4356" max="4357" width="5.5" style="262" customWidth="1"/>
    <col min="4358" max="4358" width="9" style="262"/>
    <col min="4359" max="4359" width="11.625" style="262" customWidth="1"/>
    <col min="4360" max="4360" width="9" style="262"/>
    <col min="4361" max="4361" width="11.625" style="262" customWidth="1"/>
    <col min="4362" max="4362" width="9" style="262"/>
    <col min="4363" max="4363" width="15" style="262" bestFit="1" customWidth="1"/>
    <col min="4364" max="4364" width="13.625" style="262" bestFit="1" customWidth="1"/>
    <col min="4365" max="4605" width="9" style="262"/>
    <col min="4606" max="4606" width="2" style="262" customWidth="1"/>
    <col min="4607" max="4607" width="5" style="262" customWidth="1"/>
    <col min="4608" max="4609" width="3.625" style="262" customWidth="1"/>
    <col min="4610" max="4610" width="9" style="262"/>
    <col min="4611" max="4611" width="10" style="262" customWidth="1"/>
    <col min="4612" max="4613" width="5.5" style="262" customWidth="1"/>
    <col min="4614" max="4614" width="9" style="262"/>
    <col min="4615" max="4615" width="11.625" style="262" customWidth="1"/>
    <col min="4616" max="4616" width="9" style="262"/>
    <col min="4617" max="4617" width="11.625" style="262" customWidth="1"/>
    <col min="4618" max="4618" width="9" style="262"/>
    <col min="4619" max="4619" width="15" style="262" bestFit="1" customWidth="1"/>
    <col min="4620" max="4620" width="13.625" style="262" bestFit="1" customWidth="1"/>
    <col min="4621" max="4861" width="9" style="262"/>
    <col min="4862" max="4862" width="2" style="262" customWidth="1"/>
    <col min="4863" max="4863" width="5" style="262" customWidth="1"/>
    <col min="4864" max="4865" width="3.625" style="262" customWidth="1"/>
    <col min="4866" max="4866" width="9" style="262"/>
    <col min="4867" max="4867" width="10" style="262" customWidth="1"/>
    <col min="4868" max="4869" width="5.5" style="262" customWidth="1"/>
    <col min="4870" max="4870" width="9" style="262"/>
    <col min="4871" max="4871" width="11.625" style="262" customWidth="1"/>
    <col min="4872" max="4872" width="9" style="262"/>
    <col min="4873" max="4873" width="11.625" style="262" customWidth="1"/>
    <col min="4874" max="4874" width="9" style="262"/>
    <col min="4875" max="4875" width="15" style="262" bestFit="1" customWidth="1"/>
    <col min="4876" max="4876" width="13.625" style="262" bestFit="1" customWidth="1"/>
    <col min="4877" max="5117" width="9" style="262"/>
    <col min="5118" max="5118" width="2" style="262" customWidth="1"/>
    <col min="5119" max="5119" width="5" style="262" customWidth="1"/>
    <col min="5120" max="5121" width="3.625" style="262" customWidth="1"/>
    <col min="5122" max="5122" width="9" style="262"/>
    <col min="5123" max="5123" width="10" style="262" customWidth="1"/>
    <col min="5124" max="5125" width="5.5" style="262" customWidth="1"/>
    <col min="5126" max="5126" width="9" style="262"/>
    <col min="5127" max="5127" width="11.625" style="262" customWidth="1"/>
    <col min="5128" max="5128" width="9" style="262"/>
    <col min="5129" max="5129" width="11.625" style="262" customWidth="1"/>
    <col min="5130" max="5130" width="9" style="262"/>
    <col min="5131" max="5131" width="15" style="262" bestFit="1" customWidth="1"/>
    <col min="5132" max="5132" width="13.625" style="262" bestFit="1" customWidth="1"/>
    <col min="5133" max="5373" width="9" style="262"/>
    <col min="5374" max="5374" width="2" style="262" customWidth="1"/>
    <col min="5375" max="5375" width="5" style="262" customWidth="1"/>
    <col min="5376" max="5377" width="3.625" style="262" customWidth="1"/>
    <col min="5378" max="5378" width="9" style="262"/>
    <col min="5379" max="5379" width="10" style="262" customWidth="1"/>
    <col min="5380" max="5381" width="5.5" style="262" customWidth="1"/>
    <col min="5382" max="5382" width="9" style="262"/>
    <col min="5383" max="5383" width="11.625" style="262" customWidth="1"/>
    <col min="5384" max="5384" width="9" style="262"/>
    <col min="5385" max="5385" width="11.625" style="262" customWidth="1"/>
    <col min="5386" max="5386" width="9" style="262"/>
    <col min="5387" max="5387" width="15" style="262" bestFit="1" customWidth="1"/>
    <col min="5388" max="5388" width="13.625" style="262" bestFit="1" customWidth="1"/>
    <col min="5389" max="5629" width="9" style="262"/>
    <col min="5630" max="5630" width="2" style="262" customWidth="1"/>
    <col min="5631" max="5631" width="5" style="262" customWidth="1"/>
    <col min="5632" max="5633" width="3.625" style="262" customWidth="1"/>
    <col min="5634" max="5634" width="9" style="262"/>
    <col min="5635" max="5635" width="10" style="262" customWidth="1"/>
    <col min="5636" max="5637" width="5.5" style="262" customWidth="1"/>
    <col min="5638" max="5638" width="9" style="262"/>
    <col min="5639" max="5639" width="11.625" style="262" customWidth="1"/>
    <col min="5640" max="5640" width="9" style="262"/>
    <col min="5641" max="5641" width="11.625" style="262" customWidth="1"/>
    <col min="5642" max="5642" width="9" style="262"/>
    <col min="5643" max="5643" width="15" style="262" bestFit="1" customWidth="1"/>
    <col min="5644" max="5644" width="13.625" style="262" bestFit="1" customWidth="1"/>
    <col min="5645" max="5885" width="9" style="262"/>
    <col min="5886" max="5886" width="2" style="262" customWidth="1"/>
    <col min="5887" max="5887" width="5" style="262" customWidth="1"/>
    <col min="5888" max="5889" width="3.625" style="262" customWidth="1"/>
    <col min="5890" max="5890" width="9" style="262"/>
    <col min="5891" max="5891" width="10" style="262" customWidth="1"/>
    <col min="5892" max="5893" width="5.5" style="262" customWidth="1"/>
    <col min="5894" max="5894" width="9" style="262"/>
    <col min="5895" max="5895" width="11.625" style="262" customWidth="1"/>
    <col min="5896" max="5896" width="9" style="262"/>
    <col min="5897" max="5897" width="11.625" style="262" customWidth="1"/>
    <col min="5898" max="5898" width="9" style="262"/>
    <col min="5899" max="5899" width="15" style="262" bestFit="1" customWidth="1"/>
    <col min="5900" max="5900" width="13.625" style="262" bestFit="1" customWidth="1"/>
    <col min="5901" max="6141" width="9" style="262"/>
    <col min="6142" max="6142" width="2" style="262" customWidth="1"/>
    <col min="6143" max="6143" width="5" style="262" customWidth="1"/>
    <col min="6144" max="6145" width="3.625" style="262" customWidth="1"/>
    <col min="6146" max="6146" width="9" style="262"/>
    <col min="6147" max="6147" width="10" style="262" customWidth="1"/>
    <col min="6148" max="6149" width="5.5" style="262" customWidth="1"/>
    <col min="6150" max="6150" width="9" style="262"/>
    <col min="6151" max="6151" width="11.625" style="262" customWidth="1"/>
    <col min="6152" max="6152" width="9" style="262"/>
    <col min="6153" max="6153" width="11.625" style="262" customWidth="1"/>
    <col min="6154" max="6154" width="9" style="262"/>
    <col min="6155" max="6155" width="15" style="262" bestFit="1" customWidth="1"/>
    <col min="6156" max="6156" width="13.625" style="262" bestFit="1" customWidth="1"/>
    <col min="6157" max="6397" width="9" style="262"/>
    <col min="6398" max="6398" width="2" style="262" customWidth="1"/>
    <col min="6399" max="6399" width="5" style="262" customWidth="1"/>
    <col min="6400" max="6401" width="3.625" style="262" customWidth="1"/>
    <col min="6402" max="6402" width="9" style="262"/>
    <col min="6403" max="6403" width="10" style="262" customWidth="1"/>
    <col min="6404" max="6405" width="5.5" style="262" customWidth="1"/>
    <col min="6406" max="6406" width="9" style="262"/>
    <col min="6407" max="6407" width="11.625" style="262" customWidth="1"/>
    <col min="6408" max="6408" width="9" style="262"/>
    <col min="6409" max="6409" width="11.625" style="262" customWidth="1"/>
    <col min="6410" max="6410" width="9" style="262"/>
    <col min="6411" max="6411" width="15" style="262" bestFit="1" customWidth="1"/>
    <col min="6412" max="6412" width="13.625" style="262" bestFit="1" customWidth="1"/>
    <col min="6413" max="6653" width="9" style="262"/>
    <col min="6654" max="6654" width="2" style="262" customWidth="1"/>
    <col min="6655" max="6655" width="5" style="262" customWidth="1"/>
    <col min="6656" max="6657" width="3.625" style="262" customWidth="1"/>
    <col min="6658" max="6658" width="9" style="262"/>
    <col min="6659" max="6659" width="10" style="262" customWidth="1"/>
    <col min="6660" max="6661" width="5.5" style="262" customWidth="1"/>
    <col min="6662" max="6662" width="9" style="262"/>
    <col min="6663" max="6663" width="11.625" style="262" customWidth="1"/>
    <col min="6664" max="6664" width="9" style="262"/>
    <col min="6665" max="6665" width="11.625" style="262" customWidth="1"/>
    <col min="6666" max="6666" width="9" style="262"/>
    <col min="6667" max="6667" width="15" style="262" bestFit="1" customWidth="1"/>
    <col min="6668" max="6668" width="13.625" style="262" bestFit="1" customWidth="1"/>
    <col min="6669" max="6909" width="9" style="262"/>
    <col min="6910" max="6910" width="2" style="262" customWidth="1"/>
    <col min="6911" max="6911" width="5" style="262" customWidth="1"/>
    <col min="6912" max="6913" width="3.625" style="262" customWidth="1"/>
    <col min="6914" max="6914" width="9" style="262"/>
    <col min="6915" max="6915" width="10" style="262" customWidth="1"/>
    <col min="6916" max="6917" width="5.5" style="262" customWidth="1"/>
    <col min="6918" max="6918" width="9" style="262"/>
    <col min="6919" max="6919" width="11.625" style="262" customWidth="1"/>
    <col min="6920" max="6920" width="9" style="262"/>
    <col min="6921" max="6921" width="11.625" style="262" customWidth="1"/>
    <col min="6922" max="6922" width="9" style="262"/>
    <col min="6923" max="6923" width="15" style="262" bestFit="1" customWidth="1"/>
    <col min="6924" max="6924" width="13.625" style="262" bestFit="1" customWidth="1"/>
    <col min="6925" max="7165" width="9" style="262"/>
    <col min="7166" max="7166" width="2" style="262" customWidth="1"/>
    <col min="7167" max="7167" width="5" style="262" customWidth="1"/>
    <col min="7168" max="7169" width="3.625" style="262" customWidth="1"/>
    <col min="7170" max="7170" width="9" style="262"/>
    <col min="7171" max="7171" width="10" style="262" customWidth="1"/>
    <col min="7172" max="7173" width="5.5" style="262" customWidth="1"/>
    <col min="7174" max="7174" width="9" style="262"/>
    <col min="7175" max="7175" width="11.625" style="262" customWidth="1"/>
    <col min="7176" max="7176" width="9" style="262"/>
    <col min="7177" max="7177" width="11.625" style="262" customWidth="1"/>
    <col min="7178" max="7178" width="9" style="262"/>
    <col min="7179" max="7179" width="15" style="262" bestFit="1" customWidth="1"/>
    <col min="7180" max="7180" width="13.625" style="262" bestFit="1" customWidth="1"/>
    <col min="7181" max="7421" width="9" style="262"/>
    <col min="7422" max="7422" width="2" style="262" customWidth="1"/>
    <col min="7423" max="7423" width="5" style="262" customWidth="1"/>
    <col min="7424" max="7425" width="3.625" style="262" customWidth="1"/>
    <col min="7426" max="7426" width="9" style="262"/>
    <col min="7427" max="7427" width="10" style="262" customWidth="1"/>
    <col min="7428" max="7429" width="5.5" style="262" customWidth="1"/>
    <col min="7430" max="7430" width="9" style="262"/>
    <col min="7431" max="7431" width="11.625" style="262" customWidth="1"/>
    <col min="7432" max="7432" width="9" style="262"/>
    <col min="7433" max="7433" width="11.625" style="262" customWidth="1"/>
    <col min="7434" max="7434" width="9" style="262"/>
    <col min="7435" max="7435" width="15" style="262" bestFit="1" customWidth="1"/>
    <col min="7436" max="7436" width="13.625" style="262" bestFit="1" customWidth="1"/>
    <col min="7437" max="7677" width="9" style="262"/>
    <col min="7678" max="7678" width="2" style="262" customWidth="1"/>
    <col min="7679" max="7679" width="5" style="262" customWidth="1"/>
    <col min="7680" max="7681" width="3.625" style="262" customWidth="1"/>
    <col min="7682" max="7682" width="9" style="262"/>
    <col min="7683" max="7683" width="10" style="262" customWidth="1"/>
    <col min="7684" max="7685" width="5.5" style="262" customWidth="1"/>
    <col min="7686" max="7686" width="9" style="262"/>
    <col min="7687" max="7687" width="11.625" style="262" customWidth="1"/>
    <col min="7688" max="7688" width="9" style="262"/>
    <col min="7689" max="7689" width="11.625" style="262" customWidth="1"/>
    <col min="7690" max="7690" width="9" style="262"/>
    <col min="7691" max="7691" width="15" style="262" bestFit="1" customWidth="1"/>
    <col min="7692" max="7692" width="13.625" style="262" bestFit="1" customWidth="1"/>
    <col min="7693" max="7933" width="9" style="262"/>
    <col min="7934" max="7934" width="2" style="262" customWidth="1"/>
    <col min="7935" max="7935" width="5" style="262" customWidth="1"/>
    <col min="7936" max="7937" width="3.625" style="262" customWidth="1"/>
    <col min="7938" max="7938" width="9" style="262"/>
    <col min="7939" max="7939" width="10" style="262" customWidth="1"/>
    <col min="7940" max="7941" width="5.5" style="262" customWidth="1"/>
    <col min="7942" max="7942" width="9" style="262"/>
    <col min="7943" max="7943" width="11.625" style="262" customWidth="1"/>
    <col min="7944" max="7944" width="9" style="262"/>
    <col min="7945" max="7945" width="11.625" style="262" customWidth="1"/>
    <col min="7946" max="7946" width="9" style="262"/>
    <col min="7947" max="7947" width="15" style="262" bestFit="1" customWidth="1"/>
    <col min="7948" max="7948" width="13.625" style="262" bestFit="1" customWidth="1"/>
    <col min="7949" max="8189" width="9" style="262"/>
    <col min="8190" max="8190" width="2" style="262" customWidth="1"/>
    <col min="8191" max="8191" width="5" style="262" customWidth="1"/>
    <col min="8192" max="8193" width="3.625" style="262" customWidth="1"/>
    <col min="8194" max="8194" width="9" style="262"/>
    <col min="8195" max="8195" width="10" style="262" customWidth="1"/>
    <col min="8196" max="8197" width="5.5" style="262" customWidth="1"/>
    <col min="8198" max="8198" width="9" style="262"/>
    <col min="8199" max="8199" width="11.625" style="262" customWidth="1"/>
    <col min="8200" max="8200" width="9" style="262"/>
    <col min="8201" max="8201" width="11.625" style="262" customWidth="1"/>
    <col min="8202" max="8202" width="9" style="262"/>
    <col min="8203" max="8203" width="15" style="262" bestFit="1" customWidth="1"/>
    <col min="8204" max="8204" width="13.625" style="262" bestFit="1" customWidth="1"/>
    <col min="8205" max="8445" width="9" style="262"/>
    <col min="8446" max="8446" width="2" style="262" customWidth="1"/>
    <col min="8447" max="8447" width="5" style="262" customWidth="1"/>
    <col min="8448" max="8449" width="3.625" style="262" customWidth="1"/>
    <col min="8450" max="8450" width="9" style="262"/>
    <col min="8451" max="8451" width="10" style="262" customWidth="1"/>
    <col min="8452" max="8453" width="5.5" style="262" customWidth="1"/>
    <col min="8454" max="8454" width="9" style="262"/>
    <col min="8455" max="8455" width="11.625" style="262" customWidth="1"/>
    <col min="8456" max="8456" width="9" style="262"/>
    <col min="8457" max="8457" width="11.625" style="262" customWidth="1"/>
    <col min="8458" max="8458" width="9" style="262"/>
    <col min="8459" max="8459" width="15" style="262" bestFit="1" customWidth="1"/>
    <col min="8460" max="8460" width="13.625" style="262" bestFit="1" customWidth="1"/>
    <col min="8461" max="8701" width="9" style="262"/>
    <col min="8702" max="8702" width="2" style="262" customWidth="1"/>
    <col min="8703" max="8703" width="5" style="262" customWidth="1"/>
    <col min="8704" max="8705" width="3.625" style="262" customWidth="1"/>
    <col min="8706" max="8706" width="9" style="262"/>
    <col min="8707" max="8707" width="10" style="262" customWidth="1"/>
    <col min="8708" max="8709" width="5.5" style="262" customWidth="1"/>
    <col min="8710" max="8710" width="9" style="262"/>
    <col min="8711" max="8711" width="11.625" style="262" customWidth="1"/>
    <col min="8712" max="8712" width="9" style="262"/>
    <col min="8713" max="8713" width="11.625" style="262" customWidth="1"/>
    <col min="8714" max="8714" width="9" style="262"/>
    <col min="8715" max="8715" width="15" style="262" bestFit="1" customWidth="1"/>
    <col min="8716" max="8716" width="13.625" style="262" bestFit="1" customWidth="1"/>
    <col min="8717" max="8957" width="9" style="262"/>
    <col min="8958" max="8958" width="2" style="262" customWidth="1"/>
    <col min="8959" max="8959" width="5" style="262" customWidth="1"/>
    <col min="8960" max="8961" width="3.625" style="262" customWidth="1"/>
    <col min="8962" max="8962" width="9" style="262"/>
    <col min="8963" max="8963" width="10" style="262" customWidth="1"/>
    <col min="8964" max="8965" width="5.5" style="262" customWidth="1"/>
    <col min="8966" max="8966" width="9" style="262"/>
    <col min="8967" max="8967" width="11.625" style="262" customWidth="1"/>
    <col min="8968" max="8968" width="9" style="262"/>
    <col min="8969" max="8969" width="11.625" style="262" customWidth="1"/>
    <col min="8970" max="8970" width="9" style="262"/>
    <col min="8971" max="8971" width="15" style="262" bestFit="1" customWidth="1"/>
    <col min="8972" max="8972" width="13.625" style="262" bestFit="1" customWidth="1"/>
    <col min="8973" max="9213" width="9" style="262"/>
    <col min="9214" max="9214" width="2" style="262" customWidth="1"/>
    <col min="9215" max="9215" width="5" style="262" customWidth="1"/>
    <col min="9216" max="9217" width="3.625" style="262" customWidth="1"/>
    <col min="9218" max="9218" width="9" style="262"/>
    <col min="9219" max="9219" width="10" style="262" customWidth="1"/>
    <col min="9220" max="9221" width="5.5" style="262" customWidth="1"/>
    <col min="9222" max="9222" width="9" style="262"/>
    <col min="9223" max="9223" width="11.625" style="262" customWidth="1"/>
    <col min="9224" max="9224" width="9" style="262"/>
    <col min="9225" max="9225" width="11.625" style="262" customWidth="1"/>
    <col min="9226" max="9226" width="9" style="262"/>
    <col min="9227" max="9227" width="15" style="262" bestFit="1" customWidth="1"/>
    <col min="9228" max="9228" width="13.625" style="262" bestFit="1" customWidth="1"/>
    <col min="9229" max="9469" width="9" style="262"/>
    <col min="9470" max="9470" width="2" style="262" customWidth="1"/>
    <col min="9471" max="9471" width="5" style="262" customWidth="1"/>
    <col min="9472" max="9473" width="3.625" style="262" customWidth="1"/>
    <col min="9474" max="9474" width="9" style="262"/>
    <col min="9475" max="9475" width="10" style="262" customWidth="1"/>
    <col min="9476" max="9477" width="5.5" style="262" customWidth="1"/>
    <col min="9478" max="9478" width="9" style="262"/>
    <col min="9479" max="9479" width="11.625" style="262" customWidth="1"/>
    <col min="9480" max="9480" width="9" style="262"/>
    <col min="9481" max="9481" width="11.625" style="262" customWidth="1"/>
    <col min="9482" max="9482" width="9" style="262"/>
    <col min="9483" max="9483" width="15" style="262" bestFit="1" customWidth="1"/>
    <col min="9484" max="9484" width="13.625" style="262" bestFit="1" customWidth="1"/>
    <col min="9485" max="9725" width="9" style="262"/>
    <col min="9726" max="9726" width="2" style="262" customWidth="1"/>
    <col min="9727" max="9727" width="5" style="262" customWidth="1"/>
    <col min="9728" max="9729" width="3.625" style="262" customWidth="1"/>
    <col min="9730" max="9730" width="9" style="262"/>
    <col min="9731" max="9731" width="10" style="262" customWidth="1"/>
    <col min="9732" max="9733" width="5.5" style="262" customWidth="1"/>
    <col min="9734" max="9734" width="9" style="262"/>
    <col min="9735" max="9735" width="11.625" style="262" customWidth="1"/>
    <col min="9736" max="9736" width="9" style="262"/>
    <col min="9737" max="9737" width="11.625" style="262" customWidth="1"/>
    <col min="9738" max="9738" width="9" style="262"/>
    <col min="9739" max="9739" width="15" style="262" bestFit="1" customWidth="1"/>
    <col min="9740" max="9740" width="13.625" style="262" bestFit="1" customWidth="1"/>
    <col min="9741" max="9981" width="9" style="262"/>
    <col min="9982" max="9982" width="2" style="262" customWidth="1"/>
    <col min="9983" max="9983" width="5" style="262" customWidth="1"/>
    <col min="9984" max="9985" width="3.625" style="262" customWidth="1"/>
    <col min="9986" max="9986" width="9" style="262"/>
    <col min="9987" max="9987" width="10" style="262" customWidth="1"/>
    <col min="9988" max="9989" width="5.5" style="262" customWidth="1"/>
    <col min="9990" max="9990" width="9" style="262"/>
    <col min="9991" max="9991" width="11.625" style="262" customWidth="1"/>
    <col min="9992" max="9992" width="9" style="262"/>
    <col min="9993" max="9993" width="11.625" style="262" customWidth="1"/>
    <col min="9994" max="9994" width="9" style="262"/>
    <col min="9995" max="9995" width="15" style="262" bestFit="1" customWidth="1"/>
    <col min="9996" max="9996" width="13.625" style="262" bestFit="1" customWidth="1"/>
    <col min="9997" max="10237" width="9" style="262"/>
    <col min="10238" max="10238" width="2" style="262" customWidth="1"/>
    <col min="10239" max="10239" width="5" style="262" customWidth="1"/>
    <col min="10240" max="10241" width="3.625" style="262" customWidth="1"/>
    <col min="10242" max="10242" width="9" style="262"/>
    <col min="10243" max="10243" width="10" style="262" customWidth="1"/>
    <col min="10244" max="10245" width="5.5" style="262" customWidth="1"/>
    <col min="10246" max="10246" width="9" style="262"/>
    <col min="10247" max="10247" width="11.625" style="262" customWidth="1"/>
    <col min="10248" max="10248" width="9" style="262"/>
    <col min="10249" max="10249" width="11.625" style="262" customWidth="1"/>
    <col min="10250" max="10250" width="9" style="262"/>
    <col min="10251" max="10251" width="15" style="262" bestFit="1" customWidth="1"/>
    <col min="10252" max="10252" width="13.625" style="262" bestFit="1" customWidth="1"/>
    <col min="10253" max="10493" width="9" style="262"/>
    <col min="10494" max="10494" width="2" style="262" customWidth="1"/>
    <col min="10495" max="10495" width="5" style="262" customWidth="1"/>
    <col min="10496" max="10497" width="3.625" style="262" customWidth="1"/>
    <col min="10498" max="10498" width="9" style="262"/>
    <col min="10499" max="10499" width="10" style="262" customWidth="1"/>
    <col min="10500" max="10501" width="5.5" style="262" customWidth="1"/>
    <col min="10502" max="10502" width="9" style="262"/>
    <col min="10503" max="10503" width="11.625" style="262" customWidth="1"/>
    <col min="10504" max="10504" width="9" style="262"/>
    <col min="10505" max="10505" width="11.625" style="262" customWidth="1"/>
    <col min="10506" max="10506" width="9" style="262"/>
    <col min="10507" max="10507" width="15" style="262" bestFit="1" customWidth="1"/>
    <col min="10508" max="10508" width="13.625" style="262" bestFit="1" customWidth="1"/>
    <col min="10509" max="10749" width="9" style="262"/>
    <col min="10750" max="10750" width="2" style="262" customWidth="1"/>
    <col min="10751" max="10751" width="5" style="262" customWidth="1"/>
    <col min="10752" max="10753" width="3.625" style="262" customWidth="1"/>
    <col min="10754" max="10754" width="9" style="262"/>
    <col min="10755" max="10755" width="10" style="262" customWidth="1"/>
    <col min="10756" max="10757" width="5.5" style="262" customWidth="1"/>
    <col min="10758" max="10758" width="9" style="262"/>
    <col min="10759" max="10759" width="11.625" style="262" customWidth="1"/>
    <col min="10760" max="10760" width="9" style="262"/>
    <col min="10761" max="10761" width="11.625" style="262" customWidth="1"/>
    <col min="10762" max="10762" width="9" style="262"/>
    <col min="10763" max="10763" width="15" style="262" bestFit="1" customWidth="1"/>
    <col min="10764" max="10764" width="13.625" style="262" bestFit="1" customWidth="1"/>
    <col min="10765" max="11005" width="9" style="262"/>
    <col min="11006" max="11006" width="2" style="262" customWidth="1"/>
    <col min="11007" max="11007" width="5" style="262" customWidth="1"/>
    <col min="11008" max="11009" width="3.625" style="262" customWidth="1"/>
    <col min="11010" max="11010" width="9" style="262"/>
    <col min="11011" max="11011" width="10" style="262" customWidth="1"/>
    <col min="11012" max="11013" width="5.5" style="262" customWidth="1"/>
    <col min="11014" max="11014" width="9" style="262"/>
    <col min="11015" max="11015" width="11.625" style="262" customWidth="1"/>
    <col min="11016" max="11016" width="9" style="262"/>
    <col min="11017" max="11017" width="11.625" style="262" customWidth="1"/>
    <col min="11018" max="11018" width="9" style="262"/>
    <col min="11019" max="11019" width="15" style="262" bestFit="1" customWidth="1"/>
    <col min="11020" max="11020" width="13.625" style="262" bestFit="1" customWidth="1"/>
    <col min="11021" max="11261" width="9" style="262"/>
    <col min="11262" max="11262" width="2" style="262" customWidth="1"/>
    <col min="11263" max="11263" width="5" style="262" customWidth="1"/>
    <col min="11264" max="11265" width="3.625" style="262" customWidth="1"/>
    <col min="11266" max="11266" width="9" style="262"/>
    <col min="11267" max="11267" width="10" style="262" customWidth="1"/>
    <col min="11268" max="11269" width="5.5" style="262" customWidth="1"/>
    <col min="11270" max="11270" width="9" style="262"/>
    <col min="11271" max="11271" width="11.625" style="262" customWidth="1"/>
    <col min="11272" max="11272" width="9" style="262"/>
    <col min="11273" max="11273" width="11.625" style="262" customWidth="1"/>
    <col min="11274" max="11274" width="9" style="262"/>
    <col min="11275" max="11275" width="15" style="262" bestFit="1" customWidth="1"/>
    <col min="11276" max="11276" width="13.625" style="262" bestFit="1" customWidth="1"/>
    <col min="11277" max="11517" width="9" style="262"/>
    <col min="11518" max="11518" width="2" style="262" customWidth="1"/>
    <col min="11519" max="11519" width="5" style="262" customWidth="1"/>
    <col min="11520" max="11521" width="3.625" style="262" customWidth="1"/>
    <col min="11522" max="11522" width="9" style="262"/>
    <col min="11523" max="11523" width="10" style="262" customWidth="1"/>
    <col min="11524" max="11525" width="5.5" style="262" customWidth="1"/>
    <col min="11526" max="11526" width="9" style="262"/>
    <col min="11527" max="11527" width="11.625" style="262" customWidth="1"/>
    <col min="11528" max="11528" width="9" style="262"/>
    <col min="11529" max="11529" width="11.625" style="262" customWidth="1"/>
    <col min="11530" max="11530" width="9" style="262"/>
    <col min="11531" max="11531" width="15" style="262" bestFit="1" customWidth="1"/>
    <col min="11532" max="11532" width="13.625" style="262" bestFit="1" customWidth="1"/>
    <col min="11533" max="11773" width="9" style="262"/>
    <col min="11774" max="11774" width="2" style="262" customWidth="1"/>
    <col min="11775" max="11775" width="5" style="262" customWidth="1"/>
    <col min="11776" max="11777" width="3.625" style="262" customWidth="1"/>
    <col min="11778" max="11778" width="9" style="262"/>
    <col min="11779" max="11779" width="10" style="262" customWidth="1"/>
    <col min="11780" max="11781" width="5.5" style="262" customWidth="1"/>
    <col min="11782" max="11782" width="9" style="262"/>
    <col min="11783" max="11783" width="11.625" style="262" customWidth="1"/>
    <col min="11784" max="11784" width="9" style="262"/>
    <col min="11785" max="11785" width="11.625" style="262" customWidth="1"/>
    <col min="11786" max="11786" width="9" style="262"/>
    <col min="11787" max="11787" width="15" style="262" bestFit="1" customWidth="1"/>
    <col min="11788" max="11788" width="13.625" style="262" bestFit="1" customWidth="1"/>
    <col min="11789" max="12029" width="9" style="262"/>
    <col min="12030" max="12030" width="2" style="262" customWidth="1"/>
    <col min="12031" max="12031" width="5" style="262" customWidth="1"/>
    <col min="12032" max="12033" width="3.625" style="262" customWidth="1"/>
    <col min="12034" max="12034" width="9" style="262"/>
    <col min="12035" max="12035" width="10" style="262" customWidth="1"/>
    <col min="12036" max="12037" width="5.5" style="262" customWidth="1"/>
    <col min="12038" max="12038" width="9" style="262"/>
    <col min="12039" max="12039" width="11.625" style="262" customWidth="1"/>
    <col min="12040" max="12040" width="9" style="262"/>
    <col min="12041" max="12041" width="11.625" style="262" customWidth="1"/>
    <col min="12042" max="12042" width="9" style="262"/>
    <col min="12043" max="12043" width="15" style="262" bestFit="1" customWidth="1"/>
    <col min="12044" max="12044" width="13.625" style="262" bestFit="1" customWidth="1"/>
    <col min="12045" max="12285" width="9" style="262"/>
    <col min="12286" max="12286" width="2" style="262" customWidth="1"/>
    <col min="12287" max="12287" width="5" style="262" customWidth="1"/>
    <col min="12288" max="12289" width="3.625" style="262" customWidth="1"/>
    <col min="12290" max="12290" width="9" style="262"/>
    <col min="12291" max="12291" width="10" style="262" customWidth="1"/>
    <col min="12292" max="12293" width="5.5" style="262" customWidth="1"/>
    <col min="12294" max="12294" width="9" style="262"/>
    <col min="12295" max="12295" width="11.625" style="262" customWidth="1"/>
    <col min="12296" max="12296" width="9" style="262"/>
    <col min="12297" max="12297" width="11.625" style="262" customWidth="1"/>
    <col min="12298" max="12298" width="9" style="262"/>
    <col min="12299" max="12299" width="15" style="262" bestFit="1" customWidth="1"/>
    <col min="12300" max="12300" width="13.625" style="262" bestFit="1" customWidth="1"/>
    <col min="12301" max="12541" width="9" style="262"/>
    <col min="12542" max="12542" width="2" style="262" customWidth="1"/>
    <col min="12543" max="12543" width="5" style="262" customWidth="1"/>
    <col min="12544" max="12545" width="3.625" style="262" customWidth="1"/>
    <col min="12546" max="12546" width="9" style="262"/>
    <col min="12547" max="12547" width="10" style="262" customWidth="1"/>
    <col min="12548" max="12549" width="5.5" style="262" customWidth="1"/>
    <col min="12550" max="12550" width="9" style="262"/>
    <col min="12551" max="12551" width="11.625" style="262" customWidth="1"/>
    <col min="12552" max="12552" width="9" style="262"/>
    <col min="12553" max="12553" width="11.625" style="262" customWidth="1"/>
    <col min="12554" max="12554" width="9" style="262"/>
    <col min="12555" max="12555" width="15" style="262" bestFit="1" customWidth="1"/>
    <col min="12556" max="12556" width="13.625" style="262" bestFit="1" customWidth="1"/>
    <col min="12557" max="12797" width="9" style="262"/>
    <col min="12798" max="12798" width="2" style="262" customWidth="1"/>
    <col min="12799" max="12799" width="5" style="262" customWidth="1"/>
    <col min="12800" max="12801" width="3.625" style="262" customWidth="1"/>
    <col min="12802" max="12802" width="9" style="262"/>
    <col min="12803" max="12803" width="10" style="262" customWidth="1"/>
    <col min="12804" max="12805" width="5.5" style="262" customWidth="1"/>
    <col min="12806" max="12806" width="9" style="262"/>
    <col min="12807" max="12807" width="11.625" style="262" customWidth="1"/>
    <col min="12808" max="12808" width="9" style="262"/>
    <col min="12809" max="12809" width="11.625" style="262" customWidth="1"/>
    <col min="12810" max="12810" width="9" style="262"/>
    <col min="12811" max="12811" width="15" style="262" bestFit="1" customWidth="1"/>
    <col min="12812" max="12812" width="13.625" style="262" bestFit="1" customWidth="1"/>
    <col min="12813" max="13053" width="9" style="262"/>
    <col min="13054" max="13054" width="2" style="262" customWidth="1"/>
    <col min="13055" max="13055" width="5" style="262" customWidth="1"/>
    <col min="13056" max="13057" width="3.625" style="262" customWidth="1"/>
    <col min="13058" max="13058" width="9" style="262"/>
    <col min="13059" max="13059" width="10" style="262" customWidth="1"/>
    <col min="13060" max="13061" width="5.5" style="262" customWidth="1"/>
    <col min="13062" max="13062" width="9" style="262"/>
    <col min="13063" max="13063" width="11.625" style="262" customWidth="1"/>
    <col min="13064" max="13064" width="9" style="262"/>
    <col min="13065" max="13065" width="11.625" style="262" customWidth="1"/>
    <col min="13066" max="13066" width="9" style="262"/>
    <col min="13067" max="13067" width="15" style="262" bestFit="1" customWidth="1"/>
    <col min="13068" max="13068" width="13.625" style="262" bestFit="1" customWidth="1"/>
    <col min="13069" max="13309" width="9" style="262"/>
    <col min="13310" max="13310" width="2" style="262" customWidth="1"/>
    <col min="13311" max="13311" width="5" style="262" customWidth="1"/>
    <col min="13312" max="13313" width="3.625" style="262" customWidth="1"/>
    <col min="13314" max="13314" width="9" style="262"/>
    <col min="13315" max="13315" width="10" style="262" customWidth="1"/>
    <col min="13316" max="13317" width="5.5" style="262" customWidth="1"/>
    <col min="13318" max="13318" width="9" style="262"/>
    <col min="13319" max="13319" width="11.625" style="262" customWidth="1"/>
    <col min="13320" max="13320" width="9" style="262"/>
    <col min="13321" max="13321" width="11.625" style="262" customWidth="1"/>
    <col min="13322" max="13322" width="9" style="262"/>
    <col min="13323" max="13323" width="15" style="262" bestFit="1" customWidth="1"/>
    <col min="13324" max="13324" width="13.625" style="262" bestFit="1" customWidth="1"/>
    <col min="13325" max="13565" width="9" style="262"/>
    <col min="13566" max="13566" width="2" style="262" customWidth="1"/>
    <col min="13567" max="13567" width="5" style="262" customWidth="1"/>
    <col min="13568" max="13569" width="3.625" style="262" customWidth="1"/>
    <col min="13570" max="13570" width="9" style="262"/>
    <col min="13571" max="13571" width="10" style="262" customWidth="1"/>
    <col min="13572" max="13573" width="5.5" style="262" customWidth="1"/>
    <col min="13574" max="13574" width="9" style="262"/>
    <col min="13575" max="13575" width="11.625" style="262" customWidth="1"/>
    <col min="13576" max="13576" width="9" style="262"/>
    <col min="13577" max="13577" width="11.625" style="262" customWidth="1"/>
    <col min="13578" max="13578" width="9" style="262"/>
    <col min="13579" max="13579" width="15" style="262" bestFit="1" customWidth="1"/>
    <col min="13580" max="13580" width="13.625" style="262" bestFit="1" customWidth="1"/>
    <col min="13581" max="13821" width="9" style="262"/>
    <col min="13822" max="13822" width="2" style="262" customWidth="1"/>
    <col min="13823" max="13823" width="5" style="262" customWidth="1"/>
    <col min="13824" max="13825" width="3.625" style="262" customWidth="1"/>
    <col min="13826" max="13826" width="9" style="262"/>
    <col min="13827" max="13827" width="10" style="262" customWidth="1"/>
    <col min="13828" max="13829" width="5.5" style="262" customWidth="1"/>
    <col min="13830" max="13830" width="9" style="262"/>
    <col min="13831" max="13831" width="11.625" style="262" customWidth="1"/>
    <col min="13832" max="13832" width="9" style="262"/>
    <col min="13833" max="13833" width="11.625" style="262" customWidth="1"/>
    <col min="13834" max="13834" width="9" style="262"/>
    <col min="13835" max="13835" width="15" style="262" bestFit="1" customWidth="1"/>
    <col min="13836" max="13836" width="13.625" style="262" bestFit="1" customWidth="1"/>
    <col min="13837" max="14077" width="9" style="262"/>
    <col min="14078" max="14078" width="2" style="262" customWidth="1"/>
    <col min="14079" max="14079" width="5" style="262" customWidth="1"/>
    <col min="14080" max="14081" width="3.625" style="262" customWidth="1"/>
    <col min="14082" max="14082" width="9" style="262"/>
    <col min="14083" max="14083" width="10" style="262" customWidth="1"/>
    <col min="14084" max="14085" width="5.5" style="262" customWidth="1"/>
    <col min="14086" max="14086" width="9" style="262"/>
    <col min="14087" max="14087" width="11.625" style="262" customWidth="1"/>
    <col min="14088" max="14088" width="9" style="262"/>
    <col min="14089" max="14089" width="11.625" style="262" customWidth="1"/>
    <col min="14090" max="14090" width="9" style="262"/>
    <col min="14091" max="14091" width="15" style="262" bestFit="1" customWidth="1"/>
    <col min="14092" max="14092" width="13.625" style="262" bestFit="1" customWidth="1"/>
    <col min="14093" max="14333" width="9" style="262"/>
    <col min="14334" max="14334" width="2" style="262" customWidth="1"/>
    <col min="14335" max="14335" width="5" style="262" customWidth="1"/>
    <col min="14336" max="14337" width="3.625" style="262" customWidth="1"/>
    <col min="14338" max="14338" width="9" style="262"/>
    <col min="14339" max="14339" width="10" style="262" customWidth="1"/>
    <col min="14340" max="14341" width="5.5" style="262" customWidth="1"/>
    <col min="14342" max="14342" width="9" style="262"/>
    <col min="14343" max="14343" width="11.625" style="262" customWidth="1"/>
    <col min="14344" max="14344" width="9" style="262"/>
    <col min="14345" max="14345" width="11.625" style="262" customWidth="1"/>
    <col min="14346" max="14346" width="9" style="262"/>
    <col min="14347" max="14347" width="15" style="262" bestFit="1" customWidth="1"/>
    <col min="14348" max="14348" width="13.625" style="262" bestFit="1" customWidth="1"/>
    <col min="14349" max="14589" width="9" style="262"/>
    <col min="14590" max="14590" width="2" style="262" customWidth="1"/>
    <col min="14591" max="14591" width="5" style="262" customWidth="1"/>
    <col min="14592" max="14593" width="3.625" style="262" customWidth="1"/>
    <col min="14594" max="14594" width="9" style="262"/>
    <col min="14595" max="14595" width="10" style="262" customWidth="1"/>
    <col min="14596" max="14597" width="5.5" style="262" customWidth="1"/>
    <col min="14598" max="14598" width="9" style="262"/>
    <col min="14599" max="14599" width="11.625" style="262" customWidth="1"/>
    <col min="14600" max="14600" width="9" style="262"/>
    <col min="14601" max="14601" width="11.625" style="262" customWidth="1"/>
    <col min="14602" max="14602" width="9" style="262"/>
    <col min="14603" max="14603" width="15" style="262" bestFit="1" customWidth="1"/>
    <col min="14604" max="14604" width="13.625" style="262" bestFit="1" customWidth="1"/>
    <col min="14605" max="14845" width="9" style="262"/>
    <col min="14846" max="14846" width="2" style="262" customWidth="1"/>
    <col min="14847" max="14847" width="5" style="262" customWidth="1"/>
    <col min="14848" max="14849" width="3.625" style="262" customWidth="1"/>
    <col min="14850" max="14850" width="9" style="262"/>
    <col min="14851" max="14851" width="10" style="262" customWidth="1"/>
    <col min="14852" max="14853" width="5.5" style="262" customWidth="1"/>
    <col min="14854" max="14854" width="9" style="262"/>
    <col min="14855" max="14855" width="11.625" style="262" customWidth="1"/>
    <col min="14856" max="14856" width="9" style="262"/>
    <col min="14857" max="14857" width="11.625" style="262" customWidth="1"/>
    <col min="14858" max="14858" width="9" style="262"/>
    <col min="14859" max="14859" width="15" style="262" bestFit="1" customWidth="1"/>
    <col min="14860" max="14860" width="13.625" style="262" bestFit="1" customWidth="1"/>
    <col min="14861" max="15101" width="9" style="262"/>
    <col min="15102" max="15102" width="2" style="262" customWidth="1"/>
    <col min="15103" max="15103" width="5" style="262" customWidth="1"/>
    <col min="15104" max="15105" width="3.625" style="262" customWidth="1"/>
    <col min="15106" max="15106" width="9" style="262"/>
    <col min="15107" max="15107" width="10" style="262" customWidth="1"/>
    <col min="15108" max="15109" width="5.5" style="262" customWidth="1"/>
    <col min="15110" max="15110" width="9" style="262"/>
    <col min="15111" max="15111" width="11.625" style="262" customWidth="1"/>
    <col min="15112" max="15112" width="9" style="262"/>
    <col min="15113" max="15113" width="11.625" style="262" customWidth="1"/>
    <col min="15114" max="15114" width="9" style="262"/>
    <col min="15115" max="15115" width="15" style="262" bestFit="1" customWidth="1"/>
    <col min="15116" max="15116" width="13.625" style="262" bestFit="1" customWidth="1"/>
    <col min="15117" max="15357" width="9" style="262"/>
    <col min="15358" max="15358" width="2" style="262" customWidth="1"/>
    <col min="15359" max="15359" width="5" style="262" customWidth="1"/>
    <col min="15360" max="15361" width="3.625" style="262" customWidth="1"/>
    <col min="15362" max="15362" width="9" style="262"/>
    <col min="15363" max="15363" width="10" style="262" customWidth="1"/>
    <col min="15364" max="15365" width="5.5" style="262" customWidth="1"/>
    <col min="15366" max="15366" width="9" style="262"/>
    <col min="15367" max="15367" width="11.625" style="262" customWidth="1"/>
    <col min="15368" max="15368" width="9" style="262"/>
    <col min="15369" max="15369" width="11.625" style="262" customWidth="1"/>
    <col min="15370" max="15370" width="9" style="262"/>
    <col min="15371" max="15371" width="15" style="262" bestFit="1" customWidth="1"/>
    <col min="15372" max="15372" width="13.625" style="262" bestFit="1" customWidth="1"/>
    <col min="15373" max="15613" width="9" style="262"/>
    <col min="15614" max="15614" width="2" style="262" customWidth="1"/>
    <col min="15615" max="15615" width="5" style="262" customWidth="1"/>
    <col min="15616" max="15617" width="3.625" style="262" customWidth="1"/>
    <col min="15618" max="15618" width="9" style="262"/>
    <col min="15619" max="15619" width="10" style="262" customWidth="1"/>
    <col min="15620" max="15621" width="5.5" style="262" customWidth="1"/>
    <col min="15622" max="15622" width="9" style="262"/>
    <col min="15623" max="15623" width="11.625" style="262" customWidth="1"/>
    <col min="15624" max="15624" width="9" style="262"/>
    <col min="15625" max="15625" width="11.625" style="262" customWidth="1"/>
    <col min="15626" max="15626" width="9" style="262"/>
    <col min="15627" max="15627" width="15" style="262" bestFit="1" customWidth="1"/>
    <col min="15628" max="15628" width="13.625" style="262" bestFit="1" customWidth="1"/>
    <col min="15629" max="15869" width="9" style="262"/>
    <col min="15870" max="15870" width="2" style="262" customWidth="1"/>
    <col min="15871" max="15871" width="5" style="262" customWidth="1"/>
    <col min="15872" max="15873" width="3.625" style="262" customWidth="1"/>
    <col min="15874" max="15874" width="9" style="262"/>
    <col min="15875" max="15875" width="10" style="262" customWidth="1"/>
    <col min="15876" max="15877" width="5.5" style="262" customWidth="1"/>
    <col min="15878" max="15878" width="9" style="262"/>
    <col min="15879" max="15879" width="11.625" style="262" customWidth="1"/>
    <col min="15880" max="15880" width="9" style="262"/>
    <col min="15881" max="15881" width="11.625" style="262" customWidth="1"/>
    <col min="15882" max="15882" width="9" style="262"/>
    <col min="15883" max="15883" width="15" style="262" bestFit="1" customWidth="1"/>
    <col min="15884" max="15884" width="13.625" style="262" bestFit="1" customWidth="1"/>
    <col min="15885" max="16125" width="9" style="262"/>
    <col min="16126" max="16126" width="2" style="262" customWidth="1"/>
    <col min="16127" max="16127" width="5" style="262" customWidth="1"/>
    <col min="16128" max="16129" width="3.625" style="262" customWidth="1"/>
    <col min="16130" max="16130" width="9" style="262"/>
    <col min="16131" max="16131" width="10" style="262" customWidth="1"/>
    <col min="16132" max="16133" width="5.5" style="262" customWidth="1"/>
    <col min="16134" max="16134" width="9" style="262"/>
    <col min="16135" max="16135" width="11.625" style="262" customWidth="1"/>
    <col min="16136" max="16136" width="9" style="262"/>
    <col min="16137" max="16137" width="11.625" style="262" customWidth="1"/>
    <col min="16138" max="16138" width="9" style="262"/>
    <col min="16139" max="16139" width="15" style="262" bestFit="1" customWidth="1"/>
    <col min="16140" max="16140" width="13.625" style="262" bestFit="1" customWidth="1"/>
    <col min="16141" max="16384" width="9" style="262"/>
  </cols>
  <sheetData>
    <row r="1" spans="1:12" ht="33">
      <c r="A1" s="264" t="s">
        <v>2</v>
      </c>
      <c r="B1" s="289" t="s">
        <v>2430</v>
      </c>
      <c r="C1" s="290" t="s">
        <v>2666</v>
      </c>
      <c r="D1" s="291" t="s">
        <v>2695</v>
      </c>
      <c r="E1" s="291" t="s">
        <v>40</v>
      </c>
      <c r="F1" s="264" t="s">
        <v>2667</v>
      </c>
      <c r="G1" s="264" t="s">
        <v>2668</v>
      </c>
      <c r="H1" s="264" t="s">
        <v>2669</v>
      </c>
      <c r="I1" s="264" t="s">
        <v>2670</v>
      </c>
      <c r="J1" s="264" t="s">
        <v>2669</v>
      </c>
      <c r="K1" s="264" t="s">
        <v>2670</v>
      </c>
      <c r="L1" s="264"/>
    </row>
    <row r="2" spans="1:12" ht="18" customHeight="1">
      <c r="A2" s="264">
        <v>1</v>
      </c>
      <c r="B2" s="270">
        <v>45659</v>
      </c>
      <c r="C2" s="265" t="s">
        <v>2671</v>
      </c>
      <c r="D2" s="265" t="s">
        <v>2672</v>
      </c>
      <c r="E2" s="265" t="s">
        <v>2673</v>
      </c>
      <c r="F2" s="266">
        <v>1</v>
      </c>
      <c r="G2" s="266">
        <f t="shared" ref="G2:G65" si="0">L2/F2/1.1</f>
        <v>278181.81818181818</v>
      </c>
      <c r="H2" s="267">
        <f t="shared" ref="H2:H65" si="1">F2*G2</f>
        <v>278181.81818181818</v>
      </c>
      <c r="I2" s="267">
        <f>H2*10%</f>
        <v>27818.18181818182</v>
      </c>
      <c r="J2" s="267">
        <f>IF(E2="매출",F2*G2,0)</f>
        <v>0</v>
      </c>
      <c r="K2" s="267">
        <f t="shared" ref="K2:K37" si="2">J2*10%</f>
        <v>0</v>
      </c>
      <c r="L2" s="268">
        <v>306000</v>
      </c>
    </row>
    <row r="3" spans="1:12" ht="18" customHeight="1">
      <c r="A3" s="264">
        <v>2</v>
      </c>
      <c r="B3" s="270">
        <v>45663</v>
      </c>
      <c r="C3" s="265" t="s">
        <v>2674</v>
      </c>
      <c r="D3" s="265" t="s">
        <v>2675</v>
      </c>
      <c r="E3" s="265" t="s">
        <v>2673</v>
      </c>
      <c r="F3" s="266">
        <v>1</v>
      </c>
      <c r="G3" s="266">
        <f t="shared" si="0"/>
        <v>21818.181818181816</v>
      </c>
      <c r="H3" s="267">
        <f t="shared" si="1"/>
        <v>21818.181818181816</v>
      </c>
      <c r="I3" s="267">
        <f t="shared" ref="I3:I66" si="3">H3*10%</f>
        <v>2181.8181818181815</v>
      </c>
      <c r="J3" s="267">
        <f t="shared" ref="J3:J66" si="4">IF(E3="매출",F3*G3,0)</f>
        <v>0</v>
      </c>
      <c r="K3" s="267">
        <f t="shared" si="2"/>
        <v>0</v>
      </c>
      <c r="L3" s="268">
        <v>24000</v>
      </c>
    </row>
    <row r="4" spans="1:12" ht="18" customHeight="1">
      <c r="A4" s="264">
        <v>3</v>
      </c>
      <c r="B4" s="270">
        <v>45663</v>
      </c>
      <c r="C4" s="265" t="s">
        <v>2671</v>
      </c>
      <c r="D4" s="265" t="s">
        <v>2672</v>
      </c>
      <c r="E4" s="265" t="s">
        <v>2673</v>
      </c>
      <c r="F4" s="266">
        <v>1</v>
      </c>
      <c r="G4" s="266">
        <f t="shared" si="0"/>
        <v>600909.09090909082</v>
      </c>
      <c r="H4" s="267">
        <f t="shared" si="1"/>
        <v>600909.09090909082</v>
      </c>
      <c r="I4" s="267">
        <f t="shared" si="3"/>
        <v>60090.909090909088</v>
      </c>
      <c r="J4" s="267">
        <f t="shared" si="4"/>
        <v>0</v>
      </c>
      <c r="K4" s="267">
        <f t="shared" si="2"/>
        <v>0</v>
      </c>
      <c r="L4" s="268">
        <v>661000</v>
      </c>
    </row>
    <row r="5" spans="1:12" ht="18" customHeight="1">
      <c r="A5" s="264">
        <v>4</v>
      </c>
      <c r="B5" s="270">
        <v>45670</v>
      </c>
      <c r="C5" s="265" t="s">
        <v>2671</v>
      </c>
      <c r="D5" s="265" t="s">
        <v>2672</v>
      </c>
      <c r="E5" s="265" t="s">
        <v>2673</v>
      </c>
      <c r="F5" s="266">
        <v>1</v>
      </c>
      <c r="G5" s="266">
        <f t="shared" si="0"/>
        <v>417272.72727272724</v>
      </c>
      <c r="H5" s="267">
        <f t="shared" si="1"/>
        <v>417272.72727272724</v>
      </c>
      <c r="I5" s="267">
        <f t="shared" si="3"/>
        <v>41727.272727272728</v>
      </c>
      <c r="J5" s="267">
        <f t="shared" si="4"/>
        <v>0</v>
      </c>
      <c r="K5" s="267">
        <f t="shared" si="2"/>
        <v>0</v>
      </c>
      <c r="L5" s="268">
        <v>459000</v>
      </c>
    </row>
    <row r="6" spans="1:12" ht="18" customHeight="1">
      <c r="A6" s="264">
        <v>5</v>
      </c>
      <c r="B6" s="270">
        <v>45671</v>
      </c>
      <c r="C6" s="265" t="s">
        <v>2671</v>
      </c>
      <c r="D6" s="265" t="s">
        <v>2672</v>
      </c>
      <c r="E6" s="265" t="s">
        <v>2676</v>
      </c>
      <c r="F6" s="266">
        <v>1</v>
      </c>
      <c r="G6" s="266">
        <f t="shared" si="0"/>
        <v>87818.181818181809</v>
      </c>
      <c r="H6" s="267">
        <f t="shared" si="1"/>
        <v>87818.181818181809</v>
      </c>
      <c r="I6" s="267">
        <f t="shared" si="3"/>
        <v>8781.818181818182</v>
      </c>
      <c r="J6" s="267">
        <f t="shared" si="4"/>
        <v>0</v>
      </c>
      <c r="K6" s="267">
        <f t="shared" si="2"/>
        <v>0</v>
      </c>
      <c r="L6" s="268">
        <v>96600</v>
      </c>
    </row>
    <row r="7" spans="1:12" ht="18" customHeight="1">
      <c r="A7" s="264">
        <v>6</v>
      </c>
      <c r="B7" s="270">
        <v>45671</v>
      </c>
      <c r="C7" s="265" t="s">
        <v>2677</v>
      </c>
      <c r="D7" s="265" t="s">
        <v>2678</v>
      </c>
      <c r="E7" s="265" t="s">
        <v>2673</v>
      </c>
      <c r="F7" s="266">
        <v>1</v>
      </c>
      <c r="G7" s="266">
        <f t="shared" si="0"/>
        <v>49999.999999999993</v>
      </c>
      <c r="H7" s="267">
        <f t="shared" si="1"/>
        <v>49999.999999999993</v>
      </c>
      <c r="I7" s="267">
        <f t="shared" si="3"/>
        <v>5000</v>
      </c>
      <c r="J7" s="267">
        <f t="shared" si="4"/>
        <v>0</v>
      </c>
      <c r="K7" s="267">
        <f t="shared" si="2"/>
        <v>0</v>
      </c>
      <c r="L7" s="268">
        <v>55000</v>
      </c>
    </row>
    <row r="8" spans="1:12" ht="18" customHeight="1">
      <c r="A8" s="264">
        <v>7</v>
      </c>
      <c r="B8" s="270">
        <v>45680</v>
      </c>
      <c r="C8" s="265" t="s">
        <v>2679</v>
      </c>
      <c r="D8" s="265" t="s">
        <v>2680</v>
      </c>
      <c r="E8" s="265" t="s">
        <v>2673</v>
      </c>
      <c r="F8" s="266">
        <v>1</v>
      </c>
      <c r="G8" s="266">
        <f t="shared" si="0"/>
        <v>727272.72727272718</v>
      </c>
      <c r="H8" s="267">
        <f t="shared" si="1"/>
        <v>727272.72727272718</v>
      </c>
      <c r="I8" s="267">
        <f t="shared" si="3"/>
        <v>72727.272727272721</v>
      </c>
      <c r="J8" s="267">
        <f t="shared" si="4"/>
        <v>0</v>
      </c>
      <c r="K8" s="267">
        <f t="shared" si="2"/>
        <v>0</v>
      </c>
      <c r="L8" s="268">
        <v>800000</v>
      </c>
    </row>
    <row r="9" spans="1:12" ht="18" customHeight="1">
      <c r="A9" s="264">
        <v>8</v>
      </c>
      <c r="B9" s="270">
        <v>45681</v>
      </c>
      <c r="C9" s="265" t="s">
        <v>2681</v>
      </c>
      <c r="D9" s="265" t="s">
        <v>2672</v>
      </c>
      <c r="E9" s="265" t="s">
        <v>2676</v>
      </c>
      <c r="F9" s="266">
        <v>1</v>
      </c>
      <c r="G9" s="266">
        <f t="shared" si="0"/>
        <v>766363.63636363635</v>
      </c>
      <c r="H9" s="267">
        <f t="shared" si="1"/>
        <v>766363.63636363635</v>
      </c>
      <c r="I9" s="267">
        <f t="shared" si="3"/>
        <v>76636.363636363632</v>
      </c>
      <c r="J9" s="267">
        <f t="shared" si="4"/>
        <v>0</v>
      </c>
      <c r="K9" s="267">
        <f t="shared" si="2"/>
        <v>0</v>
      </c>
      <c r="L9" s="268">
        <v>843000</v>
      </c>
    </row>
    <row r="10" spans="1:12" ht="18" customHeight="1">
      <c r="A10" s="264">
        <v>9</v>
      </c>
      <c r="B10" s="270">
        <v>45681</v>
      </c>
      <c r="C10" s="265" t="s">
        <v>2682</v>
      </c>
      <c r="D10" s="265" t="s">
        <v>2672</v>
      </c>
      <c r="E10" s="265" t="s">
        <v>2676</v>
      </c>
      <c r="F10" s="266">
        <v>1</v>
      </c>
      <c r="G10" s="266">
        <f t="shared" si="0"/>
        <v>299090.90909090906</v>
      </c>
      <c r="H10" s="267">
        <f t="shared" si="1"/>
        <v>299090.90909090906</v>
      </c>
      <c r="I10" s="267">
        <f t="shared" si="3"/>
        <v>29909.090909090908</v>
      </c>
      <c r="J10" s="267">
        <f t="shared" si="4"/>
        <v>0</v>
      </c>
      <c r="K10" s="267">
        <f t="shared" si="2"/>
        <v>0</v>
      </c>
      <c r="L10" s="268">
        <v>329000</v>
      </c>
    </row>
    <row r="11" spans="1:12" ht="18" customHeight="1">
      <c r="A11" s="264">
        <v>10</v>
      </c>
      <c r="B11" s="270">
        <v>45691</v>
      </c>
      <c r="C11" s="265" t="s">
        <v>2671</v>
      </c>
      <c r="D11" s="265" t="s">
        <v>2672</v>
      </c>
      <c r="E11" s="265" t="s">
        <v>2673</v>
      </c>
      <c r="F11" s="266">
        <v>1</v>
      </c>
      <c r="G11" s="266">
        <f t="shared" si="0"/>
        <v>87818.181818181809</v>
      </c>
      <c r="H11" s="267">
        <f t="shared" si="1"/>
        <v>87818.181818181809</v>
      </c>
      <c r="I11" s="267">
        <f t="shared" si="3"/>
        <v>8781.818181818182</v>
      </c>
      <c r="J11" s="267">
        <f t="shared" si="4"/>
        <v>0</v>
      </c>
      <c r="K11" s="267">
        <f t="shared" si="2"/>
        <v>0</v>
      </c>
      <c r="L11" s="268">
        <v>96600</v>
      </c>
    </row>
    <row r="12" spans="1:12" ht="18" customHeight="1">
      <c r="A12" s="264">
        <v>11</v>
      </c>
      <c r="B12" s="270">
        <v>45699</v>
      </c>
      <c r="C12" s="265" t="s">
        <v>2671</v>
      </c>
      <c r="D12" s="265" t="s">
        <v>2672</v>
      </c>
      <c r="E12" s="265" t="s">
        <v>2673</v>
      </c>
      <c r="F12" s="266">
        <v>1</v>
      </c>
      <c r="G12" s="266">
        <f t="shared" si="0"/>
        <v>139090.90909090909</v>
      </c>
      <c r="H12" s="267">
        <f t="shared" si="1"/>
        <v>139090.90909090909</v>
      </c>
      <c r="I12" s="267">
        <f t="shared" si="3"/>
        <v>13909.09090909091</v>
      </c>
      <c r="J12" s="267">
        <f t="shared" si="4"/>
        <v>0</v>
      </c>
      <c r="K12" s="267">
        <f t="shared" si="2"/>
        <v>0</v>
      </c>
      <c r="L12" s="268">
        <v>153000</v>
      </c>
    </row>
    <row r="13" spans="1:12" ht="18" customHeight="1">
      <c r="A13" s="264">
        <v>12</v>
      </c>
      <c r="B13" s="270">
        <v>45699</v>
      </c>
      <c r="C13" s="265" t="s">
        <v>2674</v>
      </c>
      <c r="D13" s="265" t="s">
        <v>2675</v>
      </c>
      <c r="E13" s="265" t="s">
        <v>2676</v>
      </c>
      <c r="F13" s="266">
        <v>1</v>
      </c>
      <c r="G13" s="266">
        <f t="shared" si="0"/>
        <v>21818.181818181816</v>
      </c>
      <c r="H13" s="267">
        <f t="shared" si="1"/>
        <v>21818.181818181816</v>
      </c>
      <c r="I13" s="267">
        <f t="shared" si="3"/>
        <v>2181.8181818181815</v>
      </c>
      <c r="J13" s="267">
        <f t="shared" si="4"/>
        <v>0</v>
      </c>
      <c r="K13" s="267">
        <f t="shared" si="2"/>
        <v>0</v>
      </c>
      <c r="L13" s="268">
        <v>24000</v>
      </c>
    </row>
    <row r="14" spans="1:12" ht="18" customHeight="1">
      <c r="A14" s="264">
        <v>13</v>
      </c>
      <c r="B14" s="270">
        <v>45706</v>
      </c>
      <c r="C14" s="265" t="s">
        <v>2671</v>
      </c>
      <c r="D14" s="265" t="s">
        <v>2672</v>
      </c>
      <c r="E14" s="265" t="s">
        <v>2676</v>
      </c>
      <c r="F14" s="266">
        <v>1</v>
      </c>
      <c r="G14" s="266">
        <f t="shared" si="0"/>
        <v>87818.181818181809</v>
      </c>
      <c r="H14" s="267">
        <f t="shared" si="1"/>
        <v>87818.181818181809</v>
      </c>
      <c r="I14" s="267">
        <f t="shared" si="3"/>
        <v>8781.818181818182</v>
      </c>
      <c r="J14" s="267">
        <f t="shared" si="4"/>
        <v>0</v>
      </c>
      <c r="K14" s="267">
        <f t="shared" si="2"/>
        <v>0</v>
      </c>
      <c r="L14" s="268">
        <v>96600</v>
      </c>
    </row>
    <row r="15" spans="1:12" ht="18" customHeight="1">
      <c r="A15" s="264">
        <v>14</v>
      </c>
      <c r="B15" s="270">
        <v>45714</v>
      </c>
      <c r="C15" s="265" t="s">
        <v>2683</v>
      </c>
      <c r="D15" s="265" t="s">
        <v>2684</v>
      </c>
      <c r="E15" s="265" t="s">
        <v>2676</v>
      </c>
      <c r="F15" s="266">
        <v>1</v>
      </c>
      <c r="G15" s="266">
        <f t="shared" si="0"/>
        <v>97636.363636363632</v>
      </c>
      <c r="H15" s="267">
        <f t="shared" si="1"/>
        <v>97636.363636363632</v>
      </c>
      <c r="I15" s="267">
        <f t="shared" si="3"/>
        <v>9763.636363636364</v>
      </c>
      <c r="J15" s="267">
        <f t="shared" si="4"/>
        <v>0</v>
      </c>
      <c r="K15" s="267">
        <f t="shared" si="2"/>
        <v>0</v>
      </c>
      <c r="L15" s="268">
        <v>107400</v>
      </c>
    </row>
    <row r="16" spans="1:12" ht="18" customHeight="1">
      <c r="A16" s="264">
        <v>15</v>
      </c>
      <c r="B16" s="270">
        <v>45714</v>
      </c>
      <c r="C16" s="265" t="s">
        <v>2671</v>
      </c>
      <c r="D16" s="265" t="s">
        <v>2672</v>
      </c>
      <c r="E16" s="265" t="s">
        <v>2676</v>
      </c>
      <c r="F16" s="266">
        <v>1</v>
      </c>
      <c r="G16" s="266">
        <f t="shared" si="0"/>
        <v>278181.81818181818</v>
      </c>
      <c r="H16" s="267">
        <f t="shared" si="1"/>
        <v>278181.81818181818</v>
      </c>
      <c r="I16" s="267">
        <f t="shared" si="3"/>
        <v>27818.18181818182</v>
      </c>
      <c r="J16" s="267">
        <f t="shared" si="4"/>
        <v>0</v>
      </c>
      <c r="K16" s="267">
        <f t="shared" si="2"/>
        <v>0</v>
      </c>
      <c r="L16" s="268">
        <v>306000</v>
      </c>
    </row>
    <row r="17" spans="1:12" ht="18" customHeight="1">
      <c r="A17" s="264">
        <v>16</v>
      </c>
      <c r="B17" s="270">
        <v>45719</v>
      </c>
      <c r="C17" s="265" t="s">
        <v>2682</v>
      </c>
      <c r="D17" s="265" t="s">
        <v>2672</v>
      </c>
      <c r="E17" s="265" t="s">
        <v>2673</v>
      </c>
      <c r="F17" s="266">
        <v>1</v>
      </c>
      <c r="G17" s="266">
        <f t="shared" si="0"/>
        <v>346363.63636363635</v>
      </c>
      <c r="H17" s="267">
        <f t="shared" si="1"/>
        <v>346363.63636363635</v>
      </c>
      <c r="I17" s="267">
        <f t="shared" si="3"/>
        <v>34636.36363636364</v>
      </c>
      <c r="J17" s="267">
        <f t="shared" si="4"/>
        <v>0</v>
      </c>
      <c r="K17" s="267">
        <f t="shared" si="2"/>
        <v>0</v>
      </c>
      <c r="L17" s="268">
        <v>381000</v>
      </c>
    </row>
    <row r="18" spans="1:12" ht="18" customHeight="1">
      <c r="A18" s="264">
        <v>17</v>
      </c>
      <c r="B18" s="270">
        <v>45719</v>
      </c>
      <c r="C18" s="265" t="s">
        <v>2685</v>
      </c>
      <c r="D18" s="265" t="s">
        <v>2686</v>
      </c>
      <c r="E18" s="265" t="s">
        <v>2676</v>
      </c>
      <c r="F18" s="266">
        <v>1</v>
      </c>
      <c r="G18" s="266">
        <f t="shared" si="0"/>
        <v>209090.90909090909</v>
      </c>
      <c r="H18" s="267">
        <f t="shared" si="1"/>
        <v>209090.90909090909</v>
      </c>
      <c r="I18" s="267">
        <f t="shared" si="3"/>
        <v>20909.090909090912</v>
      </c>
      <c r="J18" s="267">
        <f t="shared" si="4"/>
        <v>0</v>
      </c>
      <c r="K18" s="267">
        <f t="shared" si="2"/>
        <v>0</v>
      </c>
      <c r="L18" s="268">
        <v>230000</v>
      </c>
    </row>
    <row r="19" spans="1:12" ht="18" customHeight="1">
      <c r="A19" s="264">
        <v>18</v>
      </c>
      <c r="B19" s="270">
        <v>45719</v>
      </c>
      <c r="C19" s="265" t="s">
        <v>2681</v>
      </c>
      <c r="D19" s="265" t="s">
        <v>2672</v>
      </c>
      <c r="E19" s="265" t="s">
        <v>2676</v>
      </c>
      <c r="F19" s="266">
        <v>1</v>
      </c>
      <c r="G19" s="266">
        <f t="shared" si="0"/>
        <v>203636.36363636362</v>
      </c>
      <c r="H19" s="267">
        <f t="shared" si="1"/>
        <v>203636.36363636362</v>
      </c>
      <c r="I19" s="267">
        <f t="shared" si="3"/>
        <v>20363.636363636364</v>
      </c>
      <c r="J19" s="267">
        <f t="shared" si="4"/>
        <v>0</v>
      </c>
      <c r="K19" s="267">
        <f t="shared" si="2"/>
        <v>0</v>
      </c>
      <c r="L19" s="268">
        <v>224000</v>
      </c>
    </row>
    <row r="20" spans="1:12" ht="18" customHeight="1">
      <c r="A20" s="264">
        <v>19</v>
      </c>
      <c r="B20" s="270">
        <v>45719</v>
      </c>
      <c r="C20" s="265" t="s">
        <v>2687</v>
      </c>
      <c r="D20" s="265" t="s">
        <v>2684</v>
      </c>
      <c r="E20" s="265" t="s">
        <v>2676</v>
      </c>
      <c r="F20" s="266">
        <v>1</v>
      </c>
      <c r="G20" s="266">
        <f t="shared" si="0"/>
        <v>161909.09090909088</v>
      </c>
      <c r="H20" s="267">
        <f t="shared" si="1"/>
        <v>161909.09090909088</v>
      </c>
      <c r="I20" s="267">
        <f t="shared" si="3"/>
        <v>16190.909090909088</v>
      </c>
      <c r="J20" s="267">
        <f t="shared" si="4"/>
        <v>0</v>
      </c>
      <c r="K20" s="267">
        <f t="shared" si="2"/>
        <v>0</v>
      </c>
      <c r="L20" s="268">
        <v>178100</v>
      </c>
    </row>
    <row r="21" spans="1:12" ht="18" customHeight="1">
      <c r="A21" s="264">
        <v>20</v>
      </c>
      <c r="B21" s="270">
        <v>45720</v>
      </c>
      <c r="C21" s="265" t="s">
        <v>2688</v>
      </c>
      <c r="D21" s="265" t="s">
        <v>2689</v>
      </c>
      <c r="E21" s="265" t="s">
        <v>2676</v>
      </c>
      <c r="F21" s="266">
        <v>1</v>
      </c>
      <c r="G21" s="266">
        <f t="shared" si="0"/>
        <v>74181.818181818177</v>
      </c>
      <c r="H21" s="267">
        <f t="shared" si="1"/>
        <v>74181.818181818177</v>
      </c>
      <c r="I21" s="267">
        <f t="shared" si="3"/>
        <v>7418.181818181818</v>
      </c>
      <c r="J21" s="267">
        <f t="shared" si="4"/>
        <v>0</v>
      </c>
      <c r="K21" s="267">
        <f t="shared" si="2"/>
        <v>0</v>
      </c>
      <c r="L21" s="268">
        <v>81600</v>
      </c>
    </row>
    <row r="22" spans="1:12" ht="18" customHeight="1">
      <c r="A22" s="264">
        <v>21</v>
      </c>
      <c r="B22" s="270">
        <v>45720</v>
      </c>
      <c r="C22" s="265" t="s">
        <v>2690</v>
      </c>
      <c r="D22" s="265" t="s">
        <v>2691</v>
      </c>
      <c r="E22" s="265" t="s">
        <v>2676</v>
      </c>
      <c r="F22" s="266">
        <v>1</v>
      </c>
      <c r="G22" s="266">
        <f t="shared" si="0"/>
        <v>9090909.0909090899</v>
      </c>
      <c r="H22" s="267">
        <f t="shared" si="1"/>
        <v>9090909.0909090899</v>
      </c>
      <c r="I22" s="267">
        <f t="shared" si="3"/>
        <v>909090.90909090906</v>
      </c>
      <c r="J22" s="267">
        <f t="shared" si="4"/>
        <v>0</v>
      </c>
      <c r="K22" s="267">
        <f t="shared" si="2"/>
        <v>0</v>
      </c>
      <c r="L22" s="268">
        <v>10000000</v>
      </c>
    </row>
    <row r="23" spans="1:12" ht="18" customHeight="1">
      <c r="A23" s="264">
        <v>22</v>
      </c>
      <c r="B23" s="270">
        <v>45722</v>
      </c>
      <c r="C23" s="265" t="s">
        <v>2674</v>
      </c>
      <c r="D23" s="265" t="s">
        <v>2675</v>
      </c>
      <c r="E23" s="265" t="s">
        <v>2676</v>
      </c>
      <c r="F23" s="266">
        <v>1</v>
      </c>
      <c r="G23" s="266">
        <f t="shared" si="0"/>
        <v>21818.181818181816</v>
      </c>
      <c r="H23" s="267">
        <f t="shared" si="1"/>
        <v>21818.181818181816</v>
      </c>
      <c r="I23" s="267">
        <f t="shared" si="3"/>
        <v>2181.8181818181815</v>
      </c>
      <c r="J23" s="267">
        <f t="shared" si="4"/>
        <v>0</v>
      </c>
      <c r="K23" s="267">
        <f t="shared" si="2"/>
        <v>0</v>
      </c>
      <c r="L23" s="268">
        <v>24000</v>
      </c>
    </row>
    <row r="24" spans="1:12" ht="18" customHeight="1">
      <c r="A24" s="264">
        <v>23</v>
      </c>
      <c r="B24" s="270">
        <v>45727</v>
      </c>
      <c r="C24" s="265" t="s">
        <v>2671</v>
      </c>
      <c r="D24" s="265" t="s">
        <v>2672</v>
      </c>
      <c r="E24" s="265" t="s">
        <v>2676</v>
      </c>
      <c r="F24" s="266">
        <v>1</v>
      </c>
      <c r="G24" s="266">
        <f t="shared" si="0"/>
        <v>139090.90909090909</v>
      </c>
      <c r="H24" s="267">
        <f t="shared" si="1"/>
        <v>139090.90909090909</v>
      </c>
      <c r="I24" s="267">
        <f t="shared" si="3"/>
        <v>13909.09090909091</v>
      </c>
      <c r="J24" s="267">
        <f t="shared" si="4"/>
        <v>0</v>
      </c>
      <c r="K24" s="267">
        <f t="shared" si="2"/>
        <v>0</v>
      </c>
      <c r="L24" s="268">
        <v>153000</v>
      </c>
    </row>
    <row r="25" spans="1:12" ht="18" customHeight="1">
      <c r="A25" s="264">
        <v>24</v>
      </c>
      <c r="B25" s="270">
        <v>45747</v>
      </c>
      <c r="C25" s="265" t="s">
        <v>2671</v>
      </c>
      <c r="D25" s="265" t="s">
        <v>2692</v>
      </c>
      <c r="E25" s="265" t="s">
        <v>2676</v>
      </c>
      <c r="F25" s="266">
        <v>1</v>
      </c>
      <c r="G25" s="266">
        <f t="shared" si="0"/>
        <v>405818.18181818177</v>
      </c>
      <c r="H25" s="267">
        <f t="shared" si="1"/>
        <v>405818.18181818177</v>
      </c>
      <c r="I25" s="267">
        <f t="shared" si="3"/>
        <v>40581.818181818177</v>
      </c>
      <c r="J25" s="267">
        <f t="shared" si="4"/>
        <v>0</v>
      </c>
      <c r="K25" s="267">
        <f t="shared" si="2"/>
        <v>0</v>
      </c>
      <c r="L25" s="268">
        <v>446400</v>
      </c>
    </row>
    <row r="26" spans="1:12" ht="18" customHeight="1">
      <c r="A26" s="264">
        <v>25</v>
      </c>
      <c r="B26" s="270">
        <v>45749</v>
      </c>
      <c r="C26" s="265" t="s">
        <v>2693</v>
      </c>
      <c r="D26" s="265" t="s">
        <v>2672</v>
      </c>
      <c r="E26" s="265" t="s">
        <v>2676</v>
      </c>
      <c r="F26" s="266">
        <v>1</v>
      </c>
      <c r="G26" s="266">
        <f t="shared" si="0"/>
        <v>131818.18181818179</v>
      </c>
      <c r="H26" s="267">
        <f t="shared" si="1"/>
        <v>131818.18181818179</v>
      </c>
      <c r="I26" s="267">
        <f t="shared" si="3"/>
        <v>13181.81818181818</v>
      </c>
      <c r="J26" s="267">
        <f t="shared" si="4"/>
        <v>0</v>
      </c>
      <c r="K26" s="267">
        <f t="shared" si="2"/>
        <v>0</v>
      </c>
      <c r="L26" s="268">
        <v>145000</v>
      </c>
    </row>
    <row r="27" spans="1:12" ht="18" customHeight="1">
      <c r="A27" s="264">
        <v>26</v>
      </c>
      <c r="B27" s="270">
        <v>45761</v>
      </c>
      <c r="C27" s="265" t="s">
        <v>2671</v>
      </c>
      <c r="D27" s="265" t="s">
        <v>2672</v>
      </c>
      <c r="E27" s="265" t="s">
        <v>2676</v>
      </c>
      <c r="F27" s="266">
        <v>1</v>
      </c>
      <c r="G27" s="266">
        <f t="shared" si="0"/>
        <v>139090.90909090909</v>
      </c>
      <c r="H27" s="267">
        <f t="shared" si="1"/>
        <v>139090.90909090909</v>
      </c>
      <c r="I27" s="267">
        <f t="shared" si="3"/>
        <v>13909.09090909091</v>
      </c>
      <c r="J27" s="267">
        <f t="shared" si="4"/>
        <v>0</v>
      </c>
      <c r="K27" s="267">
        <f t="shared" si="2"/>
        <v>0</v>
      </c>
      <c r="L27" s="268">
        <v>153000</v>
      </c>
    </row>
    <row r="28" spans="1:12" ht="18" customHeight="1">
      <c r="A28" s="264">
        <v>27</v>
      </c>
      <c r="B28" s="270">
        <v>45762</v>
      </c>
      <c r="C28" s="265" t="s">
        <v>2671</v>
      </c>
      <c r="D28" s="265" t="s">
        <v>2672</v>
      </c>
      <c r="E28" s="265" t="s">
        <v>2676</v>
      </c>
      <c r="F28" s="266">
        <v>1</v>
      </c>
      <c r="G28" s="266">
        <f t="shared" si="0"/>
        <v>1429090.9090909089</v>
      </c>
      <c r="H28" s="267">
        <f t="shared" si="1"/>
        <v>1429090.9090909089</v>
      </c>
      <c r="I28" s="267">
        <f t="shared" si="3"/>
        <v>142909.09090909091</v>
      </c>
      <c r="J28" s="267">
        <f t="shared" si="4"/>
        <v>0</v>
      </c>
      <c r="K28" s="267">
        <f t="shared" si="2"/>
        <v>0</v>
      </c>
      <c r="L28" s="268">
        <v>1572000</v>
      </c>
    </row>
    <row r="29" spans="1:12" ht="18" customHeight="1">
      <c r="A29" s="264">
        <v>28</v>
      </c>
      <c r="B29" s="270">
        <v>45776</v>
      </c>
      <c r="C29" s="265" t="s">
        <v>2681</v>
      </c>
      <c r="D29" s="265" t="s">
        <v>2672</v>
      </c>
      <c r="E29" s="265" t="s">
        <v>2676</v>
      </c>
      <c r="F29" s="266">
        <v>1</v>
      </c>
      <c r="G29" s="266">
        <f t="shared" si="0"/>
        <v>636363.63636363635</v>
      </c>
      <c r="H29" s="267">
        <f t="shared" si="1"/>
        <v>636363.63636363635</v>
      </c>
      <c r="I29" s="267">
        <f t="shared" si="3"/>
        <v>63636.36363636364</v>
      </c>
      <c r="J29" s="267">
        <f t="shared" si="4"/>
        <v>0</v>
      </c>
      <c r="K29" s="267">
        <f t="shared" si="2"/>
        <v>0</v>
      </c>
      <c r="L29" s="268">
        <v>700000</v>
      </c>
    </row>
    <row r="30" spans="1:12" ht="18" customHeight="1">
      <c r="A30" s="264">
        <v>29</v>
      </c>
      <c r="B30" s="270">
        <v>45776</v>
      </c>
      <c r="C30" s="265" t="s">
        <v>2685</v>
      </c>
      <c r="D30" s="265" t="s">
        <v>2686</v>
      </c>
      <c r="E30" s="265" t="s">
        <v>2676</v>
      </c>
      <c r="F30" s="266">
        <v>1</v>
      </c>
      <c r="G30" s="266">
        <f t="shared" si="0"/>
        <v>541818.18181818177</v>
      </c>
      <c r="H30" s="267">
        <f t="shared" si="1"/>
        <v>541818.18181818177</v>
      </c>
      <c r="I30" s="267">
        <f t="shared" si="3"/>
        <v>54181.818181818177</v>
      </c>
      <c r="J30" s="267">
        <f t="shared" si="4"/>
        <v>0</v>
      </c>
      <c r="K30" s="267">
        <f t="shared" si="2"/>
        <v>0</v>
      </c>
      <c r="L30" s="268">
        <v>596000</v>
      </c>
    </row>
    <row r="31" spans="1:12" ht="18" customHeight="1">
      <c r="A31" s="264">
        <v>30</v>
      </c>
      <c r="B31" s="270">
        <v>45776</v>
      </c>
      <c r="C31" s="265" t="s">
        <v>2683</v>
      </c>
      <c r="D31" s="265" t="s">
        <v>2684</v>
      </c>
      <c r="E31" s="265" t="s">
        <v>2676</v>
      </c>
      <c r="F31" s="266">
        <v>1</v>
      </c>
      <c r="G31" s="266">
        <f t="shared" si="0"/>
        <v>125999.99999999999</v>
      </c>
      <c r="H31" s="267">
        <f t="shared" si="1"/>
        <v>125999.99999999999</v>
      </c>
      <c r="I31" s="267">
        <f t="shared" si="3"/>
        <v>12600</v>
      </c>
      <c r="J31" s="267">
        <f t="shared" si="4"/>
        <v>0</v>
      </c>
      <c r="K31" s="267">
        <f t="shared" si="2"/>
        <v>0</v>
      </c>
      <c r="L31" s="268">
        <v>138600</v>
      </c>
    </row>
    <row r="32" spans="1:12" ht="18" customHeight="1">
      <c r="A32" s="264">
        <v>31</v>
      </c>
      <c r="B32" s="270">
        <v>45776</v>
      </c>
      <c r="C32" s="265" t="s">
        <v>2682</v>
      </c>
      <c r="D32" s="265" t="s">
        <v>2672</v>
      </c>
      <c r="E32" s="265" t="s">
        <v>2676</v>
      </c>
      <c r="F32" s="266">
        <v>1</v>
      </c>
      <c r="G32" s="266">
        <f t="shared" si="0"/>
        <v>409999.99999999994</v>
      </c>
      <c r="H32" s="267">
        <f t="shared" si="1"/>
        <v>409999.99999999994</v>
      </c>
      <c r="I32" s="267">
        <f t="shared" si="3"/>
        <v>41000</v>
      </c>
      <c r="J32" s="267">
        <f t="shared" si="4"/>
        <v>0</v>
      </c>
      <c r="K32" s="267">
        <f t="shared" si="2"/>
        <v>0</v>
      </c>
      <c r="L32" s="268">
        <v>451000</v>
      </c>
    </row>
    <row r="33" spans="1:12" ht="18.75" customHeight="1">
      <c r="A33" s="264">
        <v>32</v>
      </c>
      <c r="B33" s="270">
        <v>45776</v>
      </c>
      <c r="C33" s="265" t="s">
        <v>2687</v>
      </c>
      <c r="D33" s="265" t="s">
        <v>2684</v>
      </c>
      <c r="E33" s="265" t="s">
        <v>2676</v>
      </c>
      <c r="F33" s="266">
        <v>1</v>
      </c>
      <c r="G33" s="266">
        <f t="shared" si="0"/>
        <v>221818.18181818179</v>
      </c>
      <c r="H33" s="267">
        <f t="shared" si="1"/>
        <v>221818.18181818179</v>
      </c>
      <c r="I33" s="267">
        <f t="shared" si="3"/>
        <v>22181.81818181818</v>
      </c>
      <c r="J33" s="267">
        <f t="shared" si="4"/>
        <v>0</v>
      </c>
      <c r="K33" s="267">
        <f t="shared" si="2"/>
        <v>0</v>
      </c>
      <c r="L33" s="268">
        <v>244000</v>
      </c>
    </row>
    <row r="34" spans="1:12" ht="18" customHeight="1">
      <c r="A34" s="264">
        <v>33</v>
      </c>
      <c r="B34" s="270">
        <v>45785</v>
      </c>
      <c r="C34" s="265" t="s">
        <v>2674</v>
      </c>
      <c r="D34" s="265" t="s">
        <v>2675</v>
      </c>
      <c r="E34" s="265" t="s">
        <v>2676</v>
      </c>
      <c r="F34" s="266">
        <v>1</v>
      </c>
      <c r="G34" s="266">
        <f t="shared" si="0"/>
        <v>43636.363636363632</v>
      </c>
      <c r="H34" s="267">
        <f t="shared" si="1"/>
        <v>43636.363636363632</v>
      </c>
      <c r="I34" s="267">
        <f t="shared" si="3"/>
        <v>4363.6363636363631</v>
      </c>
      <c r="J34" s="267">
        <f t="shared" si="4"/>
        <v>0</v>
      </c>
      <c r="K34" s="267">
        <f t="shared" si="2"/>
        <v>0</v>
      </c>
      <c r="L34" s="268">
        <v>48000</v>
      </c>
    </row>
    <row r="35" spans="1:12" ht="20.25" customHeight="1">
      <c r="A35" s="264">
        <v>34</v>
      </c>
      <c r="B35" s="270">
        <v>45786</v>
      </c>
      <c r="C35" s="265" t="s">
        <v>2671</v>
      </c>
      <c r="D35" s="265" t="s">
        <v>2672</v>
      </c>
      <c r="E35" s="265" t="s">
        <v>2676</v>
      </c>
      <c r="F35" s="266">
        <v>1</v>
      </c>
      <c r="G35" s="266">
        <f t="shared" si="0"/>
        <v>155454.54545454544</v>
      </c>
      <c r="H35" s="267">
        <f t="shared" si="1"/>
        <v>155454.54545454544</v>
      </c>
      <c r="I35" s="267">
        <f t="shared" si="3"/>
        <v>15545.454545454544</v>
      </c>
      <c r="J35" s="267">
        <f t="shared" si="4"/>
        <v>0</v>
      </c>
      <c r="K35" s="267">
        <f t="shared" si="2"/>
        <v>0</v>
      </c>
      <c r="L35" s="268">
        <v>171000</v>
      </c>
    </row>
    <row r="36" spans="1:12" ht="18" customHeight="1">
      <c r="A36" s="264">
        <v>35</v>
      </c>
      <c r="B36" s="270">
        <v>45791</v>
      </c>
      <c r="C36" s="265" t="s">
        <v>2674</v>
      </c>
      <c r="D36" s="265" t="s">
        <v>2675</v>
      </c>
      <c r="E36" s="265" t="s">
        <v>2676</v>
      </c>
      <c r="F36" s="266">
        <v>1</v>
      </c>
      <c r="G36" s="266">
        <f t="shared" si="0"/>
        <v>21818.181818181816</v>
      </c>
      <c r="H36" s="267">
        <f t="shared" si="1"/>
        <v>21818.181818181816</v>
      </c>
      <c r="I36" s="267">
        <f t="shared" si="3"/>
        <v>2181.8181818181815</v>
      </c>
      <c r="J36" s="267">
        <f t="shared" si="4"/>
        <v>0</v>
      </c>
      <c r="K36" s="267">
        <f t="shared" si="2"/>
        <v>0</v>
      </c>
      <c r="L36" s="268">
        <v>24000</v>
      </c>
    </row>
    <row r="37" spans="1:12" ht="18.75" customHeight="1">
      <c r="A37" s="264">
        <v>36</v>
      </c>
      <c r="B37" s="270">
        <v>45803</v>
      </c>
      <c r="C37" s="265" t="s">
        <v>2671</v>
      </c>
      <c r="D37" s="265" t="s">
        <v>2672</v>
      </c>
      <c r="E37" s="265" t="s">
        <v>2676</v>
      </c>
      <c r="F37" s="266">
        <v>1</v>
      </c>
      <c r="G37" s="266">
        <f t="shared" si="0"/>
        <v>729090.90909090906</v>
      </c>
      <c r="H37" s="267">
        <f t="shared" si="1"/>
        <v>729090.90909090906</v>
      </c>
      <c r="I37" s="267">
        <f t="shared" si="3"/>
        <v>72909.090909090912</v>
      </c>
      <c r="J37" s="267">
        <f t="shared" si="4"/>
        <v>0</v>
      </c>
      <c r="K37" s="267">
        <f t="shared" si="2"/>
        <v>0</v>
      </c>
      <c r="L37" s="268">
        <v>802000</v>
      </c>
    </row>
    <row r="38" spans="1:12" ht="18" customHeight="1">
      <c r="A38" s="264">
        <v>37</v>
      </c>
      <c r="B38" s="270">
        <v>45806</v>
      </c>
      <c r="C38" s="265" t="s">
        <v>2674</v>
      </c>
      <c r="D38" s="265" t="s">
        <v>2675</v>
      </c>
      <c r="E38" s="265" t="s">
        <v>2676</v>
      </c>
      <c r="F38" s="266">
        <v>1</v>
      </c>
      <c r="G38" s="266">
        <f t="shared" si="0"/>
        <v>43636.363636363632</v>
      </c>
      <c r="H38" s="267">
        <f t="shared" si="1"/>
        <v>43636.363636363632</v>
      </c>
      <c r="I38" s="267">
        <f t="shared" si="3"/>
        <v>4363.6363636363631</v>
      </c>
      <c r="J38" s="267">
        <f t="shared" si="4"/>
        <v>0</v>
      </c>
      <c r="K38" s="267">
        <f>J38*10%</f>
        <v>0</v>
      </c>
      <c r="L38" s="268">
        <v>48000</v>
      </c>
    </row>
    <row r="39" spans="1:12" ht="18" customHeight="1">
      <c r="A39" s="264">
        <v>38</v>
      </c>
      <c r="B39" s="270">
        <v>45810</v>
      </c>
      <c r="C39" s="265" t="s">
        <v>2688</v>
      </c>
      <c r="D39" s="265" t="s">
        <v>2689</v>
      </c>
      <c r="E39" s="265" t="s">
        <v>2676</v>
      </c>
      <c r="F39" s="266">
        <v>1</v>
      </c>
      <c r="G39" s="266">
        <f t="shared" si="0"/>
        <v>74181.818181818177</v>
      </c>
      <c r="H39" s="267">
        <f t="shared" si="1"/>
        <v>74181.818181818177</v>
      </c>
      <c r="I39" s="267">
        <f t="shared" si="3"/>
        <v>7418.181818181818</v>
      </c>
      <c r="J39" s="267">
        <f t="shared" si="4"/>
        <v>0</v>
      </c>
      <c r="K39" s="267">
        <f>J39*10%</f>
        <v>0</v>
      </c>
      <c r="L39" s="268">
        <v>81600</v>
      </c>
    </row>
    <row r="40" spans="1:12" ht="18" customHeight="1">
      <c r="A40" s="264">
        <v>39</v>
      </c>
      <c r="B40" s="270"/>
      <c r="C40" s="265"/>
      <c r="D40" s="265"/>
      <c r="E40" s="265" t="s">
        <v>2676</v>
      </c>
      <c r="F40" s="266">
        <v>1</v>
      </c>
      <c r="G40" s="266">
        <f t="shared" si="0"/>
        <v>0</v>
      </c>
      <c r="H40" s="267">
        <f t="shared" si="1"/>
        <v>0</v>
      </c>
      <c r="I40" s="267">
        <f t="shared" si="3"/>
        <v>0</v>
      </c>
      <c r="J40" s="267">
        <f t="shared" si="4"/>
        <v>0</v>
      </c>
      <c r="K40" s="267">
        <f>J40*10%</f>
        <v>0</v>
      </c>
      <c r="L40" s="268"/>
    </row>
    <row r="41" spans="1:12" ht="18" customHeight="1">
      <c r="A41" s="264">
        <v>40</v>
      </c>
      <c r="B41" s="270"/>
      <c r="C41" s="265"/>
      <c r="D41" s="265"/>
      <c r="E41" s="265" t="s">
        <v>2676</v>
      </c>
      <c r="F41" s="266">
        <v>1</v>
      </c>
      <c r="G41" s="266">
        <f t="shared" si="0"/>
        <v>0</v>
      </c>
      <c r="H41" s="267">
        <f t="shared" si="1"/>
        <v>0</v>
      </c>
      <c r="I41" s="267">
        <f t="shared" si="3"/>
        <v>0</v>
      </c>
      <c r="J41" s="267">
        <f t="shared" si="4"/>
        <v>0</v>
      </c>
      <c r="K41" s="267">
        <f>J41*10%</f>
        <v>0</v>
      </c>
      <c r="L41" s="268"/>
    </row>
    <row r="42" spans="1:12" ht="18" customHeight="1">
      <c r="A42" s="264">
        <v>41</v>
      </c>
      <c r="B42" s="270"/>
      <c r="C42" s="265"/>
      <c r="D42" s="265"/>
      <c r="E42" s="265" t="s">
        <v>2676</v>
      </c>
      <c r="F42" s="266">
        <v>1</v>
      </c>
      <c r="G42" s="266">
        <f t="shared" si="0"/>
        <v>0</v>
      </c>
      <c r="H42" s="267">
        <f t="shared" si="1"/>
        <v>0</v>
      </c>
      <c r="I42" s="267">
        <f t="shared" si="3"/>
        <v>0</v>
      </c>
      <c r="J42" s="267">
        <f t="shared" si="4"/>
        <v>0</v>
      </c>
      <c r="K42" s="267">
        <f t="shared" ref="K42:K48" si="5">J42*10%</f>
        <v>0</v>
      </c>
      <c r="L42" s="268"/>
    </row>
    <row r="43" spans="1:12" ht="18" customHeight="1">
      <c r="A43" s="264">
        <v>42</v>
      </c>
      <c r="B43" s="270"/>
      <c r="C43" s="265"/>
      <c r="D43" s="265"/>
      <c r="E43" s="265" t="s">
        <v>2676</v>
      </c>
      <c r="F43" s="266">
        <v>1</v>
      </c>
      <c r="G43" s="266">
        <f t="shared" si="0"/>
        <v>0</v>
      </c>
      <c r="H43" s="267">
        <f t="shared" si="1"/>
        <v>0</v>
      </c>
      <c r="I43" s="267">
        <f t="shared" si="3"/>
        <v>0</v>
      </c>
      <c r="J43" s="267">
        <f t="shared" si="4"/>
        <v>0</v>
      </c>
      <c r="K43" s="267">
        <f t="shared" si="5"/>
        <v>0</v>
      </c>
      <c r="L43" s="268"/>
    </row>
    <row r="44" spans="1:12" ht="18" customHeight="1">
      <c r="A44" s="264">
        <v>43</v>
      </c>
      <c r="B44" s="270"/>
      <c r="C44" s="265"/>
      <c r="D44" s="265"/>
      <c r="E44" s="265" t="s">
        <v>2676</v>
      </c>
      <c r="F44" s="266">
        <v>1</v>
      </c>
      <c r="G44" s="266">
        <f t="shared" si="0"/>
        <v>0</v>
      </c>
      <c r="H44" s="267">
        <f t="shared" si="1"/>
        <v>0</v>
      </c>
      <c r="I44" s="267">
        <f t="shared" si="3"/>
        <v>0</v>
      </c>
      <c r="J44" s="267">
        <f t="shared" si="4"/>
        <v>0</v>
      </c>
      <c r="K44" s="267">
        <f t="shared" si="5"/>
        <v>0</v>
      </c>
      <c r="L44" s="268"/>
    </row>
    <row r="45" spans="1:12" ht="18" customHeight="1">
      <c r="A45" s="264">
        <v>44</v>
      </c>
      <c r="B45" s="270"/>
      <c r="C45" s="265"/>
      <c r="D45" s="265"/>
      <c r="E45" s="265" t="s">
        <v>2676</v>
      </c>
      <c r="F45" s="266">
        <v>1</v>
      </c>
      <c r="G45" s="266">
        <f t="shared" si="0"/>
        <v>0</v>
      </c>
      <c r="H45" s="267">
        <f t="shared" si="1"/>
        <v>0</v>
      </c>
      <c r="I45" s="267">
        <f t="shared" si="3"/>
        <v>0</v>
      </c>
      <c r="J45" s="267">
        <f t="shared" si="4"/>
        <v>0</v>
      </c>
      <c r="K45" s="267">
        <f t="shared" si="5"/>
        <v>0</v>
      </c>
      <c r="L45" s="268"/>
    </row>
    <row r="46" spans="1:12" ht="18" customHeight="1">
      <c r="A46" s="264">
        <v>45</v>
      </c>
      <c r="B46" s="270"/>
      <c r="C46" s="265"/>
      <c r="D46" s="265"/>
      <c r="E46" s="265" t="s">
        <v>2676</v>
      </c>
      <c r="F46" s="266">
        <v>1</v>
      </c>
      <c r="G46" s="266">
        <f t="shared" si="0"/>
        <v>0</v>
      </c>
      <c r="H46" s="267">
        <f t="shared" si="1"/>
        <v>0</v>
      </c>
      <c r="I46" s="267">
        <f t="shared" si="3"/>
        <v>0</v>
      </c>
      <c r="J46" s="267">
        <f t="shared" si="4"/>
        <v>0</v>
      </c>
      <c r="K46" s="267">
        <f t="shared" si="5"/>
        <v>0</v>
      </c>
      <c r="L46" s="268"/>
    </row>
    <row r="47" spans="1:12" ht="18" customHeight="1">
      <c r="A47" s="264">
        <v>46</v>
      </c>
      <c r="B47" s="270"/>
      <c r="C47" s="265"/>
      <c r="D47" s="265"/>
      <c r="E47" s="265" t="s">
        <v>2676</v>
      </c>
      <c r="F47" s="266">
        <v>1</v>
      </c>
      <c r="G47" s="266">
        <f t="shared" si="0"/>
        <v>0</v>
      </c>
      <c r="H47" s="267">
        <f t="shared" si="1"/>
        <v>0</v>
      </c>
      <c r="I47" s="267">
        <f t="shared" si="3"/>
        <v>0</v>
      </c>
      <c r="J47" s="267">
        <f t="shared" si="4"/>
        <v>0</v>
      </c>
      <c r="K47" s="267">
        <f t="shared" si="5"/>
        <v>0</v>
      </c>
      <c r="L47" s="268"/>
    </row>
    <row r="48" spans="1:12" ht="18" customHeight="1">
      <c r="A48" s="264">
        <v>47</v>
      </c>
      <c r="B48" s="270"/>
      <c r="C48" s="265"/>
      <c r="D48" s="265"/>
      <c r="E48" s="265" t="s">
        <v>2676</v>
      </c>
      <c r="F48" s="266">
        <v>1</v>
      </c>
      <c r="G48" s="266">
        <f t="shared" si="0"/>
        <v>0</v>
      </c>
      <c r="H48" s="267">
        <f t="shared" si="1"/>
        <v>0</v>
      </c>
      <c r="I48" s="267">
        <f t="shared" si="3"/>
        <v>0</v>
      </c>
      <c r="J48" s="267">
        <f t="shared" si="4"/>
        <v>0</v>
      </c>
      <c r="K48" s="267">
        <f t="shared" si="5"/>
        <v>0</v>
      </c>
      <c r="L48" s="268"/>
    </row>
    <row r="49" spans="1:12" ht="18" customHeight="1">
      <c r="A49" s="264">
        <v>48</v>
      </c>
      <c r="B49" s="270"/>
      <c r="C49" s="265"/>
      <c r="D49" s="265"/>
      <c r="E49" s="265" t="s">
        <v>2676</v>
      </c>
      <c r="F49" s="266">
        <v>1</v>
      </c>
      <c r="G49" s="266">
        <f t="shared" si="0"/>
        <v>0</v>
      </c>
      <c r="H49" s="267">
        <f t="shared" si="1"/>
        <v>0</v>
      </c>
      <c r="I49" s="267">
        <f t="shared" si="3"/>
        <v>0</v>
      </c>
      <c r="J49" s="267">
        <f t="shared" si="4"/>
        <v>0</v>
      </c>
      <c r="K49" s="267"/>
      <c r="L49" s="268"/>
    </row>
    <row r="50" spans="1:12" ht="18" customHeight="1">
      <c r="A50" s="264">
        <v>49</v>
      </c>
      <c r="B50" s="270"/>
      <c r="C50" s="265"/>
      <c r="D50" s="265"/>
      <c r="E50" s="265" t="s">
        <v>2676</v>
      </c>
      <c r="F50" s="266">
        <v>1</v>
      </c>
      <c r="G50" s="266">
        <f t="shared" si="0"/>
        <v>0</v>
      </c>
      <c r="H50" s="267">
        <f t="shared" si="1"/>
        <v>0</v>
      </c>
      <c r="I50" s="267">
        <f t="shared" si="3"/>
        <v>0</v>
      </c>
      <c r="J50" s="267">
        <f t="shared" si="4"/>
        <v>0</v>
      </c>
      <c r="K50" s="267"/>
      <c r="L50" s="268"/>
    </row>
    <row r="51" spans="1:12" ht="18" customHeight="1">
      <c r="A51" s="264">
        <v>50</v>
      </c>
      <c r="B51" s="270"/>
      <c r="C51" s="265"/>
      <c r="D51" s="265"/>
      <c r="E51" s="265" t="s">
        <v>2676</v>
      </c>
      <c r="F51" s="266">
        <v>1</v>
      </c>
      <c r="G51" s="266">
        <f t="shared" si="0"/>
        <v>0</v>
      </c>
      <c r="H51" s="267">
        <f t="shared" si="1"/>
        <v>0</v>
      </c>
      <c r="I51" s="267">
        <f t="shared" si="3"/>
        <v>0</v>
      </c>
      <c r="J51" s="267">
        <f t="shared" si="4"/>
        <v>0</v>
      </c>
      <c r="K51" s="267"/>
      <c r="L51" s="268"/>
    </row>
    <row r="52" spans="1:12" ht="18" customHeight="1">
      <c r="A52" s="264">
        <v>51</v>
      </c>
      <c r="B52" s="270"/>
      <c r="C52" s="265"/>
      <c r="D52" s="265"/>
      <c r="E52" s="265" t="s">
        <v>2676</v>
      </c>
      <c r="F52" s="266">
        <v>1</v>
      </c>
      <c r="G52" s="266">
        <f t="shared" si="0"/>
        <v>0</v>
      </c>
      <c r="H52" s="267">
        <f t="shared" si="1"/>
        <v>0</v>
      </c>
      <c r="I52" s="267">
        <f t="shared" si="3"/>
        <v>0</v>
      </c>
      <c r="J52" s="267">
        <f t="shared" si="4"/>
        <v>0</v>
      </c>
      <c r="K52" s="267"/>
      <c r="L52" s="268"/>
    </row>
    <row r="53" spans="1:12" ht="18" customHeight="1">
      <c r="A53" s="264">
        <v>52</v>
      </c>
      <c r="B53" s="270"/>
      <c r="C53" s="265"/>
      <c r="D53" s="265"/>
      <c r="E53" s="265" t="s">
        <v>2676</v>
      </c>
      <c r="F53" s="266">
        <v>1</v>
      </c>
      <c r="G53" s="266">
        <f t="shared" si="0"/>
        <v>0</v>
      </c>
      <c r="H53" s="267">
        <f t="shared" si="1"/>
        <v>0</v>
      </c>
      <c r="I53" s="267">
        <f t="shared" si="3"/>
        <v>0</v>
      </c>
      <c r="J53" s="267">
        <f t="shared" si="4"/>
        <v>0</v>
      </c>
      <c r="K53" s="267"/>
      <c r="L53" s="268"/>
    </row>
    <row r="54" spans="1:12" ht="18" customHeight="1">
      <c r="A54" s="264">
        <v>53</v>
      </c>
      <c r="B54" s="270"/>
      <c r="C54" s="265"/>
      <c r="D54" s="265"/>
      <c r="E54" s="265" t="s">
        <v>2676</v>
      </c>
      <c r="F54" s="266">
        <v>1</v>
      </c>
      <c r="G54" s="266">
        <f t="shared" si="0"/>
        <v>0</v>
      </c>
      <c r="H54" s="267">
        <f t="shared" si="1"/>
        <v>0</v>
      </c>
      <c r="I54" s="267">
        <f t="shared" si="3"/>
        <v>0</v>
      </c>
      <c r="J54" s="267">
        <f t="shared" si="4"/>
        <v>0</v>
      </c>
      <c r="K54" s="267"/>
      <c r="L54" s="268"/>
    </row>
    <row r="55" spans="1:12" ht="18" customHeight="1">
      <c r="A55" s="264">
        <v>54</v>
      </c>
      <c r="B55" s="270"/>
      <c r="C55" s="265"/>
      <c r="D55" s="265"/>
      <c r="E55" s="265" t="s">
        <v>2676</v>
      </c>
      <c r="F55" s="266">
        <v>1</v>
      </c>
      <c r="G55" s="266">
        <f t="shared" si="0"/>
        <v>0</v>
      </c>
      <c r="H55" s="267">
        <f t="shared" si="1"/>
        <v>0</v>
      </c>
      <c r="I55" s="267">
        <f t="shared" si="3"/>
        <v>0</v>
      </c>
      <c r="J55" s="267">
        <f t="shared" si="4"/>
        <v>0</v>
      </c>
      <c r="K55" s="267"/>
      <c r="L55" s="268"/>
    </row>
    <row r="56" spans="1:12" ht="18" customHeight="1">
      <c r="A56" s="264">
        <v>55</v>
      </c>
      <c r="B56" s="270"/>
      <c r="C56" s="265"/>
      <c r="D56" s="265"/>
      <c r="E56" s="265" t="s">
        <v>2676</v>
      </c>
      <c r="F56" s="266">
        <v>1</v>
      </c>
      <c r="G56" s="266">
        <f t="shared" si="0"/>
        <v>0</v>
      </c>
      <c r="H56" s="267">
        <f t="shared" si="1"/>
        <v>0</v>
      </c>
      <c r="I56" s="267">
        <f t="shared" si="3"/>
        <v>0</v>
      </c>
      <c r="J56" s="267">
        <f t="shared" si="4"/>
        <v>0</v>
      </c>
      <c r="K56" s="267">
        <f>J56*10%</f>
        <v>0</v>
      </c>
      <c r="L56" s="268"/>
    </row>
    <row r="57" spans="1:12" ht="18" customHeight="1">
      <c r="A57" s="264">
        <v>56</v>
      </c>
      <c r="B57" s="270"/>
      <c r="C57" s="265"/>
      <c r="D57" s="265"/>
      <c r="E57" s="265" t="s">
        <v>2676</v>
      </c>
      <c r="F57" s="266">
        <v>1</v>
      </c>
      <c r="G57" s="266">
        <f t="shared" si="0"/>
        <v>0</v>
      </c>
      <c r="H57" s="267">
        <f t="shared" si="1"/>
        <v>0</v>
      </c>
      <c r="I57" s="267">
        <f t="shared" si="3"/>
        <v>0</v>
      </c>
      <c r="J57" s="267">
        <f t="shared" si="4"/>
        <v>0</v>
      </c>
      <c r="K57" s="267"/>
      <c r="L57" s="268"/>
    </row>
    <row r="58" spans="1:12" ht="18" customHeight="1">
      <c r="A58" s="264">
        <v>57</v>
      </c>
      <c r="B58" s="270"/>
      <c r="C58" s="265"/>
      <c r="D58" s="265"/>
      <c r="E58" s="265" t="s">
        <v>2676</v>
      </c>
      <c r="F58" s="266">
        <v>1</v>
      </c>
      <c r="G58" s="266">
        <f t="shared" si="0"/>
        <v>0</v>
      </c>
      <c r="H58" s="267">
        <f t="shared" si="1"/>
        <v>0</v>
      </c>
      <c r="I58" s="267">
        <f t="shared" si="3"/>
        <v>0</v>
      </c>
      <c r="J58" s="267">
        <f t="shared" si="4"/>
        <v>0</v>
      </c>
      <c r="K58" s="267"/>
      <c r="L58" s="268"/>
    </row>
    <row r="59" spans="1:12" ht="18" customHeight="1">
      <c r="A59" s="264">
        <v>58</v>
      </c>
      <c r="B59" s="270"/>
      <c r="C59" s="265"/>
      <c r="D59" s="265"/>
      <c r="E59" s="265" t="s">
        <v>2676</v>
      </c>
      <c r="F59" s="266">
        <v>1</v>
      </c>
      <c r="G59" s="266">
        <f t="shared" si="0"/>
        <v>0</v>
      </c>
      <c r="H59" s="267">
        <f t="shared" si="1"/>
        <v>0</v>
      </c>
      <c r="I59" s="267">
        <f t="shared" si="3"/>
        <v>0</v>
      </c>
      <c r="J59" s="267">
        <f t="shared" si="4"/>
        <v>0</v>
      </c>
      <c r="K59" s="267"/>
      <c r="L59" s="268"/>
    </row>
    <row r="60" spans="1:12" ht="18" customHeight="1">
      <c r="A60" s="264">
        <v>59</v>
      </c>
      <c r="B60" s="270"/>
      <c r="C60" s="265"/>
      <c r="D60" s="265"/>
      <c r="E60" s="265" t="s">
        <v>2676</v>
      </c>
      <c r="F60" s="266">
        <v>1</v>
      </c>
      <c r="G60" s="266">
        <f t="shared" si="0"/>
        <v>0</v>
      </c>
      <c r="H60" s="267">
        <f t="shared" si="1"/>
        <v>0</v>
      </c>
      <c r="I60" s="267">
        <f t="shared" si="3"/>
        <v>0</v>
      </c>
      <c r="J60" s="267">
        <f t="shared" si="4"/>
        <v>0</v>
      </c>
      <c r="K60" s="267"/>
      <c r="L60" s="268"/>
    </row>
    <row r="61" spans="1:12" ht="18" customHeight="1">
      <c r="A61" s="264">
        <v>60</v>
      </c>
      <c r="B61" s="270"/>
      <c r="C61" s="265"/>
      <c r="D61" s="265"/>
      <c r="E61" s="265" t="s">
        <v>2676</v>
      </c>
      <c r="F61" s="266">
        <v>1</v>
      </c>
      <c r="G61" s="266">
        <f t="shared" si="0"/>
        <v>0</v>
      </c>
      <c r="H61" s="267">
        <f t="shared" si="1"/>
        <v>0</v>
      </c>
      <c r="I61" s="267">
        <f t="shared" si="3"/>
        <v>0</v>
      </c>
      <c r="J61" s="267">
        <f t="shared" si="4"/>
        <v>0</v>
      </c>
      <c r="K61" s="267"/>
      <c r="L61" s="268"/>
    </row>
    <row r="62" spans="1:12" ht="18" customHeight="1">
      <c r="A62" s="264">
        <v>61</v>
      </c>
      <c r="B62" s="270"/>
      <c r="C62" s="265"/>
      <c r="D62" s="265"/>
      <c r="E62" s="265" t="s">
        <v>2676</v>
      </c>
      <c r="F62" s="266">
        <v>1</v>
      </c>
      <c r="G62" s="266">
        <f t="shared" si="0"/>
        <v>0</v>
      </c>
      <c r="H62" s="267">
        <f t="shared" si="1"/>
        <v>0</v>
      </c>
      <c r="I62" s="267">
        <f t="shared" si="3"/>
        <v>0</v>
      </c>
      <c r="J62" s="267">
        <f t="shared" si="4"/>
        <v>0</v>
      </c>
      <c r="K62" s="267">
        <f>J62*10%</f>
        <v>0</v>
      </c>
      <c r="L62" s="268"/>
    </row>
    <row r="63" spans="1:12" ht="18" customHeight="1">
      <c r="A63" s="264">
        <v>62</v>
      </c>
      <c r="B63" s="270"/>
      <c r="C63" s="265"/>
      <c r="D63" s="265"/>
      <c r="E63" s="265" t="s">
        <v>2676</v>
      </c>
      <c r="F63" s="266">
        <v>1</v>
      </c>
      <c r="G63" s="266">
        <f t="shared" si="0"/>
        <v>0</v>
      </c>
      <c r="H63" s="267">
        <f t="shared" si="1"/>
        <v>0</v>
      </c>
      <c r="I63" s="267">
        <f t="shared" si="3"/>
        <v>0</v>
      </c>
      <c r="J63" s="267">
        <f t="shared" si="4"/>
        <v>0</v>
      </c>
      <c r="K63" s="267"/>
      <c r="L63" s="268"/>
    </row>
    <row r="64" spans="1:12" ht="18" customHeight="1">
      <c r="A64" s="264">
        <v>63</v>
      </c>
      <c r="B64" s="270"/>
      <c r="C64" s="265"/>
      <c r="D64" s="265"/>
      <c r="E64" s="265" t="s">
        <v>2676</v>
      </c>
      <c r="F64" s="266">
        <v>1</v>
      </c>
      <c r="G64" s="266">
        <f t="shared" si="0"/>
        <v>0</v>
      </c>
      <c r="H64" s="267">
        <f t="shared" si="1"/>
        <v>0</v>
      </c>
      <c r="I64" s="267">
        <f t="shared" si="3"/>
        <v>0</v>
      </c>
      <c r="J64" s="267">
        <f t="shared" si="4"/>
        <v>0</v>
      </c>
      <c r="K64" s="267"/>
      <c r="L64" s="268"/>
    </row>
    <row r="65" spans="1:12" ht="18" customHeight="1">
      <c r="A65" s="264">
        <v>64</v>
      </c>
      <c r="B65" s="270"/>
      <c r="C65" s="265"/>
      <c r="D65" s="265"/>
      <c r="E65" s="265" t="s">
        <v>2676</v>
      </c>
      <c r="F65" s="266">
        <v>1</v>
      </c>
      <c r="G65" s="266">
        <f t="shared" si="0"/>
        <v>0</v>
      </c>
      <c r="H65" s="267">
        <f t="shared" si="1"/>
        <v>0</v>
      </c>
      <c r="I65" s="267">
        <f t="shared" si="3"/>
        <v>0</v>
      </c>
      <c r="J65" s="267">
        <f t="shared" si="4"/>
        <v>0</v>
      </c>
      <c r="K65" s="267"/>
      <c r="L65" s="268"/>
    </row>
    <row r="66" spans="1:12" ht="18" customHeight="1">
      <c r="A66" s="264">
        <v>65</v>
      </c>
      <c r="B66" s="270"/>
      <c r="C66" s="265"/>
      <c r="D66" s="265"/>
      <c r="E66" s="265" t="s">
        <v>2676</v>
      </c>
      <c r="F66" s="266">
        <v>1</v>
      </c>
      <c r="G66" s="266">
        <f t="shared" ref="G66:G129" si="6">L66/F66/1.1</f>
        <v>0</v>
      </c>
      <c r="H66" s="267">
        <f t="shared" ref="H66:H129" si="7">F66*G66</f>
        <v>0</v>
      </c>
      <c r="I66" s="267">
        <f t="shared" si="3"/>
        <v>0</v>
      </c>
      <c r="J66" s="267">
        <f t="shared" si="4"/>
        <v>0</v>
      </c>
      <c r="K66" s="267"/>
      <c r="L66" s="268"/>
    </row>
    <row r="67" spans="1:12" ht="18" customHeight="1">
      <c r="A67" s="264">
        <v>66</v>
      </c>
      <c r="B67" s="270"/>
      <c r="C67" s="265"/>
      <c r="D67" s="265"/>
      <c r="E67" s="265" t="s">
        <v>2676</v>
      </c>
      <c r="F67" s="266">
        <v>1</v>
      </c>
      <c r="G67" s="266">
        <f t="shared" si="6"/>
        <v>0</v>
      </c>
      <c r="H67" s="267">
        <f t="shared" si="7"/>
        <v>0</v>
      </c>
      <c r="I67" s="267">
        <f t="shared" ref="I67:I130" si="8">H67*10%</f>
        <v>0</v>
      </c>
      <c r="J67" s="267">
        <f t="shared" ref="J67:J130" si="9">IF(E67="매출",F67*G67,0)</f>
        <v>0</v>
      </c>
      <c r="K67" s="267"/>
      <c r="L67" s="268"/>
    </row>
    <row r="68" spans="1:12" ht="18" customHeight="1">
      <c r="A68" s="264">
        <v>67</v>
      </c>
      <c r="B68" s="270"/>
      <c r="C68" s="265"/>
      <c r="D68" s="265"/>
      <c r="E68" s="265" t="s">
        <v>2676</v>
      </c>
      <c r="F68" s="266">
        <v>1</v>
      </c>
      <c r="G68" s="266">
        <f t="shared" si="6"/>
        <v>0</v>
      </c>
      <c r="H68" s="267">
        <f t="shared" si="7"/>
        <v>0</v>
      </c>
      <c r="I68" s="267">
        <f t="shared" si="8"/>
        <v>0</v>
      </c>
      <c r="J68" s="267">
        <f t="shared" si="9"/>
        <v>0</v>
      </c>
      <c r="K68" s="267">
        <f>J68*10%</f>
        <v>0</v>
      </c>
      <c r="L68" s="268"/>
    </row>
    <row r="69" spans="1:12" ht="18" customHeight="1">
      <c r="A69" s="264">
        <v>68</v>
      </c>
      <c r="B69" s="270"/>
      <c r="C69" s="265"/>
      <c r="D69" s="265"/>
      <c r="E69" s="265" t="s">
        <v>2676</v>
      </c>
      <c r="F69" s="266">
        <v>1</v>
      </c>
      <c r="G69" s="266">
        <f t="shared" si="6"/>
        <v>0</v>
      </c>
      <c r="H69" s="267">
        <f t="shared" si="7"/>
        <v>0</v>
      </c>
      <c r="I69" s="267">
        <f t="shared" si="8"/>
        <v>0</v>
      </c>
      <c r="J69" s="267">
        <f t="shared" si="9"/>
        <v>0</v>
      </c>
      <c r="K69" s="267"/>
      <c r="L69" s="268"/>
    </row>
    <row r="70" spans="1:12" ht="18" customHeight="1">
      <c r="A70" s="264">
        <v>69</v>
      </c>
      <c r="B70" s="270"/>
      <c r="C70" s="265"/>
      <c r="D70" s="265"/>
      <c r="E70" s="265" t="s">
        <v>2676</v>
      </c>
      <c r="F70" s="266">
        <v>1</v>
      </c>
      <c r="G70" s="266">
        <f t="shared" si="6"/>
        <v>0</v>
      </c>
      <c r="H70" s="267">
        <f t="shared" si="7"/>
        <v>0</v>
      </c>
      <c r="I70" s="267">
        <f t="shared" si="8"/>
        <v>0</v>
      </c>
      <c r="J70" s="267">
        <f t="shared" si="9"/>
        <v>0</v>
      </c>
      <c r="K70" s="267"/>
      <c r="L70" s="268"/>
    </row>
    <row r="71" spans="1:12" ht="18" customHeight="1">
      <c r="A71" s="264">
        <v>70</v>
      </c>
      <c r="B71" s="270"/>
      <c r="C71" s="265"/>
      <c r="D71" s="265"/>
      <c r="E71" s="265" t="s">
        <v>2676</v>
      </c>
      <c r="F71" s="266">
        <v>1</v>
      </c>
      <c r="G71" s="266">
        <f t="shared" si="6"/>
        <v>0</v>
      </c>
      <c r="H71" s="267">
        <f t="shared" si="7"/>
        <v>0</v>
      </c>
      <c r="I71" s="267">
        <f t="shared" si="8"/>
        <v>0</v>
      </c>
      <c r="J71" s="267">
        <f t="shared" si="9"/>
        <v>0</v>
      </c>
      <c r="K71" s="267"/>
      <c r="L71" s="268"/>
    </row>
    <row r="72" spans="1:12" ht="18" customHeight="1">
      <c r="A72" s="264">
        <v>71</v>
      </c>
      <c r="B72" s="270"/>
      <c r="C72" s="265"/>
      <c r="D72" s="265"/>
      <c r="E72" s="265" t="s">
        <v>2676</v>
      </c>
      <c r="F72" s="266">
        <v>1</v>
      </c>
      <c r="G72" s="266">
        <f t="shared" si="6"/>
        <v>0</v>
      </c>
      <c r="H72" s="267">
        <f t="shared" si="7"/>
        <v>0</v>
      </c>
      <c r="I72" s="267">
        <f t="shared" si="8"/>
        <v>0</v>
      </c>
      <c r="J72" s="267">
        <f t="shared" si="9"/>
        <v>0</v>
      </c>
      <c r="K72" s="267"/>
      <c r="L72" s="268"/>
    </row>
    <row r="73" spans="1:12" ht="18" customHeight="1">
      <c r="A73" s="264">
        <v>72</v>
      </c>
      <c r="B73" s="270"/>
      <c r="C73" s="265"/>
      <c r="D73" s="265"/>
      <c r="E73" s="265" t="s">
        <v>2676</v>
      </c>
      <c r="F73" s="266">
        <v>1</v>
      </c>
      <c r="G73" s="266">
        <f t="shared" si="6"/>
        <v>0</v>
      </c>
      <c r="H73" s="267">
        <f t="shared" si="7"/>
        <v>0</v>
      </c>
      <c r="I73" s="267">
        <f t="shared" si="8"/>
        <v>0</v>
      </c>
      <c r="J73" s="267">
        <f t="shared" si="9"/>
        <v>0</v>
      </c>
      <c r="K73" s="267"/>
      <c r="L73" s="268"/>
    </row>
    <row r="74" spans="1:12" ht="18" customHeight="1">
      <c r="A74" s="264">
        <v>73</v>
      </c>
      <c r="B74" s="270"/>
      <c r="C74" s="265"/>
      <c r="D74" s="265"/>
      <c r="E74" s="265" t="s">
        <v>2676</v>
      </c>
      <c r="F74" s="266">
        <v>1</v>
      </c>
      <c r="G74" s="266">
        <f t="shared" si="6"/>
        <v>0</v>
      </c>
      <c r="H74" s="267">
        <f t="shared" si="7"/>
        <v>0</v>
      </c>
      <c r="I74" s="267">
        <f t="shared" si="8"/>
        <v>0</v>
      </c>
      <c r="J74" s="267">
        <f t="shared" si="9"/>
        <v>0</v>
      </c>
      <c r="K74" s="267">
        <f>J74*10%</f>
        <v>0</v>
      </c>
      <c r="L74" s="268"/>
    </row>
    <row r="75" spans="1:12" ht="18" customHeight="1">
      <c r="A75" s="264">
        <v>74</v>
      </c>
      <c r="B75" s="270"/>
      <c r="C75" s="265"/>
      <c r="D75" s="265"/>
      <c r="E75" s="265" t="s">
        <v>2676</v>
      </c>
      <c r="F75" s="266">
        <v>1</v>
      </c>
      <c r="G75" s="266">
        <f t="shared" si="6"/>
        <v>0</v>
      </c>
      <c r="H75" s="267">
        <f t="shared" si="7"/>
        <v>0</v>
      </c>
      <c r="I75" s="267">
        <f t="shared" si="8"/>
        <v>0</v>
      </c>
      <c r="J75" s="267">
        <f t="shared" si="9"/>
        <v>0</v>
      </c>
      <c r="K75" s="267"/>
      <c r="L75" s="268"/>
    </row>
    <row r="76" spans="1:12" ht="18" customHeight="1">
      <c r="A76" s="264">
        <v>75</v>
      </c>
      <c r="B76" s="270"/>
      <c r="C76" s="265"/>
      <c r="D76" s="265"/>
      <c r="E76" s="265" t="s">
        <v>2676</v>
      </c>
      <c r="F76" s="266">
        <v>1</v>
      </c>
      <c r="G76" s="266">
        <f t="shared" si="6"/>
        <v>0</v>
      </c>
      <c r="H76" s="267">
        <f t="shared" si="7"/>
        <v>0</v>
      </c>
      <c r="I76" s="267">
        <f t="shared" si="8"/>
        <v>0</v>
      </c>
      <c r="J76" s="267">
        <f t="shared" si="9"/>
        <v>0</v>
      </c>
      <c r="K76" s="267"/>
      <c r="L76" s="268"/>
    </row>
    <row r="77" spans="1:12" ht="18" customHeight="1">
      <c r="A77" s="264">
        <v>76</v>
      </c>
      <c r="B77" s="270"/>
      <c r="C77" s="265"/>
      <c r="D77" s="265"/>
      <c r="E77" s="265" t="s">
        <v>2676</v>
      </c>
      <c r="F77" s="266">
        <v>1</v>
      </c>
      <c r="G77" s="266">
        <f t="shared" si="6"/>
        <v>0</v>
      </c>
      <c r="H77" s="267">
        <f t="shared" si="7"/>
        <v>0</v>
      </c>
      <c r="I77" s="267">
        <f t="shared" si="8"/>
        <v>0</v>
      </c>
      <c r="J77" s="267">
        <f t="shared" si="9"/>
        <v>0</v>
      </c>
      <c r="K77" s="267"/>
      <c r="L77" s="268"/>
    </row>
    <row r="78" spans="1:12" ht="18" customHeight="1">
      <c r="A78" s="264">
        <v>77</v>
      </c>
      <c r="B78" s="270"/>
      <c r="C78" s="265"/>
      <c r="D78" s="265"/>
      <c r="E78" s="265" t="s">
        <v>2676</v>
      </c>
      <c r="F78" s="266">
        <v>1</v>
      </c>
      <c r="G78" s="266">
        <f t="shared" si="6"/>
        <v>0</v>
      </c>
      <c r="H78" s="267">
        <f t="shared" si="7"/>
        <v>0</v>
      </c>
      <c r="I78" s="267">
        <f t="shared" si="8"/>
        <v>0</v>
      </c>
      <c r="J78" s="267">
        <f t="shared" si="9"/>
        <v>0</v>
      </c>
      <c r="K78" s="267"/>
      <c r="L78" s="268"/>
    </row>
    <row r="79" spans="1:12" ht="18" customHeight="1">
      <c r="A79" s="264">
        <v>78</v>
      </c>
      <c r="B79" s="270"/>
      <c r="C79" s="265"/>
      <c r="D79" s="265"/>
      <c r="E79" s="265" t="s">
        <v>2676</v>
      </c>
      <c r="F79" s="266">
        <v>1</v>
      </c>
      <c r="G79" s="266">
        <f t="shared" si="6"/>
        <v>0</v>
      </c>
      <c r="H79" s="267">
        <f t="shared" si="7"/>
        <v>0</v>
      </c>
      <c r="I79" s="267">
        <f t="shared" si="8"/>
        <v>0</v>
      </c>
      <c r="J79" s="267">
        <f t="shared" si="9"/>
        <v>0</v>
      </c>
      <c r="K79" s="267"/>
      <c r="L79" s="268"/>
    </row>
    <row r="80" spans="1:12" ht="18" customHeight="1">
      <c r="A80" s="264">
        <v>79</v>
      </c>
      <c r="B80" s="270"/>
      <c r="C80" s="265"/>
      <c r="D80" s="265"/>
      <c r="E80" s="265" t="s">
        <v>2676</v>
      </c>
      <c r="F80" s="266">
        <v>1</v>
      </c>
      <c r="G80" s="266">
        <f t="shared" si="6"/>
        <v>0</v>
      </c>
      <c r="H80" s="267">
        <f t="shared" si="7"/>
        <v>0</v>
      </c>
      <c r="I80" s="267">
        <f t="shared" si="8"/>
        <v>0</v>
      </c>
      <c r="J80" s="267">
        <f t="shared" si="9"/>
        <v>0</v>
      </c>
      <c r="K80" s="267">
        <f>J80*10%</f>
        <v>0</v>
      </c>
      <c r="L80" s="268"/>
    </row>
    <row r="81" spans="1:12" ht="18" customHeight="1">
      <c r="A81" s="264"/>
      <c r="B81" s="270"/>
      <c r="C81" s="265"/>
      <c r="D81" s="265"/>
      <c r="E81" s="265" t="s">
        <v>2676</v>
      </c>
      <c r="F81" s="266">
        <v>1</v>
      </c>
      <c r="G81" s="266">
        <f t="shared" si="6"/>
        <v>0</v>
      </c>
      <c r="H81" s="267">
        <f t="shared" si="7"/>
        <v>0</v>
      </c>
      <c r="I81" s="267">
        <f t="shared" si="8"/>
        <v>0</v>
      </c>
      <c r="J81" s="267">
        <f t="shared" si="9"/>
        <v>0</v>
      </c>
      <c r="K81" s="267"/>
      <c r="L81" s="268"/>
    </row>
    <row r="82" spans="1:12" ht="18" customHeight="1">
      <c r="A82" s="264"/>
      <c r="B82" s="270"/>
      <c r="C82" s="265"/>
      <c r="D82" s="265"/>
      <c r="E82" s="265" t="s">
        <v>2676</v>
      </c>
      <c r="F82" s="266">
        <v>1</v>
      </c>
      <c r="G82" s="266">
        <f t="shared" si="6"/>
        <v>0</v>
      </c>
      <c r="H82" s="267">
        <f t="shared" si="7"/>
        <v>0</v>
      </c>
      <c r="I82" s="267">
        <f t="shared" si="8"/>
        <v>0</v>
      </c>
      <c r="J82" s="267">
        <f t="shared" si="9"/>
        <v>0</v>
      </c>
      <c r="K82" s="267"/>
      <c r="L82" s="268"/>
    </row>
    <row r="83" spans="1:12" ht="18" customHeight="1">
      <c r="A83" s="264"/>
      <c r="B83" s="270"/>
      <c r="C83" s="265"/>
      <c r="D83" s="265"/>
      <c r="E83" s="265" t="s">
        <v>2676</v>
      </c>
      <c r="F83" s="266">
        <v>1</v>
      </c>
      <c r="G83" s="266">
        <f t="shared" si="6"/>
        <v>0</v>
      </c>
      <c r="H83" s="267">
        <f t="shared" si="7"/>
        <v>0</v>
      </c>
      <c r="I83" s="267">
        <f t="shared" si="8"/>
        <v>0</v>
      </c>
      <c r="J83" s="267">
        <f t="shared" si="9"/>
        <v>0</v>
      </c>
      <c r="K83" s="267"/>
      <c r="L83" s="268"/>
    </row>
    <row r="84" spans="1:12" ht="18" customHeight="1">
      <c r="A84" s="264"/>
      <c r="B84" s="270"/>
      <c r="C84" s="265"/>
      <c r="D84" s="265"/>
      <c r="E84" s="265" t="s">
        <v>2676</v>
      </c>
      <c r="F84" s="266">
        <v>1</v>
      </c>
      <c r="G84" s="266">
        <f t="shared" si="6"/>
        <v>0</v>
      </c>
      <c r="H84" s="267">
        <f t="shared" si="7"/>
        <v>0</v>
      </c>
      <c r="I84" s="267">
        <f t="shared" si="8"/>
        <v>0</v>
      </c>
      <c r="J84" s="267">
        <f t="shared" si="9"/>
        <v>0</v>
      </c>
      <c r="K84" s="267"/>
      <c r="L84" s="268"/>
    </row>
    <row r="85" spans="1:12" ht="18" customHeight="1">
      <c r="A85" s="264"/>
      <c r="B85" s="270"/>
      <c r="C85" s="265"/>
      <c r="D85" s="265"/>
      <c r="E85" s="265" t="s">
        <v>2676</v>
      </c>
      <c r="F85" s="266">
        <v>1</v>
      </c>
      <c r="G85" s="266">
        <f t="shared" si="6"/>
        <v>0</v>
      </c>
      <c r="H85" s="267">
        <f t="shared" si="7"/>
        <v>0</v>
      </c>
      <c r="I85" s="267">
        <f t="shared" si="8"/>
        <v>0</v>
      </c>
      <c r="J85" s="267">
        <f t="shared" si="9"/>
        <v>0</v>
      </c>
      <c r="K85" s="267"/>
      <c r="L85" s="268"/>
    </row>
    <row r="86" spans="1:12" ht="18" customHeight="1">
      <c r="A86" s="264"/>
      <c r="B86" s="270"/>
      <c r="C86" s="265"/>
      <c r="D86" s="265"/>
      <c r="E86" s="265" t="s">
        <v>2676</v>
      </c>
      <c r="F86" s="266">
        <v>1</v>
      </c>
      <c r="G86" s="266">
        <f t="shared" si="6"/>
        <v>0</v>
      </c>
      <c r="H86" s="267">
        <f t="shared" si="7"/>
        <v>0</v>
      </c>
      <c r="I86" s="267">
        <f t="shared" si="8"/>
        <v>0</v>
      </c>
      <c r="J86" s="267">
        <f t="shared" si="9"/>
        <v>0</v>
      </c>
      <c r="K86" s="267">
        <f>J86*10%</f>
        <v>0</v>
      </c>
      <c r="L86" s="268"/>
    </row>
    <row r="87" spans="1:12" ht="18" customHeight="1">
      <c r="A87" s="264"/>
      <c r="B87" s="270"/>
      <c r="C87" s="265"/>
      <c r="D87" s="265"/>
      <c r="E87" s="265" t="s">
        <v>2673</v>
      </c>
      <c r="F87" s="266">
        <v>1</v>
      </c>
      <c r="G87" s="266">
        <f t="shared" si="6"/>
        <v>0</v>
      </c>
      <c r="H87" s="267">
        <f t="shared" si="7"/>
        <v>0</v>
      </c>
      <c r="I87" s="267">
        <f t="shared" si="8"/>
        <v>0</v>
      </c>
      <c r="J87" s="267">
        <f t="shared" si="9"/>
        <v>0</v>
      </c>
      <c r="K87" s="267"/>
      <c r="L87" s="268"/>
    </row>
    <row r="88" spans="1:12" ht="18" customHeight="1">
      <c r="A88" s="264"/>
      <c r="B88" s="270"/>
      <c r="C88" s="265"/>
      <c r="D88" s="265"/>
      <c r="E88" s="265" t="s">
        <v>2676</v>
      </c>
      <c r="F88" s="266">
        <v>1</v>
      </c>
      <c r="G88" s="266">
        <f t="shared" si="6"/>
        <v>0</v>
      </c>
      <c r="H88" s="267">
        <f t="shared" si="7"/>
        <v>0</v>
      </c>
      <c r="I88" s="267">
        <f t="shared" si="8"/>
        <v>0</v>
      </c>
      <c r="J88" s="267">
        <f t="shared" si="9"/>
        <v>0</v>
      </c>
      <c r="K88" s="267"/>
      <c r="L88" s="268"/>
    </row>
    <row r="89" spans="1:12" ht="18" customHeight="1">
      <c r="A89" s="264"/>
      <c r="B89" s="270"/>
      <c r="C89" s="265"/>
      <c r="D89" s="265"/>
      <c r="E89" s="265" t="s">
        <v>2676</v>
      </c>
      <c r="F89" s="266">
        <v>1</v>
      </c>
      <c r="G89" s="266">
        <f t="shared" si="6"/>
        <v>0</v>
      </c>
      <c r="H89" s="267">
        <f t="shared" si="7"/>
        <v>0</v>
      </c>
      <c r="I89" s="267">
        <f t="shared" si="8"/>
        <v>0</v>
      </c>
      <c r="J89" s="267">
        <f t="shared" si="9"/>
        <v>0</v>
      </c>
      <c r="K89" s="267"/>
      <c r="L89" s="268"/>
    </row>
    <row r="90" spans="1:12" ht="18" customHeight="1">
      <c r="A90" s="264"/>
      <c r="B90" s="270"/>
      <c r="C90" s="265"/>
      <c r="D90" s="265"/>
      <c r="E90" s="265" t="s">
        <v>2676</v>
      </c>
      <c r="F90" s="266">
        <v>1</v>
      </c>
      <c r="G90" s="266">
        <f t="shared" si="6"/>
        <v>0</v>
      </c>
      <c r="H90" s="267">
        <f t="shared" si="7"/>
        <v>0</v>
      </c>
      <c r="I90" s="267">
        <f t="shared" si="8"/>
        <v>0</v>
      </c>
      <c r="J90" s="267">
        <f t="shared" si="9"/>
        <v>0</v>
      </c>
      <c r="K90" s="267"/>
      <c r="L90" s="268"/>
    </row>
    <row r="91" spans="1:12" ht="18" customHeight="1">
      <c r="A91" s="264"/>
      <c r="B91" s="270"/>
      <c r="C91" s="265"/>
      <c r="D91" s="265"/>
      <c r="E91" s="265" t="s">
        <v>2676</v>
      </c>
      <c r="F91" s="266">
        <v>1</v>
      </c>
      <c r="G91" s="266">
        <f t="shared" si="6"/>
        <v>0</v>
      </c>
      <c r="H91" s="267">
        <f t="shared" si="7"/>
        <v>0</v>
      </c>
      <c r="I91" s="267">
        <f t="shared" si="8"/>
        <v>0</v>
      </c>
      <c r="J91" s="267">
        <f t="shared" si="9"/>
        <v>0</v>
      </c>
      <c r="K91" s="267"/>
      <c r="L91" s="268"/>
    </row>
    <row r="92" spans="1:12" ht="18" customHeight="1">
      <c r="A92" s="264"/>
      <c r="B92" s="270"/>
      <c r="C92" s="265"/>
      <c r="D92" s="265"/>
      <c r="E92" s="265" t="s">
        <v>2676</v>
      </c>
      <c r="F92" s="266">
        <v>1</v>
      </c>
      <c r="G92" s="266">
        <f t="shared" si="6"/>
        <v>0</v>
      </c>
      <c r="H92" s="267">
        <f t="shared" si="7"/>
        <v>0</v>
      </c>
      <c r="I92" s="267">
        <f t="shared" si="8"/>
        <v>0</v>
      </c>
      <c r="J92" s="267">
        <f t="shared" si="9"/>
        <v>0</v>
      </c>
      <c r="K92" s="267">
        <f>J92*10%</f>
        <v>0</v>
      </c>
      <c r="L92" s="268"/>
    </row>
    <row r="93" spans="1:12" ht="18" customHeight="1">
      <c r="A93" s="264"/>
      <c r="B93" s="270"/>
      <c r="C93" s="265"/>
      <c r="D93" s="265"/>
      <c r="E93" s="265" t="s">
        <v>2676</v>
      </c>
      <c r="F93" s="266">
        <v>1</v>
      </c>
      <c r="G93" s="266">
        <f t="shared" si="6"/>
        <v>0</v>
      </c>
      <c r="H93" s="267">
        <f t="shared" si="7"/>
        <v>0</v>
      </c>
      <c r="I93" s="267">
        <f t="shared" si="8"/>
        <v>0</v>
      </c>
      <c r="J93" s="267">
        <f t="shared" si="9"/>
        <v>0</v>
      </c>
      <c r="K93" s="267"/>
      <c r="L93" s="268"/>
    </row>
    <row r="94" spans="1:12" ht="18" customHeight="1">
      <c r="A94" s="264"/>
      <c r="B94" s="270"/>
      <c r="C94" s="265"/>
      <c r="D94" s="265"/>
      <c r="E94" s="265" t="s">
        <v>2676</v>
      </c>
      <c r="F94" s="266">
        <v>1</v>
      </c>
      <c r="G94" s="266">
        <f t="shared" si="6"/>
        <v>0</v>
      </c>
      <c r="H94" s="267">
        <f t="shared" si="7"/>
        <v>0</v>
      </c>
      <c r="I94" s="267">
        <f t="shared" si="8"/>
        <v>0</v>
      </c>
      <c r="J94" s="267">
        <f t="shared" si="9"/>
        <v>0</v>
      </c>
      <c r="K94" s="267"/>
      <c r="L94" s="268"/>
    </row>
    <row r="95" spans="1:12" ht="18" customHeight="1">
      <c r="A95" s="264"/>
      <c r="B95" s="270"/>
      <c r="C95" s="265"/>
      <c r="D95" s="265"/>
      <c r="E95" s="265" t="s">
        <v>2676</v>
      </c>
      <c r="F95" s="266">
        <v>1</v>
      </c>
      <c r="G95" s="266">
        <f t="shared" si="6"/>
        <v>0</v>
      </c>
      <c r="H95" s="267">
        <f t="shared" si="7"/>
        <v>0</v>
      </c>
      <c r="I95" s="267">
        <f t="shared" si="8"/>
        <v>0</v>
      </c>
      <c r="J95" s="267">
        <f t="shared" si="9"/>
        <v>0</v>
      </c>
      <c r="K95" s="267"/>
      <c r="L95" s="268"/>
    </row>
    <row r="96" spans="1:12" ht="18" customHeight="1">
      <c r="A96" s="264"/>
      <c r="B96" s="270"/>
      <c r="C96" s="265"/>
      <c r="D96" s="265"/>
      <c r="E96" s="265" t="s">
        <v>2676</v>
      </c>
      <c r="F96" s="266">
        <v>1</v>
      </c>
      <c r="G96" s="266">
        <f t="shared" si="6"/>
        <v>0</v>
      </c>
      <c r="H96" s="267">
        <f t="shared" si="7"/>
        <v>0</v>
      </c>
      <c r="I96" s="267">
        <f t="shared" si="8"/>
        <v>0</v>
      </c>
      <c r="J96" s="267">
        <f t="shared" si="9"/>
        <v>0</v>
      </c>
      <c r="K96" s="267"/>
      <c r="L96" s="268"/>
    </row>
    <row r="97" spans="1:12" ht="18" customHeight="1">
      <c r="A97" s="264"/>
      <c r="B97" s="270"/>
      <c r="C97" s="265"/>
      <c r="D97" s="265"/>
      <c r="E97" s="265" t="s">
        <v>2676</v>
      </c>
      <c r="F97" s="266">
        <v>1</v>
      </c>
      <c r="G97" s="266">
        <f t="shared" si="6"/>
        <v>0</v>
      </c>
      <c r="H97" s="267">
        <f t="shared" si="7"/>
        <v>0</v>
      </c>
      <c r="I97" s="267">
        <f t="shared" si="8"/>
        <v>0</v>
      </c>
      <c r="J97" s="267">
        <f t="shared" si="9"/>
        <v>0</v>
      </c>
      <c r="K97" s="267"/>
      <c r="L97" s="268"/>
    </row>
    <row r="98" spans="1:12" ht="18" customHeight="1">
      <c r="A98" s="264"/>
      <c r="B98" s="270"/>
      <c r="C98" s="265"/>
      <c r="D98" s="265"/>
      <c r="E98" s="265" t="s">
        <v>2676</v>
      </c>
      <c r="F98" s="266">
        <v>1</v>
      </c>
      <c r="G98" s="266">
        <f t="shared" si="6"/>
        <v>0</v>
      </c>
      <c r="H98" s="267">
        <f t="shared" si="7"/>
        <v>0</v>
      </c>
      <c r="I98" s="267">
        <f t="shared" si="8"/>
        <v>0</v>
      </c>
      <c r="J98" s="267">
        <f t="shared" si="9"/>
        <v>0</v>
      </c>
      <c r="K98" s="267">
        <f>J98*10%</f>
        <v>0</v>
      </c>
      <c r="L98" s="268"/>
    </row>
    <row r="99" spans="1:12" ht="18" customHeight="1">
      <c r="A99" s="264"/>
      <c r="B99" s="270"/>
      <c r="C99" s="265"/>
      <c r="D99" s="265"/>
      <c r="E99" s="265" t="s">
        <v>2676</v>
      </c>
      <c r="F99" s="266">
        <v>1</v>
      </c>
      <c r="G99" s="266">
        <f t="shared" si="6"/>
        <v>0</v>
      </c>
      <c r="H99" s="267">
        <f t="shared" si="7"/>
        <v>0</v>
      </c>
      <c r="I99" s="267">
        <f t="shared" si="8"/>
        <v>0</v>
      </c>
      <c r="J99" s="267">
        <f t="shared" si="9"/>
        <v>0</v>
      </c>
      <c r="K99" s="267"/>
      <c r="L99" s="268"/>
    </row>
    <row r="100" spans="1:12" ht="18" customHeight="1">
      <c r="A100" s="264"/>
      <c r="B100" s="270"/>
      <c r="C100" s="265"/>
      <c r="D100" s="265"/>
      <c r="E100" s="265" t="s">
        <v>2676</v>
      </c>
      <c r="F100" s="266">
        <v>1</v>
      </c>
      <c r="G100" s="266">
        <f t="shared" si="6"/>
        <v>0</v>
      </c>
      <c r="H100" s="267">
        <f t="shared" si="7"/>
        <v>0</v>
      </c>
      <c r="I100" s="267">
        <f t="shared" si="8"/>
        <v>0</v>
      </c>
      <c r="J100" s="267">
        <f t="shared" si="9"/>
        <v>0</v>
      </c>
      <c r="K100" s="267"/>
      <c r="L100" s="268"/>
    </row>
    <row r="101" spans="1:12" ht="18" customHeight="1">
      <c r="A101" s="264"/>
      <c r="B101" s="270"/>
      <c r="C101" s="265"/>
      <c r="D101" s="265"/>
      <c r="E101" s="265" t="s">
        <v>2676</v>
      </c>
      <c r="F101" s="266">
        <v>1</v>
      </c>
      <c r="G101" s="266">
        <f t="shared" si="6"/>
        <v>0</v>
      </c>
      <c r="H101" s="267">
        <f t="shared" si="7"/>
        <v>0</v>
      </c>
      <c r="I101" s="267">
        <f t="shared" si="8"/>
        <v>0</v>
      </c>
      <c r="J101" s="267">
        <f t="shared" si="9"/>
        <v>0</v>
      </c>
      <c r="K101" s="267"/>
      <c r="L101" s="268"/>
    </row>
    <row r="102" spans="1:12" ht="18" customHeight="1">
      <c r="A102" s="264"/>
      <c r="B102" s="270"/>
      <c r="C102" s="265"/>
      <c r="D102" s="265"/>
      <c r="E102" s="265" t="s">
        <v>2676</v>
      </c>
      <c r="F102" s="266">
        <v>1</v>
      </c>
      <c r="G102" s="266">
        <f t="shared" si="6"/>
        <v>0</v>
      </c>
      <c r="H102" s="267">
        <f t="shared" si="7"/>
        <v>0</v>
      </c>
      <c r="I102" s="267">
        <f t="shared" si="8"/>
        <v>0</v>
      </c>
      <c r="J102" s="267">
        <f t="shared" si="9"/>
        <v>0</v>
      </c>
      <c r="K102" s="267"/>
      <c r="L102" s="268"/>
    </row>
    <row r="103" spans="1:12" ht="18" customHeight="1">
      <c r="A103" s="264"/>
      <c r="B103" s="270"/>
      <c r="C103" s="265"/>
      <c r="D103" s="265"/>
      <c r="E103" s="265" t="s">
        <v>2676</v>
      </c>
      <c r="F103" s="266">
        <v>1</v>
      </c>
      <c r="G103" s="266">
        <f t="shared" si="6"/>
        <v>0</v>
      </c>
      <c r="H103" s="267">
        <f t="shared" si="7"/>
        <v>0</v>
      </c>
      <c r="I103" s="267">
        <f t="shared" si="8"/>
        <v>0</v>
      </c>
      <c r="J103" s="267">
        <f t="shared" si="9"/>
        <v>0</v>
      </c>
      <c r="K103" s="267"/>
      <c r="L103" s="268"/>
    </row>
    <row r="104" spans="1:12" ht="18" customHeight="1">
      <c r="A104" s="264"/>
      <c r="B104" s="270"/>
      <c r="C104" s="265"/>
      <c r="D104" s="265"/>
      <c r="E104" s="265" t="s">
        <v>2676</v>
      </c>
      <c r="F104" s="266">
        <v>1</v>
      </c>
      <c r="G104" s="266">
        <f t="shared" si="6"/>
        <v>0</v>
      </c>
      <c r="H104" s="267">
        <f t="shared" si="7"/>
        <v>0</v>
      </c>
      <c r="I104" s="267">
        <f t="shared" si="8"/>
        <v>0</v>
      </c>
      <c r="J104" s="267">
        <f t="shared" si="9"/>
        <v>0</v>
      </c>
      <c r="K104" s="267">
        <f>J104*10%</f>
        <v>0</v>
      </c>
      <c r="L104" s="268"/>
    </row>
    <row r="105" spans="1:12" ht="18" customHeight="1">
      <c r="A105" s="264"/>
      <c r="B105" s="270"/>
      <c r="C105" s="265"/>
      <c r="D105" s="265"/>
      <c r="E105" s="265" t="s">
        <v>2676</v>
      </c>
      <c r="F105" s="266">
        <v>1</v>
      </c>
      <c r="G105" s="266">
        <f t="shared" si="6"/>
        <v>0</v>
      </c>
      <c r="H105" s="267">
        <f t="shared" si="7"/>
        <v>0</v>
      </c>
      <c r="I105" s="267">
        <f t="shared" si="8"/>
        <v>0</v>
      </c>
      <c r="J105" s="267">
        <f t="shared" si="9"/>
        <v>0</v>
      </c>
      <c r="K105" s="267"/>
      <c r="L105" s="268"/>
    </row>
    <row r="106" spans="1:12" ht="18" customHeight="1">
      <c r="A106" s="264"/>
      <c r="B106" s="270"/>
      <c r="C106" s="265"/>
      <c r="D106" s="265"/>
      <c r="E106" s="265" t="s">
        <v>2676</v>
      </c>
      <c r="F106" s="266">
        <v>1</v>
      </c>
      <c r="G106" s="266">
        <f t="shared" si="6"/>
        <v>0</v>
      </c>
      <c r="H106" s="267">
        <f t="shared" si="7"/>
        <v>0</v>
      </c>
      <c r="I106" s="267">
        <f t="shared" si="8"/>
        <v>0</v>
      </c>
      <c r="J106" s="267">
        <f t="shared" si="9"/>
        <v>0</v>
      </c>
      <c r="K106" s="267"/>
      <c r="L106" s="268"/>
    </row>
    <row r="107" spans="1:12" ht="18" customHeight="1">
      <c r="A107" s="264"/>
      <c r="B107" s="270"/>
      <c r="C107" s="265"/>
      <c r="D107" s="265"/>
      <c r="E107" s="265" t="s">
        <v>2676</v>
      </c>
      <c r="F107" s="266">
        <v>1</v>
      </c>
      <c r="G107" s="266">
        <f t="shared" si="6"/>
        <v>0</v>
      </c>
      <c r="H107" s="267">
        <f t="shared" si="7"/>
        <v>0</v>
      </c>
      <c r="I107" s="267">
        <f t="shared" si="8"/>
        <v>0</v>
      </c>
      <c r="J107" s="267">
        <f t="shared" si="9"/>
        <v>0</v>
      </c>
      <c r="K107" s="267"/>
      <c r="L107" s="268"/>
    </row>
    <row r="108" spans="1:12" ht="18" customHeight="1">
      <c r="A108" s="264"/>
      <c r="B108" s="270"/>
      <c r="C108" s="265"/>
      <c r="D108" s="265"/>
      <c r="E108" s="265" t="s">
        <v>2676</v>
      </c>
      <c r="F108" s="266">
        <v>1</v>
      </c>
      <c r="G108" s="266">
        <f t="shared" si="6"/>
        <v>0</v>
      </c>
      <c r="H108" s="267">
        <f t="shared" si="7"/>
        <v>0</v>
      </c>
      <c r="I108" s="267">
        <f t="shared" si="8"/>
        <v>0</v>
      </c>
      <c r="J108" s="267">
        <f t="shared" si="9"/>
        <v>0</v>
      </c>
      <c r="K108" s="267"/>
      <c r="L108" s="268"/>
    </row>
    <row r="109" spans="1:12" ht="18" customHeight="1">
      <c r="A109" s="264"/>
      <c r="B109" s="270"/>
      <c r="C109" s="265"/>
      <c r="D109" s="265"/>
      <c r="E109" s="265" t="s">
        <v>2676</v>
      </c>
      <c r="F109" s="266">
        <v>1</v>
      </c>
      <c r="G109" s="266">
        <f t="shared" si="6"/>
        <v>0</v>
      </c>
      <c r="H109" s="267">
        <f t="shared" si="7"/>
        <v>0</v>
      </c>
      <c r="I109" s="267">
        <f t="shared" si="8"/>
        <v>0</v>
      </c>
      <c r="J109" s="267">
        <f t="shared" si="9"/>
        <v>0</v>
      </c>
      <c r="K109" s="267"/>
      <c r="L109" s="268"/>
    </row>
    <row r="110" spans="1:12" ht="18" customHeight="1">
      <c r="A110" s="264"/>
      <c r="B110" s="270"/>
      <c r="C110" s="265"/>
      <c r="D110" s="265"/>
      <c r="E110" s="265" t="s">
        <v>2676</v>
      </c>
      <c r="F110" s="266">
        <v>1</v>
      </c>
      <c r="G110" s="266">
        <f t="shared" si="6"/>
        <v>0</v>
      </c>
      <c r="H110" s="267">
        <f t="shared" si="7"/>
        <v>0</v>
      </c>
      <c r="I110" s="267">
        <f t="shared" si="8"/>
        <v>0</v>
      </c>
      <c r="J110" s="267">
        <f t="shared" si="9"/>
        <v>0</v>
      </c>
      <c r="K110" s="267">
        <f>J110*10%</f>
        <v>0</v>
      </c>
      <c r="L110" s="268"/>
    </row>
    <row r="111" spans="1:12" ht="18" customHeight="1">
      <c r="A111" s="264"/>
      <c r="B111" s="270"/>
      <c r="C111" s="265"/>
      <c r="D111" s="265"/>
      <c r="E111" s="265" t="s">
        <v>2676</v>
      </c>
      <c r="F111" s="266">
        <v>1</v>
      </c>
      <c r="G111" s="266">
        <f t="shared" si="6"/>
        <v>0</v>
      </c>
      <c r="H111" s="267">
        <f t="shared" si="7"/>
        <v>0</v>
      </c>
      <c r="I111" s="267">
        <f t="shared" si="8"/>
        <v>0</v>
      </c>
      <c r="J111" s="267">
        <f t="shared" si="9"/>
        <v>0</v>
      </c>
      <c r="K111" s="267"/>
      <c r="L111" s="268"/>
    </row>
    <row r="112" spans="1:12" ht="18" customHeight="1">
      <c r="A112" s="264"/>
      <c r="B112" s="270"/>
      <c r="C112" s="265"/>
      <c r="D112" s="265"/>
      <c r="E112" s="265" t="s">
        <v>2676</v>
      </c>
      <c r="F112" s="266">
        <v>1</v>
      </c>
      <c r="G112" s="266">
        <f t="shared" si="6"/>
        <v>0</v>
      </c>
      <c r="H112" s="267">
        <f t="shared" si="7"/>
        <v>0</v>
      </c>
      <c r="I112" s="267">
        <f t="shared" si="8"/>
        <v>0</v>
      </c>
      <c r="J112" s="267">
        <f t="shared" si="9"/>
        <v>0</v>
      </c>
      <c r="K112" s="267"/>
      <c r="L112" s="268"/>
    </row>
    <row r="113" spans="1:12" ht="18" customHeight="1">
      <c r="A113" s="264"/>
      <c r="B113" s="270"/>
      <c r="C113" s="265"/>
      <c r="D113" s="265"/>
      <c r="E113" s="265" t="s">
        <v>2676</v>
      </c>
      <c r="F113" s="266">
        <v>1</v>
      </c>
      <c r="G113" s="266">
        <f t="shared" si="6"/>
        <v>0</v>
      </c>
      <c r="H113" s="267">
        <f t="shared" si="7"/>
        <v>0</v>
      </c>
      <c r="I113" s="267">
        <f t="shared" si="8"/>
        <v>0</v>
      </c>
      <c r="J113" s="267">
        <f t="shared" si="9"/>
        <v>0</v>
      </c>
      <c r="K113" s="267"/>
      <c r="L113" s="268"/>
    </row>
    <row r="114" spans="1:12" ht="18" customHeight="1">
      <c r="A114" s="264"/>
      <c r="B114" s="270"/>
      <c r="C114" s="265"/>
      <c r="D114" s="265"/>
      <c r="E114" s="265" t="s">
        <v>2676</v>
      </c>
      <c r="F114" s="266">
        <v>1</v>
      </c>
      <c r="G114" s="266">
        <f t="shared" si="6"/>
        <v>0</v>
      </c>
      <c r="H114" s="267">
        <f t="shared" si="7"/>
        <v>0</v>
      </c>
      <c r="I114" s="267">
        <f t="shared" si="8"/>
        <v>0</v>
      </c>
      <c r="J114" s="267">
        <f t="shared" si="9"/>
        <v>0</v>
      </c>
      <c r="K114" s="267"/>
      <c r="L114" s="268"/>
    </row>
    <row r="115" spans="1:12" ht="18" customHeight="1">
      <c r="A115" s="264"/>
      <c r="B115" s="270"/>
      <c r="C115" s="265"/>
      <c r="D115" s="265"/>
      <c r="E115" s="265" t="s">
        <v>2676</v>
      </c>
      <c r="F115" s="266">
        <v>1</v>
      </c>
      <c r="G115" s="266">
        <f t="shared" si="6"/>
        <v>0</v>
      </c>
      <c r="H115" s="267">
        <f t="shared" si="7"/>
        <v>0</v>
      </c>
      <c r="I115" s="267">
        <f t="shared" si="8"/>
        <v>0</v>
      </c>
      <c r="J115" s="267">
        <f t="shared" si="9"/>
        <v>0</v>
      </c>
      <c r="K115" s="267"/>
      <c r="L115" s="268"/>
    </row>
    <row r="116" spans="1:12" ht="18" customHeight="1">
      <c r="A116" s="264"/>
      <c r="B116" s="270"/>
      <c r="C116" s="265"/>
      <c r="D116" s="265"/>
      <c r="E116" s="265" t="s">
        <v>2676</v>
      </c>
      <c r="F116" s="266">
        <v>1</v>
      </c>
      <c r="G116" s="266">
        <f t="shared" si="6"/>
        <v>0</v>
      </c>
      <c r="H116" s="267">
        <f t="shared" si="7"/>
        <v>0</v>
      </c>
      <c r="I116" s="267">
        <f t="shared" si="8"/>
        <v>0</v>
      </c>
      <c r="J116" s="267">
        <f t="shared" si="9"/>
        <v>0</v>
      </c>
      <c r="K116" s="267">
        <f>J116*10%</f>
        <v>0</v>
      </c>
      <c r="L116" s="268"/>
    </row>
    <row r="117" spans="1:12" ht="18" customHeight="1">
      <c r="A117" s="264"/>
      <c r="B117" s="270"/>
      <c r="C117" s="265"/>
      <c r="D117" s="265"/>
      <c r="E117" s="265" t="s">
        <v>2676</v>
      </c>
      <c r="F117" s="266">
        <v>1</v>
      </c>
      <c r="G117" s="266">
        <f t="shared" si="6"/>
        <v>0</v>
      </c>
      <c r="H117" s="267">
        <f t="shared" si="7"/>
        <v>0</v>
      </c>
      <c r="I117" s="267">
        <f t="shared" si="8"/>
        <v>0</v>
      </c>
      <c r="J117" s="267">
        <f t="shared" si="9"/>
        <v>0</v>
      </c>
      <c r="K117" s="267"/>
      <c r="L117" s="268"/>
    </row>
    <row r="118" spans="1:12" ht="18" customHeight="1">
      <c r="A118" s="264"/>
      <c r="B118" s="270"/>
      <c r="C118" s="265"/>
      <c r="D118" s="265"/>
      <c r="E118" s="265" t="s">
        <v>2676</v>
      </c>
      <c r="F118" s="266">
        <v>1</v>
      </c>
      <c r="G118" s="266">
        <f t="shared" si="6"/>
        <v>0</v>
      </c>
      <c r="H118" s="267">
        <f t="shared" si="7"/>
        <v>0</v>
      </c>
      <c r="I118" s="267">
        <f t="shared" si="8"/>
        <v>0</v>
      </c>
      <c r="J118" s="267">
        <f t="shared" si="9"/>
        <v>0</v>
      </c>
      <c r="K118" s="267"/>
      <c r="L118" s="268"/>
    </row>
    <row r="119" spans="1:12" ht="18" customHeight="1">
      <c r="A119" s="264"/>
      <c r="B119" s="270"/>
      <c r="C119" s="265"/>
      <c r="D119" s="265"/>
      <c r="E119" s="265" t="s">
        <v>2676</v>
      </c>
      <c r="F119" s="266">
        <v>1</v>
      </c>
      <c r="G119" s="266">
        <f t="shared" si="6"/>
        <v>0</v>
      </c>
      <c r="H119" s="267">
        <f t="shared" si="7"/>
        <v>0</v>
      </c>
      <c r="I119" s="267">
        <f t="shared" si="8"/>
        <v>0</v>
      </c>
      <c r="J119" s="267">
        <f t="shared" si="9"/>
        <v>0</v>
      </c>
      <c r="K119" s="267"/>
      <c r="L119" s="268"/>
    </row>
    <row r="120" spans="1:12" ht="18" customHeight="1">
      <c r="A120" s="264"/>
      <c r="B120" s="270"/>
      <c r="C120" s="265"/>
      <c r="D120" s="265"/>
      <c r="E120" s="265" t="s">
        <v>2676</v>
      </c>
      <c r="F120" s="266">
        <v>1</v>
      </c>
      <c r="G120" s="266">
        <f t="shared" si="6"/>
        <v>0</v>
      </c>
      <c r="H120" s="267">
        <f t="shared" si="7"/>
        <v>0</v>
      </c>
      <c r="I120" s="267">
        <f t="shared" si="8"/>
        <v>0</v>
      </c>
      <c r="J120" s="267">
        <f t="shared" si="9"/>
        <v>0</v>
      </c>
      <c r="K120" s="267"/>
      <c r="L120" s="268"/>
    </row>
    <row r="121" spans="1:12" ht="18" customHeight="1">
      <c r="A121" s="264"/>
      <c r="B121" s="270"/>
      <c r="C121" s="265"/>
      <c r="D121" s="265"/>
      <c r="E121" s="265" t="s">
        <v>2676</v>
      </c>
      <c r="F121" s="266">
        <v>1</v>
      </c>
      <c r="G121" s="266">
        <f t="shared" si="6"/>
        <v>0</v>
      </c>
      <c r="H121" s="267">
        <f t="shared" si="7"/>
        <v>0</v>
      </c>
      <c r="I121" s="267">
        <f t="shared" si="8"/>
        <v>0</v>
      </c>
      <c r="J121" s="267">
        <f t="shared" si="9"/>
        <v>0</v>
      </c>
      <c r="K121" s="267"/>
      <c r="L121" s="268"/>
    </row>
    <row r="122" spans="1:12" ht="18" customHeight="1">
      <c r="A122" s="264"/>
      <c r="B122" s="270"/>
      <c r="C122" s="265"/>
      <c r="D122" s="265"/>
      <c r="E122" s="265" t="s">
        <v>2676</v>
      </c>
      <c r="F122" s="266">
        <v>1</v>
      </c>
      <c r="G122" s="266">
        <f t="shared" si="6"/>
        <v>0</v>
      </c>
      <c r="H122" s="267">
        <f t="shared" si="7"/>
        <v>0</v>
      </c>
      <c r="I122" s="267">
        <f t="shared" si="8"/>
        <v>0</v>
      </c>
      <c r="J122" s="267">
        <f t="shared" si="9"/>
        <v>0</v>
      </c>
      <c r="K122" s="267">
        <f>J122*10%</f>
        <v>0</v>
      </c>
      <c r="L122" s="268"/>
    </row>
    <row r="123" spans="1:12" ht="18" customHeight="1">
      <c r="A123" s="264"/>
      <c r="B123" s="270"/>
      <c r="C123" s="265"/>
      <c r="D123" s="265"/>
      <c r="E123" s="265" t="s">
        <v>2676</v>
      </c>
      <c r="F123" s="266">
        <v>1</v>
      </c>
      <c r="G123" s="266">
        <f t="shared" si="6"/>
        <v>0</v>
      </c>
      <c r="H123" s="267">
        <f t="shared" si="7"/>
        <v>0</v>
      </c>
      <c r="I123" s="267">
        <f t="shared" si="8"/>
        <v>0</v>
      </c>
      <c r="J123" s="267">
        <f t="shared" si="9"/>
        <v>0</v>
      </c>
      <c r="K123" s="267"/>
      <c r="L123" s="268"/>
    </row>
    <row r="124" spans="1:12" ht="18" customHeight="1">
      <c r="A124" s="264"/>
      <c r="B124" s="270"/>
      <c r="C124" s="265"/>
      <c r="D124" s="265"/>
      <c r="E124" s="265" t="s">
        <v>2676</v>
      </c>
      <c r="F124" s="266">
        <v>1</v>
      </c>
      <c r="G124" s="266">
        <f t="shared" si="6"/>
        <v>0</v>
      </c>
      <c r="H124" s="267">
        <f t="shared" si="7"/>
        <v>0</v>
      </c>
      <c r="I124" s="267">
        <f t="shared" si="8"/>
        <v>0</v>
      </c>
      <c r="J124" s="267">
        <f t="shared" si="9"/>
        <v>0</v>
      </c>
      <c r="K124" s="267"/>
      <c r="L124" s="268"/>
    </row>
    <row r="125" spans="1:12" ht="18" customHeight="1">
      <c r="A125" s="264"/>
      <c r="B125" s="270"/>
      <c r="C125" s="265"/>
      <c r="D125" s="265"/>
      <c r="E125" s="265" t="s">
        <v>2676</v>
      </c>
      <c r="F125" s="266">
        <v>1</v>
      </c>
      <c r="G125" s="266">
        <f t="shared" si="6"/>
        <v>0</v>
      </c>
      <c r="H125" s="267">
        <f t="shared" si="7"/>
        <v>0</v>
      </c>
      <c r="I125" s="267">
        <f t="shared" si="8"/>
        <v>0</v>
      </c>
      <c r="J125" s="267">
        <f t="shared" si="9"/>
        <v>0</v>
      </c>
      <c r="K125" s="267"/>
      <c r="L125" s="268"/>
    </row>
    <row r="126" spans="1:12" ht="18" customHeight="1">
      <c r="A126" s="264"/>
      <c r="B126" s="270"/>
      <c r="C126" s="265"/>
      <c r="D126" s="265"/>
      <c r="E126" s="265" t="s">
        <v>2676</v>
      </c>
      <c r="F126" s="266">
        <v>1</v>
      </c>
      <c r="G126" s="266">
        <f t="shared" si="6"/>
        <v>0</v>
      </c>
      <c r="H126" s="267">
        <f t="shared" si="7"/>
        <v>0</v>
      </c>
      <c r="I126" s="267">
        <f t="shared" si="8"/>
        <v>0</v>
      </c>
      <c r="J126" s="267">
        <f t="shared" si="9"/>
        <v>0</v>
      </c>
      <c r="K126" s="267"/>
      <c r="L126" s="268"/>
    </row>
    <row r="127" spans="1:12" ht="18" customHeight="1">
      <c r="A127" s="264"/>
      <c r="B127" s="270"/>
      <c r="C127" s="265"/>
      <c r="D127" s="265"/>
      <c r="E127" s="265" t="s">
        <v>2676</v>
      </c>
      <c r="F127" s="266">
        <v>1</v>
      </c>
      <c r="G127" s="266">
        <f t="shared" si="6"/>
        <v>0</v>
      </c>
      <c r="H127" s="267">
        <f t="shared" si="7"/>
        <v>0</v>
      </c>
      <c r="I127" s="267">
        <f t="shared" si="8"/>
        <v>0</v>
      </c>
      <c r="J127" s="267">
        <f t="shared" si="9"/>
        <v>0</v>
      </c>
      <c r="K127" s="267"/>
      <c r="L127" s="268"/>
    </row>
    <row r="128" spans="1:12" ht="18" customHeight="1">
      <c r="A128" s="264"/>
      <c r="B128" s="270"/>
      <c r="C128" s="265"/>
      <c r="D128" s="265"/>
      <c r="E128" s="265" t="s">
        <v>2676</v>
      </c>
      <c r="F128" s="266">
        <v>1</v>
      </c>
      <c r="G128" s="266">
        <f t="shared" si="6"/>
        <v>0</v>
      </c>
      <c r="H128" s="267">
        <f t="shared" si="7"/>
        <v>0</v>
      </c>
      <c r="I128" s="267">
        <f t="shared" si="8"/>
        <v>0</v>
      </c>
      <c r="J128" s="267">
        <f t="shared" si="9"/>
        <v>0</v>
      </c>
      <c r="K128" s="267">
        <f>J128*10%</f>
        <v>0</v>
      </c>
      <c r="L128" s="268"/>
    </row>
    <row r="129" spans="1:12" ht="18" customHeight="1">
      <c r="A129" s="264"/>
      <c r="B129" s="270"/>
      <c r="C129" s="265"/>
      <c r="D129" s="265"/>
      <c r="E129" s="265" t="s">
        <v>2676</v>
      </c>
      <c r="F129" s="266">
        <v>1</v>
      </c>
      <c r="G129" s="266">
        <f t="shared" si="6"/>
        <v>0</v>
      </c>
      <c r="H129" s="267">
        <f t="shared" si="7"/>
        <v>0</v>
      </c>
      <c r="I129" s="267">
        <f t="shared" si="8"/>
        <v>0</v>
      </c>
      <c r="J129" s="267">
        <f t="shared" si="9"/>
        <v>0</v>
      </c>
      <c r="K129" s="267"/>
      <c r="L129" s="268"/>
    </row>
    <row r="130" spans="1:12" ht="18" customHeight="1">
      <c r="A130" s="264"/>
      <c r="B130" s="270"/>
      <c r="C130" s="265"/>
      <c r="D130" s="265"/>
      <c r="E130" s="265" t="s">
        <v>2676</v>
      </c>
      <c r="F130" s="266">
        <v>1</v>
      </c>
      <c r="G130" s="266">
        <f t="shared" ref="G130:G146" si="10">L130/F130/1.1</f>
        <v>0</v>
      </c>
      <c r="H130" s="267">
        <f t="shared" ref="H130:H146" si="11">F130*G130</f>
        <v>0</v>
      </c>
      <c r="I130" s="267">
        <f t="shared" si="8"/>
        <v>0</v>
      </c>
      <c r="J130" s="267">
        <f t="shared" si="9"/>
        <v>0</v>
      </c>
      <c r="K130" s="267"/>
      <c r="L130" s="268"/>
    </row>
    <row r="131" spans="1:12" ht="18" customHeight="1">
      <c r="A131" s="264"/>
      <c r="B131" s="270"/>
      <c r="C131" s="265"/>
      <c r="D131" s="265"/>
      <c r="E131" s="265" t="s">
        <v>2676</v>
      </c>
      <c r="F131" s="266">
        <v>1</v>
      </c>
      <c r="G131" s="266">
        <f t="shared" si="10"/>
        <v>0</v>
      </c>
      <c r="H131" s="267">
        <f t="shared" si="11"/>
        <v>0</v>
      </c>
      <c r="I131" s="267">
        <f t="shared" ref="I131:I146" si="12">H131*10%</f>
        <v>0</v>
      </c>
      <c r="J131" s="267">
        <f t="shared" ref="J131:J146" si="13">IF(E131="매출",F131*G131,0)</f>
        <v>0</v>
      </c>
      <c r="K131" s="267"/>
      <c r="L131" s="268"/>
    </row>
    <row r="132" spans="1:12" ht="18" customHeight="1">
      <c r="A132" s="264"/>
      <c r="B132" s="270"/>
      <c r="C132" s="265"/>
      <c r="D132" s="265"/>
      <c r="E132" s="265" t="s">
        <v>2676</v>
      </c>
      <c r="F132" s="266">
        <v>1</v>
      </c>
      <c r="G132" s="266">
        <f t="shared" si="10"/>
        <v>0</v>
      </c>
      <c r="H132" s="267">
        <f t="shared" si="11"/>
        <v>0</v>
      </c>
      <c r="I132" s="267">
        <f t="shared" si="12"/>
        <v>0</v>
      </c>
      <c r="J132" s="267">
        <f t="shared" si="13"/>
        <v>0</v>
      </c>
      <c r="K132" s="267"/>
      <c r="L132" s="268"/>
    </row>
    <row r="133" spans="1:12" ht="18" customHeight="1">
      <c r="A133" s="264"/>
      <c r="B133" s="270"/>
      <c r="C133" s="265"/>
      <c r="D133" s="265"/>
      <c r="E133" s="265"/>
      <c r="F133" s="266"/>
      <c r="G133" s="266" t="e">
        <f t="shared" si="10"/>
        <v>#DIV/0!</v>
      </c>
      <c r="H133" s="267" t="e">
        <f t="shared" si="11"/>
        <v>#DIV/0!</v>
      </c>
      <c r="I133" s="267" t="e">
        <f t="shared" si="12"/>
        <v>#DIV/0!</v>
      </c>
      <c r="J133" s="267">
        <f t="shared" si="13"/>
        <v>0</v>
      </c>
      <c r="K133" s="267"/>
      <c r="L133" s="268"/>
    </row>
    <row r="134" spans="1:12" ht="18" customHeight="1">
      <c r="A134" s="264"/>
      <c r="B134" s="270"/>
      <c r="C134" s="265"/>
      <c r="D134" s="265"/>
      <c r="E134" s="265"/>
      <c r="F134" s="266"/>
      <c r="G134" s="266" t="e">
        <f t="shared" si="10"/>
        <v>#DIV/0!</v>
      </c>
      <c r="H134" s="267" t="e">
        <f t="shared" si="11"/>
        <v>#DIV/0!</v>
      </c>
      <c r="I134" s="267" t="e">
        <f t="shared" si="12"/>
        <v>#DIV/0!</v>
      </c>
      <c r="J134" s="267">
        <f t="shared" si="13"/>
        <v>0</v>
      </c>
      <c r="K134" s="267">
        <f>J134*10%</f>
        <v>0</v>
      </c>
      <c r="L134" s="268"/>
    </row>
    <row r="135" spans="1:12" ht="18" customHeight="1">
      <c r="A135" s="264"/>
      <c r="B135" s="270"/>
      <c r="C135" s="265"/>
      <c r="D135" s="265"/>
      <c r="E135" s="265"/>
      <c r="F135" s="266"/>
      <c r="G135" s="266" t="e">
        <f t="shared" si="10"/>
        <v>#DIV/0!</v>
      </c>
      <c r="H135" s="267" t="e">
        <f t="shared" si="11"/>
        <v>#DIV/0!</v>
      </c>
      <c r="I135" s="267" t="e">
        <f t="shared" si="12"/>
        <v>#DIV/0!</v>
      </c>
      <c r="J135" s="267">
        <f t="shared" si="13"/>
        <v>0</v>
      </c>
      <c r="K135" s="267"/>
      <c r="L135" s="268"/>
    </row>
    <row r="136" spans="1:12" ht="18" customHeight="1">
      <c r="A136" s="264"/>
      <c r="B136" s="270"/>
      <c r="C136" s="265"/>
      <c r="D136" s="265"/>
      <c r="E136" s="265"/>
      <c r="F136" s="266"/>
      <c r="G136" s="266" t="e">
        <f t="shared" si="10"/>
        <v>#DIV/0!</v>
      </c>
      <c r="H136" s="267" t="e">
        <f t="shared" si="11"/>
        <v>#DIV/0!</v>
      </c>
      <c r="I136" s="267" t="e">
        <f t="shared" si="12"/>
        <v>#DIV/0!</v>
      </c>
      <c r="J136" s="267">
        <f t="shared" si="13"/>
        <v>0</v>
      </c>
      <c r="K136" s="267"/>
      <c r="L136" s="268"/>
    </row>
    <row r="137" spans="1:12" ht="18" customHeight="1">
      <c r="A137" s="264"/>
      <c r="B137" s="270"/>
      <c r="C137" s="265"/>
      <c r="D137" s="265"/>
      <c r="E137" s="265"/>
      <c r="F137" s="266"/>
      <c r="G137" s="266" t="e">
        <f t="shared" si="10"/>
        <v>#DIV/0!</v>
      </c>
      <c r="H137" s="267" t="e">
        <f t="shared" si="11"/>
        <v>#DIV/0!</v>
      </c>
      <c r="I137" s="267" t="e">
        <f t="shared" si="12"/>
        <v>#DIV/0!</v>
      </c>
      <c r="J137" s="267">
        <f t="shared" si="13"/>
        <v>0</v>
      </c>
      <c r="K137" s="267"/>
      <c r="L137" s="268"/>
    </row>
    <row r="138" spans="1:12" ht="18" customHeight="1">
      <c r="A138" s="264"/>
      <c r="B138" s="270"/>
      <c r="C138" s="265"/>
      <c r="D138" s="265"/>
      <c r="E138" s="265"/>
      <c r="F138" s="266"/>
      <c r="G138" s="266" t="e">
        <f t="shared" si="10"/>
        <v>#DIV/0!</v>
      </c>
      <c r="H138" s="267" t="e">
        <f t="shared" si="11"/>
        <v>#DIV/0!</v>
      </c>
      <c r="I138" s="267" t="e">
        <f t="shared" si="12"/>
        <v>#DIV/0!</v>
      </c>
      <c r="J138" s="267">
        <f t="shared" si="13"/>
        <v>0</v>
      </c>
      <c r="K138" s="267"/>
      <c r="L138" s="268"/>
    </row>
    <row r="139" spans="1:12" ht="18" customHeight="1">
      <c r="A139" s="264"/>
      <c r="B139" s="270"/>
      <c r="C139" s="265"/>
      <c r="D139" s="265"/>
      <c r="E139" s="265"/>
      <c r="F139" s="266"/>
      <c r="G139" s="266" t="e">
        <f t="shared" si="10"/>
        <v>#DIV/0!</v>
      </c>
      <c r="H139" s="267" t="e">
        <f t="shared" si="11"/>
        <v>#DIV/0!</v>
      </c>
      <c r="I139" s="267" t="e">
        <f t="shared" si="12"/>
        <v>#DIV/0!</v>
      </c>
      <c r="J139" s="267">
        <f t="shared" si="13"/>
        <v>0</v>
      </c>
      <c r="K139" s="267"/>
      <c r="L139" s="268"/>
    </row>
    <row r="140" spans="1:12" ht="18" customHeight="1">
      <c r="A140" s="264"/>
      <c r="B140" s="270"/>
      <c r="C140" s="265"/>
      <c r="D140" s="265"/>
      <c r="E140" s="265"/>
      <c r="F140" s="266"/>
      <c r="G140" s="266" t="e">
        <f t="shared" si="10"/>
        <v>#DIV/0!</v>
      </c>
      <c r="H140" s="267" t="e">
        <f t="shared" si="11"/>
        <v>#DIV/0!</v>
      </c>
      <c r="I140" s="267" t="e">
        <f t="shared" si="12"/>
        <v>#DIV/0!</v>
      </c>
      <c r="J140" s="267">
        <f t="shared" si="13"/>
        <v>0</v>
      </c>
      <c r="K140" s="267">
        <f>J140*10%</f>
        <v>0</v>
      </c>
      <c r="L140" s="268"/>
    </row>
    <row r="141" spans="1:12" ht="18" customHeight="1">
      <c r="A141" s="264"/>
      <c r="B141" s="270"/>
      <c r="C141" s="265"/>
      <c r="D141" s="265"/>
      <c r="E141" s="265"/>
      <c r="F141" s="266"/>
      <c r="G141" s="266" t="e">
        <f t="shared" si="10"/>
        <v>#DIV/0!</v>
      </c>
      <c r="H141" s="267" t="e">
        <f t="shared" si="11"/>
        <v>#DIV/0!</v>
      </c>
      <c r="I141" s="267" t="e">
        <f t="shared" si="12"/>
        <v>#DIV/0!</v>
      </c>
      <c r="J141" s="267">
        <f t="shared" si="13"/>
        <v>0</v>
      </c>
      <c r="K141" s="267"/>
      <c r="L141" s="268"/>
    </row>
    <row r="142" spans="1:12" ht="18" customHeight="1">
      <c r="A142" s="264"/>
      <c r="B142" s="270"/>
      <c r="C142" s="265"/>
      <c r="D142" s="265"/>
      <c r="E142" s="265"/>
      <c r="F142" s="266"/>
      <c r="G142" s="266" t="e">
        <f t="shared" si="10"/>
        <v>#DIV/0!</v>
      </c>
      <c r="H142" s="267" t="e">
        <f t="shared" si="11"/>
        <v>#DIV/0!</v>
      </c>
      <c r="I142" s="267" t="e">
        <f t="shared" si="12"/>
        <v>#DIV/0!</v>
      </c>
      <c r="J142" s="267">
        <f t="shared" si="13"/>
        <v>0</v>
      </c>
      <c r="K142" s="267"/>
      <c r="L142" s="268"/>
    </row>
    <row r="143" spans="1:12" ht="18" customHeight="1">
      <c r="A143" s="264"/>
      <c r="B143" s="270"/>
      <c r="C143" s="265"/>
      <c r="D143" s="265"/>
      <c r="E143" s="265"/>
      <c r="F143" s="266"/>
      <c r="G143" s="266" t="e">
        <f t="shared" si="10"/>
        <v>#DIV/0!</v>
      </c>
      <c r="H143" s="267" t="e">
        <f t="shared" si="11"/>
        <v>#DIV/0!</v>
      </c>
      <c r="I143" s="267" t="e">
        <f t="shared" si="12"/>
        <v>#DIV/0!</v>
      </c>
      <c r="J143" s="267">
        <f t="shared" si="13"/>
        <v>0</v>
      </c>
      <c r="K143" s="267"/>
      <c r="L143" s="268"/>
    </row>
    <row r="144" spans="1:12" ht="18" customHeight="1">
      <c r="A144" s="264"/>
      <c r="B144" s="270"/>
      <c r="C144" s="265"/>
      <c r="D144" s="265"/>
      <c r="E144" s="265"/>
      <c r="F144" s="266"/>
      <c r="G144" s="266" t="e">
        <f t="shared" si="10"/>
        <v>#DIV/0!</v>
      </c>
      <c r="H144" s="267" t="e">
        <f t="shared" si="11"/>
        <v>#DIV/0!</v>
      </c>
      <c r="I144" s="267" t="e">
        <f t="shared" si="12"/>
        <v>#DIV/0!</v>
      </c>
      <c r="J144" s="267">
        <f t="shared" si="13"/>
        <v>0</v>
      </c>
      <c r="K144" s="267"/>
      <c r="L144" s="268"/>
    </row>
    <row r="145" spans="1:12" ht="18" customHeight="1">
      <c r="A145" s="264"/>
      <c r="B145" s="270"/>
      <c r="C145" s="265"/>
      <c r="D145" s="265"/>
      <c r="E145" s="265"/>
      <c r="F145" s="266"/>
      <c r="G145" s="266" t="e">
        <f t="shared" si="10"/>
        <v>#DIV/0!</v>
      </c>
      <c r="H145" s="267" t="e">
        <f t="shared" si="11"/>
        <v>#DIV/0!</v>
      </c>
      <c r="I145" s="267" t="e">
        <f t="shared" si="12"/>
        <v>#DIV/0!</v>
      </c>
      <c r="J145" s="267">
        <f t="shared" si="13"/>
        <v>0</v>
      </c>
      <c r="K145" s="267"/>
      <c r="L145" s="268"/>
    </row>
    <row r="146" spans="1:12" ht="18" customHeight="1">
      <c r="A146" s="264"/>
      <c r="B146" s="270"/>
      <c r="C146" s="265"/>
      <c r="D146" s="265"/>
      <c r="E146" s="265"/>
      <c r="F146" s="266"/>
      <c r="G146" s="266" t="e">
        <f t="shared" si="10"/>
        <v>#DIV/0!</v>
      </c>
      <c r="H146" s="267" t="e">
        <f t="shared" si="11"/>
        <v>#DIV/0!</v>
      </c>
      <c r="I146" s="267" t="e">
        <f t="shared" si="12"/>
        <v>#DIV/0!</v>
      </c>
      <c r="J146" s="267">
        <f t="shared" si="13"/>
        <v>0</v>
      </c>
      <c r="K146" s="267">
        <f>J146*10%</f>
        <v>0</v>
      </c>
      <c r="L146" s="268"/>
    </row>
    <row r="147" spans="1:12" ht="37.5" customHeight="1">
      <c r="A147" s="264"/>
      <c r="B147" s="431" t="s">
        <v>2694</v>
      </c>
      <c r="C147" s="431"/>
      <c r="D147" s="431"/>
      <c r="E147" s="431"/>
      <c r="F147" s="431"/>
      <c r="G147" s="431"/>
      <c r="H147" s="269" t="e">
        <f>SUM(H2:H146)</f>
        <v>#DIV/0!</v>
      </c>
      <c r="I147" s="269" t="e">
        <f>SUM(I2:I146)</f>
        <v>#DIV/0!</v>
      </c>
      <c r="J147" s="269">
        <f>SUM(J2:J146)</f>
        <v>0</v>
      </c>
      <c r="K147" s="269">
        <f>SUM(K2:K146)</f>
        <v>0</v>
      </c>
      <c r="L147" s="268">
        <f>SUM(L2:L146)</f>
        <v>21249500</v>
      </c>
    </row>
  </sheetData>
  <mergeCells count="1">
    <mergeCell ref="B147:G147"/>
  </mergeCells>
  <phoneticPr fontId="2" type="noConversion"/>
  <conditionalFormatting sqref="H2:K147">
    <cfRule type="cellIs" dxfId="0" priority="1" stopIfTrue="1" operator="equal">
      <formula>0</formula>
    </cfRule>
  </conditionalFormatting>
  <dataValidations count="1">
    <dataValidation type="list" allowBlank="1" showInputMessage="1" showErrorMessage="1" errorTitle="입력 오류" error="매입과 매출로만 입력할 수 있다!!!" sqref="E2:E146 IZ2:IZ146 SV2:SV146 ACR2:ACR146 AMN2:AMN146 AWJ2:AWJ146 BGF2:BGF146 BQB2:BQB146 BZX2:BZX146 CJT2:CJT146 CTP2:CTP146 DDL2:DDL146 DNH2:DNH146 DXD2:DXD146 EGZ2:EGZ146 EQV2:EQV146 FAR2:FAR146 FKN2:FKN146 FUJ2:FUJ146 GEF2:GEF146 GOB2:GOB146 GXX2:GXX146 HHT2:HHT146 HRP2:HRP146 IBL2:IBL146 ILH2:ILH146 IVD2:IVD146 JEZ2:JEZ146 JOV2:JOV146 JYR2:JYR146 KIN2:KIN146 KSJ2:KSJ146 LCF2:LCF146 LMB2:LMB146 LVX2:LVX146 MFT2:MFT146 MPP2:MPP146 MZL2:MZL146 NJH2:NJH146 NTD2:NTD146 OCZ2:OCZ146 OMV2:OMV146 OWR2:OWR146 PGN2:PGN146 PQJ2:PQJ146 QAF2:QAF146 QKB2:QKB146 QTX2:QTX146 RDT2:RDT146 RNP2:RNP146 RXL2:RXL146 SHH2:SHH146 SRD2:SRD146 TAZ2:TAZ146 TKV2:TKV146 TUR2:TUR146 UEN2:UEN146 UOJ2:UOJ146 UYF2:UYF146 VIB2:VIB146 VRX2:VRX146 WBT2:WBT146 WLP2:WLP146 WVL2:WVL146 E65538:E65682 IZ65538:IZ65682 SV65538:SV65682 ACR65538:ACR65682 AMN65538:AMN65682 AWJ65538:AWJ65682 BGF65538:BGF65682 BQB65538:BQB65682 BZX65538:BZX65682 CJT65538:CJT65682 CTP65538:CTP65682 DDL65538:DDL65682 DNH65538:DNH65682 DXD65538:DXD65682 EGZ65538:EGZ65682 EQV65538:EQV65682 FAR65538:FAR65682 FKN65538:FKN65682 FUJ65538:FUJ65682 GEF65538:GEF65682 GOB65538:GOB65682 GXX65538:GXX65682 HHT65538:HHT65682 HRP65538:HRP65682 IBL65538:IBL65682 ILH65538:ILH65682 IVD65538:IVD65682 JEZ65538:JEZ65682 JOV65538:JOV65682 JYR65538:JYR65682 KIN65538:KIN65682 KSJ65538:KSJ65682 LCF65538:LCF65682 LMB65538:LMB65682 LVX65538:LVX65682 MFT65538:MFT65682 MPP65538:MPP65682 MZL65538:MZL65682 NJH65538:NJH65682 NTD65538:NTD65682 OCZ65538:OCZ65682 OMV65538:OMV65682 OWR65538:OWR65682 PGN65538:PGN65682 PQJ65538:PQJ65682 QAF65538:QAF65682 QKB65538:QKB65682 QTX65538:QTX65682 RDT65538:RDT65682 RNP65538:RNP65682 RXL65538:RXL65682 SHH65538:SHH65682 SRD65538:SRD65682 TAZ65538:TAZ65682 TKV65538:TKV65682 TUR65538:TUR65682 UEN65538:UEN65682 UOJ65538:UOJ65682 UYF65538:UYF65682 VIB65538:VIB65682 VRX65538:VRX65682 WBT65538:WBT65682 WLP65538:WLP65682 WVL65538:WVL65682 E131074:E131218 IZ131074:IZ131218 SV131074:SV131218 ACR131074:ACR131218 AMN131074:AMN131218 AWJ131074:AWJ131218 BGF131074:BGF131218 BQB131074:BQB131218 BZX131074:BZX131218 CJT131074:CJT131218 CTP131074:CTP131218 DDL131074:DDL131218 DNH131074:DNH131218 DXD131074:DXD131218 EGZ131074:EGZ131218 EQV131074:EQV131218 FAR131074:FAR131218 FKN131074:FKN131218 FUJ131074:FUJ131218 GEF131074:GEF131218 GOB131074:GOB131218 GXX131074:GXX131218 HHT131074:HHT131218 HRP131074:HRP131218 IBL131074:IBL131218 ILH131074:ILH131218 IVD131074:IVD131218 JEZ131074:JEZ131218 JOV131074:JOV131218 JYR131074:JYR131218 KIN131074:KIN131218 KSJ131074:KSJ131218 LCF131074:LCF131218 LMB131074:LMB131218 LVX131074:LVX131218 MFT131074:MFT131218 MPP131074:MPP131218 MZL131074:MZL131218 NJH131074:NJH131218 NTD131074:NTD131218 OCZ131074:OCZ131218 OMV131074:OMV131218 OWR131074:OWR131218 PGN131074:PGN131218 PQJ131074:PQJ131218 QAF131074:QAF131218 QKB131074:QKB131218 QTX131074:QTX131218 RDT131074:RDT131218 RNP131074:RNP131218 RXL131074:RXL131218 SHH131074:SHH131218 SRD131074:SRD131218 TAZ131074:TAZ131218 TKV131074:TKV131218 TUR131074:TUR131218 UEN131074:UEN131218 UOJ131074:UOJ131218 UYF131074:UYF131218 VIB131074:VIB131218 VRX131074:VRX131218 WBT131074:WBT131218 WLP131074:WLP131218 WVL131074:WVL131218 E196610:E196754 IZ196610:IZ196754 SV196610:SV196754 ACR196610:ACR196754 AMN196610:AMN196754 AWJ196610:AWJ196754 BGF196610:BGF196754 BQB196610:BQB196754 BZX196610:BZX196754 CJT196610:CJT196754 CTP196610:CTP196754 DDL196610:DDL196754 DNH196610:DNH196754 DXD196610:DXD196754 EGZ196610:EGZ196754 EQV196610:EQV196754 FAR196610:FAR196754 FKN196610:FKN196754 FUJ196610:FUJ196754 GEF196610:GEF196754 GOB196610:GOB196754 GXX196610:GXX196754 HHT196610:HHT196754 HRP196610:HRP196754 IBL196610:IBL196754 ILH196610:ILH196754 IVD196610:IVD196754 JEZ196610:JEZ196754 JOV196610:JOV196754 JYR196610:JYR196754 KIN196610:KIN196754 KSJ196610:KSJ196754 LCF196610:LCF196754 LMB196610:LMB196754 LVX196610:LVX196754 MFT196610:MFT196754 MPP196610:MPP196754 MZL196610:MZL196754 NJH196610:NJH196754 NTD196610:NTD196754 OCZ196610:OCZ196754 OMV196610:OMV196754 OWR196610:OWR196754 PGN196610:PGN196754 PQJ196610:PQJ196754 QAF196610:QAF196754 QKB196610:QKB196754 QTX196610:QTX196754 RDT196610:RDT196754 RNP196610:RNP196754 RXL196610:RXL196754 SHH196610:SHH196754 SRD196610:SRD196754 TAZ196610:TAZ196754 TKV196610:TKV196754 TUR196610:TUR196754 UEN196610:UEN196754 UOJ196610:UOJ196754 UYF196610:UYF196754 VIB196610:VIB196754 VRX196610:VRX196754 WBT196610:WBT196754 WLP196610:WLP196754 WVL196610:WVL196754 E262146:E262290 IZ262146:IZ262290 SV262146:SV262290 ACR262146:ACR262290 AMN262146:AMN262290 AWJ262146:AWJ262290 BGF262146:BGF262290 BQB262146:BQB262290 BZX262146:BZX262290 CJT262146:CJT262290 CTP262146:CTP262290 DDL262146:DDL262290 DNH262146:DNH262290 DXD262146:DXD262290 EGZ262146:EGZ262290 EQV262146:EQV262290 FAR262146:FAR262290 FKN262146:FKN262290 FUJ262146:FUJ262290 GEF262146:GEF262290 GOB262146:GOB262290 GXX262146:GXX262290 HHT262146:HHT262290 HRP262146:HRP262290 IBL262146:IBL262290 ILH262146:ILH262290 IVD262146:IVD262290 JEZ262146:JEZ262290 JOV262146:JOV262290 JYR262146:JYR262290 KIN262146:KIN262290 KSJ262146:KSJ262290 LCF262146:LCF262290 LMB262146:LMB262290 LVX262146:LVX262290 MFT262146:MFT262290 MPP262146:MPP262290 MZL262146:MZL262290 NJH262146:NJH262290 NTD262146:NTD262290 OCZ262146:OCZ262290 OMV262146:OMV262290 OWR262146:OWR262290 PGN262146:PGN262290 PQJ262146:PQJ262290 QAF262146:QAF262290 QKB262146:QKB262290 QTX262146:QTX262290 RDT262146:RDT262290 RNP262146:RNP262290 RXL262146:RXL262290 SHH262146:SHH262290 SRD262146:SRD262290 TAZ262146:TAZ262290 TKV262146:TKV262290 TUR262146:TUR262290 UEN262146:UEN262290 UOJ262146:UOJ262290 UYF262146:UYF262290 VIB262146:VIB262290 VRX262146:VRX262290 WBT262146:WBT262290 WLP262146:WLP262290 WVL262146:WVL262290 E327682:E327826 IZ327682:IZ327826 SV327682:SV327826 ACR327682:ACR327826 AMN327682:AMN327826 AWJ327682:AWJ327826 BGF327682:BGF327826 BQB327682:BQB327826 BZX327682:BZX327826 CJT327682:CJT327826 CTP327682:CTP327826 DDL327682:DDL327826 DNH327682:DNH327826 DXD327682:DXD327826 EGZ327682:EGZ327826 EQV327682:EQV327826 FAR327682:FAR327826 FKN327682:FKN327826 FUJ327682:FUJ327826 GEF327682:GEF327826 GOB327682:GOB327826 GXX327682:GXX327826 HHT327682:HHT327826 HRP327682:HRP327826 IBL327682:IBL327826 ILH327682:ILH327826 IVD327682:IVD327826 JEZ327682:JEZ327826 JOV327682:JOV327826 JYR327682:JYR327826 KIN327682:KIN327826 KSJ327682:KSJ327826 LCF327682:LCF327826 LMB327682:LMB327826 LVX327682:LVX327826 MFT327682:MFT327826 MPP327682:MPP327826 MZL327682:MZL327826 NJH327682:NJH327826 NTD327682:NTD327826 OCZ327682:OCZ327826 OMV327682:OMV327826 OWR327682:OWR327826 PGN327682:PGN327826 PQJ327682:PQJ327826 QAF327682:QAF327826 QKB327682:QKB327826 QTX327682:QTX327826 RDT327682:RDT327826 RNP327682:RNP327826 RXL327682:RXL327826 SHH327682:SHH327826 SRD327682:SRD327826 TAZ327682:TAZ327826 TKV327682:TKV327826 TUR327682:TUR327826 UEN327682:UEN327826 UOJ327682:UOJ327826 UYF327682:UYF327826 VIB327682:VIB327826 VRX327682:VRX327826 WBT327682:WBT327826 WLP327682:WLP327826 WVL327682:WVL327826 E393218:E393362 IZ393218:IZ393362 SV393218:SV393362 ACR393218:ACR393362 AMN393218:AMN393362 AWJ393218:AWJ393362 BGF393218:BGF393362 BQB393218:BQB393362 BZX393218:BZX393362 CJT393218:CJT393362 CTP393218:CTP393362 DDL393218:DDL393362 DNH393218:DNH393362 DXD393218:DXD393362 EGZ393218:EGZ393362 EQV393218:EQV393362 FAR393218:FAR393362 FKN393218:FKN393362 FUJ393218:FUJ393362 GEF393218:GEF393362 GOB393218:GOB393362 GXX393218:GXX393362 HHT393218:HHT393362 HRP393218:HRP393362 IBL393218:IBL393362 ILH393218:ILH393362 IVD393218:IVD393362 JEZ393218:JEZ393362 JOV393218:JOV393362 JYR393218:JYR393362 KIN393218:KIN393362 KSJ393218:KSJ393362 LCF393218:LCF393362 LMB393218:LMB393362 LVX393218:LVX393362 MFT393218:MFT393362 MPP393218:MPP393362 MZL393218:MZL393362 NJH393218:NJH393362 NTD393218:NTD393362 OCZ393218:OCZ393362 OMV393218:OMV393362 OWR393218:OWR393362 PGN393218:PGN393362 PQJ393218:PQJ393362 QAF393218:QAF393362 QKB393218:QKB393362 QTX393218:QTX393362 RDT393218:RDT393362 RNP393218:RNP393362 RXL393218:RXL393362 SHH393218:SHH393362 SRD393218:SRD393362 TAZ393218:TAZ393362 TKV393218:TKV393362 TUR393218:TUR393362 UEN393218:UEN393362 UOJ393218:UOJ393362 UYF393218:UYF393362 VIB393218:VIB393362 VRX393218:VRX393362 WBT393218:WBT393362 WLP393218:WLP393362 WVL393218:WVL393362 E458754:E458898 IZ458754:IZ458898 SV458754:SV458898 ACR458754:ACR458898 AMN458754:AMN458898 AWJ458754:AWJ458898 BGF458754:BGF458898 BQB458754:BQB458898 BZX458754:BZX458898 CJT458754:CJT458898 CTP458754:CTP458898 DDL458754:DDL458898 DNH458754:DNH458898 DXD458754:DXD458898 EGZ458754:EGZ458898 EQV458754:EQV458898 FAR458754:FAR458898 FKN458754:FKN458898 FUJ458754:FUJ458898 GEF458754:GEF458898 GOB458754:GOB458898 GXX458754:GXX458898 HHT458754:HHT458898 HRP458754:HRP458898 IBL458754:IBL458898 ILH458754:ILH458898 IVD458754:IVD458898 JEZ458754:JEZ458898 JOV458754:JOV458898 JYR458754:JYR458898 KIN458754:KIN458898 KSJ458754:KSJ458898 LCF458754:LCF458898 LMB458754:LMB458898 LVX458754:LVX458898 MFT458754:MFT458898 MPP458754:MPP458898 MZL458754:MZL458898 NJH458754:NJH458898 NTD458754:NTD458898 OCZ458754:OCZ458898 OMV458754:OMV458898 OWR458754:OWR458898 PGN458754:PGN458898 PQJ458754:PQJ458898 QAF458754:QAF458898 QKB458754:QKB458898 QTX458754:QTX458898 RDT458754:RDT458898 RNP458754:RNP458898 RXL458754:RXL458898 SHH458754:SHH458898 SRD458754:SRD458898 TAZ458754:TAZ458898 TKV458754:TKV458898 TUR458754:TUR458898 UEN458754:UEN458898 UOJ458754:UOJ458898 UYF458754:UYF458898 VIB458754:VIB458898 VRX458754:VRX458898 WBT458754:WBT458898 WLP458754:WLP458898 WVL458754:WVL458898 E524290:E524434 IZ524290:IZ524434 SV524290:SV524434 ACR524290:ACR524434 AMN524290:AMN524434 AWJ524290:AWJ524434 BGF524290:BGF524434 BQB524290:BQB524434 BZX524290:BZX524434 CJT524290:CJT524434 CTP524290:CTP524434 DDL524290:DDL524434 DNH524290:DNH524434 DXD524290:DXD524434 EGZ524290:EGZ524434 EQV524290:EQV524434 FAR524290:FAR524434 FKN524290:FKN524434 FUJ524290:FUJ524434 GEF524290:GEF524434 GOB524290:GOB524434 GXX524290:GXX524434 HHT524290:HHT524434 HRP524290:HRP524434 IBL524290:IBL524434 ILH524290:ILH524434 IVD524290:IVD524434 JEZ524290:JEZ524434 JOV524290:JOV524434 JYR524290:JYR524434 KIN524290:KIN524434 KSJ524290:KSJ524434 LCF524290:LCF524434 LMB524290:LMB524434 LVX524290:LVX524434 MFT524290:MFT524434 MPP524290:MPP524434 MZL524290:MZL524434 NJH524290:NJH524434 NTD524290:NTD524434 OCZ524290:OCZ524434 OMV524290:OMV524434 OWR524290:OWR524434 PGN524290:PGN524434 PQJ524290:PQJ524434 QAF524290:QAF524434 QKB524290:QKB524434 QTX524290:QTX524434 RDT524290:RDT524434 RNP524290:RNP524434 RXL524290:RXL524434 SHH524290:SHH524434 SRD524290:SRD524434 TAZ524290:TAZ524434 TKV524290:TKV524434 TUR524290:TUR524434 UEN524290:UEN524434 UOJ524290:UOJ524434 UYF524290:UYF524434 VIB524290:VIB524434 VRX524290:VRX524434 WBT524290:WBT524434 WLP524290:WLP524434 WVL524290:WVL524434 E589826:E589970 IZ589826:IZ589970 SV589826:SV589970 ACR589826:ACR589970 AMN589826:AMN589970 AWJ589826:AWJ589970 BGF589826:BGF589970 BQB589826:BQB589970 BZX589826:BZX589970 CJT589826:CJT589970 CTP589826:CTP589970 DDL589826:DDL589970 DNH589826:DNH589970 DXD589826:DXD589970 EGZ589826:EGZ589970 EQV589826:EQV589970 FAR589826:FAR589970 FKN589826:FKN589970 FUJ589826:FUJ589970 GEF589826:GEF589970 GOB589826:GOB589970 GXX589826:GXX589970 HHT589826:HHT589970 HRP589826:HRP589970 IBL589826:IBL589970 ILH589826:ILH589970 IVD589826:IVD589970 JEZ589826:JEZ589970 JOV589826:JOV589970 JYR589826:JYR589970 KIN589826:KIN589970 KSJ589826:KSJ589970 LCF589826:LCF589970 LMB589826:LMB589970 LVX589826:LVX589970 MFT589826:MFT589970 MPP589826:MPP589970 MZL589826:MZL589970 NJH589826:NJH589970 NTD589826:NTD589970 OCZ589826:OCZ589970 OMV589826:OMV589970 OWR589826:OWR589970 PGN589826:PGN589970 PQJ589826:PQJ589970 QAF589826:QAF589970 QKB589826:QKB589970 QTX589826:QTX589970 RDT589826:RDT589970 RNP589826:RNP589970 RXL589826:RXL589970 SHH589826:SHH589970 SRD589826:SRD589970 TAZ589826:TAZ589970 TKV589826:TKV589970 TUR589826:TUR589970 UEN589826:UEN589970 UOJ589826:UOJ589970 UYF589826:UYF589970 VIB589826:VIB589970 VRX589826:VRX589970 WBT589826:WBT589970 WLP589826:WLP589970 WVL589826:WVL589970 E655362:E655506 IZ655362:IZ655506 SV655362:SV655506 ACR655362:ACR655506 AMN655362:AMN655506 AWJ655362:AWJ655506 BGF655362:BGF655506 BQB655362:BQB655506 BZX655362:BZX655506 CJT655362:CJT655506 CTP655362:CTP655506 DDL655362:DDL655506 DNH655362:DNH655506 DXD655362:DXD655506 EGZ655362:EGZ655506 EQV655362:EQV655506 FAR655362:FAR655506 FKN655362:FKN655506 FUJ655362:FUJ655506 GEF655362:GEF655506 GOB655362:GOB655506 GXX655362:GXX655506 HHT655362:HHT655506 HRP655362:HRP655506 IBL655362:IBL655506 ILH655362:ILH655506 IVD655362:IVD655506 JEZ655362:JEZ655506 JOV655362:JOV655506 JYR655362:JYR655506 KIN655362:KIN655506 KSJ655362:KSJ655506 LCF655362:LCF655506 LMB655362:LMB655506 LVX655362:LVX655506 MFT655362:MFT655506 MPP655362:MPP655506 MZL655362:MZL655506 NJH655362:NJH655506 NTD655362:NTD655506 OCZ655362:OCZ655506 OMV655362:OMV655506 OWR655362:OWR655506 PGN655362:PGN655506 PQJ655362:PQJ655506 QAF655362:QAF655506 QKB655362:QKB655506 QTX655362:QTX655506 RDT655362:RDT655506 RNP655362:RNP655506 RXL655362:RXL655506 SHH655362:SHH655506 SRD655362:SRD655506 TAZ655362:TAZ655506 TKV655362:TKV655506 TUR655362:TUR655506 UEN655362:UEN655506 UOJ655362:UOJ655506 UYF655362:UYF655506 VIB655362:VIB655506 VRX655362:VRX655506 WBT655362:WBT655506 WLP655362:WLP655506 WVL655362:WVL655506 E720898:E721042 IZ720898:IZ721042 SV720898:SV721042 ACR720898:ACR721042 AMN720898:AMN721042 AWJ720898:AWJ721042 BGF720898:BGF721042 BQB720898:BQB721042 BZX720898:BZX721042 CJT720898:CJT721042 CTP720898:CTP721042 DDL720898:DDL721042 DNH720898:DNH721042 DXD720898:DXD721042 EGZ720898:EGZ721042 EQV720898:EQV721042 FAR720898:FAR721042 FKN720898:FKN721042 FUJ720898:FUJ721042 GEF720898:GEF721042 GOB720898:GOB721042 GXX720898:GXX721042 HHT720898:HHT721042 HRP720898:HRP721042 IBL720898:IBL721042 ILH720898:ILH721042 IVD720898:IVD721042 JEZ720898:JEZ721042 JOV720898:JOV721042 JYR720898:JYR721042 KIN720898:KIN721042 KSJ720898:KSJ721042 LCF720898:LCF721042 LMB720898:LMB721042 LVX720898:LVX721042 MFT720898:MFT721042 MPP720898:MPP721042 MZL720898:MZL721042 NJH720898:NJH721042 NTD720898:NTD721042 OCZ720898:OCZ721042 OMV720898:OMV721042 OWR720898:OWR721042 PGN720898:PGN721042 PQJ720898:PQJ721042 QAF720898:QAF721042 QKB720898:QKB721042 QTX720898:QTX721042 RDT720898:RDT721042 RNP720898:RNP721042 RXL720898:RXL721042 SHH720898:SHH721042 SRD720898:SRD721042 TAZ720898:TAZ721042 TKV720898:TKV721042 TUR720898:TUR721042 UEN720898:UEN721042 UOJ720898:UOJ721042 UYF720898:UYF721042 VIB720898:VIB721042 VRX720898:VRX721042 WBT720898:WBT721042 WLP720898:WLP721042 WVL720898:WVL721042 E786434:E786578 IZ786434:IZ786578 SV786434:SV786578 ACR786434:ACR786578 AMN786434:AMN786578 AWJ786434:AWJ786578 BGF786434:BGF786578 BQB786434:BQB786578 BZX786434:BZX786578 CJT786434:CJT786578 CTP786434:CTP786578 DDL786434:DDL786578 DNH786434:DNH786578 DXD786434:DXD786578 EGZ786434:EGZ786578 EQV786434:EQV786578 FAR786434:FAR786578 FKN786434:FKN786578 FUJ786434:FUJ786578 GEF786434:GEF786578 GOB786434:GOB786578 GXX786434:GXX786578 HHT786434:HHT786578 HRP786434:HRP786578 IBL786434:IBL786578 ILH786434:ILH786578 IVD786434:IVD786578 JEZ786434:JEZ786578 JOV786434:JOV786578 JYR786434:JYR786578 KIN786434:KIN786578 KSJ786434:KSJ786578 LCF786434:LCF786578 LMB786434:LMB786578 LVX786434:LVX786578 MFT786434:MFT786578 MPP786434:MPP786578 MZL786434:MZL786578 NJH786434:NJH786578 NTD786434:NTD786578 OCZ786434:OCZ786578 OMV786434:OMV786578 OWR786434:OWR786578 PGN786434:PGN786578 PQJ786434:PQJ786578 QAF786434:QAF786578 QKB786434:QKB786578 QTX786434:QTX786578 RDT786434:RDT786578 RNP786434:RNP786578 RXL786434:RXL786578 SHH786434:SHH786578 SRD786434:SRD786578 TAZ786434:TAZ786578 TKV786434:TKV786578 TUR786434:TUR786578 UEN786434:UEN786578 UOJ786434:UOJ786578 UYF786434:UYF786578 VIB786434:VIB786578 VRX786434:VRX786578 WBT786434:WBT786578 WLP786434:WLP786578 WVL786434:WVL786578 E851970:E852114 IZ851970:IZ852114 SV851970:SV852114 ACR851970:ACR852114 AMN851970:AMN852114 AWJ851970:AWJ852114 BGF851970:BGF852114 BQB851970:BQB852114 BZX851970:BZX852114 CJT851970:CJT852114 CTP851970:CTP852114 DDL851970:DDL852114 DNH851970:DNH852114 DXD851970:DXD852114 EGZ851970:EGZ852114 EQV851970:EQV852114 FAR851970:FAR852114 FKN851970:FKN852114 FUJ851970:FUJ852114 GEF851970:GEF852114 GOB851970:GOB852114 GXX851970:GXX852114 HHT851970:HHT852114 HRP851970:HRP852114 IBL851970:IBL852114 ILH851970:ILH852114 IVD851970:IVD852114 JEZ851970:JEZ852114 JOV851970:JOV852114 JYR851970:JYR852114 KIN851970:KIN852114 KSJ851970:KSJ852114 LCF851970:LCF852114 LMB851970:LMB852114 LVX851970:LVX852114 MFT851970:MFT852114 MPP851970:MPP852114 MZL851970:MZL852114 NJH851970:NJH852114 NTD851970:NTD852114 OCZ851970:OCZ852114 OMV851970:OMV852114 OWR851970:OWR852114 PGN851970:PGN852114 PQJ851970:PQJ852114 QAF851970:QAF852114 QKB851970:QKB852114 QTX851970:QTX852114 RDT851970:RDT852114 RNP851970:RNP852114 RXL851970:RXL852114 SHH851970:SHH852114 SRD851970:SRD852114 TAZ851970:TAZ852114 TKV851970:TKV852114 TUR851970:TUR852114 UEN851970:UEN852114 UOJ851970:UOJ852114 UYF851970:UYF852114 VIB851970:VIB852114 VRX851970:VRX852114 WBT851970:WBT852114 WLP851970:WLP852114 WVL851970:WVL852114 E917506:E917650 IZ917506:IZ917650 SV917506:SV917650 ACR917506:ACR917650 AMN917506:AMN917650 AWJ917506:AWJ917650 BGF917506:BGF917650 BQB917506:BQB917650 BZX917506:BZX917650 CJT917506:CJT917650 CTP917506:CTP917650 DDL917506:DDL917650 DNH917506:DNH917650 DXD917506:DXD917650 EGZ917506:EGZ917650 EQV917506:EQV917650 FAR917506:FAR917650 FKN917506:FKN917650 FUJ917506:FUJ917650 GEF917506:GEF917650 GOB917506:GOB917650 GXX917506:GXX917650 HHT917506:HHT917650 HRP917506:HRP917650 IBL917506:IBL917650 ILH917506:ILH917650 IVD917506:IVD917650 JEZ917506:JEZ917650 JOV917506:JOV917650 JYR917506:JYR917650 KIN917506:KIN917650 KSJ917506:KSJ917650 LCF917506:LCF917650 LMB917506:LMB917650 LVX917506:LVX917650 MFT917506:MFT917650 MPP917506:MPP917650 MZL917506:MZL917650 NJH917506:NJH917650 NTD917506:NTD917650 OCZ917506:OCZ917650 OMV917506:OMV917650 OWR917506:OWR917650 PGN917506:PGN917650 PQJ917506:PQJ917650 QAF917506:QAF917650 QKB917506:QKB917650 QTX917506:QTX917650 RDT917506:RDT917650 RNP917506:RNP917650 RXL917506:RXL917650 SHH917506:SHH917650 SRD917506:SRD917650 TAZ917506:TAZ917650 TKV917506:TKV917650 TUR917506:TUR917650 UEN917506:UEN917650 UOJ917506:UOJ917650 UYF917506:UYF917650 VIB917506:VIB917650 VRX917506:VRX917650 WBT917506:WBT917650 WLP917506:WLP917650 WVL917506:WVL917650 E983042:E983186 IZ983042:IZ983186 SV983042:SV983186 ACR983042:ACR983186 AMN983042:AMN983186 AWJ983042:AWJ983186 BGF983042:BGF983186 BQB983042:BQB983186 BZX983042:BZX983186 CJT983042:CJT983186 CTP983042:CTP983186 DDL983042:DDL983186 DNH983042:DNH983186 DXD983042:DXD983186 EGZ983042:EGZ983186 EQV983042:EQV983186 FAR983042:FAR983186 FKN983042:FKN983186 FUJ983042:FUJ983186 GEF983042:GEF983186 GOB983042:GOB983186 GXX983042:GXX983186 HHT983042:HHT983186 HRP983042:HRP983186 IBL983042:IBL983186 ILH983042:ILH983186 IVD983042:IVD983186 JEZ983042:JEZ983186 JOV983042:JOV983186 JYR983042:JYR983186 KIN983042:KIN983186 KSJ983042:KSJ983186 LCF983042:LCF983186 LMB983042:LMB983186 LVX983042:LVX983186 MFT983042:MFT983186 MPP983042:MPP983186 MZL983042:MZL983186 NJH983042:NJH983186 NTD983042:NTD983186 OCZ983042:OCZ983186 OMV983042:OMV983186 OWR983042:OWR983186 PGN983042:PGN983186 PQJ983042:PQJ983186 QAF983042:QAF983186 QKB983042:QKB983186 QTX983042:QTX983186 RDT983042:RDT983186 RNP983042:RNP983186 RXL983042:RXL983186 SHH983042:SHH983186 SRD983042:SRD983186 TAZ983042:TAZ983186 TKV983042:TKV983186 TUR983042:TUR983186 UEN983042:UEN983186 UOJ983042:UOJ983186 UYF983042:UYF983186 VIB983042:VIB983186 VRX983042:VRX983186 WBT983042:WBT983186 WLP983042:WLP983186 WVL983042:WVL983186" xr:uid="{E074A6FF-CB05-413D-B815-11AD10007B02}">
      <formula1>"매입,매출"</formula1>
    </dataValidation>
  </dataValidations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595B12-9BB4-4A23-95B4-72C35DBC969B}">
  <sheetPr codeName="sht_Fast_SaleManagement"/>
  <dimension ref="A1:R201"/>
  <sheetViews>
    <sheetView workbookViewId="0">
      <selection activeCell="F16" sqref="F16"/>
    </sheetView>
  </sheetViews>
  <sheetFormatPr defaultColWidth="8.75" defaultRowHeight="18" customHeight="1"/>
  <cols>
    <col min="1" max="1" width="6.875" style="90" customWidth="1"/>
    <col min="2" max="2" width="16.375" style="102" customWidth="1"/>
    <col min="3" max="3" width="19.625" style="91" customWidth="1"/>
    <col min="4" max="4" width="19.875" style="125" customWidth="1"/>
    <col min="5" max="5" width="11.375" style="92" customWidth="1"/>
    <col min="6" max="6" width="14.5" style="132" customWidth="1"/>
    <col min="7" max="7" width="13.875" style="93" customWidth="1"/>
    <col min="8" max="8" width="11.75" style="138" customWidth="1"/>
    <col min="9" max="10" width="12.375" style="88" customWidth="1"/>
    <col min="11" max="11" width="13" style="86" customWidth="1"/>
    <col min="12" max="12" width="12.5" style="86" customWidth="1"/>
    <col min="13" max="13" width="11.125" style="75" bestFit="1" customWidth="1"/>
    <col min="14" max="14" width="15.25" style="73" bestFit="1" customWidth="1"/>
    <col min="15" max="15" width="13.125" style="73" bestFit="1" customWidth="1"/>
    <col min="16" max="17" width="15.25" style="73" bestFit="1" customWidth="1"/>
    <col min="18" max="16384" width="8.75" style="73"/>
  </cols>
  <sheetData>
    <row r="1" spans="1:18" ht="18" customHeight="1">
      <c r="A1" s="69"/>
      <c r="B1" s="99"/>
      <c r="C1" s="70"/>
      <c r="D1" s="126"/>
      <c r="E1" s="71"/>
      <c r="F1" s="233"/>
      <c r="G1" s="72"/>
      <c r="H1" s="136"/>
      <c r="I1" s="133"/>
      <c r="J1" s="133"/>
      <c r="K1" s="73"/>
      <c r="L1" s="73"/>
      <c r="M1" s="73"/>
    </row>
    <row r="2" spans="1:18" ht="25.5" customHeight="1">
      <c r="A2" s="76"/>
      <c r="B2" s="100"/>
      <c r="C2" s="77"/>
      <c r="D2" s="127"/>
      <c r="E2" s="78"/>
      <c r="F2" s="234"/>
      <c r="G2" s="79"/>
      <c r="H2" s="137"/>
      <c r="I2" s="134"/>
      <c r="J2" s="134"/>
      <c r="K2" s="73"/>
      <c r="L2" s="73"/>
      <c r="M2" s="73"/>
    </row>
    <row r="3" spans="1:18" ht="15.95" customHeight="1">
      <c r="A3" s="247">
        <v>45825</v>
      </c>
      <c r="B3" s="248" t="s">
        <v>1162</v>
      </c>
      <c r="C3" s="249">
        <f>SUMIF($B:$B,A3,I:I)</f>
        <v>0</v>
      </c>
      <c r="D3" s="250" t="s">
        <v>1148</v>
      </c>
      <c r="E3" s="249">
        <f ca="1">SUMIF($B:$B,TODAY(),E:E)</f>
        <v>0</v>
      </c>
      <c r="F3" s="260" t="s">
        <v>2661</v>
      </c>
      <c r="G3" s="249">
        <f>SUMIF($D:$D,"*schaeffler*",I:I)</f>
        <v>0</v>
      </c>
      <c r="H3" s="252"/>
      <c r="I3" s="253"/>
      <c r="J3" s="75"/>
      <c r="K3" s="75"/>
      <c r="L3" s="73"/>
      <c r="M3" s="73"/>
    </row>
    <row r="4" spans="1:18" ht="15.95" customHeight="1">
      <c r="A4" s="254">
        <f>MONTH(A3)</f>
        <v>6</v>
      </c>
      <c r="B4" s="248" t="s">
        <v>1163</v>
      </c>
      <c r="C4" s="249">
        <f>SUMIFS($I:$I,$B:$B,"&gt;="&amp;DATE(A5,A4,1),$B:$B,"&lt;="&amp;EOMONTH(DATE(A5,A4,1),0))</f>
        <v>0</v>
      </c>
      <c r="D4" s="251"/>
      <c r="E4" s="255"/>
      <c r="F4" s="260" t="s">
        <v>2662</v>
      </c>
      <c r="G4" s="249">
        <f>SUMIF($D:$D,"*schaeffler*",E:E)</f>
        <v>0</v>
      </c>
      <c r="H4" s="257"/>
      <c r="I4" s="253"/>
      <c r="J4" s="75"/>
      <c r="K4" s="75"/>
      <c r="L4" s="73"/>
      <c r="M4" s="73"/>
    </row>
    <row r="5" spans="1:18" ht="15.95" customHeight="1">
      <c r="A5" s="261">
        <f>YEAR(A3)</f>
        <v>2025</v>
      </c>
      <c r="B5" s="248" t="s">
        <v>1164</v>
      </c>
      <c r="C5" s="249">
        <f>SUMIFS($I:$I,$B:$B,"&gt;="&amp;DATE(A5,A4,1),$B:$B,"&lt;="&amp;EOMONTH(DATE(A5,A4,1),0))</f>
        <v>0</v>
      </c>
      <c r="D5" s="258"/>
      <c r="E5" s="255"/>
      <c r="F5" s="256"/>
      <c r="G5" s="255"/>
      <c r="H5" s="257"/>
      <c r="I5" s="253"/>
      <c r="J5" s="75"/>
      <c r="K5" s="75"/>
      <c r="L5" s="73"/>
      <c r="M5" s="73"/>
    </row>
    <row r="6" spans="1:18" ht="15.95" customHeight="1">
      <c r="A6" s="94"/>
      <c r="B6" s="101"/>
      <c r="C6" s="95"/>
      <c r="D6" s="128"/>
      <c r="E6" s="96"/>
      <c r="F6" s="235"/>
      <c r="G6" s="96"/>
      <c r="H6" s="139"/>
      <c r="I6" s="135"/>
      <c r="J6" s="135"/>
      <c r="K6" s="73"/>
      <c r="L6" s="73"/>
      <c r="M6" s="73"/>
    </row>
    <row r="7" spans="1:18" ht="18" customHeight="1">
      <c r="A7" s="76"/>
      <c r="B7" s="100"/>
      <c r="C7" s="77"/>
      <c r="D7" s="127"/>
      <c r="E7" s="78"/>
      <c r="F7" s="234"/>
      <c r="G7" s="79"/>
      <c r="H7" s="137"/>
      <c r="I7" s="134"/>
      <c r="J7" s="134"/>
      <c r="K7" s="80"/>
      <c r="L7" s="80"/>
      <c r="M7" s="54"/>
      <c r="N7" s="54"/>
      <c r="O7" s="54"/>
      <c r="P7" s="54"/>
      <c r="Q7" s="54"/>
      <c r="R7" s="54"/>
    </row>
    <row r="8" spans="1:18" ht="18" customHeight="1">
      <c r="A8" s="82" t="s">
        <v>2</v>
      </c>
      <c r="B8" s="83" t="s">
        <v>14</v>
      </c>
      <c r="C8" s="83" t="s">
        <v>1204</v>
      </c>
      <c r="D8" s="83" t="s">
        <v>2695</v>
      </c>
      <c r="E8" s="84" t="s">
        <v>40</v>
      </c>
      <c r="F8" s="131" t="s">
        <v>47</v>
      </c>
      <c r="G8" s="84" t="s">
        <v>55</v>
      </c>
      <c r="H8" s="131" t="s">
        <v>47</v>
      </c>
      <c r="I8" s="131" t="s">
        <v>1676</v>
      </c>
      <c r="J8" s="131" t="s">
        <v>2696</v>
      </c>
      <c r="K8" s="84" t="s">
        <v>1676</v>
      </c>
      <c r="L8" s="84" t="s">
        <v>2696</v>
      </c>
      <c r="O8" s="54"/>
      <c r="P8" s="54"/>
      <c r="Q8" s="54"/>
      <c r="R8" s="54"/>
    </row>
    <row r="9" spans="1:18" ht="18" customHeight="1">
      <c r="A9" s="98"/>
      <c r="B9" s="103"/>
      <c r="C9" s="93"/>
      <c r="D9" s="124"/>
      <c r="E9" s="87"/>
      <c r="F9" s="236"/>
      <c r="H9" s="140"/>
      <c r="K9" s="88"/>
      <c r="L9" s="89"/>
      <c r="O9" s="54"/>
      <c r="P9" s="54"/>
      <c r="Q9" s="54"/>
      <c r="R9" s="54"/>
    </row>
    <row r="10" spans="1:18" ht="18" customHeight="1">
      <c r="A10" s="98"/>
      <c r="B10" s="103"/>
      <c r="C10" s="93"/>
      <c r="D10" s="124"/>
      <c r="E10" s="87"/>
      <c r="F10" s="236"/>
      <c r="H10" s="140"/>
      <c r="K10" s="88"/>
      <c r="L10" s="89"/>
      <c r="O10" s="54"/>
      <c r="P10" s="54"/>
      <c r="Q10" s="54"/>
      <c r="R10" s="54"/>
    </row>
    <row r="11" spans="1:18" ht="18" customHeight="1">
      <c r="A11" s="98"/>
      <c r="B11" s="103"/>
      <c r="C11" s="93"/>
      <c r="D11" s="124"/>
      <c r="E11" s="87"/>
      <c r="F11" s="236"/>
      <c r="H11" s="140"/>
      <c r="K11" s="88"/>
      <c r="L11" s="89"/>
      <c r="O11" s="54"/>
      <c r="P11" s="54"/>
      <c r="Q11" s="54"/>
      <c r="R11" s="54"/>
    </row>
    <row r="12" spans="1:18" ht="18" customHeight="1">
      <c r="A12" s="98"/>
      <c r="B12" s="103"/>
      <c r="C12" s="93"/>
      <c r="D12" s="124"/>
      <c r="E12" s="87"/>
      <c r="F12" s="236"/>
      <c r="H12" s="140"/>
      <c r="K12" s="88"/>
      <c r="L12" s="89"/>
      <c r="O12" s="54"/>
      <c r="P12" s="54"/>
      <c r="Q12" s="54"/>
      <c r="R12" s="54"/>
    </row>
    <row r="13" spans="1:18" ht="18" customHeight="1">
      <c r="A13" s="98"/>
      <c r="B13" s="103"/>
      <c r="C13" s="93"/>
      <c r="D13" s="124"/>
      <c r="E13" s="86"/>
      <c r="F13" s="88"/>
      <c r="K13" s="88"/>
      <c r="O13" s="54"/>
      <c r="P13" s="54"/>
      <c r="Q13" s="54"/>
      <c r="R13" s="54"/>
    </row>
    <row r="14" spans="1:18" ht="18" customHeight="1">
      <c r="A14" s="98"/>
      <c r="B14" s="103"/>
      <c r="C14" s="93"/>
      <c r="D14" s="124"/>
      <c r="E14" s="87"/>
      <c r="F14" s="236"/>
      <c r="H14" s="140"/>
      <c r="K14" s="88"/>
      <c r="L14" s="89"/>
      <c r="O14" s="54"/>
      <c r="P14" s="54"/>
      <c r="Q14" s="54"/>
      <c r="R14" s="54"/>
    </row>
    <row r="15" spans="1:18" ht="18" customHeight="1">
      <c r="A15" s="98"/>
      <c r="B15" s="103"/>
      <c r="C15" s="93"/>
      <c r="D15" s="124"/>
      <c r="E15" s="86"/>
      <c r="F15" s="88"/>
      <c r="O15" s="54"/>
      <c r="P15" s="54"/>
      <c r="Q15" s="54"/>
      <c r="R15" s="54"/>
    </row>
    <row r="16" spans="1:18" ht="18" customHeight="1">
      <c r="O16" s="54"/>
      <c r="P16" s="54"/>
      <c r="Q16" s="54"/>
      <c r="R16" s="54"/>
    </row>
    <row r="17" spans="1:18" ht="18" customHeight="1">
      <c r="A17" s="98"/>
      <c r="B17" s="103"/>
      <c r="C17" s="93"/>
      <c r="D17" s="124"/>
      <c r="E17" s="86"/>
      <c r="F17" s="88"/>
      <c r="O17" s="54"/>
      <c r="P17" s="54"/>
      <c r="Q17" s="54"/>
      <c r="R17" s="54"/>
    </row>
    <row r="18" spans="1:18" s="74" customFormat="1" ht="18" customHeight="1">
      <c r="A18" s="98"/>
      <c r="B18" s="103"/>
      <c r="C18" s="93"/>
      <c r="D18" s="124"/>
      <c r="E18" s="87"/>
      <c r="F18" s="236"/>
      <c r="G18" s="93"/>
      <c r="H18" s="140"/>
      <c r="I18" s="88"/>
      <c r="J18" s="88"/>
      <c r="K18" s="88"/>
      <c r="L18" s="89"/>
      <c r="M18" s="75"/>
      <c r="N18" s="73"/>
      <c r="O18" s="54"/>
      <c r="P18" s="54"/>
      <c r="Q18" s="54"/>
      <c r="R18" s="54"/>
    </row>
    <row r="19" spans="1:18" s="74" customFormat="1" ht="18" customHeight="1">
      <c r="A19" s="98"/>
      <c r="B19" s="103"/>
      <c r="C19" s="93"/>
      <c r="D19" s="124"/>
      <c r="E19" s="86"/>
      <c r="F19" s="88"/>
      <c r="G19" s="93"/>
      <c r="H19" s="138"/>
      <c r="I19" s="88"/>
      <c r="J19" s="88"/>
      <c r="K19" s="86"/>
      <c r="L19" s="86"/>
      <c r="M19" s="75"/>
      <c r="N19" s="73"/>
      <c r="O19" s="54"/>
      <c r="P19" s="54"/>
      <c r="Q19" s="54"/>
      <c r="R19" s="54"/>
    </row>
    <row r="20" spans="1:18" s="74" customFormat="1" ht="18" customHeight="1">
      <c r="A20" s="98"/>
      <c r="B20" s="103"/>
      <c r="C20" s="93"/>
      <c r="D20" s="124"/>
      <c r="E20" s="87"/>
      <c r="F20" s="236"/>
      <c r="G20" s="93"/>
      <c r="H20" s="140"/>
      <c r="I20" s="88"/>
      <c r="J20" s="88"/>
      <c r="K20" s="88"/>
      <c r="L20" s="89"/>
      <c r="M20" s="75"/>
      <c r="N20" s="73"/>
      <c r="O20" s="54"/>
      <c r="P20" s="54"/>
      <c r="Q20" s="54"/>
      <c r="R20" s="54"/>
    </row>
    <row r="21" spans="1:18" s="74" customFormat="1" ht="18" customHeight="1">
      <c r="A21" s="98"/>
      <c r="B21" s="103"/>
      <c r="C21" s="93"/>
      <c r="D21" s="124"/>
      <c r="E21" s="87"/>
      <c r="F21" s="236"/>
      <c r="G21" s="93"/>
      <c r="H21" s="140"/>
      <c r="I21" s="88"/>
      <c r="J21" s="88"/>
      <c r="K21" s="88"/>
      <c r="L21" s="89"/>
      <c r="M21" s="75"/>
      <c r="N21" s="73"/>
      <c r="O21" s="54"/>
      <c r="P21" s="54"/>
      <c r="Q21" s="54"/>
    </row>
    <row r="22" spans="1:18" s="74" customFormat="1" ht="18" customHeight="1">
      <c r="A22" s="98"/>
      <c r="B22" s="103"/>
      <c r="C22" s="93"/>
      <c r="D22" s="124"/>
      <c r="E22" s="86"/>
      <c r="F22" s="88"/>
      <c r="G22" s="93"/>
      <c r="H22" s="138"/>
      <c r="I22" s="88"/>
      <c r="J22" s="88"/>
      <c r="K22" s="88"/>
      <c r="L22" s="86"/>
      <c r="M22" s="75"/>
      <c r="N22" s="73"/>
    </row>
    <row r="23" spans="1:18" s="74" customFormat="1" ht="18" customHeight="1">
      <c r="A23" s="98"/>
      <c r="B23" s="103"/>
      <c r="C23" s="93"/>
      <c r="D23" s="124"/>
      <c r="E23" s="86"/>
      <c r="F23" s="88"/>
      <c r="G23" s="93"/>
      <c r="H23" s="138"/>
      <c r="I23" s="88"/>
      <c r="J23" s="88"/>
      <c r="K23" s="88"/>
      <c r="L23" s="86"/>
      <c r="M23" s="75"/>
      <c r="N23" s="73"/>
    </row>
    <row r="24" spans="1:18" s="74" customFormat="1" ht="18" customHeight="1">
      <c r="A24" s="98"/>
      <c r="B24" s="103"/>
      <c r="C24" s="93"/>
      <c r="D24" s="124"/>
      <c r="E24" s="86"/>
      <c r="F24" s="88"/>
      <c r="G24" s="93"/>
      <c r="H24" s="138"/>
      <c r="I24" s="88"/>
      <c r="J24" s="88"/>
      <c r="K24" s="86"/>
      <c r="L24" s="86"/>
      <c r="M24" s="75"/>
      <c r="N24" s="73"/>
    </row>
    <row r="25" spans="1:18" ht="18" customHeight="1">
      <c r="A25" s="98"/>
      <c r="B25" s="103"/>
      <c r="C25" s="93"/>
      <c r="D25" s="124"/>
      <c r="E25" s="86"/>
      <c r="F25" s="88"/>
    </row>
    <row r="26" spans="1:18" ht="18" customHeight="1">
      <c r="A26" s="98"/>
      <c r="B26" s="103"/>
      <c r="C26" s="93"/>
      <c r="D26" s="124"/>
      <c r="E26" s="86"/>
      <c r="F26" s="88"/>
    </row>
    <row r="27" spans="1:18" ht="18" customHeight="1">
      <c r="A27" s="98"/>
      <c r="B27" s="103"/>
      <c r="C27" s="93"/>
      <c r="D27" s="124"/>
      <c r="E27" s="86"/>
      <c r="F27" s="88"/>
    </row>
    <row r="28" spans="1:18" ht="18" customHeight="1">
      <c r="A28" s="98"/>
      <c r="B28" s="103"/>
      <c r="C28" s="93"/>
      <c r="D28" s="124"/>
      <c r="E28" s="86"/>
      <c r="F28" s="88"/>
    </row>
    <row r="29" spans="1:18" ht="18" customHeight="1">
      <c r="A29" s="98"/>
      <c r="B29" s="103"/>
      <c r="C29" s="93"/>
      <c r="D29" s="124"/>
      <c r="E29" s="86"/>
      <c r="F29" s="88"/>
    </row>
    <row r="30" spans="1:18" ht="18" customHeight="1">
      <c r="A30" s="98"/>
      <c r="B30" s="103"/>
      <c r="C30" s="93"/>
      <c r="D30" s="124"/>
      <c r="E30" s="86"/>
      <c r="F30" s="88"/>
    </row>
    <row r="31" spans="1:18" ht="18" customHeight="1">
      <c r="A31" s="98"/>
      <c r="B31" s="103"/>
      <c r="C31" s="93"/>
      <c r="D31" s="124"/>
      <c r="E31" s="86"/>
      <c r="F31" s="88"/>
    </row>
    <row r="32" spans="1:18" ht="18" customHeight="1">
      <c r="A32" s="98"/>
      <c r="B32" s="103"/>
      <c r="C32" s="93"/>
      <c r="D32" s="124"/>
      <c r="E32" s="86"/>
      <c r="F32" s="88"/>
    </row>
    <row r="33" spans="1:12" ht="18" customHeight="1">
      <c r="A33" s="98"/>
      <c r="B33" s="103"/>
      <c r="C33" s="93"/>
      <c r="D33" s="124"/>
      <c r="E33" s="87"/>
      <c r="F33" s="236"/>
      <c r="H33" s="140"/>
      <c r="K33" s="88"/>
      <c r="L33" s="89"/>
    </row>
    <row r="42" spans="1:12" ht="18" customHeight="1">
      <c r="B42" s="103"/>
      <c r="C42" s="93"/>
      <c r="D42" s="124"/>
      <c r="E42" s="86"/>
      <c r="F42" s="88"/>
    </row>
    <row r="43" spans="1:12" ht="18" customHeight="1">
      <c r="A43" s="98"/>
      <c r="B43" s="103"/>
      <c r="C43" s="93"/>
      <c r="D43" s="124"/>
      <c r="E43" s="87"/>
      <c r="F43" s="236"/>
      <c r="H43" s="140"/>
      <c r="K43" s="88"/>
      <c r="L43" s="89"/>
    </row>
    <row r="44" spans="1:12" ht="18" customHeight="1">
      <c r="B44" s="103"/>
      <c r="C44" s="93"/>
      <c r="D44" s="124"/>
      <c r="E44" s="86"/>
      <c r="F44" s="88"/>
    </row>
    <row r="45" spans="1:12" ht="18" customHeight="1">
      <c r="B45" s="103"/>
      <c r="C45" s="93"/>
      <c r="D45" s="124"/>
      <c r="E45" s="86"/>
      <c r="F45" s="88"/>
    </row>
    <row r="46" spans="1:12" ht="18" customHeight="1">
      <c r="A46" s="98"/>
      <c r="B46" s="103"/>
      <c r="C46" s="93"/>
      <c r="D46" s="124"/>
      <c r="E46" s="86"/>
      <c r="F46" s="88"/>
    </row>
    <row r="86" spans="6:12" ht="18" customHeight="1">
      <c r="F86" s="88"/>
    </row>
    <row r="88" spans="6:12" ht="18" customHeight="1">
      <c r="F88" s="88"/>
    </row>
    <row r="90" spans="6:12" ht="18" customHeight="1">
      <c r="F90" s="88"/>
    </row>
    <row r="92" spans="6:12" ht="18" customHeight="1">
      <c r="F92" s="88"/>
      <c r="G92" s="132"/>
      <c r="L92" s="132"/>
    </row>
    <row r="93" spans="6:12" ht="18" customHeight="1">
      <c r="F93" s="88"/>
      <c r="G93" s="132"/>
      <c r="L93" s="132"/>
    </row>
    <row r="94" spans="6:12" ht="18" customHeight="1">
      <c r="F94" s="88"/>
      <c r="G94" s="132"/>
      <c r="L94" s="132"/>
    </row>
    <row r="95" spans="6:12" ht="18" customHeight="1">
      <c r="F95" s="88"/>
      <c r="G95" s="132"/>
      <c r="L95" s="132"/>
    </row>
    <row r="96" spans="6:12" ht="18" customHeight="1">
      <c r="F96" s="88"/>
      <c r="G96" s="132"/>
      <c r="L96" s="132"/>
    </row>
    <row r="97" spans="6:12" ht="18" customHeight="1">
      <c r="F97" s="88"/>
      <c r="G97" s="132"/>
      <c r="L97" s="132"/>
    </row>
    <row r="98" spans="6:12" ht="18" customHeight="1">
      <c r="F98" s="88"/>
      <c r="G98" s="132"/>
      <c r="L98" s="132"/>
    </row>
    <row r="99" spans="6:12" ht="18" customHeight="1">
      <c r="F99" s="88"/>
      <c r="G99" s="132"/>
      <c r="L99" s="132"/>
    </row>
    <row r="100" spans="6:12" ht="18" customHeight="1">
      <c r="F100" s="88"/>
      <c r="G100" s="132"/>
      <c r="L100" s="132"/>
    </row>
    <row r="101" spans="6:12" ht="18" customHeight="1">
      <c r="F101" s="88"/>
      <c r="G101" s="132"/>
      <c r="L101" s="132"/>
    </row>
    <row r="102" spans="6:12" ht="18" customHeight="1">
      <c r="F102" s="88"/>
      <c r="G102" s="132"/>
      <c r="L102" s="132"/>
    </row>
    <row r="103" spans="6:12" ht="18" customHeight="1">
      <c r="F103" s="88"/>
      <c r="G103" s="132"/>
      <c r="L103" s="132"/>
    </row>
    <row r="104" spans="6:12" ht="18" customHeight="1">
      <c r="F104" s="88"/>
      <c r="G104" s="132"/>
      <c r="L104" s="132"/>
    </row>
    <row r="105" spans="6:12" ht="18" customHeight="1">
      <c r="F105" s="88"/>
      <c r="G105" s="132"/>
      <c r="L105" s="132"/>
    </row>
    <row r="106" spans="6:12" ht="18" customHeight="1">
      <c r="F106" s="88"/>
      <c r="G106" s="132"/>
      <c r="L106" s="132"/>
    </row>
    <row r="107" spans="6:12" ht="18" customHeight="1">
      <c r="F107" s="88"/>
      <c r="G107" s="132"/>
      <c r="L107" s="132"/>
    </row>
    <row r="108" spans="6:12" ht="18" customHeight="1">
      <c r="F108" s="88"/>
      <c r="G108" s="132"/>
      <c r="L108" s="132"/>
    </row>
    <row r="109" spans="6:12" ht="18" customHeight="1">
      <c r="F109" s="88"/>
      <c r="G109" s="132"/>
      <c r="L109" s="132"/>
    </row>
    <row r="110" spans="6:12" ht="18" customHeight="1">
      <c r="F110" s="88"/>
      <c r="G110" s="132"/>
      <c r="L110" s="132"/>
    </row>
    <row r="111" spans="6:12" ht="18" customHeight="1">
      <c r="F111" s="88"/>
      <c r="G111" s="132"/>
      <c r="L111" s="132"/>
    </row>
    <row r="112" spans="6:12" ht="18" customHeight="1">
      <c r="F112" s="88"/>
      <c r="G112" s="132"/>
      <c r="L112" s="132"/>
    </row>
    <row r="113" spans="6:12" ht="18" customHeight="1">
      <c r="F113" s="88"/>
      <c r="G113" s="132"/>
      <c r="L113" s="132"/>
    </row>
    <row r="114" spans="6:12" ht="18" customHeight="1">
      <c r="F114" s="88"/>
      <c r="G114" s="132"/>
      <c r="L114" s="132"/>
    </row>
    <row r="115" spans="6:12" ht="18" customHeight="1">
      <c r="F115" s="88"/>
      <c r="G115" s="132"/>
      <c r="L115" s="132"/>
    </row>
    <row r="116" spans="6:12" ht="18" customHeight="1">
      <c r="F116" s="88"/>
      <c r="G116" s="132"/>
      <c r="L116" s="132"/>
    </row>
    <row r="117" spans="6:12" ht="18" customHeight="1">
      <c r="F117" s="88"/>
      <c r="G117" s="132"/>
      <c r="L117" s="132"/>
    </row>
    <row r="118" spans="6:12" ht="18" customHeight="1">
      <c r="F118" s="88"/>
      <c r="G118" s="132"/>
      <c r="L118" s="132"/>
    </row>
    <row r="119" spans="6:12" ht="18" customHeight="1">
      <c r="F119" s="88"/>
      <c r="G119" s="132"/>
      <c r="L119" s="132"/>
    </row>
    <row r="120" spans="6:12" ht="18" customHeight="1">
      <c r="F120" s="88"/>
      <c r="G120" s="132"/>
      <c r="L120" s="132"/>
    </row>
    <row r="121" spans="6:12" ht="18" customHeight="1">
      <c r="F121" s="88"/>
      <c r="G121" s="132"/>
      <c r="L121" s="132"/>
    </row>
    <row r="200" spans="9:9" ht="18" customHeight="1">
      <c r="I200" s="138"/>
    </row>
    <row r="201" spans="9:9" ht="18" customHeight="1">
      <c r="I201" s="138"/>
    </row>
  </sheetData>
  <phoneticPr fontId="2" type="noConversion"/>
  <pageMargins left="0.7" right="0.7" top="0.75" bottom="0.75" header="0.3" footer="0.3"/>
  <drawing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A49C72-4234-457F-80A3-65174D04BE20}">
  <sheetPr codeName="shtCategory2"/>
  <dimension ref="A1:B6"/>
  <sheetViews>
    <sheetView workbookViewId="0">
      <selection activeCell="A7" sqref="A7"/>
    </sheetView>
  </sheetViews>
  <sheetFormatPr defaultRowHeight="16.5"/>
  <sheetData>
    <row r="1" spans="1:2">
      <c r="A1" t="s">
        <v>40</v>
      </c>
      <c r="B1" s="105">
        <v>1</v>
      </c>
    </row>
    <row r="2" spans="1:2">
      <c r="A2" t="s">
        <v>2085</v>
      </c>
    </row>
    <row r="3" spans="1:2">
      <c r="A3" t="s">
        <v>2087</v>
      </c>
    </row>
    <row r="4" spans="1:2">
      <c r="A4" t="s">
        <v>2088</v>
      </c>
    </row>
    <row r="5" spans="1:2">
      <c r="A5" t="s">
        <v>2089</v>
      </c>
    </row>
    <row r="6" spans="1:2">
      <c r="A6" t="s">
        <v>2091</v>
      </c>
    </row>
  </sheetData>
  <phoneticPr fontId="2" type="noConversion"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5350791-8D9E-4D3A-8D56-9967F64CCCBF}">
  <sheetPr codeName="shtOrder_print"/>
  <dimension ref="A1:U44"/>
  <sheetViews>
    <sheetView zoomScaleNormal="100" workbookViewId="0">
      <selection activeCell="M26" sqref="M26:U26"/>
    </sheetView>
  </sheetViews>
  <sheetFormatPr defaultRowHeight="16.5"/>
  <cols>
    <col min="1" max="1" width="2.875" customWidth="1"/>
    <col min="2" max="2" width="5.25" bestFit="1" customWidth="1"/>
    <col min="3" max="3" width="2.5" customWidth="1"/>
    <col min="4" max="4" width="2.375" customWidth="1"/>
    <col min="5" max="5" width="6.25" customWidth="1"/>
    <col min="6" max="6" width="5.875" customWidth="1"/>
    <col min="7" max="7" width="6.5" customWidth="1"/>
    <col min="8" max="8" width="4.125" customWidth="1"/>
    <col min="9" max="9" width="1.75" customWidth="1"/>
    <col min="10" max="10" width="4" customWidth="1"/>
    <col min="11" max="11" width="3" customWidth="1"/>
    <col min="12" max="12" width="4.5" customWidth="1"/>
    <col min="13" max="13" width="1.5" customWidth="1"/>
    <col min="14" max="15" width="3.75" customWidth="1"/>
    <col min="16" max="16" width="4.125" customWidth="1"/>
    <col min="17" max="17" width="3.375" customWidth="1"/>
    <col min="18" max="18" width="4" customWidth="1"/>
    <col min="19" max="19" width="8" customWidth="1"/>
    <col min="20" max="20" width="4.5" customWidth="1"/>
    <col min="21" max="21" width="9.125" customWidth="1"/>
  </cols>
  <sheetData>
    <row r="1" spans="1:21" ht="24" customHeight="1" thickBot="1">
      <c r="A1" s="315"/>
      <c r="B1" s="316"/>
      <c r="C1" s="316"/>
      <c r="D1" s="316"/>
      <c r="E1" s="316"/>
      <c r="F1" s="316"/>
      <c r="G1" s="316"/>
      <c r="H1" s="107" t="s">
        <v>77</v>
      </c>
      <c r="I1" s="107"/>
      <c r="J1" s="107"/>
      <c r="K1" s="107"/>
      <c r="L1" s="107"/>
      <c r="M1" s="107"/>
      <c r="N1" s="107"/>
      <c r="O1" s="107"/>
      <c r="P1" s="107"/>
      <c r="Q1" s="317" t="s">
        <v>1235</v>
      </c>
      <c r="R1" s="317"/>
      <c r="S1" s="318"/>
      <c r="T1" s="318"/>
      <c r="U1" s="319"/>
    </row>
    <row r="2" spans="1:21">
      <c r="A2" s="295" t="s">
        <v>71</v>
      </c>
      <c r="B2" s="296"/>
      <c r="C2" s="297" t="s">
        <v>2324</v>
      </c>
      <c r="D2" s="298"/>
      <c r="E2" s="298"/>
      <c r="F2" s="298"/>
      <c r="G2" s="299"/>
      <c r="H2" s="297" t="s">
        <v>82</v>
      </c>
      <c r="I2" s="298"/>
      <c r="J2" s="298"/>
      <c r="K2" s="298"/>
      <c r="L2" s="298"/>
      <c r="M2" s="298"/>
      <c r="N2" s="298"/>
      <c r="O2" s="299"/>
      <c r="P2" s="300" t="s">
        <v>69</v>
      </c>
      <c r="Q2" s="301"/>
      <c r="R2" s="301"/>
      <c r="S2" s="296"/>
      <c r="T2" s="302">
        <v>45804</v>
      </c>
      <c r="U2" s="303"/>
    </row>
    <row r="3" spans="1:21" ht="24" customHeight="1">
      <c r="A3" s="370" t="s">
        <v>1203</v>
      </c>
      <c r="B3" s="37" t="s">
        <v>65</v>
      </c>
      <c r="C3" s="481" t="s">
        <v>1587</v>
      </c>
      <c r="D3" s="482"/>
      <c r="E3" s="482"/>
      <c r="F3" s="482"/>
      <c r="G3" s="482"/>
      <c r="H3" s="482"/>
      <c r="I3" s="482"/>
      <c r="J3" s="483"/>
      <c r="K3" s="376" t="s">
        <v>1204</v>
      </c>
      <c r="L3" s="37" t="s">
        <v>65</v>
      </c>
      <c r="M3" s="467" t="s">
        <v>971</v>
      </c>
      <c r="N3" s="468"/>
      <c r="O3" s="468"/>
      <c r="P3" s="468"/>
      <c r="Q3" s="468"/>
      <c r="R3" s="468"/>
      <c r="S3" s="468"/>
      <c r="T3" s="468"/>
      <c r="U3" s="469"/>
    </row>
    <row r="4" spans="1:21" ht="24.95" customHeight="1">
      <c r="A4" s="371"/>
      <c r="B4" s="37" t="s">
        <v>67</v>
      </c>
      <c r="C4" s="382"/>
      <c r="D4" s="383"/>
      <c r="E4" s="383"/>
      <c r="F4" s="383"/>
      <c r="G4" s="383"/>
      <c r="H4" s="383"/>
      <c r="I4" s="383"/>
      <c r="J4" s="384"/>
      <c r="K4" s="377"/>
      <c r="L4" s="37" t="s">
        <v>67</v>
      </c>
      <c r="M4" s="385" t="s">
        <v>969</v>
      </c>
      <c r="N4" s="386"/>
      <c r="O4" s="386"/>
      <c r="P4" s="386"/>
      <c r="Q4" s="386"/>
      <c r="R4" s="387"/>
      <c r="S4" s="38" t="s">
        <v>68</v>
      </c>
      <c r="T4" s="447" t="s">
        <v>79</v>
      </c>
      <c r="U4" s="448"/>
    </row>
    <row r="5" spans="1:21" ht="15.75" customHeight="1">
      <c r="A5" s="371"/>
      <c r="B5" s="38" t="s">
        <v>66</v>
      </c>
      <c r="C5" s="385" t="s">
        <v>1116</v>
      </c>
      <c r="D5" s="386"/>
      <c r="E5" s="386"/>
      <c r="F5" s="386"/>
      <c r="G5" s="386"/>
      <c r="H5" s="386"/>
      <c r="I5" s="386"/>
      <c r="J5" s="387"/>
      <c r="K5" s="377"/>
      <c r="L5" s="38" t="s">
        <v>66</v>
      </c>
      <c r="M5" s="385" t="s">
        <v>80</v>
      </c>
      <c r="N5" s="386"/>
      <c r="O5" s="386"/>
      <c r="P5" s="386"/>
      <c r="Q5" s="386"/>
      <c r="R5" s="386"/>
      <c r="S5" s="386"/>
      <c r="T5" s="386"/>
      <c r="U5" s="388"/>
    </row>
    <row r="6" spans="1:21" ht="15.75" customHeight="1">
      <c r="A6" s="372"/>
      <c r="B6" s="38" t="s">
        <v>81</v>
      </c>
      <c r="C6" s="385" t="s">
        <v>1115</v>
      </c>
      <c r="D6" s="386"/>
      <c r="E6" s="386"/>
      <c r="F6" s="386"/>
      <c r="G6" s="386"/>
      <c r="H6" s="386"/>
      <c r="I6" s="386"/>
      <c r="J6" s="387"/>
      <c r="K6" s="378"/>
      <c r="L6" s="38" t="s">
        <v>81</v>
      </c>
      <c r="M6" s="385" t="s">
        <v>72</v>
      </c>
      <c r="N6" s="386"/>
      <c r="O6" s="386"/>
      <c r="P6" s="386"/>
      <c r="Q6" s="386"/>
      <c r="R6" s="387"/>
      <c r="S6" s="38" t="s">
        <v>26</v>
      </c>
      <c r="T6" s="385" t="s">
        <v>981</v>
      </c>
      <c r="U6" s="388"/>
    </row>
    <row r="7" spans="1:21" ht="15.75" customHeight="1">
      <c r="A7" s="304" t="s">
        <v>76</v>
      </c>
      <c r="B7" s="305"/>
      <c r="C7" s="305"/>
      <c r="D7" s="305"/>
      <c r="E7" s="367"/>
      <c r="F7" s="368" t="s">
        <v>84</v>
      </c>
      <c r="G7" s="305"/>
      <c r="H7" s="305"/>
      <c r="I7" s="367"/>
      <c r="J7" s="368" t="s">
        <v>73</v>
      </c>
      <c r="K7" s="367"/>
      <c r="L7" s="368" t="s">
        <v>47</v>
      </c>
      <c r="M7" s="305"/>
      <c r="N7" s="305"/>
      <c r="O7" s="305"/>
      <c r="P7" s="367"/>
      <c r="Q7" s="368" t="s">
        <v>74</v>
      </c>
      <c r="R7" s="305"/>
      <c r="S7" s="367"/>
      <c r="T7" s="368" t="s">
        <v>75</v>
      </c>
      <c r="U7" s="369"/>
    </row>
    <row r="8" spans="1:21" ht="15" customHeight="1">
      <c r="A8" s="484" t="s">
        <v>1167</v>
      </c>
      <c r="B8" s="485"/>
      <c r="C8" s="485"/>
      <c r="D8" s="485"/>
      <c r="E8" s="486"/>
      <c r="F8" s="487"/>
      <c r="G8" s="485"/>
      <c r="H8" s="485"/>
      <c r="I8" s="486"/>
      <c r="J8" s="414">
        <v>1</v>
      </c>
      <c r="K8" s="413"/>
      <c r="L8" s="488">
        <v>1000000</v>
      </c>
      <c r="M8" s="489"/>
      <c r="N8" s="489"/>
      <c r="O8" s="489"/>
      <c r="P8" s="490"/>
      <c r="Q8" s="488">
        <v>1000000</v>
      </c>
      <c r="R8" s="489"/>
      <c r="S8" s="490"/>
      <c r="T8" s="418"/>
      <c r="U8" s="419"/>
    </row>
    <row r="9" spans="1:21" ht="15" customHeight="1">
      <c r="A9" s="474"/>
      <c r="B9" s="475"/>
      <c r="C9" s="475"/>
      <c r="D9" s="475"/>
      <c r="E9" s="476"/>
      <c r="F9" s="477"/>
      <c r="G9" s="475"/>
      <c r="H9" s="475"/>
      <c r="I9" s="476"/>
      <c r="J9" s="403"/>
      <c r="K9" s="402"/>
      <c r="L9" s="471"/>
      <c r="M9" s="472"/>
      <c r="N9" s="472"/>
      <c r="O9" s="472"/>
      <c r="P9" s="473"/>
      <c r="Q9" s="471"/>
      <c r="R9" s="472"/>
      <c r="S9" s="473"/>
      <c r="T9" s="407"/>
      <c r="U9" s="408"/>
    </row>
    <row r="10" spans="1:21" ht="15" customHeight="1">
      <c r="A10" s="474"/>
      <c r="B10" s="475"/>
      <c r="C10" s="475"/>
      <c r="D10" s="475"/>
      <c r="E10" s="476"/>
      <c r="F10" s="477"/>
      <c r="G10" s="475"/>
      <c r="H10" s="475"/>
      <c r="I10" s="476"/>
      <c r="J10" s="403"/>
      <c r="K10" s="402"/>
      <c r="L10" s="471"/>
      <c r="M10" s="472"/>
      <c r="N10" s="472"/>
      <c r="O10" s="472"/>
      <c r="P10" s="473"/>
      <c r="Q10" s="471"/>
      <c r="R10" s="472"/>
      <c r="S10" s="473"/>
      <c r="T10" s="407"/>
      <c r="U10" s="408"/>
    </row>
    <row r="11" spans="1:21" ht="15" customHeight="1">
      <c r="A11" s="474"/>
      <c r="B11" s="475"/>
      <c r="C11" s="475"/>
      <c r="D11" s="475"/>
      <c r="E11" s="476"/>
      <c r="F11" s="477"/>
      <c r="G11" s="475"/>
      <c r="H11" s="475"/>
      <c r="I11" s="476"/>
      <c r="J11" s="403"/>
      <c r="K11" s="402"/>
      <c r="L11" s="471"/>
      <c r="M11" s="472"/>
      <c r="N11" s="472"/>
      <c r="O11" s="472"/>
      <c r="P11" s="473"/>
      <c r="Q11" s="471"/>
      <c r="R11" s="472"/>
      <c r="S11" s="473"/>
      <c r="T11" s="407"/>
      <c r="U11" s="408"/>
    </row>
    <row r="12" spans="1:21" ht="15" customHeight="1">
      <c r="A12" s="474"/>
      <c r="B12" s="475"/>
      <c r="C12" s="475"/>
      <c r="D12" s="475"/>
      <c r="E12" s="476"/>
      <c r="F12" s="477"/>
      <c r="G12" s="475"/>
      <c r="H12" s="475"/>
      <c r="I12" s="476"/>
      <c r="J12" s="403"/>
      <c r="K12" s="402"/>
      <c r="L12" s="471"/>
      <c r="M12" s="472"/>
      <c r="N12" s="472"/>
      <c r="O12" s="472"/>
      <c r="P12" s="473"/>
      <c r="Q12" s="471"/>
      <c r="R12" s="472"/>
      <c r="S12" s="473"/>
      <c r="T12" s="407"/>
      <c r="U12" s="408"/>
    </row>
    <row r="13" spans="1:21" ht="15" customHeight="1">
      <c r="A13" s="474"/>
      <c r="B13" s="475"/>
      <c r="C13" s="475"/>
      <c r="D13" s="475"/>
      <c r="E13" s="476"/>
      <c r="F13" s="478"/>
      <c r="G13" s="479"/>
      <c r="H13" s="479"/>
      <c r="I13" s="480"/>
      <c r="J13" s="403"/>
      <c r="K13" s="402"/>
      <c r="L13" s="471"/>
      <c r="M13" s="472"/>
      <c r="N13" s="472"/>
      <c r="O13" s="472"/>
      <c r="P13" s="473"/>
      <c r="Q13" s="471"/>
      <c r="R13" s="472"/>
      <c r="S13" s="473"/>
      <c r="T13" s="407"/>
      <c r="U13" s="408"/>
    </row>
    <row r="14" spans="1:21" ht="15" customHeight="1">
      <c r="A14" s="474"/>
      <c r="B14" s="475"/>
      <c r="C14" s="475"/>
      <c r="D14" s="475"/>
      <c r="E14" s="476"/>
      <c r="F14" s="477"/>
      <c r="G14" s="475"/>
      <c r="H14" s="475"/>
      <c r="I14" s="476"/>
      <c r="J14" s="403"/>
      <c r="K14" s="402"/>
      <c r="L14" s="471"/>
      <c r="M14" s="472"/>
      <c r="N14" s="472"/>
      <c r="O14" s="472"/>
      <c r="P14" s="473"/>
      <c r="Q14" s="471"/>
      <c r="R14" s="472"/>
      <c r="S14" s="473"/>
      <c r="T14" s="407"/>
      <c r="U14" s="408"/>
    </row>
    <row r="15" spans="1:21" ht="15" customHeight="1">
      <c r="A15" s="400"/>
      <c r="B15" s="401"/>
      <c r="C15" s="401"/>
      <c r="D15" s="401"/>
      <c r="E15" s="402"/>
      <c r="F15" s="403"/>
      <c r="G15" s="401"/>
      <c r="H15" s="401"/>
      <c r="I15" s="402"/>
      <c r="J15" s="403"/>
      <c r="K15" s="402"/>
      <c r="L15" s="461"/>
      <c r="M15" s="462"/>
      <c r="N15" s="462"/>
      <c r="O15" s="462"/>
      <c r="P15" s="463"/>
      <c r="Q15" s="461"/>
      <c r="R15" s="462"/>
      <c r="S15" s="463"/>
      <c r="T15" s="407"/>
      <c r="U15" s="408"/>
    </row>
    <row r="16" spans="1:21" ht="15" customHeight="1">
      <c r="A16" s="400"/>
      <c r="B16" s="401"/>
      <c r="C16" s="401"/>
      <c r="D16" s="401"/>
      <c r="E16" s="402"/>
      <c r="F16" s="403"/>
      <c r="G16" s="401"/>
      <c r="H16" s="401"/>
      <c r="I16" s="402"/>
      <c r="J16" s="403"/>
      <c r="K16" s="402"/>
      <c r="L16" s="461"/>
      <c r="M16" s="462"/>
      <c r="N16" s="462"/>
      <c r="O16" s="462"/>
      <c r="P16" s="463"/>
      <c r="Q16" s="461"/>
      <c r="R16" s="462"/>
      <c r="S16" s="463"/>
      <c r="T16" s="407"/>
      <c r="U16" s="408"/>
    </row>
    <row r="17" spans="1:21" ht="15" customHeight="1">
      <c r="A17" s="400"/>
      <c r="B17" s="401"/>
      <c r="C17" s="401"/>
      <c r="D17" s="401"/>
      <c r="E17" s="402"/>
      <c r="F17" s="403"/>
      <c r="G17" s="401"/>
      <c r="H17" s="401"/>
      <c r="I17" s="402"/>
      <c r="J17" s="403"/>
      <c r="K17" s="402"/>
      <c r="L17" s="461"/>
      <c r="M17" s="462"/>
      <c r="N17" s="462"/>
      <c r="O17" s="462"/>
      <c r="P17" s="463"/>
      <c r="Q17" s="461"/>
      <c r="R17" s="462"/>
      <c r="S17" s="463"/>
      <c r="T17" s="407"/>
      <c r="U17" s="408"/>
    </row>
    <row r="18" spans="1:21" ht="15" customHeight="1">
      <c r="A18" s="400"/>
      <c r="B18" s="401"/>
      <c r="C18" s="401"/>
      <c r="D18" s="401"/>
      <c r="E18" s="402"/>
      <c r="F18" s="403"/>
      <c r="G18" s="401"/>
      <c r="H18" s="401"/>
      <c r="I18" s="402"/>
      <c r="J18" s="403"/>
      <c r="K18" s="402"/>
      <c r="L18" s="461"/>
      <c r="M18" s="462"/>
      <c r="N18" s="462"/>
      <c r="O18" s="462"/>
      <c r="P18" s="463"/>
      <c r="Q18" s="461"/>
      <c r="R18" s="462"/>
      <c r="S18" s="463"/>
      <c r="T18" s="407"/>
      <c r="U18" s="408"/>
    </row>
    <row r="19" spans="1:21" ht="15" customHeight="1">
      <c r="A19" s="432"/>
      <c r="B19" s="433"/>
      <c r="C19" s="433"/>
      <c r="D19" s="433"/>
      <c r="E19" s="434"/>
      <c r="F19" s="435"/>
      <c r="G19" s="433"/>
      <c r="H19" s="433"/>
      <c r="I19" s="434"/>
      <c r="J19" s="435"/>
      <c r="K19" s="434"/>
      <c r="L19" s="449"/>
      <c r="M19" s="450"/>
      <c r="N19" s="450"/>
      <c r="O19" s="450"/>
      <c r="P19" s="451"/>
      <c r="Q19" s="449"/>
      <c r="R19" s="450"/>
      <c r="S19" s="451"/>
      <c r="T19" s="452"/>
      <c r="U19" s="453"/>
    </row>
    <row r="20" spans="1:21">
      <c r="A20" s="304" t="s">
        <v>87</v>
      </c>
      <c r="B20" s="305"/>
      <c r="C20" s="305"/>
      <c r="D20" s="305"/>
      <c r="E20" s="305"/>
      <c r="F20" s="306">
        <v>2450000</v>
      </c>
      <c r="G20" s="306"/>
      <c r="H20" s="306"/>
      <c r="I20" s="307"/>
      <c r="J20" s="440">
        <f>SUM(J8:K19)</f>
        <v>1</v>
      </c>
      <c r="K20" s="440"/>
      <c r="L20" s="494" t="s">
        <v>966</v>
      </c>
      <c r="M20" s="495"/>
      <c r="N20" s="495"/>
      <c r="O20" s="495"/>
      <c r="P20" s="496"/>
      <c r="Q20" s="346">
        <f>SUM(Q8:S19)</f>
        <v>1000000</v>
      </c>
      <c r="R20" s="306"/>
      <c r="S20" s="306"/>
      <c r="T20" s="306"/>
      <c r="U20" s="347"/>
    </row>
    <row r="21" spans="1:21" ht="17.25" thickBot="1">
      <c r="A21" s="309" t="s">
        <v>97</v>
      </c>
      <c r="B21" s="310"/>
      <c r="C21" s="310"/>
      <c r="D21" s="310"/>
      <c r="E21" s="310"/>
      <c r="F21" s="311">
        <f>F20+Q20</f>
        <v>3450000</v>
      </c>
      <c r="G21" s="311"/>
      <c r="H21" s="311"/>
      <c r="I21" s="312"/>
      <c r="J21" s="313" t="s">
        <v>972</v>
      </c>
      <c r="K21" s="310"/>
      <c r="L21" s="314" t="str">
        <f>T4</f>
        <v>장효주</v>
      </c>
      <c r="M21" s="314"/>
      <c r="N21" s="314"/>
      <c r="O21" s="313" t="s">
        <v>70</v>
      </c>
      <c r="P21" s="339"/>
      <c r="Q21" s="441" t="str">
        <f>C3</f>
        <v>제이오토(대구)</v>
      </c>
      <c r="R21" s="442"/>
      <c r="S21" s="442"/>
      <c r="T21" s="442"/>
      <c r="U21" s="443"/>
    </row>
    <row r="22" spans="1:21" ht="9" customHeight="1">
      <c r="A22" s="427"/>
      <c r="B22" s="427"/>
      <c r="C22" s="427"/>
      <c r="D22" s="427"/>
      <c r="E22" s="427"/>
      <c r="F22" s="427"/>
      <c r="G22" s="427"/>
      <c r="H22" s="427"/>
      <c r="I22" s="427"/>
      <c r="J22" s="427"/>
      <c r="K22" s="427"/>
      <c r="L22" s="427"/>
      <c r="M22" s="427"/>
      <c r="N22" s="427"/>
      <c r="O22" s="427"/>
      <c r="P22" s="427"/>
      <c r="Q22" s="427"/>
      <c r="R22" s="427"/>
      <c r="S22" s="427"/>
      <c r="T22" s="427"/>
      <c r="U22" s="427"/>
    </row>
    <row r="23" spans="1:21" ht="11.25" customHeight="1" thickBot="1">
      <c r="A23" s="294"/>
      <c r="B23" s="294"/>
      <c r="C23" s="294"/>
      <c r="D23" s="294"/>
      <c r="E23" s="294"/>
      <c r="F23" s="294"/>
      <c r="G23" s="294"/>
      <c r="H23" s="294"/>
      <c r="I23" s="294"/>
      <c r="J23" s="294"/>
      <c r="K23" s="294"/>
      <c r="L23" s="294"/>
      <c r="M23" s="294"/>
      <c r="N23" s="294"/>
      <c r="O23" s="294"/>
      <c r="P23" s="294"/>
      <c r="Q23" s="294"/>
      <c r="R23" s="294"/>
      <c r="S23" s="294"/>
      <c r="T23" s="294"/>
      <c r="U23" s="294"/>
    </row>
    <row r="24" spans="1:21" ht="24" customHeight="1" thickBot="1">
      <c r="A24" s="444" t="s">
        <v>77</v>
      </c>
      <c r="B24" s="445"/>
      <c r="C24" s="445"/>
      <c r="D24" s="445"/>
      <c r="E24" s="445"/>
      <c r="F24" s="445"/>
      <c r="G24" s="445"/>
      <c r="H24" s="445"/>
      <c r="I24" s="445"/>
      <c r="J24" s="445"/>
      <c r="K24" s="445"/>
      <c r="L24" s="445"/>
      <c r="M24" s="445"/>
      <c r="N24" s="445"/>
      <c r="O24" s="445"/>
      <c r="P24" s="445"/>
      <c r="Q24" s="445"/>
      <c r="R24" s="445"/>
      <c r="S24" s="445"/>
      <c r="T24" s="445"/>
      <c r="U24" s="446"/>
    </row>
    <row r="25" spans="1:21">
      <c r="A25" s="295" t="s">
        <v>71</v>
      </c>
      <c r="B25" s="296"/>
      <c r="C25" s="297" t="str">
        <f>C2</f>
        <v>카카오뱅크 3333181865047</v>
      </c>
      <c r="D25" s="298"/>
      <c r="E25" s="298"/>
      <c r="F25" s="298"/>
      <c r="G25" s="299"/>
      <c r="H25" s="297" t="s">
        <v>83</v>
      </c>
      <c r="I25" s="298"/>
      <c r="J25" s="298"/>
      <c r="K25" s="298"/>
      <c r="L25" s="298"/>
      <c r="M25" s="298"/>
      <c r="N25" s="298"/>
      <c r="O25" s="299"/>
      <c r="P25" s="300" t="s">
        <v>69</v>
      </c>
      <c r="Q25" s="301"/>
      <c r="R25" s="301"/>
      <c r="S25" s="296"/>
      <c r="T25" s="302">
        <f>T2</f>
        <v>45804</v>
      </c>
      <c r="U25" s="303"/>
    </row>
    <row r="26" spans="1:21" ht="27" customHeight="1">
      <c r="A26" s="370" t="s">
        <v>1203</v>
      </c>
      <c r="B26" s="37" t="s">
        <v>65</v>
      </c>
      <c r="C26" s="464" t="str">
        <f>C3</f>
        <v>제이오토(대구)</v>
      </c>
      <c r="D26" s="465"/>
      <c r="E26" s="465"/>
      <c r="F26" s="465"/>
      <c r="G26" s="465"/>
      <c r="H26" s="465"/>
      <c r="I26" s="465"/>
      <c r="J26" s="466"/>
      <c r="K26" s="376" t="s">
        <v>1204</v>
      </c>
      <c r="L26" s="37" t="s">
        <v>65</v>
      </c>
      <c r="M26" s="467" t="str">
        <f>M3</f>
        <v>BTS&amp;P</v>
      </c>
      <c r="N26" s="468"/>
      <c r="O26" s="468"/>
      <c r="P26" s="468"/>
      <c r="Q26" s="468"/>
      <c r="R26" s="468"/>
      <c r="S26" s="468"/>
      <c r="T26" s="468"/>
      <c r="U26" s="469"/>
    </row>
    <row r="27" spans="1:21" ht="24.95" customHeight="1">
      <c r="A27" s="371"/>
      <c r="B27" s="37" t="s">
        <v>67</v>
      </c>
      <c r="C27" s="491">
        <f>C4</f>
        <v>0</v>
      </c>
      <c r="D27" s="492"/>
      <c r="E27" s="492"/>
      <c r="F27" s="492"/>
      <c r="G27" s="492"/>
      <c r="H27" s="492"/>
      <c r="I27" s="492"/>
      <c r="J27" s="493"/>
      <c r="K27" s="377"/>
      <c r="L27" s="37" t="s">
        <v>67</v>
      </c>
      <c r="M27" s="385" t="str">
        <f>M4</f>
        <v>259-12-01768</v>
      </c>
      <c r="N27" s="386"/>
      <c r="O27" s="386"/>
      <c r="P27" s="386"/>
      <c r="Q27" s="386"/>
      <c r="R27" s="387"/>
      <c r="S27" s="38" t="s">
        <v>68</v>
      </c>
      <c r="T27" s="447" t="str">
        <f>T4</f>
        <v>장효주</v>
      </c>
      <c r="U27" s="448"/>
    </row>
    <row r="28" spans="1:21" ht="15.75" customHeight="1">
      <c r="A28" s="371"/>
      <c r="B28" s="38" t="s">
        <v>10</v>
      </c>
      <c r="C28" s="385" t="str">
        <f>C5</f>
        <v>대구광역시 서구 가르뱅이로 53</v>
      </c>
      <c r="D28" s="386"/>
      <c r="E28" s="386"/>
      <c r="F28" s="386"/>
      <c r="G28" s="386"/>
      <c r="H28" s="386"/>
      <c r="I28" s="386"/>
      <c r="J28" s="387"/>
      <c r="K28" s="377"/>
      <c r="L28" s="38" t="s">
        <v>10</v>
      </c>
      <c r="M28" s="385" t="str">
        <f>M5</f>
        <v>대구 달서구 용산로 28(본리동)</v>
      </c>
      <c r="N28" s="386"/>
      <c r="O28" s="386"/>
      <c r="P28" s="386"/>
      <c r="Q28" s="386"/>
      <c r="R28" s="386"/>
      <c r="S28" s="386"/>
      <c r="T28" s="386"/>
      <c r="U28" s="388"/>
    </row>
    <row r="29" spans="1:21" ht="15.75" customHeight="1">
      <c r="A29" s="372"/>
      <c r="B29" s="38" t="s">
        <v>81</v>
      </c>
      <c r="C29" s="385" t="str">
        <f>C6</f>
        <v>010-5102-8176</v>
      </c>
      <c r="D29" s="386"/>
      <c r="E29" s="386"/>
      <c r="F29" s="386"/>
      <c r="G29" s="386"/>
      <c r="H29" s="386"/>
      <c r="I29" s="386"/>
      <c r="J29" s="387"/>
      <c r="K29" s="378"/>
      <c r="L29" s="38" t="s">
        <v>81</v>
      </c>
      <c r="M29" s="385" t="str">
        <f>M6</f>
        <v>010-5168-3542</v>
      </c>
      <c r="N29" s="386"/>
      <c r="O29" s="386"/>
      <c r="P29" s="386"/>
      <c r="Q29" s="386"/>
      <c r="R29" s="387"/>
      <c r="S29" s="38" t="s">
        <v>26</v>
      </c>
      <c r="T29" s="385"/>
      <c r="U29" s="388"/>
    </row>
    <row r="30" spans="1:21" ht="15.75" customHeight="1">
      <c r="A30" s="304" t="s">
        <v>76</v>
      </c>
      <c r="B30" s="305"/>
      <c r="C30" s="305"/>
      <c r="D30" s="305"/>
      <c r="E30" s="367"/>
      <c r="F30" s="368" t="s">
        <v>49</v>
      </c>
      <c r="G30" s="305"/>
      <c r="H30" s="305"/>
      <c r="I30" s="367"/>
      <c r="J30" s="368" t="s">
        <v>73</v>
      </c>
      <c r="K30" s="367"/>
      <c r="L30" s="368" t="s">
        <v>47</v>
      </c>
      <c r="M30" s="305"/>
      <c r="N30" s="305"/>
      <c r="O30" s="305"/>
      <c r="P30" s="367"/>
      <c r="Q30" s="368" t="s">
        <v>74</v>
      </c>
      <c r="R30" s="305"/>
      <c r="S30" s="367"/>
      <c r="T30" s="368" t="s">
        <v>75</v>
      </c>
      <c r="U30" s="369"/>
    </row>
    <row r="31" spans="1:21" ht="15" customHeight="1">
      <c r="A31" s="458" t="str">
        <f>A8</f>
        <v>8HP70 VALBEBODY</v>
      </c>
      <c r="B31" s="459"/>
      <c r="C31" s="459"/>
      <c r="D31" s="459"/>
      <c r="E31" s="459"/>
      <c r="F31" s="459">
        <f>F8</f>
        <v>0</v>
      </c>
      <c r="G31" s="459"/>
      <c r="H31" s="459"/>
      <c r="I31" s="459"/>
      <c r="J31" s="459">
        <f>J8</f>
        <v>1</v>
      </c>
      <c r="K31" s="459"/>
      <c r="L31" s="460">
        <f>L8</f>
        <v>1000000</v>
      </c>
      <c r="M31" s="460"/>
      <c r="N31" s="460"/>
      <c r="O31" s="460"/>
      <c r="P31" s="460"/>
      <c r="Q31" s="460">
        <f>Q8</f>
        <v>1000000</v>
      </c>
      <c r="R31" s="460"/>
      <c r="S31" s="460"/>
      <c r="T31" s="459">
        <f>T8</f>
        <v>0</v>
      </c>
      <c r="U31" s="470"/>
    </row>
    <row r="32" spans="1:21" ht="15" customHeight="1">
      <c r="A32" s="439">
        <f t="shared" ref="A32:A42" si="0">A9</f>
        <v>0</v>
      </c>
      <c r="B32" s="436"/>
      <c r="C32" s="436"/>
      <c r="D32" s="436"/>
      <c r="E32" s="436"/>
      <c r="F32" s="436">
        <f t="shared" ref="F32:F42" si="1">F9</f>
        <v>0</v>
      </c>
      <c r="G32" s="436"/>
      <c r="H32" s="436"/>
      <c r="I32" s="436"/>
      <c r="J32" s="436">
        <f t="shared" ref="J32:J42" si="2">J9</f>
        <v>0</v>
      </c>
      <c r="K32" s="436"/>
      <c r="L32" s="438">
        <f t="shared" ref="L32:L42" si="3">L9</f>
        <v>0</v>
      </c>
      <c r="M32" s="438"/>
      <c r="N32" s="438"/>
      <c r="O32" s="438"/>
      <c r="P32" s="438"/>
      <c r="Q32" s="438">
        <f t="shared" ref="Q32:Q42" si="4">Q9</f>
        <v>0</v>
      </c>
      <c r="R32" s="438"/>
      <c r="S32" s="438"/>
      <c r="T32" s="436">
        <f t="shared" ref="T32:T42" si="5">T9</f>
        <v>0</v>
      </c>
      <c r="U32" s="437"/>
    </row>
    <row r="33" spans="1:21" ht="15" customHeight="1">
      <c r="A33" s="439">
        <f t="shared" si="0"/>
        <v>0</v>
      </c>
      <c r="B33" s="436"/>
      <c r="C33" s="436"/>
      <c r="D33" s="436"/>
      <c r="E33" s="436"/>
      <c r="F33" s="436">
        <f t="shared" si="1"/>
        <v>0</v>
      </c>
      <c r="G33" s="436"/>
      <c r="H33" s="436"/>
      <c r="I33" s="436"/>
      <c r="J33" s="436">
        <f t="shared" si="2"/>
        <v>0</v>
      </c>
      <c r="K33" s="436"/>
      <c r="L33" s="438">
        <f t="shared" si="3"/>
        <v>0</v>
      </c>
      <c r="M33" s="438"/>
      <c r="N33" s="438"/>
      <c r="O33" s="438"/>
      <c r="P33" s="438"/>
      <c r="Q33" s="438">
        <f t="shared" si="4"/>
        <v>0</v>
      </c>
      <c r="R33" s="438"/>
      <c r="S33" s="438"/>
      <c r="T33" s="436">
        <f t="shared" si="5"/>
        <v>0</v>
      </c>
      <c r="U33" s="437"/>
    </row>
    <row r="34" spans="1:21" ht="15" customHeight="1">
      <c r="A34" s="439">
        <f t="shared" si="0"/>
        <v>0</v>
      </c>
      <c r="B34" s="436"/>
      <c r="C34" s="436"/>
      <c r="D34" s="436"/>
      <c r="E34" s="436"/>
      <c r="F34" s="436">
        <f t="shared" si="1"/>
        <v>0</v>
      </c>
      <c r="G34" s="436"/>
      <c r="H34" s="436"/>
      <c r="I34" s="436"/>
      <c r="J34" s="436">
        <v>1</v>
      </c>
      <c r="K34" s="436"/>
      <c r="L34" s="438">
        <f t="shared" si="3"/>
        <v>0</v>
      </c>
      <c r="M34" s="438"/>
      <c r="N34" s="438"/>
      <c r="O34" s="438"/>
      <c r="P34" s="438"/>
      <c r="Q34" s="438">
        <f t="shared" si="4"/>
        <v>0</v>
      </c>
      <c r="R34" s="438"/>
      <c r="S34" s="438"/>
      <c r="T34" s="436">
        <f t="shared" si="5"/>
        <v>0</v>
      </c>
      <c r="U34" s="437"/>
    </row>
    <row r="35" spans="1:21" ht="15" customHeight="1">
      <c r="A35" s="439">
        <f t="shared" si="0"/>
        <v>0</v>
      </c>
      <c r="B35" s="436"/>
      <c r="C35" s="436"/>
      <c r="D35" s="436"/>
      <c r="E35" s="436"/>
      <c r="F35" s="436">
        <f t="shared" si="1"/>
        <v>0</v>
      </c>
      <c r="G35" s="436"/>
      <c r="H35" s="436"/>
      <c r="I35" s="436"/>
      <c r="J35" s="436">
        <f t="shared" si="2"/>
        <v>0</v>
      </c>
      <c r="K35" s="436"/>
      <c r="L35" s="438">
        <f t="shared" si="3"/>
        <v>0</v>
      </c>
      <c r="M35" s="438"/>
      <c r="N35" s="438"/>
      <c r="O35" s="438"/>
      <c r="P35" s="438"/>
      <c r="Q35" s="438">
        <f t="shared" si="4"/>
        <v>0</v>
      </c>
      <c r="R35" s="438"/>
      <c r="S35" s="438"/>
      <c r="T35" s="436">
        <f t="shared" si="5"/>
        <v>0</v>
      </c>
      <c r="U35" s="437"/>
    </row>
    <row r="36" spans="1:21" ht="15" customHeight="1">
      <c r="A36" s="439">
        <f t="shared" si="0"/>
        <v>0</v>
      </c>
      <c r="B36" s="436"/>
      <c r="C36" s="436"/>
      <c r="D36" s="436"/>
      <c r="E36" s="436"/>
      <c r="F36" s="436">
        <f t="shared" si="1"/>
        <v>0</v>
      </c>
      <c r="G36" s="436"/>
      <c r="H36" s="436"/>
      <c r="I36" s="436"/>
      <c r="J36" s="436">
        <f t="shared" si="2"/>
        <v>0</v>
      </c>
      <c r="K36" s="436"/>
      <c r="L36" s="438">
        <f t="shared" si="3"/>
        <v>0</v>
      </c>
      <c r="M36" s="438"/>
      <c r="N36" s="438"/>
      <c r="O36" s="438"/>
      <c r="P36" s="438"/>
      <c r="Q36" s="438">
        <f t="shared" si="4"/>
        <v>0</v>
      </c>
      <c r="R36" s="438"/>
      <c r="S36" s="438"/>
      <c r="T36" s="436">
        <f t="shared" si="5"/>
        <v>0</v>
      </c>
      <c r="U36" s="437"/>
    </row>
    <row r="37" spans="1:21" ht="15" customHeight="1">
      <c r="A37" s="439">
        <f t="shared" si="0"/>
        <v>0</v>
      </c>
      <c r="B37" s="436"/>
      <c r="C37" s="436"/>
      <c r="D37" s="436"/>
      <c r="E37" s="436"/>
      <c r="F37" s="436">
        <f t="shared" si="1"/>
        <v>0</v>
      </c>
      <c r="G37" s="436"/>
      <c r="H37" s="436"/>
      <c r="I37" s="436"/>
      <c r="J37" s="436">
        <f t="shared" si="2"/>
        <v>0</v>
      </c>
      <c r="K37" s="436"/>
      <c r="L37" s="438">
        <f t="shared" si="3"/>
        <v>0</v>
      </c>
      <c r="M37" s="438"/>
      <c r="N37" s="438"/>
      <c r="O37" s="438"/>
      <c r="P37" s="438"/>
      <c r="Q37" s="438">
        <f t="shared" si="4"/>
        <v>0</v>
      </c>
      <c r="R37" s="438"/>
      <c r="S37" s="438"/>
      <c r="T37" s="436">
        <f t="shared" si="5"/>
        <v>0</v>
      </c>
      <c r="U37" s="437"/>
    </row>
    <row r="38" spans="1:21" ht="15" customHeight="1">
      <c r="A38" s="439">
        <f t="shared" si="0"/>
        <v>0</v>
      </c>
      <c r="B38" s="436"/>
      <c r="C38" s="436"/>
      <c r="D38" s="436"/>
      <c r="E38" s="436"/>
      <c r="F38" s="436">
        <f t="shared" si="1"/>
        <v>0</v>
      </c>
      <c r="G38" s="436"/>
      <c r="H38" s="436"/>
      <c r="I38" s="436"/>
      <c r="J38" s="436">
        <f t="shared" si="2"/>
        <v>0</v>
      </c>
      <c r="K38" s="436"/>
      <c r="L38" s="438">
        <f t="shared" si="3"/>
        <v>0</v>
      </c>
      <c r="M38" s="438"/>
      <c r="N38" s="438"/>
      <c r="O38" s="438"/>
      <c r="P38" s="438"/>
      <c r="Q38" s="438">
        <f t="shared" si="4"/>
        <v>0</v>
      </c>
      <c r="R38" s="438"/>
      <c r="S38" s="438"/>
      <c r="T38" s="436">
        <f t="shared" si="5"/>
        <v>0</v>
      </c>
      <c r="U38" s="437"/>
    </row>
    <row r="39" spans="1:21" ht="15" customHeight="1">
      <c r="A39" s="439">
        <f t="shared" si="0"/>
        <v>0</v>
      </c>
      <c r="B39" s="436"/>
      <c r="C39" s="436"/>
      <c r="D39" s="436"/>
      <c r="E39" s="436"/>
      <c r="F39" s="436">
        <f t="shared" si="1"/>
        <v>0</v>
      </c>
      <c r="G39" s="436"/>
      <c r="H39" s="436"/>
      <c r="I39" s="436"/>
      <c r="J39" s="436">
        <f t="shared" si="2"/>
        <v>0</v>
      </c>
      <c r="K39" s="436"/>
      <c r="L39" s="438">
        <f t="shared" si="3"/>
        <v>0</v>
      </c>
      <c r="M39" s="438"/>
      <c r="N39" s="438"/>
      <c r="O39" s="438"/>
      <c r="P39" s="438"/>
      <c r="Q39" s="438">
        <f t="shared" si="4"/>
        <v>0</v>
      </c>
      <c r="R39" s="438"/>
      <c r="S39" s="438"/>
      <c r="T39" s="436">
        <f t="shared" si="5"/>
        <v>0</v>
      </c>
      <c r="U39" s="437"/>
    </row>
    <row r="40" spans="1:21" ht="15" customHeight="1">
      <c r="A40" s="439">
        <f t="shared" si="0"/>
        <v>0</v>
      </c>
      <c r="B40" s="436"/>
      <c r="C40" s="436"/>
      <c r="D40" s="436"/>
      <c r="E40" s="436"/>
      <c r="F40" s="436">
        <f t="shared" si="1"/>
        <v>0</v>
      </c>
      <c r="G40" s="436"/>
      <c r="H40" s="436"/>
      <c r="I40" s="436"/>
      <c r="J40" s="436">
        <f t="shared" si="2"/>
        <v>0</v>
      </c>
      <c r="K40" s="436"/>
      <c r="L40" s="438">
        <f t="shared" si="3"/>
        <v>0</v>
      </c>
      <c r="M40" s="438"/>
      <c r="N40" s="438"/>
      <c r="O40" s="438"/>
      <c r="P40" s="438"/>
      <c r="Q40" s="438">
        <f t="shared" si="4"/>
        <v>0</v>
      </c>
      <c r="R40" s="438"/>
      <c r="S40" s="438"/>
      <c r="T40" s="436">
        <f t="shared" si="5"/>
        <v>0</v>
      </c>
      <c r="U40" s="437"/>
    </row>
    <row r="41" spans="1:21" ht="15" customHeight="1">
      <c r="A41" s="439">
        <f t="shared" si="0"/>
        <v>0</v>
      </c>
      <c r="B41" s="436"/>
      <c r="C41" s="436"/>
      <c r="D41" s="436"/>
      <c r="E41" s="436"/>
      <c r="F41" s="436">
        <f t="shared" si="1"/>
        <v>0</v>
      </c>
      <c r="G41" s="436"/>
      <c r="H41" s="436"/>
      <c r="I41" s="436"/>
      <c r="J41" s="436">
        <f t="shared" si="2"/>
        <v>0</v>
      </c>
      <c r="K41" s="436"/>
      <c r="L41" s="438">
        <f t="shared" si="3"/>
        <v>0</v>
      </c>
      <c r="M41" s="438"/>
      <c r="N41" s="438"/>
      <c r="O41" s="438"/>
      <c r="P41" s="438"/>
      <c r="Q41" s="438">
        <f t="shared" si="4"/>
        <v>0</v>
      </c>
      <c r="R41" s="438"/>
      <c r="S41" s="438"/>
      <c r="T41" s="436">
        <f t="shared" si="5"/>
        <v>0</v>
      </c>
      <c r="U41" s="437"/>
    </row>
    <row r="42" spans="1:21" ht="15" customHeight="1">
      <c r="A42" s="454">
        <f t="shared" si="0"/>
        <v>0</v>
      </c>
      <c r="B42" s="455"/>
      <c r="C42" s="455"/>
      <c r="D42" s="455"/>
      <c r="E42" s="455"/>
      <c r="F42" s="455">
        <f t="shared" si="1"/>
        <v>0</v>
      </c>
      <c r="G42" s="455"/>
      <c r="H42" s="455"/>
      <c r="I42" s="455"/>
      <c r="J42" s="455">
        <f t="shared" si="2"/>
        <v>0</v>
      </c>
      <c r="K42" s="455"/>
      <c r="L42" s="456">
        <f t="shared" si="3"/>
        <v>0</v>
      </c>
      <c r="M42" s="456"/>
      <c r="N42" s="456"/>
      <c r="O42" s="456"/>
      <c r="P42" s="456"/>
      <c r="Q42" s="456">
        <f t="shared" si="4"/>
        <v>0</v>
      </c>
      <c r="R42" s="456"/>
      <c r="S42" s="456"/>
      <c r="T42" s="455">
        <f t="shared" si="5"/>
        <v>0</v>
      </c>
      <c r="U42" s="457"/>
    </row>
    <row r="43" spans="1:21">
      <c r="A43" s="304" t="s">
        <v>87</v>
      </c>
      <c r="B43" s="305"/>
      <c r="C43" s="305"/>
      <c r="D43" s="305"/>
      <c r="E43" s="305"/>
      <c r="F43" s="306">
        <f>F20</f>
        <v>2450000</v>
      </c>
      <c r="G43" s="306"/>
      <c r="H43" s="306"/>
      <c r="I43" s="307"/>
      <c r="J43" s="440">
        <f>J20</f>
        <v>1</v>
      </c>
      <c r="K43" s="440"/>
      <c r="L43" s="494" t="s">
        <v>966</v>
      </c>
      <c r="M43" s="495"/>
      <c r="N43" s="495"/>
      <c r="O43" s="495"/>
      <c r="P43" s="496"/>
      <c r="Q43" s="497">
        <f>Q20</f>
        <v>1000000</v>
      </c>
      <c r="R43" s="498"/>
      <c r="S43" s="498"/>
      <c r="T43" s="498"/>
      <c r="U43" s="499"/>
    </row>
    <row r="44" spans="1:21" ht="17.25" thickBot="1">
      <c r="A44" s="309" t="s">
        <v>97</v>
      </c>
      <c r="B44" s="310"/>
      <c r="C44" s="310"/>
      <c r="D44" s="310"/>
      <c r="E44" s="310"/>
      <c r="F44" s="311">
        <f>F21</f>
        <v>3450000</v>
      </c>
      <c r="G44" s="311"/>
      <c r="H44" s="311"/>
      <c r="I44" s="312"/>
      <c r="J44" s="313" t="s">
        <v>972</v>
      </c>
      <c r="K44" s="310"/>
      <c r="L44" s="314" t="str">
        <f>L21</f>
        <v>장효주</v>
      </c>
      <c r="M44" s="314"/>
      <c r="N44" s="314"/>
      <c r="O44" s="313" t="s">
        <v>70</v>
      </c>
      <c r="P44" s="339"/>
      <c r="Q44" s="441" t="str">
        <f>Q21</f>
        <v>제이오토(대구)</v>
      </c>
      <c r="R44" s="442"/>
      <c r="S44" s="442"/>
      <c r="T44" s="442"/>
      <c r="U44" s="443"/>
    </row>
  </sheetData>
  <mergeCells count="218">
    <mergeCell ref="S1:U1"/>
    <mergeCell ref="Q1:R1"/>
    <mergeCell ref="A1:G1"/>
    <mergeCell ref="A43:E43"/>
    <mergeCell ref="F43:I43"/>
    <mergeCell ref="L43:P43"/>
    <mergeCell ref="Q43:U43"/>
    <mergeCell ref="J21:K21"/>
    <mergeCell ref="L21:N21"/>
    <mergeCell ref="Q21:U21"/>
    <mergeCell ref="O21:P21"/>
    <mergeCell ref="L30:P30"/>
    <mergeCell ref="L31:P31"/>
    <mergeCell ref="L32:P32"/>
    <mergeCell ref="L33:P33"/>
    <mergeCell ref="L34:P34"/>
    <mergeCell ref="L35:P35"/>
    <mergeCell ref="L36:P36"/>
    <mergeCell ref="L37:P37"/>
    <mergeCell ref="L38:P38"/>
    <mergeCell ref="M29:R29"/>
    <mergeCell ref="T29:U29"/>
    <mergeCell ref="A30:E30"/>
    <mergeCell ref="F30:I30"/>
    <mergeCell ref="J30:K30"/>
    <mergeCell ref="T25:U25"/>
    <mergeCell ref="C27:J27"/>
    <mergeCell ref="P2:S2"/>
    <mergeCell ref="T2:U2"/>
    <mergeCell ref="L19:P19"/>
    <mergeCell ref="L20:P20"/>
    <mergeCell ref="A21:E21"/>
    <mergeCell ref="A20:E20"/>
    <mergeCell ref="F20:I20"/>
    <mergeCell ref="F21:I21"/>
    <mergeCell ref="Q20:U20"/>
    <mergeCell ref="A7:E7"/>
    <mergeCell ref="F7:I7"/>
    <mergeCell ref="Q7:S7"/>
    <mergeCell ref="T7:U7"/>
    <mergeCell ref="J7:K7"/>
    <mergeCell ref="L7:P7"/>
    <mergeCell ref="J20:K20"/>
    <mergeCell ref="Q8:S8"/>
    <mergeCell ref="T8:U8"/>
    <mergeCell ref="A9:E9"/>
    <mergeCell ref="F9:I9"/>
    <mergeCell ref="J9:K9"/>
    <mergeCell ref="Q9:S9"/>
    <mergeCell ref="T9:U9"/>
    <mergeCell ref="K3:K6"/>
    <mergeCell ref="T6:U6"/>
    <mergeCell ref="M3:U3"/>
    <mergeCell ref="M5:U5"/>
    <mergeCell ref="M6:R6"/>
    <mergeCell ref="L9:P9"/>
    <mergeCell ref="A3:A6"/>
    <mergeCell ref="C3:J3"/>
    <mergeCell ref="C5:J5"/>
    <mergeCell ref="M4:R4"/>
    <mergeCell ref="T4:U4"/>
    <mergeCell ref="C4:J4"/>
    <mergeCell ref="A8:E8"/>
    <mergeCell ref="F8:I8"/>
    <mergeCell ref="J8:K8"/>
    <mergeCell ref="L8:P8"/>
    <mergeCell ref="T10:U10"/>
    <mergeCell ref="A11:E11"/>
    <mergeCell ref="F11:I11"/>
    <mergeCell ref="J11:K11"/>
    <mergeCell ref="Q11:S11"/>
    <mergeCell ref="T11:U11"/>
    <mergeCell ref="A10:E10"/>
    <mergeCell ref="F10:I10"/>
    <mergeCell ref="J10:K10"/>
    <mergeCell ref="Q10:S10"/>
    <mergeCell ref="L10:P10"/>
    <mergeCell ref="L11:P11"/>
    <mergeCell ref="T12:U12"/>
    <mergeCell ref="A13:E13"/>
    <mergeCell ref="F13:I13"/>
    <mergeCell ref="J13:K13"/>
    <mergeCell ref="Q13:S13"/>
    <mergeCell ref="T13:U13"/>
    <mergeCell ref="A12:E12"/>
    <mergeCell ref="F12:I12"/>
    <mergeCell ref="J12:K12"/>
    <mergeCell ref="Q12:S12"/>
    <mergeCell ref="L12:P12"/>
    <mergeCell ref="L13:P13"/>
    <mergeCell ref="P25:S25"/>
    <mergeCell ref="Q30:S30"/>
    <mergeCell ref="T30:U30"/>
    <mergeCell ref="Q14:S14"/>
    <mergeCell ref="T14:U14"/>
    <mergeCell ref="A15:E15"/>
    <mergeCell ref="F15:I15"/>
    <mergeCell ref="J15:K15"/>
    <mergeCell ref="Q15:S15"/>
    <mergeCell ref="T15:U15"/>
    <mergeCell ref="A14:E14"/>
    <mergeCell ref="F14:I14"/>
    <mergeCell ref="J14:K14"/>
    <mergeCell ref="L14:P14"/>
    <mergeCell ref="L15:P15"/>
    <mergeCell ref="Q18:S18"/>
    <mergeCell ref="T16:U16"/>
    <mergeCell ref="A17:E17"/>
    <mergeCell ref="F17:I17"/>
    <mergeCell ref="J17:K17"/>
    <mergeCell ref="Q17:S17"/>
    <mergeCell ref="T17:U17"/>
    <mergeCell ref="A16:E16"/>
    <mergeCell ref="F16:I16"/>
    <mergeCell ref="J16:K16"/>
    <mergeCell ref="Q16:S16"/>
    <mergeCell ref="L16:P16"/>
    <mergeCell ref="L17:P17"/>
    <mergeCell ref="L18:P18"/>
    <mergeCell ref="T18:U18"/>
    <mergeCell ref="T33:U33"/>
    <mergeCell ref="A34:E34"/>
    <mergeCell ref="F34:I34"/>
    <mergeCell ref="J34:K34"/>
    <mergeCell ref="Q34:S34"/>
    <mergeCell ref="T34:U34"/>
    <mergeCell ref="A33:E33"/>
    <mergeCell ref="F33:I33"/>
    <mergeCell ref="J33:K33"/>
    <mergeCell ref="Q33:S33"/>
    <mergeCell ref="A26:A29"/>
    <mergeCell ref="C26:J26"/>
    <mergeCell ref="K26:K29"/>
    <mergeCell ref="M26:U26"/>
    <mergeCell ref="C28:J28"/>
    <mergeCell ref="M28:U28"/>
    <mergeCell ref="C29:J29"/>
    <mergeCell ref="T31:U31"/>
    <mergeCell ref="A32:E32"/>
    <mergeCell ref="F32:I32"/>
    <mergeCell ref="J32:K32"/>
    <mergeCell ref="Q32:S32"/>
    <mergeCell ref="T32:U32"/>
    <mergeCell ref="A31:E31"/>
    <mergeCell ref="F31:I31"/>
    <mergeCell ref="J31:K31"/>
    <mergeCell ref="Q31:S31"/>
    <mergeCell ref="T37:U37"/>
    <mergeCell ref="A38:E38"/>
    <mergeCell ref="F38:I38"/>
    <mergeCell ref="J38:K38"/>
    <mergeCell ref="Q38:S38"/>
    <mergeCell ref="T38:U38"/>
    <mergeCell ref="A37:E37"/>
    <mergeCell ref="F37:I37"/>
    <mergeCell ref="J37:K37"/>
    <mergeCell ref="Q37:S37"/>
    <mergeCell ref="A42:E42"/>
    <mergeCell ref="F42:I42"/>
    <mergeCell ref="J42:K42"/>
    <mergeCell ref="Q42:S42"/>
    <mergeCell ref="T42:U42"/>
    <mergeCell ref="A41:E41"/>
    <mergeCell ref="F41:I41"/>
    <mergeCell ref="T41:U41"/>
    <mergeCell ref="A40:E40"/>
    <mergeCell ref="F40:I40"/>
    <mergeCell ref="J40:K40"/>
    <mergeCell ref="Q40:S40"/>
    <mergeCell ref="L42:P42"/>
    <mergeCell ref="J43:K43"/>
    <mergeCell ref="A44:E44"/>
    <mergeCell ref="F44:I44"/>
    <mergeCell ref="J44:K44"/>
    <mergeCell ref="L44:N44"/>
    <mergeCell ref="O44:P44"/>
    <mergeCell ref="Q44:U44"/>
    <mergeCell ref="A24:U24"/>
    <mergeCell ref="H2:O2"/>
    <mergeCell ref="H25:O25"/>
    <mergeCell ref="M27:R27"/>
    <mergeCell ref="T27:U27"/>
    <mergeCell ref="C6:J6"/>
    <mergeCell ref="A25:B25"/>
    <mergeCell ref="C25:G25"/>
    <mergeCell ref="A22:U22"/>
    <mergeCell ref="A23:U23"/>
    <mergeCell ref="J19:K19"/>
    <mergeCell ref="Q19:S19"/>
    <mergeCell ref="T19:U19"/>
    <mergeCell ref="A18:E18"/>
    <mergeCell ref="F18:I18"/>
    <mergeCell ref="J18:K18"/>
    <mergeCell ref="A2:B2"/>
    <mergeCell ref="C2:G2"/>
    <mergeCell ref="A19:E19"/>
    <mergeCell ref="F19:I19"/>
    <mergeCell ref="T39:U39"/>
    <mergeCell ref="J41:K41"/>
    <mergeCell ref="Q41:S41"/>
    <mergeCell ref="F39:I39"/>
    <mergeCell ref="J39:K39"/>
    <mergeCell ref="Q39:S39"/>
    <mergeCell ref="L39:P39"/>
    <mergeCell ref="L40:P40"/>
    <mergeCell ref="L41:P41"/>
    <mergeCell ref="T40:U40"/>
    <mergeCell ref="A39:E39"/>
    <mergeCell ref="T35:U35"/>
    <mergeCell ref="A36:E36"/>
    <mergeCell ref="F36:I36"/>
    <mergeCell ref="J36:K36"/>
    <mergeCell ref="Q36:S36"/>
    <mergeCell ref="T36:U36"/>
    <mergeCell ref="A35:E35"/>
    <mergeCell ref="F35:I35"/>
    <mergeCell ref="J35:K35"/>
    <mergeCell ref="Q35:S35"/>
  </mergeCells>
  <phoneticPr fontId="2" type="noConversion"/>
  <pageMargins left="0.25" right="0.25" top="0.75" bottom="0.75" header="0.3" footer="0.3"/>
  <pageSetup paperSize="9" orientation="portrait" horizontalDpi="4294967293" r:id="rId1"/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72751D1-0A16-4267-BB33-020291D59DDD}">
  <sheetPr codeName="Sheet3"/>
  <dimension ref="A1"/>
  <sheetViews>
    <sheetView workbookViewId="0"/>
  </sheetViews>
  <sheetFormatPr defaultRowHeight="16.5"/>
  <sheetData/>
  <phoneticPr fontId="2" type="noConversion"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A7254D-0AB0-494F-9988-524A10162857}">
  <sheetPr codeName="shtSaleHistory"/>
  <dimension ref="A1:G445"/>
  <sheetViews>
    <sheetView topLeftCell="A303" workbookViewId="0">
      <selection activeCell="N26" sqref="N26"/>
    </sheetView>
  </sheetViews>
  <sheetFormatPr defaultRowHeight="16.5"/>
  <cols>
    <col min="1" max="1" width="3.75" bestFit="1" customWidth="1"/>
    <col min="2" max="2" width="18.125" customWidth="1"/>
    <col min="3" max="3" width="47.5" customWidth="1"/>
    <col min="4" max="4" width="49" bestFit="1" customWidth="1"/>
    <col min="5" max="5" width="37.625" customWidth="1"/>
    <col min="6" max="6" width="41.75" customWidth="1"/>
  </cols>
  <sheetData>
    <row r="1" spans="1:7" ht="17.25" thickBot="1">
      <c r="A1" s="31" t="s">
        <v>2</v>
      </c>
      <c r="B1" s="31" t="s">
        <v>14</v>
      </c>
      <c r="C1" s="50" t="s">
        <v>54</v>
      </c>
      <c r="D1" s="31" t="s">
        <v>1207</v>
      </c>
      <c r="E1" s="31" t="s">
        <v>1206</v>
      </c>
      <c r="F1" s="31" t="s">
        <v>1205</v>
      </c>
      <c r="G1" s="105">
        <v>470</v>
      </c>
    </row>
    <row r="2" spans="1:7">
      <c r="A2">
        <v>1</v>
      </c>
      <c r="B2" s="13">
        <v>45735</v>
      </c>
      <c r="C2" t="s">
        <v>1182</v>
      </c>
      <c r="D2" t="s">
        <v>1260</v>
      </c>
    </row>
    <row r="3" spans="1:7">
      <c r="A3">
        <v>2</v>
      </c>
      <c r="B3" s="13">
        <v>45736</v>
      </c>
      <c r="C3" t="s">
        <v>1052</v>
      </c>
      <c r="D3" t="s">
        <v>1262</v>
      </c>
    </row>
    <row r="4" spans="1:7">
      <c r="A4">
        <v>3</v>
      </c>
      <c r="B4" s="13">
        <v>45736</v>
      </c>
      <c r="C4" t="s">
        <v>985</v>
      </c>
      <c r="D4" t="s">
        <v>1264</v>
      </c>
    </row>
    <row r="5" spans="1:7">
      <c r="A5">
        <v>4</v>
      </c>
      <c r="B5" s="13">
        <v>45736</v>
      </c>
      <c r="C5" t="s">
        <v>1281</v>
      </c>
      <c r="D5" t="s">
        <v>1284</v>
      </c>
    </row>
    <row r="6" spans="1:7">
      <c r="A6">
        <v>5</v>
      </c>
      <c r="B6" s="13">
        <v>45737</v>
      </c>
      <c r="C6" t="s">
        <v>1012</v>
      </c>
      <c r="D6" t="s">
        <v>1308</v>
      </c>
    </row>
    <row r="7" spans="1:7">
      <c r="A7">
        <v>6</v>
      </c>
      <c r="B7" s="13">
        <v>45740</v>
      </c>
      <c r="C7" t="s">
        <v>1281</v>
      </c>
      <c r="D7" t="s">
        <v>1408</v>
      </c>
      <c r="E7" t="s">
        <v>1407</v>
      </c>
    </row>
    <row r="8" spans="1:7">
      <c r="A8">
        <v>6</v>
      </c>
      <c r="B8" s="13">
        <v>45740</v>
      </c>
      <c r="C8" t="s">
        <v>1351</v>
      </c>
      <c r="D8" t="s">
        <v>1414</v>
      </c>
      <c r="E8" t="s">
        <v>1413</v>
      </c>
    </row>
    <row r="9" spans="1:7">
      <c r="A9">
        <v>7</v>
      </c>
      <c r="B9" s="13">
        <v>45740</v>
      </c>
      <c r="C9" t="s">
        <v>1418</v>
      </c>
      <c r="D9" t="s">
        <v>1423</v>
      </c>
    </row>
    <row r="10" spans="1:7">
      <c r="A10">
        <v>8</v>
      </c>
      <c r="B10" s="13">
        <v>45740</v>
      </c>
      <c r="C10" t="s">
        <v>1424</v>
      </c>
      <c r="D10" t="s">
        <v>1425</v>
      </c>
    </row>
    <row r="11" spans="1:7">
      <c r="A11">
        <v>9</v>
      </c>
      <c r="B11" s="13">
        <v>45740</v>
      </c>
      <c r="C11" t="s">
        <v>1019</v>
      </c>
      <c r="D11" t="s">
        <v>1429</v>
      </c>
    </row>
    <row r="12" spans="1:7">
      <c r="A12">
        <v>10</v>
      </c>
      <c r="B12" s="13">
        <v>45723</v>
      </c>
      <c r="C12" t="s">
        <v>1445</v>
      </c>
      <c r="D12" t="s">
        <v>1482</v>
      </c>
    </row>
    <row r="13" spans="1:7">
      <c r="A13">
        <v>11</v>
      </c>
      <c r="B13" s="13">
        <v>45723</v>
      </c>
      <c r="C13" t="s">
        <v>1483</v>
      </c>
      <c r="D13" t="s">
        <v>1484</v>
      </c>
    </row>
    <row r="14" spans="1:7">
      <c r="A14">
        <v>12</v>
      </c>
      <c r="B14" s="13">
        <v>45723</v>
      </c>
      <c r="C14" t="s">
        <v>1437</v>
      </c>
      <c r="D14" t="s">
        <v>1485</v>
      </c>
    </row>
    <row r="15" spans="1:7">
      <c r="A15">
        <v>13</v>
      </c>
      <c r="B15" s="13">
        <v>45722</v>
      </c>
      <c r="C15" t="s">
        <v>1445</v>
      </c>
      <c r="D15" t="s">
        <v>1486</v>
      </c>
    </row>
    <row r="16" spans="1:7">
      <c r="A16">
        <v>14</v>
      </c>
      <c r="B16" s="13">
        <v>45722</v>
      </c>
      <c r="C16" t="s">
        <v>1183</v>
      </c>
      <c r="D16" t="s">
        <v>1487</v>
      </c>
    </row>
    <row r="17" spans="1:4">
      <c r="A17">
        <v>15</v>
      </c>
      <c r="B17" s="13">
        <v>45722</v>
      </c>
      <c r="C17" t="s">
        <v>1488</v>
      </c>
      <c r="D17" t="s">
        <v>1489</v>
      </c>
    </row>
    <row r="18" spans="1:4">
      <c r="A18">
        <v>16</v>
      </c>
      <c r="B18" s="13">
        <v>45721</v>
      </c>
      <c r="C18" t="s">
        <v>1490</v>
      </c>
      <c r="D18" t="s">
        <v>1491</v>
      </c>
    </row>
    <row r="19" spans="1:4">
      <c r="A19">
        <v>17</v>
      </c>
      <c r="B19" s="13">
        <v>45720</v>
      </c>
      <c r="C19" t="s">
        <v>1445</v>
      </c>
      <c r="D19" t="s">
        <v>1492</v>
      </c>
    </row>
    <row r="20" spans="1:4">
      <c r="A20">
        <v>17</v>
      </c>
      <c r="B20" s="13">
        <v>45720</v>
      </c>
      <c r="C20" t="s">
        <v>1490</v>
      </c>
      <c r="D20" t="s">
        <v>1493</v>
      </c>
    </row>
    <row r="21" spans="1:4">
      <c r="A21">
        <v>18</v>
      </c>
      <c r="B21" s="13">
        <v>45720</v>
      </c>
      <c r="C21" t="s">
        <v>1183</v>
      </c>
      <c r="D21" t="s">
        <v>1494</v>
      </c>
    </row>
    <row r="22" spans="1:4">
      <c r="A22">
        <v>19</v>
      </c>
      <c r="B22" s="13">
        <v>45720</v>
      </c>
      <c r="C22" t="s">
        <v>1495</v>
      </c>
      <c r="D22" t="s">
        <v>1496</v>
      </c>
    </row>
    <row r="23" spans="1:4">
      <c r="A23">
        <v>20</v>
      </c>
      <c r="B23" s="13">
        <v>45717</v>
      </c>
      <c r="C23" t="s">
        <v>1445</v>
      </c>
      <c r="D23" t="s">
        <v>1497</v>
      </c>
    </row>
    <row r="24" spans="1:4">
      <c r="A24">
        <v>21</v>
      </c>
      <c r="B24" s="13">
        <v>45717</v>
      </c>
      <c r="C24" t="s">
        <v>1498</v>
      </c>
      <c r="D24" t="s">
        <v>1499</v>
      </c>
    </row>
    <row r="25" spans="1:4">
      <c r="A25">
        <v>22</v>
      </c>
      <c r="B25" s="13">
        <v>45723</v>
      </c>
      <c r="C25" t="s">
        <v>1500</v>
      </c>
      <c r="D25" t="s">
        <v>1501</v>
      </c>
    </row>
    <row r="26" spans="1:4">
      <c r="A26">
        <v>23</v>
      </c>
      <c r="B26" s="13">
        <v>45723</v>
      </c>
      <c r="C26" t="s">
        <v>1502</v>
      </c>
      <c r="D26" t="s">
        <v>1503</v>
      </c>
    </row>
    <row r="27" spans="1:4">
      <c r="A27">
        <v>24</v>
      </c>
      <c r="B27" s="13">
        <v>45723</v>
      </c>
      <c r="C27" t="s">
        <v>1504</v>
      </c>
      <c r="D27" t="s">
        <v>1505</v>
      </c>
    </row>
    <row r="28" spans="1:4">
      <c r="A28">
        <v>25</v>
      </c>
      <c r="B28" s="13">
        <v>45724</v>
      </c>
      <c r="C28" t="s">
        <v>1445</v>
      </c>
      <c r="D28" t="s">
        <v>1506</v>
      </c>
    </row>
    <row r="29" spans="1:4">
      <c r="A29">
        <v>26</v>
      </c>
      <c r="B29" s="13">
        <v>45726</v>
      </c>
      <c r="C29" t="s">
        <v>1490</v>
      </c>
      <c r="D29" t="s">
        <v>1507</v>
      </c>
    </row>
    <row r="30" spans="1:4">
      <c r="A30">
        <v>27</v>
      </c>
      <c r="B30" s="13">
        <v>45726</v>
      </c>
      <c r="C30" t="s">
        <v>1069</v>
      </c>
      <c r="D30" t="s">
        <v>1508</v>
      </c>
    </row>
    <row r="31" spans="1:4">
      <c r="A31">
        <v>28</v>
      </c>
      <c r="B31" s="13">
        <v>45727</v>
      </c>
      <c r="C31" t="s">
        <v>1105</v>
      </c>
      <c r="D31" t="s">
        <v>1509</v>
      </c>
    </row>
    <row r="32" spans="1:4">
      <c r="A32">
        <v>29</v>
      </c>
      <c r="B32" s="13">
        <v>45727</v>
      </c>
      <c r="C32" t="s">
        <v>1445</v>
      </c>
      <c r="D32" t="s">
        <v>1511</v>
      </c>
    </row>
    <row r="33" spans="1:4">
      <c r="A33">
        <v>30</v>
      </c>
      <c r="B33" s="13">
        <v>45727</v>
      </c>
      <c r="C33" t="s">
        <v>1192</v>
      </c>
      <c r="D33" t="s">
        <v>1512</v>
      </c>
    </row>
    <row r="34" spans="1:4">
      <c r="A34">
        <v>31</v>
      </c>
      <c r="B34" s="13">
        <v>45727</v>
      </c>
      <c r="C34" t="s">
        <v>1513</v>
      </c>
      <c r="D34" t="s">
        <v>1514</v>
      </c>
    </row>
    <row r="35" spans="1:4">
      <c r="A35">
        <v>32</v>
      </c>
      <c r="B35" s="13">
        <v>45729</v>
      </c>
      <c r="C35" t="s">
        <v>1515</v>
      </c>
      <c r="D35" t="s">
        <v>1517</v>
      </c>
    </row>
    <row r="36" spans="1:4">
      <c r="A36">
        <v>33</v>
      </c>
      <c r="B36" s="13">
        <v>45729</v>
      </c>
      <c r="C36" t="s">
        <v>1019</v>
      </c>
      <c r="D36" t="s">
        <v>1518</v>
      </c>
    </row>
    <row r="37" spans="1:4">
      <c r="A37">
        <v>34</v>
      </c>
      <c r="B37" s="13">
        <v>45730</v>
      </c>
      <c r="C37" t="s">
        <v>1519</v>
      </c>
      <c r="D37" t="s">
        <v>1520</v>
      </c>
    </row>
    <row r="38" spans="1:4">
      <c r="A38">
        <v>35</v>
      </c>
      <c r="B38" s="13">
        <v>45730</v>
      </c>
      <c r="C38" t="s">
        <v>1445</v>
      </c>
      <c r="D38" t="s">
        <v>1523</v>
      </c>
    </row>
    <row r="39" spans="1:4">
      <c r="A39">
        <v>36</v>
      </c>
      <c r="B39" s="13">
        <v>45731</v>
      </c>
      <c r="C39" t="s">
        <v>1210</v>
      </c>
      <c r="D39" t="s">
        <v>1524</v>
      </c>
    </row>
    <row r="40" spans="1:4">
      <c r="A40">
        <v>37</v>
      </c>
      <c r="B40" s="13">
        <v>45731</v>
      </c>
      <c r="C40" t="s">
        <v>1525</v>
      </c>
      <c r="D40" t="s">
        <v>1527</v>
      </c>
    </row>
    <row r="41" spans="1:4">
      <c r="A41">
        <v>38</v>
      </c>
      <c r="B41" s="13">
        <v>45731</v>
      </c>
      <c r="C41" t="s">
        <v>1038</v>
      </c>
      <c r="D41" t="s">
        <v>1529</v>
      </c>
    </row>
    <row r="42" spans="1:4">
      <c r="A42">
        <v>39</v>
      </c>
      <c r="B42" s="13">
        <v>45733</v>
      </c>
      <c r="C42" t="s">
        <v>1183</v>
      </c>
      <c r="D42" t="s">
        <v>1530</v>
      </c>
    </row>
    <row r="43" spans="1:4">
      <c r="A43">
        <v>40</v>
      </c>
      <c r="B43" s="13">
        <v>45733</v>
      </c>
      <c r="C43" t="s">
        <v>1531</v>
      </c>
      <c r="D43" t="s">
        <v>1533</v>
      </c>
    </row>
    <row r="44" spans="1:4">
      <c r="A44">
        <v>41</v>
      </c>
      <c r="B44" s="13">
        <v>45733</v>
      </c>
      <c r="C44" t="s">
        <v>1060</v>
      </c>
      <c r="D44" t="s">
        <v>1537</v>
      </c>
    </row>
    <row r="45" spans="1:4">
      <c r="A45">
        <v>42</v>
      </c>
      <c r="B45" s="13">
        <v>45733</v>
      </c>
      <c r="C45" t="s">
        <v>1515</v>
      </c>
      <c r="D45" t="s">
        <v>1539</v>
      </c>
    </row>
    <row r="46" spans="1:4">
      <c r="A46">
        <v>43</v>
      </c>
      <c r="B46" s="13">
        <v>45733</v>
      </c>
      <c r="C46" t="s">
        <v>1540</v>
      </c>
      <c r="D46" t="s">
        <v>1543</v>
      </c>
    </row>
    <row r="47" spans="1:4">
      <c r="A47">
        <v>44</v>
      </c>
      <c r="B47" s="13">
        <v>45734</v>
      </c>
      <c r="C47" t="s">
        <v>1544</v>
      </c>
      <c r="D47" t="s">
        <v>1545</v>
      </c>
    </row>
    <row r="48" spans="1:4">
      <c r="A48">
        <v>45</v>
      </c>
      <c r="B48" s="13">
        <v>45735</v>
      </c>
      <c r="C48" t="s">
        <v>1445</v>
      </c>
      <c r="D48" t="s">
        <v>1546</v>
      </c>
    </row>
    <row r="49" spans="1:5">
      <c r="A49">
        <v>46</v>
      </c>
      <c r="B49" s="13">
        <v>45735</v>
      </c>
      <c r="C49" t="s">
        <v>1445</v>
      </c>
      <c r="D49" t="s">
        <v>1548</v>
      </c>
    </row>
    <row r="50" spans="1:5">
      <c r="A50">
        <v>47</v>
      </c>
      <c r="B50" s="13">
        <v>45735</v>
      </c>
      <c r="C50" t="s">
        <v>1069</v>
      </c>
      <c r="D50" t="s">
        <v>1550</v>
      </c>
    </row>
    <row r="51" spans="1:5">
      <c r="A51">
        <v>48</v>
      </c>
      <c r="B51" s="13">
        <v>45735</v>
      </c>
      <c r="C51" t="s">
        <v>1424</v>
      </c>
      <c r="D51" t="s">
        <v>1553</v>
      </c>
    </row>
    <row r="52" spans="1:5">
      <c r="A52">
        <v>49</v>
      </c>
      <c r="B52" s="13">
        <v>45736</v>
      </c>
      <c r="C52" t="s">
        <v>1490</v>
      </c>
      <c r="D52" t="s">
        <v>1557</v>
      </c>
    </row>
    <row r="53" spans="1:5">
      <c r="A53">
        <v>50</v>
      </c>
      <c r="B53" s="13">
        <v>45736</v>
      </c>
      <c r="C53" t="s">
        <v>1281</v>
      </c>
      <c r="D53" t="s">
        <v>1558</v>
      </c>
    </row>
    <row r="54" spans="1:5">
      <c r="A54">
        <v>51</v>
      </c>
      <c r="B54" s="13">
        <v>45736</v>
      </c>
      <c r="C54" t="s">
        <v>1515</v>
      </c>
      <c r="D54" t="s">
        <v>1559</v>
      </c>
    </row>
    <row r="55" spans="1:5">
      <c r="A55">
        <v>52</v>
      </c>
      <c r="B55" s="13">
        <v>45736</v>
      </c>
      <c r="C55" t="s">
        <v>1270</v>
      </c>
      <c r="D55" t="s">
        <v>1560</v>
      </c>
    </row>
    <row r="56" spans="1:5">
      <c r="A56">
        <v>53</v>
      </c>
      <c r="B56" s="13">
        <v>45736</v>
      </c>
      <c r="C56" t="s">
        <v>1561</v>
      </c>
      <c r="D56" t="s">
        <v>1562</v>
      </c>
    </row>
    <row r="57" spans="1:5">
      <c r="A57">
        <v>54</v>
      </c>
      <c r="B57" s="13">
        <v>45741</v>
      </c>
      <c r="C57" t="s">
        <v>1563</v>
      </c>
      <c r="D57" t="s">
        <v>1566</v>
      </c>
    </row>
    <row r="58" spans="1:5">
      <c r="A58">
        <v>55</v>
      </c>
      <c r="B58" s="13">
        <v>45737</v>
      </c>
      <c r="C58" t="s">
        <v>1567</v>
      </c>
      <c r="D58" t="s">
        <v>1571</v>
      </c>
    </row>
    <row r="59" spans="1:5">
      <c r="A59">
        <v>56</v>
      </c>
      <c r="B59" s="13">
        <v>45737</v>
      </c>
      <c r="C59" t="s">
        <v>1490</v>
      </c>
      <c r="D59" t="s">
        <v>1572</v>
      </c>
    </row>
    <row r="60" spans="1:5">
      <c r="A60">
        <v>57</v>
      </c>
      <c r="B60" s="13">
        <v>45740</v>
      </c>
      <c r="C60" t="s">
        <v>1351</v>
      </c>
      <c r="D60" t="s">
        <v>1573</v>
      </c>
      <c r="E60" t="s">
        <v>1413</v>
      </c>
    </row>
    <row r="61" spans="1:5">
      <c r="A61">
        <v>58</v>
      </c>
      <c r="B61" s="13">
        <v>45740</v>
      </c>
      <c r="C61" t="s">
        <v>1281</v>
      </c>
      <c r="D61" t="s">
        <v>1574</v>
      </c>
    </row>
    <row r="62" spans="1:5">
      <c r="A62">
        <v>59</v>
      </c>
      <c r="B62" s="13">
        <v>45740</v>
      </c>
      <c r="C62" t="s">
        <v>1418</v>
      </c>
      <c r="D62" t="s">
        <v>1575</v>
      </c>
    </row>
    <row r="63" spans="1:5">
      <c r="A63">
        <v>60</v>
      </c>
      <c r="B63" s="13">
        <v>45740</v>
      </c>
      <c r="C63" t="s">
        <v>1210</v>
      </c>
      <c r="D63" t="s">
        <v>1576</v>
      </c>
    </row>
    <row r="64" spans="1:5">
      <c r="A64">
        <v>61</v>
      </c>
      <c r="B64" s="13">
        <v>45740</v>
      </c>
      <c r="C64" t="s">
        <v>1019</v>
      </c>
      <c r="D64" t="s">
        <v>1577</v>
      </c>
    </row>
    <row r="65" spans="1:6">
      <c r="A65">
        <v>62</v>
      </c>
      <c r="B65" s="13">
        <v>45740</v>
      </c>
      <c r="C65" t="s">
        <v>1578</v>
      </c>
      <c r="D65" t="s">
        <v>1580</v>
      </c>
      <c r="E65" t="s">
        <v>1579</v>
      </c>
    </row>
    <row r="66" spans="1:6">
      <c r="A66">
        <v>63</v>
      </c>
      <c r="B66" s="13">
        <v>45741</v>
      </c>
      <c r="C66" t="s">
        <v>1495</v>
      </c>
      <c r="D66" t="s">
        <v>1582</v>
      </c>
    </row>
    <row r="67" spans="1:6">
      <c r="A67">
        <v>64</v>
      </c>
      <c r="B67" s="13">
        <v>45741</v>
      </c>
      <c r="C67" t="s">
        <v>1183</v>
      </c>
      <c r="D67" t="s">
        <v>1583</v>
      </c>
    </row>
    <row r="68" spans="1:6">
      <c r="A68">
        <v>65</v>
      </c>
      <c r="B68" s="13">
        <v>45741</v>
      </c>
      <c r="C68" t="s">
        <v>1030</v>
      </c>
      <c r="D68" t="s">
        <v>1585</v>
      </c>
    </row>
    <row r="69" spans="1:6">
      <c r="A69">
        <v>66</v>
      </c>
      <c r="B69" s="13">
        <v>45741</v>
      </c>
      <c r="C69" t="s">
        <v>1490</v>
      </c>
      <c r="D69" t="s">
        <v>1586</v>
      </c>
    </row>
    <row r="70" spans="1:6">
      <c r="A70">
        <v>67</v>
      </c>
      <c r="B70" s="13">
        <v>45741</v>
      </c>
      <c r="C70" t="s">
        <v>1587</v>
      </c>
      <c r="D70" t="s">
        <v>1589</v>
      </c>
    </row>
    <row r="71" spans="1:6">
      <c r="A71">
        <v>68</v>
      </c>
      <c r="B71" s="13">
        <v>45741</v>
      </c>
      <c r="C71" t="s">
        <v>1590</v>
      </c>
      <c r="D71" t="s">
        <v>1591</v>
      </c>
    </row>
    <row r="72" spans="1:6">
      <c r="A72">
        <v>69</v>
      </c>
      <c r="B72" s="13">
        <v>45742</v>
      </c>
      <c r="C72" t="s">
        <v>1030</v>
      </c>
      <c r="D72" t="s">
        <v>1592</v>
      </c>
    </row>
    <row r="73" spans="1:6">
      <c r="A73">
        <v>70</v>
      </c>
      <c r="B73" s="13">
        <v>45742</v>
      </c>
      <c r="C73" t="s">
        <v>1437</v>
      </c>
      <c r="D73" t="s">
        <v>1593</v>
      </c>
    </row>
    <row r="74" spans="1:6">
      <c r="A74">
        <v>71</v>
      </c>
      <c r="B74" s="13">
        <v>45742</v>
      </c>
      <c r="C74" t="s">
        <v>1441</v>
      </c>
      <c r="D74" t="s">
        <v>1594</v>
      </c>
    </row>
    <row r="75" spans="1:6">
      <c r="A75">
        <v>72</v>
      </c>
      <c r="B75" s="13">
        <v>45742</v>
      </c>
      <c r="C75" t="s">
        <v>1019</v>
      </c>
      <c r="D75" t="s">
        <v>1596</v>
      </c>
      <c r="E75" s="49">
        <v>6725030166635</v>
      </c>
    </row>
    <row r="76" spans="1:6">
      <c r="A76">
        <v>73</v>
      </c>
      <c r="B76" s="13">
        <v>45743</v>
      </c>
      <c r="C76" t="s">
        <v>1614</v>
      </c>
      <c r="D76" t="s">
        <v>1615</v>
      </c>
      <c r="F76" t="s">
        <v>1616</v>
      </c>
    </row>
    <row r="77" spans="1:6">
      <c r="A77">
        <v>74</v>
      </c>
      <c r="B77" s="13">
        <v>45743</v>
      </c>
      <c r="C77" t="s">
        <v>1600</v>
      </c>
      <c r="D77" t="s">
        <v>1603</v>
      </c>
      <c r="E77" t="s">
        <v>1602</v>
      </c>
    </row>
    <row r="78" spans="1:6">
      <c r="A78">
        <v>75</v>
      </c>
      <c r="B78" s="13">
        <v>45744</v>
      </c>
      <c r="C78" t="s">
        <v>1600</v>
      </c>
      <c r="D78" t="s">
        <v>1606</v>
      </c>
    </row>
    <row r="79" spans="1:6">
      <c r="A79">
        <v>76</v>
      </c>
      <c r="B79" s="13">
        <v>45745</v>
      </c>
      <c r="C79" t="s">
        <v>986</v>
      </c>
      <c r="D79" t="s">
        <v>1608</v>
      </c>
    </row>
    <row r="80" spans="1:6">
      <c r="A80">
        <v>77</v>
      </c>
      <c r="B80" s="13">
        <v>45747</v>
      </c>
      <c r="C80" t="s">
        <v>1587</v>
      </c>
      <c r="D80" t="s">
        <v>1622</v>
      </c>
      <c r="E80" t="s">
        <v>1621</v>
      </c>
    </row>
    <row r="81" spans="1:4">
      <c r="A81">
        <v>78</v>
      </c>
      <c r="B81" s="13">
        <v>45747</v>
      </c>
      <c r="C81" t="s">
        <v>1105</v>
      </c>
      <c r="D81" t="s">
        <v>1623</v>
      </c>
    </row>
    <row r="82" spans="1:4">
      <c r="A82">
        <v>79</v>
      </c>
      <c r="B82" s="13">
        <v>45747</v>
      </c>
      <c r="C82" t="s">
        <v>987</v>
      </c>
      <c r="D82" t="s">
        <v>1625</v>
      </c>
    </row>
    <row r="83" spans="1:4">
      <c r="A83">
        <v>80</v>
      </c>
      <c r="B83" s="13">
        <v>45734</v>
      </c>
      <c r="C83" t="s">
        <v>1626</v>
      </c>
      <c r="D83" t="s">
        <v>1628</v>
      </c>
    </row>
    <row r="84" spans="1:4">
      <c r="A84">
        <v>81</v>
      </c>
      <c r="B84" s="13">
        <v>45723</v>
      </c>
      <c r="C84" t="s">
        <v>1629</v>
      </c>
      <c r="D84" t="s">
        <v>1631</v>
      </c>
    </row>
    <row r="85" spans="1:4">
      <c r="A85">
        <v>82</v>
      </c>
      <c r="B85" s="13">
        <v>45723</v>
      </c>
      <c r="C85" t="s">
        <v>1629</v>
      </c>
      <c r="D85" t="s">
        <v>1632</v>
      </c>
    </row>
    <row r="86" spans="1:4">
      <c r="A86">
        <v>83</v>
      </c>
      <c r="B86" s="13">
        <v>45723</v>
      </c>
      <c r="C86" t="s">
        <v>1629</v>
      </c>
      <c r="D86" t="s">
        <v>1633</v>
      </c>
    </row>
    <row r="87" spans="1:4">
      <c r="A87">
        <v>84</v>
      </c>
      <c r="B87" s="13">
        <v>45718</v>
      </c>
      <c r="C87" t="s">
        <v>1027</v>
      </c>
      <c r="D87" t="s">
        <v>1634</v>
      </c>
    </row>
    <row r="88" spans="1:4">
      <c r="A88">
        <v>85</v>
      </c>
      <c r="B88" s="13">
        <v>45729</v>
      </c>
      <c r="C88" t="s">
        <v>1635</v>
      </c>
      <c r="D88" t="s">
        <v>1639</v>
      </c>
    </row>
    <row r="89" spans="1:4">
      <c r="A89">
        <v>86</v>
      </c>
      <c r="B89" s="13">
        <v>45716</v>
      </c>
      <c r="C89" t="s">
        <v>1635</v>
      </c>
      <c r="D89" t="s">
        <v>1640</v>
      </c>
    </row>
    <row r="90" spans="1:4">
      <c r="A90">
        <v>87</v>
      </c>
      <c r="B90" s="13">
        <v>45722</v>
      </c>
      <c r="C90" t="s">
        <v>1513</v>
      </c>
      <c r="D90" t="s">
        <v>1642</v>
      </c>
    </row>
    <row r="91" spans="1:4">
      <c r="A91">
        <v>88</v>
      </c>
      <c r="B91" s="13">
        <v>45722</v>
      </c>
      <c r="C91" t="s">
        <v>997</v>
      </c>
      <c r="D91" t="s">
        <v>1643</v>
      </c>
    </row>
    <row r="92" spans="1:4">
      <c r="A92">
        <v>89</v>
      </c>
      <c r="B92" s="13">
        <v>45726</v>
      </c>
      <c r="C92" t="s">
        <v>997</v>
      </c>
      <c r="D92" t="s">
        <v>1644</v>
      </c>
    </row>
    <row r="93" spans="1:4">
      <c r="A93">
        <v>90</v>
      </c>
      <c r="B93" s="13">
        <v>45735</v>
      </c>
      <c r="C93" t="s">
        <v>1645</v>
      </c>
      <c r="D93" t="s">
        <v>1646</v>
      </c>
    </row>
    <row r="94" spans="1:4">
      <c r="A94">
        <v>91</v>
      </c>
      <c r="B94" s="13">
        <v>45736</v>
      </c>
      <c r="C94" t="s">
        <v>1647</v>
      </c>
      <c r="D94" t="s">
        <v>1648</v>
      </c>
    </row>
    <row r="95" spans="1:4">
      <c r="A95">
        <v>92</v>
      </c>
      <c r="B95" s="13">
        <v>45721</v>
      </c>
      <c r="C95" t="s">
        <v>1498</v>
      </c>
      <c r="D95" t="s">
        <v>1650</v>
      </c>
    </row>
    <row r="96" spans="1:4">
      <c r="A96">
        <v>93</v>
      </c>
      <c r="B96" s="13">
        <v>45736</v>
      </c>
      <c r="C96" t="s">
        <v>1651</v>
      </c>
      <c r="D96" t="s">
        <v>1653</v>
      </c>
    </row>
    <row r="97" spans="1:4">
      <c r="A97">
        <v>94</v>
      </c>
      <c r="B97" s="13">
        <v>45735</v>
      </c>
      <c r="D97" t="s">
        <v>1654</v>
      </c>
    </row>
    <row r="98" spans="1:4">
      <c r="A98">
        <v>95</v>
      </c>
      <c r="B98" s="13">
        <v>45744</v>
      </c>
      <c r="D98" t="s">
        <v>1656</v>
      </c>
    </row>
    <row r="99" spans="1:4">
      <c r="A99">
        <v>96</v>
      </c>
      <c r="B99" s="13">
        <v>45748</v>
      </c>
      <c r="C99" t="s">
        <v>1567</v>
      </c>
      <c r="D99" t="s">
        <v>1660</v>
      </c>
    </row>
    <row r="100" spans="1:4">
      <c r="A100">
        <v>97</v>
      </c>
      <c r="B100" s="13">
        <v>45748</v>
      </c>
      <c r="C100" t="s">
        <v>1563</v>
      </c>
      <c r="D100" t="s">
        <v>1672</v>
      </c>
    </row>
    <row r="101" spans="1:4">
      <c r="A101">
        <v>98</v>
      </c>
      <c r="B101" s="13">
        <v>45748</v>
      </c>
      <c r="C101" t="s">
        <v>1626</v>
      </c>
      <c r="D101" t="s">
        <v>1679</v>
      </c>
    </row>
    <row r="102" spans="1:4">
      <c r="A102">
        <v>99</v>
      </c>
      <c r="B102" s="13">
        <v>45748</v>
      </c>
      <c r="C102" t="s">
        <v>1626</v>
      </c>
      <c r="D102" t="s">
        <v>1681</v>
      </c>
    </row>
    <row r="103" spans="1:4">
      <c r="A103">
        <v>100</v>
      </c>
      <c r="B103" s="13">
        <v>45749</v>
      </c>
      <c r="C103" t="s">
        <v>1495</v>
      </c>
      <c r="D103" t="s">
        <v>1689</v>
      </c>
    </row>
    <row r="104" spans="1:4">
      <c r="A104">
        <v>101</v>
      </c>
      <c r="B104" s="13">
        <v>45749</v>
      </c>
      <c r="C104" t="s">
        <v>1587</v>
      </c>
      <c r="D104" t="s">
        <v>1716</v>
      </c>
    </row>
    <row r="105" spans="1:4">
      <c r="A105">
        <v>102</v>
      </c>
      <c r="B105" s="13">
        <v>45749</v>
      </c>
      <c r="C105" t="s">
        <v>1445</v>
      </c>
      <c r="D105" t="s">
        <v>1717</v>
      </c>
    </row>
    <row r="106" spans="1:4">
      <c r="A106">
        <v>103</v>
      </c>
      <c r="B106" s="13">
        <v>45749</v>
      </c>
      <c r="C106" t="s">
        <v>1030</v>
      </c>
      <c r="D106" t="s">
        <v>1718</v>
      </c>
    </row>
    <row r="107" spans="1:4">
      <c r="A107">
        <v>104</v>
      </c>
      <c r="B107" s="13">
        <v>45749</v>
      </c>
      <c r="C107" t="s">
        <v>1719</v>
      </c>
      <c r="D107" t="s">
        <v>1723</v>
      </c>
    </row>
    <row r="108" spans="1:4">
      <c r="A108">
        <v>105</v>
      </c>
      <c r="B108" s="13">
        <v>45749</v>
      </c>
      <c r="C108" t="s">
        <v>1724</v>
      </c>
      <c r="D108" t="s">
        <v>1726</v>
      </c>
    </row>
    <row r="109" spans="1:4">
      <c r="A109">
        <v>106</v>
      </c>
      <c r="B109" s="13">
        <v>45749</v>
      </c>
      <c r="C109" t="s">
        <v>1587</v>
      </c>
      <c r="D109" t="s">
        <v>1728</v>
      </c>
    </row>
    <row r="110" spans="1:4">
      <c r="A110">
        <v>107</v>
      </c>
      <c r="B110" s="13">
        <v>45750</v>
      </c>
      <c r="C110" t="s">
        <v>1495</v>
      </c>
      <c r="D110" t="s">
        <v>1730</v>
      </c>
    </row>
    <row r="111" spans="1:4">
      <c r="A111">
        <v>108</v>
      </c>
      <c r="B111" s="13">
        <v>45750</v>
      </c>
      <c r="C111" t="s">
        <v>1734</v>
      </c>
      <c r="D111" t="s">
        <v>1738</v>
      </c>
    </row>
    <row r="112" spans="1:4">
      <c r="A112">
        <v>109</v>
      </c>
      <c r="B112" s="13">
        <v>45750</v>
      </c>
      <c r="C112" t="s">
        <v>1739</v>
      </c>
      <c r="D112" t="s">
        <v>1740</v>
      </c>
    </row>
    <row r="113" spans="1:4">
      <c r="A113">
        <v>110</v>
      </c>
      <c r="B113" s="13">
        <v>45750</v>
      </c>
      <c r="C113" t="s">
        <v>1490</v>
      </c>
      <c r="D113" t="s">
        <v>1753</v>
      </c>
    </row>
    <row r="114" spans="1:4">
      <c r="A114">
        <v>111</v>
      </c>
      <c r="B114" s="13">
        <v>45751</v>
      </c>
      <c r="C114" t="s">
        <v>1424</v>
      </c>
      <c r="D114" t="s">
        <v>1759</v>
      </c>
    </row>
    <row r="115" spans="1:4">
      <c r="A115">
        <v>112</v>
      </c>
      <c r="B115" s="13">
        <v>45751</v>
      </c>
      <c r="C115" t="s">
        <v>1515</v>
      </c>
      <c r="D115" t="s">
        <v>1763</v>
      </c>
    </row>
    <row r="116" spans="1:4">
      <c r="A116">
        <v>113</v>
      </c>
      <c r="B116" s="13">
        <v>45751</v>
      </c>
      <c r="C116" t="s">
        <v>1790</v>
      </c>
      <c r="D116" t="s">
        <v>1793</v>
      </c>
    </row>
    <row r="117" spans="1:4">
      <c r="A117">
        <v>114</v>
      </c>
      <c r="B117" s="13">
        <v>45751</v>
      </c>
      <c r="C117" t="s">
        <v>1790</v>
      </c>
      <c r="D117" t="s">
        <v>1794</v>
      </c>
    </row>
    <row r="118" spans="1:4">
      <c r="A118">
        <v>115</v>
      </c>
      <c r="B118" s="13">
        <v>45751</v>
      </c>
      <c r="C118" t="s">
        <v>1790</v>
      </c>
      <c r="D118" t="s">
        <v>1797</v>
      </c>
    </row>
    <row r="119" spans="1:4">
      <c r="A119">
        <v>116</v>
      </c>
      <c r="B119" s="13">
        <v>45752</v>
      </c>
      <c r="C119" t="s">
        <v>1587</v>
      </c>
      <c r="D119" t="s">
        <v>1815</v>
      </c>
    </row>
    <row r="120" spans="1:4">
      <c r="A120">
        <v>117</v>
      </c>
      <c r="B120" s="13">
        <v>45752</v>
      </c>
      <c r="C120" t="s">
        <v>1445</v>
      </c>
      <c r="D120" t="s">
        <v>1819</v>
      </c>
    </row>
    <row r="121" spans="1:4">
      <c r="A121">
        <v>118</v>
      </c>
      <c r="B121" s="13">
        <v>45754</v>
      </c>
      <c r="C121" t="s">
        <v>1817</v>
      </c>
      <c r="D121" t="s">
        <v>1820</v>
      </c>
    </row>
    <row r="122" spans="1:4">
      <c r="A122">
        <v>118</v>
      </c>
      <c r="B122" s="13">
        <v>45754</v>
      </c>
      <c r="C122" t="s">
        <v>1183</v>
      </c>
      <c r="D122" t="s">
        <v>1834</v>
      </c>
    </row>
    <row r="123" spans="1:4">
      <c r="A123">
        <v>119</v>
      </c>
      <c r="B123" s="13">
        <v>45754</v>
      </c>
      <c r="C123" t="s">
        <v>1790</v>
      </c>
      <c r="D123" t="s">
        <v>1846</v>
      </c>
    </row>
    <row r="124" spans="1:4">
      <c r="A124">
        <v>120</v>
      </c>
      <c r="B124" s="13">
        <v>45754</v>
      </c>
      <c r="C124" t="s">
        <v>1069</v>
      </c>
      <c r="D124" t="s">
        <v>1869</v>
      </c>
    </row>
    <row r="125" spans="1:4">
      <c r="A125">
        <v>121</v>
      </c>
      <c r="B125" s="13">
        <v>45754</v>
      </c>
      <c r="C125" t="s">
        <v>1866</v>
      </c>
      <c r="D125" t="s">
        <v>1873</v>
      </c>
    </row>
    <row r="126" spans="1:4">
      <c r="A126">
        <v>122</v>
      </c>
      <c r="B126" s="13">
        <v>45754</v>
      </c>
      <c r="C126" t="s">
        <v>1790</v>
      </c>
      <c r="D126" t="s">
        <v>1874</v>
      </c>
    </row>
    <row r="127" spans="1:4">
      <c r="A127">
        <v>123</v>
      </c>
      <c r="B127" s="13">
        <v>45754</v>
      </c>
      <c r="C127" t="s">
        <v>1445</v>
      </c>
      <c r="D127" t="s">
        <v>1875</v>
      </c>
    </row>
    <row r="128" spans="1:4">
      <c r="A128">
        <v>124</v>
      </c>
      <c r="B128" s="13">
        <v>45755</v>
      </c>
      <c r="C128" t="s">
        <v>1495</v>
      </c>
      <c r="D128" t="s">
        <v>1880</v>
      </c>
    </row>
    <row r="129" spans="1:5">
      <c r="A129">
        <v>125</v>
      </c>
      <c r="B129" s="13">
        <v>45755</v>
      </c>
      <c r="C129" t="s">
        <v>1881</v>
      </c>
      <c r="D129" t="s">
        <v>1883</v>
      </c>
      <c r="E129" t="s">
        <v>1882</v>
      </c>
    </row>
    <row r="130" spans="1:5">
      <c r="A130">
        <v>126</v>
      </c>
      <c r="B130" s="13">
        <v>45755</v>
      </c>
      <c r="C130" t="s">
        <v>1030</v>
      </c>
      <c r="D130" t="s">
        <v>1884</v>
      </c>
    </row>
    <row r="131" spans="1:5">
      <c r="A131">
        <v>127</v>
      </c>
      <c r="B131" s="13">
        <v>45755</v>
      </c>
      <c r="C131" t="s">
        <v>1885</v>
      </c>
      <c r="D131" t="s">
        <v>1886</v>
      </c>
    </row>
    <row r="132" spans="1:5">
      <c r="A132">
        <v>128</v>
      </c>
      <c r="B132" s="13">
        <v>45755</v>
      </c>
      <c r="C132" t="s">
        <v>1629</v>
      </c>
      <c r="D132" t="s">
        <v>1887</v>
      </c>
    </row>
    <row r="133" spans="1:5">
      <c r="A133">
        <v>129</v>
      </c>
      <c r="B133" s="13">
        <v>45755</v>
      </c>
      <c r="C133" t="s">
        <v>1888</v>
      </c>
      <c r="D133" t="s">
        <v>1892</v>
      </c>
    </row>
    <row r="134" spans="1:5">
      <c r="A134">
        <v>130</v>
      </c>
      <c r="B134" s="13">
        <v>45756</v>
      </c>
      <c r="C134" t="s">
        <v>1790</v>
      </c>
      <c r="D134" t="s">
        <v>1903</v>
      </c>
    </row>
    <row r="135" spans="1:5">
      <c r="A135">
        <v>131</v>
      </c>
      <c r="B135" s="13">
        <v>45757</v>
      </c>
      <c r="C135" t="s">
        <v>1504</v>
      </c>
      <c r="D135" t="s">
        <v>1905</v>
      </c>
    </row>
    <row r="136" spans="1:5">
      <c r="A136">
        <v>132</v>
      </c>
      <c r="B136" s="13">
        <v>45757</v>
      </c>
      <c r="C136" t="s">
        <v>1587</v>
      </c>
      <c r="D136" t="s">
        <v>1907</v>
      </c>
    </row>
    <row r="137" spans="1:5">
      <c r="A137">
        <v>133</v>
      </c>
      <c r="B137" s="13">
        <v>45757</v>
      </c>
      <c r="C137" t="s">
        <v>1587</v>
      </c>
      <c r="D137" t="s">
        <v>1911</v>
      </c>
    </row>
    <row r="138" spans="1:5">
      <c r="A138">
        <v>134</v>
      </c>
      <c r="B138" s="13">
        <v>45757</v>
      </c>
      <c r="C138" t="s">
        <v>1504</v>
      </c>
      <c r="D138" t="s">
        <v>1912</v>
      </c>
    </row>
    <row r="139" spans="1:5">
      <c r="A139">
        <v>135</v>
      </c>
      <c r="B139" s="13">
        <v>45757</v>
      </c>
      <c r="C139" t="s">
        <v>1881</v>
      </c>
      <c r="D139" t="s">
        <v>1913</v>
      </c>
    </row>
    <row r="140" spans="1:5">
      <c r="A140">
        <v>136</v>
      </c>
      <c r="B140" s="13">
        <v>45758</v>
      </c>
      <c r="C140" t="s">
        <v>1515</v>
      </c>
      <c r="D140" t="s">
        <v>1925</v>
      </c>
    </row>
    <row r="141" spans="1:5">
      <c r="A141">
        <v>137</v>
      </c>
      <c r="B141" s="13">
        <v>45758</v>
      </c>
      <c r="C141" t="s">
        <v>1920</v>
      </c>
      <c r="D141" t="s">
        <v>1927</v>
      </c>
    </row>
    <row r="142" spans="1:5">
      <c r="A142">
        <v>138</v>
      </c>
      <c r="B142" s="13">
        <v>45759</v>
      </c>
      <c r="C142" t="s">
        <v>1030</v>
      </c>
      <c r="D142" t="s">
        <v>1928</v>
      </c>
    </row>
    <row r="143" spans="1:5">
      <c r="A143">
        <v>139</v>
      </c>
      <c r="B143" s="13">
        <v>45759</v>
      </c>
      <c r="C143" t="s">
        <v>1626</v>
      </c>
      <c r="D143" t="s">
        <v>1930</v>
      </c>
      <c r="E143" t="s">
        <v>1929</v>
      </c>
    </row>
    <row r="144" spans="1:5">
      <c r="A144">
        <v>140</v>
      </c>
      <c r="B144" s="13">
        <v>45759</v>
      </c>
      <c r="C144" t="s">
        <v>1030</v>
      </c>
      <c r="D144" t="s">
        <v>1931</v>
      </c>
    </row>
    <row r="145" spans="1:4">
      <c r="A145">
        <v>141</v>
      </c>
      <c r="B145" s="13">
        <v>45761</v>
      </c>
      <c r="C145" t="s">
        <v>1030</v>
      </c>
      <c r="D145" t="s">
        <v>1933</v>
      </c>
    </row>
    <row r="146" spans="1:4">
      <c r="A146">
        <v>142</v>
      </c>
      <c r="B146" s="13">
        <v>45759</v>
      </c>
      <c r="C146" t="s">
        <v>1932</v>
      </c>
      <c r="D146" t="s">
        <v>1938</v>
      </c>
    </row>
    <row r="147" spans="1:4">
      <c r="A147">
        <v>143</v>
      </c>
      <c r="B147" s="13">
        <v>45761</v>
      </c>
      <c r="C147" t="s">
        <v>1183</v>
      </c>
      <c r="D147" t="s">
        <v>1941</v>
      </c>
    </row>
    <row r="148" spans="1:4">
      <c r="A148">
        <v>144</v>
      </c>
      <c r="B148" s="13">
        <v>45761</v>
      </c>
      <c r="C148" t="s">
        <v>1069</v>
      </c>
      <c r="D148" t="s">
        <v>1942</v>
      </c>
    </row>
    <row r="149" spans="1:4">
      <c r="A149">
        <v>145</v>
      </c>
      <c r="B149" s="13">
        <v>45761</v>
      </c>
      <c r="C149" t="s">
        <v>1030</v>
      </c>
      <c r="D149" t="s">
        <v>1943</v>
      </c>
    </row>
    <row r="150" spans="1:4">
      <c r="A150">
        <v>146</v>
      </c>
      <c r="B150" s="13">
        <v>45761</v>
      </c>
      <c r="C150" t="s">
        <v>1885</v>
      </c>
      <c r="D150" t="s">
        <v>1945</v>
      </c>
    </row>
    <row r="151" spans="1:4">
      <c r="A151">
        <v>147</v>
      </c>
      <c r="B151" s="13">
        <v>45761</v>
      </c>
      <c r="C151" t="s">
        <v>1946</v>
      </c>
      <c r="D151" t="s">
        <v>1948</v>
      </c>
    </row>
    <row r="152" spans="1:4">
      <c r="A152">
        <v>148</v>
      </c>
      <c r="B152" s="13">
        <v>45691</v>
      </c>
      <c r="C152" t="s">
        <v>1790</v>
      </c>
      <c r="D152" t="s">
        <v>1950</v>
      </c>
    </row>
    <row r="153" spans="1:4">
      <c r="A153">
        <v>149</v>
      </c>
      <c r="B153" s="13">
        <v>45761</v>
      </c>
      <c r="C153" t="s">
        <v>1790</v>
      </c>
      <c r="D153" t="s">
        <v>1951</v>
      </c>
    </row>
    <row r="154" spans="1:4">
      <c r="A154">
        <v>150</v>
      </c>
      <c r="B154" s="13">
        <v>45761</v>
      </c>
      <c r="C154" t="s">
        <v>1952</v>
      </c>
      <c r="D154" t="s">
        <v>1953</v>
      </c>
    </row>
    <row r="155" spans="1:4">
      <c r="A155">
        <v>151</v>
      </c>
      <c r="B155" s="13">
        <v>45761</v>
      </c>
      <c r="C155" t="s">
        <v>1955</v>
      </c>
      <c r="D155" t="s">
        <v>1956</v>
      </c>
    </row>
    <row r="156" spans="1:4">
      <c r="A156">
        <v>152</v>
      </c>
      <c r="B156" s="13">
        <v>45762</v>
      </c>
      <c r="C156" t="s">
        <v>1961</v>
      </c>
      <c r="D156" t="s">
        <v>1962</v>
      </c>
    </row>
    <row r="157" spans="1:4">
      <c r="A157">
        <v>153</v>
      </c>
      <c r="B157" s="13">
        <v>45762</v>
      </c>
      <c r="C157" t="s">
        <v>1790</v>
      </c>
      <c r="D157" t="s">
        <v>1963</v>
      </c>
    </row>
    <row r="158" spans="1:4">
      <c r="A158">
        <v>154</v>
      </c>
      <c r="B158" s="13">
        <v>45762</v>
      </c>
      <c r="C158" t="s">
        <v>1060</v>
      </c>
      <c r="D158" t="s">
        <v>1964</v>
      </c>
    </row>
    <row r="159" spans="1:4">
      <c r="A159">
        <v>155</v>
      </c>
      <c r="B159" s="13">
        <v>45762</v>
      </c>
      <c r="C159" t="s">
        <v>1060</v>
      </c>
      <c r="D159" t="s">
        <v>1965</v>
      </c>
    </row>
    <row r="160" spans="1:4">
      <c r="A160">
        <v>156</v>
      </c>
      <c r="B160" s="13">
        <v>45762</v>
      </c>
      <c r="C160" t="s">
        <v>1488</v>
      </c>
      <c r="D160" t="s">
        <v>1971</v>
      </c>
    </row>
    <row r="161" spans="1:5">
      <c r="A161">
        <v>157</v>
      </c>
      <c r="B161" s="13">
        <v>45762</v>
      </c>
      <c r="C161" t="s">
        <v>1734</v>
      </c>
      <c r="D161" t="s">
        <v>1972</v>
      </c>
    </row>
    <row r="162" spans="1:5">
      <c r="A162">
        <v>158</v>
      </c>
      <c r="B162" s="13">
        <v>45762</v>
      </c>
      <c r="C162" t="s">
        <v>1885</v>
      </c>
      <c r="D162" t="s">
        <v>1973</v>
      </c>
    </row>
    <row r="163" spans="1:5">
      <c r="A163">
        <v>159</v>
      </c>
      <c r="B163" s="13">
        <v>45763</v>
      </c>
      <c r="C163" t="s">
        <v>1975</v>
      </c>
      <c r="D163" t="s">
        <v>2212</v>
      </c>
    </row>
    <row r="164" spans="1:5">
      <c r="A164">
        <v>160</v>
      </c>
      <c r="B164" s="13">
        <v>45763</v>
      </c>
      <c r="C164" t="s">
        <v>1979</v>
      </c>
      <c r="D164" t="s">
        <v>1980</v>
      </c>
    </row>
    <row r="165" spans="1:5">
      <c r="A165">
        <v>161</v>
      </c>
      <c r="B165" s="13">
        <v>45763</v>
      </c>
      <c r="C165" t="s">
        <v>986</v>
      </c>
      <c r="D165" t="s">
        <v>1981</v>
      </c>
    </row>
    <row r="166" spans="1:5">
      <c r="A166">
        <v>162</v>
      </c>
      <c r="B166" s="13">
        <v>45763</v>
      </c>
      <c r="C166" t="s">
        <v>986</v>
      </c>
      <c r="D166" t="s">
        <v>1983</v>
      </c>
      <c r="E166" t="s">
        <v>1982</v>
      </c>
    </row>
    <row r="167" spans="1:5">
      <c r="A167">
        <v>163</v>
      </c>
      <c r="B167" s="13">
        <v>45763</v>
      </c>
      <c r="C167" t="s">
        <v>1647</v>
      </c>
      <c r="D167" t="s">
        <v>1985</v>
      </c>
      <c r="E167" t="s">
        <v>1982</v>
      </c>
    </row>
    <row r="168" spans="1:5">
      <c r="A168">
        <v>164</v>
      </c>
      <c r="B168" s="13">
        <v>45763</v>
      </c>
      <c r="C168" t="s">
        <v>1629</v>
      </c>
      <c r="D168" t="s">
        <v>1988</v>
      </c>
    </row>
    <row r="169" spans="1:5">
      <c r="A169">
        <v>165</v>
      </c>
      <c r="B169" s="13">
        <v>45764</v>
      </c>
      <c r="C169" t="s">
        <v>1445</v>
      </c>
      <c r="D169" t="s">
        <v>2002</v>
      </c>
    </row>
    <row r="170" spans="1:5">
      <c r="A170">
        <v>166</v>
      </c>
      <c r="B170" s="13">
        <v>45764</v>
      </c>
      <c r="C170" t="s">
        <v>1587</v>
      </c>
      <c r="D170" t="s">
        <v>2005</v>
      </c>
    </row>
    <row r="171" spans="1:5">
      <c r="A171">
        <v>167</v>
      </c>
      <c r="B171" s="13">
        <v>45764</v>
      </c>
      <c r="C171" t="s">
        <v>1488</v>
      </c>
      <c r="D171" t="s">
        <v>2007</v>
      </c>
      <c r="E171" t="s">
        <v>2006</v>
      </c>
    </row>
    <row r="172" spans="1:5">
      <c r="A172">
        <v>168</v>
      </c>
      <c r="B172" s="13">
        <v>45765</v>
      </c>
      <c r="C172" t="s">
        <v>1734</v>
      </c>
      <c r="D172" t="s">
        <v>2010</v>
      </c>
    </row>
    <row r="173" spans="1:5">
      <c r="A173">
        <v>169</v>
      </c>
      <c r="B173" s="13">
        <v>45765</v>
      </c>
      <c r="C173" t="s">
        <v>1790</v>
      </c>
      <c r="D173" t="s">
        <v>2012</v>
      </c>
    </row>
    <row r="174" spans="1:5">
      <c r="A174">
        <v>170</v>
      </c>
      <c r="B174" s="13">
        <v>45765</v>
      </c>
      <c r="C174" t="s">
        <v>1647</v>
      </c>
      <c r="D174" t="s">
        <v>2013</v>
      </c>
    </row>
    <row r="175" spans="1:5">
      <c r="A175">
        <v>171</v>
      </c>
      <c r="B175" s="13">
        <v>45765</v>
      </c>
      <c r="C175" t="s">
        <v>1513</v>
      </c>
      <c r="D175" t="s">
        <v>2014</v>
      </c>
    </row>
    <row r="176" spans="1:5">
      <c r="A176">
        <v>172</v>
      </c>
      <c r="B176" s="13">
        <v>45765</v>
      </c>
      <c r="C176" t="s">
        <v>1513</v>
      </c>
      <c r="D176" t="s">
        <v>2015</v>
      </c>
    </row>
    <row r="177" spans="1:5">
      <c r="A177">
        <v>173</v>
      </c>
      <c r="B177" s="13">
        <v>45768</v>
      </c>
      <c r="C177" t="s">
        <v>2016</v>
      </c>
      <c r="D177" t="s">
        <v>2017</v>
      </c>
    </row>
    <row r="178" spans="1:5">
      <c r="A178">
        <v>174</v>
      </c>
      <c r="B178" s="13">
        <v>45768</v>
      </c>
      <c r="C178" t="s">
        <v>2027</v>
      </c>
      <c r="D178" t="s">
        <v>2028</v>
      </c>
    </row>
    <row r="179" spans="1:5">
      <c r="A179">
        <v>175</v>
      </c>
      <c r="B179" s="13">
        <v>45768</v>
      </c>
      <c r="C179" t="s">
        <v>2027</v>
      </c>
      <c r="D179" t="s">
        <v>2029</v>
      </c>
    </row>
    <row r="180" spans="1:5">
      <c r="A180">
        <v>176</v>
      </c>
      <c r="B180" s="13">
        <v>45768</v>
      </c>
      <c r="C180" t="s">
        <v>1445</v>
      </c>
      <c r="D180" t="s">
        <v>2031</v>
      </c>
      <c r="E180" t="s">
        <v>2030</v>
      </c>
    </row>
    <row r="181" spans="1:5">
      <c r="A181">
        <v>177</v>
      </c>
      <c r="B181" s="13">
        <v>45768</v>
      </c>
      <c r="C181" t="s">
        <v>1629</v>
      </c>
      <c r="D181" t="s">
        <v>2032</v>
      </c>
      <c r="E181" t="s">
        <v>2030</v>
      </c>
    </row>
    <row r="182" spans="1:5">
      <c r="A182">
        <v>178</v>
      </c>
      <c r="B182" s="13">
        <v>45768</v>
      </c>
      <c r="C182" t="s">
        <v>1626</v>
      </c>
      <c r="D182" t="s">
        <v>2033</v>
      </c>
    </row>
    <row r="183" spans="1:5">
      <c r="A183">
        <v>179</v>
      </c>
      <c r="B183" s="13">
        <v>45768</v>
      </c>
      <c r="C183" t="s">
        <v>1790</v>
      </c>
      <c r="D183" t="s">
        <v>2039</v>
      </c>
    </row>
    <row r="184" spans="1:5">
      <c r="A184">
        <v>180</v>
      </c>
      <c r="B184" s="13">
        <v>45769</v>
      </c>
      <c r="C184" t="s">
        <v>1495</v>
      </c>
      <c r="D184" t="s">
        <v>2043</v>
      </c>
    </row>
    <row r="185" spans="1:5">
      <c r="A185">
        <v>181</v>
      </c>
      <c r="B185" s="13">
        <v>45770</v>
      </c>
      <c r="C185" t="s">
        <v>1647</v>
      </c>
      <c r="D185" t="s">
        <v>2045</v>
      </c>
    </row>
    <row r="186" spans="1:5">
      <c r="A186">
        <v>182</v>
      </c>
      <c r="B186" s="13">
        <v>45770</v>
      </c>
      <c r="C186" t="s">
        <v>2046</v>
      </c>
      <c r="D186" t="s">
        <v>2049</v>
      </c>
    </row>
    <row r="187" spans="1:5">
      <c r="A187">
        <v>183</v>
      </c>
      <c r="B187" s="13">
        <v>45770</v>
      </c>
      <c r="C187" t="s">
        <v>2046</v>
      </c>
      <c r="D187" t="s">
        <v>2052</v>
      </c>
    </row>
    <row r="188" spans="1:5">
      <c r="A188">
        <v>184</v>
      </c>
      <c r="B188" s="13">
        <v>45771</v>
      </c>
      <c r="C188" t="s">
        <v>1600</v>
      </c>
      <c r="D188" t="s">
        <v>2054</v>
      </c>
    </row>
    <row r="189" spans="1:5">
      <c r="A189">
        <v>185</v>
      </c>
      <c r="B189" s="13">
        <v>45771</v>
      </c>
      <c r="C189" t="s">
        <v>1490</v>
      </c>
      <c r="D189" t="s">
        <v>2057</v>
      </c>
    </row>
    <row r="190" spans="1:5">
      <c r="A190">
        <v>186</v>
      </c>
      <c r="B190" s="13">
        <v>45772</v>
      </c>
      <c r="C190" t="s">
        <v>1437</v>
      </c>
      <c r="D190" t="s">
        <v>2062</v>
      </c>
    </row>
    <row r="191" spans="1:5">
      <c r="A191">
        <v>187</v>
      </c>
      <c r="B191" s="13">
        <v>45772</v>
      </c>
      <c r="C191" t="s">
        <v>2063</v>
      </c>
      <c r="D191" t="s">
        <v>2065</v>
      </c>
    </row>
    <row r="192" spans="1:5">
      <c r="A192">
        <v>188</v>
      </c>
      <c r="B192" s="13">
        <v>45772</v>
      </c>
      <c r="C192" t="s">
        <v>2066</v>
      </c>
      <c r="D192" t="s">
        <v>2067</v>
      </c>
    </row>
    <row r="193" spans="1:4">
      <c r="A193">
        <v>189</v>
      </c>
      <c r="B193" s="13">
        <v>45772</v>
      </c>
      <c r="C193" t="s">
        <v>1866</v>
      </c>
      <c r="D193" t="s">
        <v>2068</v>
      </c>
    </row>
    <row r="194" spans="1:4">
      <c r="A194">
        <v>190</v>
      </c>
      <c r="B194" s="13">
        <v>45772</v>
      </c>
      <c r="C194" t="s">
        <v>1866</v>
      </c>
      <c r="D194" t="s">
        <v>2070</v>
      </c>
    </row>
    <row r="195" spans="1:4">
      <c r="A195">
        <v>191</v>
      </c>
      <c r="B195" s="13">
        <v>45772</v>
      </c>
      <c r="C195" t="s">
        <v>1490</v>
      </c>
      <c r="D195" t="s">
        <v>2072</v>
      </c>
    </row>
    <row r="196" spans="1:4">
      <c r="A196">
        <v>192</v>
      </c>
      <c r="B196" s="13">
        <v>45772</v>
      </c>
      <c r="C196" t="s">
        <v>1885</v>
      </c>
      <c r="D196" t="s">
        <v>2073</v>
      </c>
    </row>
    <row r="197" spans="1:4">
      <c r="A197">
        <v>193</v>
      </c>
      <c r="B197" s="13">
        <v>45775</v>
      </c>
      <c r="C197" t="s">
        <v>1567</v>
      </c>
      <c r="D197" t="s">
        <v>2075</v>
      </c>
    </row>
    <row r="198" spans="1:4">
      <c r="A198">
        <v>194</v>
      </c>
      <c r="B198" s="13">
        <v>45775</v>
      </c>
      <c r="C198" t="s">
        <v>1490</v>
      </c>
      <c r="D198" t="s">
        <v>2076</v>
      </c>
    </row>
    <row r="199" spans="1:4">
      <c r="A199">
        <v>195</v>
      </c>
      <c r="B199" s="13">
        <v>45775</v>
      </c>
      <c r="C199" t="s">
        <v>1183</v>
      </c>
      <c r="D199" t="s">
        <v>2077</v>
      </c>
    </row>
    <row r="200" spans="1:4">
      <c r="A200">
        <v>196</v>
      </c>
      <c r="B200" s="13">
        <v>45775</v>
      </c>
      <c r="C200" t="s">
        <v>1069</v>
      </c>
      <c r="D200" t="s">
        <v>2079</v>
      </c>
    </row>
    <row r="201" spans="1:4">
      <c r="A201">
        <v>197</v>
      </c>
      <c r="B201" s="13">
        <v>45775</v>
      </c>
      <c r="C201" t="s">
        <v>1578</v>
      </c>
      <c r="D201" t="s">
        <v>2081</v>
      </c>
    </row>
    <row r="202" spans="1:4">
      <c r="A202">
        <v>198</v>
      </c>
      <c r="B202" s="13">
        <v>45775</v>
      </c>
      <c r="C202" t="s">
        <v>2066</v>
      </c>
      <c r="D202" t="s">
        <v>2083</v>
      </c>
    </row>
    <row r="203" spans="1:4">
      <c r="A203">
        <v>199</v>
      </c>
      <c r="B203" s="13">
        <v>45776</v>
      </c>
      <c r="C203" t="s">
        <v>1587</v>
      </c>
      <c r="D203" t="s">
        <v>2097</v>
      </c>
    </row>
    <row r="204" spans="1:4">
      <c r="A204">
        <v>200</v>
      </c>
      <c r="B204" s="13">
        <v>45776</v>
      </c>
      <c r="C204" t="s">
        <v>2101</v>
      </c>
      <c r="D204" t="s">
        <v>2102</v>
      </c>
    </row>
    <row r="205" spans="1:4">
      <c r="A205">
        <v>201</v>
      </c>
      <c r="B205" s="13">
        <v>45776</v>
      </c>
      <c r="C205" t="s">
        <v>1790</v>
      </c>
      <c r="D205" t="s">
        <v>2107</v>
      </c>
    </row>
    <row r="206" spans="1:4">
      <c r="A206">
        <v>202</v>
      </c>
      <c r="B206" s="13">
        <v>45776</v>
      </c>
      <c r="C206" t="s">
        <v>2110</v>
      </c>
      <c r="D206" t="s">
        <v>2111</v>
      </c>
    </row>
    <row r="207" spans="1:4">
      <c r="A207">
        <v>203</v>
      </c>
      <c r="B207" s="13">
        <v>45776</v>
      </c>
      <c r="C207" t="s">
        <v>2066</v>
      </c>
      <c r="D207" t="s">
        <v>2112</v>
      </c>
    </row>
    <row r="208" spans="1:4">
      <c r="A208">
        <v>204</v>
      </c>
      <c r="B208" s="13">
        <v>45776</v>
      </c>
      <c r="C208" t="s">
        <v>1817</v>
      </c>
      <c r="D208" t="s">
        <v>2114</v>
      </c>
    </row>
    <row r="209" spans="1:4">
      <c r="A209">
        <v>205</v>
      </c>
      <c r="B209" s="13">
        <v>45776</v>
      </c>
      <c r="C209" t="s">
        <v>2066</v>
      </c>
      <c r="D209" t="s">
        <v>2116</v>
      </c>
    </row>
    <row r="210" spans="1:4">
      <c r="A210">
        <v>206</v>
      </c>
      <c r="B210" s="13">
        <v>45777</v>
      </c>
      <c r="C210" t="s">
        <v>1019</v>
      </c>
      <c r="D210" t="s">
        <v>2117</v>
      </c>
    </row>
    <row r="211" spans="1:4">
      <c r="A211">
        <v>207</v>
      </c>
      <c r="B211" s="13">
        <v>45777</v>
      </c>
      <c r="C211" t="s">
        <v>1490</v>
      </c>
      <c r="D211" t="s">
        <v>2119</v>
      </c>
    </row>
    <row r="212" spans="1:4">
      <c r="A212">
        <v>208</v>
      </c>
      <c r="B212" s="13">
        <v>45777</v>
      </c>
      <c r="C212" t="s">
        <v>2120</v>
      </c>
      <c r="D212" t="s">
        <v>2124</v>
      </c>
    </row>
    <row r="213" spans="1:4">
      <c r="A213">
        <v>209</v>
      </c>
      <c r="B213" s="13">
        <v>45777</v>
      </c>
      <c r="C213" t="s">
        <v>2125</v>
      </c>
      <c r="D213" t="s">
        <v>2128</v>
      </c>
    </row>
    <row r="214" spans="1:4">
      <c r="A214">
        <v>210</v>
      </c>
      <c r="B214" s="13">
        <v>45777</v>
      </c>
      <c r="C214" t="s">
        <v>1060</v>
      </c>
      <c r="D214" t="s">
        <v>2130</v>
      </c>
    </row>
    <row r="215" spans="1:4">
      <c r="A215">
        <v>211</v>
      </c>
      <c r="B215" s="13">
        <v>45777</v>
      </c>
      <c r="C215" t="s">
        <v>1626</v>
      </c>
      <c r="D215" t="s">
        <v>2131</v>
      </c>
    </row>
    <row r="216" spans="1:4">
      <c r="A216">
        <v>212</v>
      </c>
      <c r="B216" s="13">
        <v>45777</v>
      </c>
      <c r="C216" t="s">
        <v>2132</v>
      </c>
      <c r="D216" t="s">
        <v>2136</v>
      </c>
    </row>
    <row r="217" spans="1:4">
      <c r="A217">
        <v>213</v>
      </c>
      <c r="B217" s="13">
        <v>45777</v>
      </c>
      <c r="C217" t="s">
        <v>1600</v>
      </c>
      <c r="D217" t="s">
        <v>2137</v>
      </c>
    </row>
    <row r="218" spans="1:4">
      <c r="A218">
        <v>214</v>
      </c>
      <c r="B218" s="13">
        <v>45775</v>
      </c>
      <c r="C218" t="s">
        <v>2066</v>
      </c>
      <c r="D218" t="s">
        <v>2138</v>
      </c>
    </row>
    <row r="219" spans="1:4">
      <c r="A219">
        <v>215</v>
      </c>
      <c r="B219" s="13">
        <v>45778</v>
      </c>
      <c r="C219" t="s">
        <v>1629</v>
      </c>
      <c r="D219" t="s">
        <v>2151</v>
      </c>
    </row>
    <row r="220" spans="1:4">
      <c r="A220">
        <v>216</v>
      </c>
      <c r="B220" s="13">
        <v>45777</v>
      </c>
      <c r="C220" t="s">
        <v>1790</v>
      </c>
      <c r="D220" t="s">
        <v>2153</v>
      </c>
    </row>
    <row r="221" spans="1:4">
      <c r="A221">
        <v>217</v>
      </c>
      <c r="B221" s="13">
        <v>45779</v>
      </c>
      <c r="C221" t="s">
        <v>1629</v>
      </c>
      <c r="D221" t="s">
        <v>2154</v>
      </c>
    </row>
    <row r="222" spans="1:4">
      <c r="A222">
        <v>218</v>
      </c>
      <c r="B222" s="13">
        <v>45779</v>
      </c>
      <c r="C222" t="s">
        <v>2063</v>
      </c>
      <c r="D222" t="s">
        <v>2155</v>
      </c>
    </row>
    <row r="223" spans="1:4">
      <c r="A223">
        <v>219</v>
      </c>
      <c r="B223" s="13">
        <v>45779</v>
      </c>
      <c r="C223" t="s">
        <v>1445</v>
      </c>
      <c r="D223" t="s">
        <v>2156</v>
      </c>
    </row>
    <row r="224" spans="1:4">
      <c r="A224">
        <v>220</v>
      </c>
      <c r="B224" s="13">
        <v>45779</v>
      </c>
      <c r="C224" t="s">
        <v>1445</v>
      </c>
      <c r="D224" t="s">
        <v>2157</v>
      </c>
    </row>
    <row r="225" spans="1:4">
      <c r="A225">
        <v>221</v>
      </c>
      <c r="B225" s="13">
        <v>45780</v>
      </c>
      <c r="C225" t="s">
        <v>2046</v>
      </c>
      <c r="D225" t="s">
        <v>2166</v>
      </c>
    </row>
    <row r="226" spans="1:4">
      <c r="A226">
        <v>222</v>
      </c>
      <c r="B226" s="13">
        <v>45782</v>
      </c>
      <c r="C226" t="s">
        <v>2169</v>
      </c>
      <c r="D226" t="s">
        <v>2170</v>
      </c>
    </row>
    <row r="227" spans="1:4">
      <c r="A227">
        <v>223</v>
      </c>
      <c r="B227" s="13">
        <v>45782</v>
      </c>
      <c r="C227" t="s">
        <v>1019</v>
      </c>
      <c r="D227" t="s">
        <v>2171</v>
      </c>
    </row>
    <row r="228" spans="1:4">
      <c r="A228">
        <v>224</v>
      </c>
      <c r="B228" s="13">
        <v>45783</v>
      </c>
      <c r="C228" t="s">
        <v>1587</v>
      </c>
      <c r="D228" t="s">
        <v>2172</v>
      </c>
    </row>
    <row r="229" spans="1:4">
      <c r="A229">
        <v>225</v>
      </c>
      <c r="B229" s="13">
        <v>45783</v>
      </c>
      <c r="C229" t="s">
        <v>1445</v>
      </c>
      <c r="D229" t="s">
        <v>2173</v>
      </c>
    </row>
    <row r="230" spans="1:4">
      <c r="A230">
        <v>226</v>
      </c>
      <c r="B230" s="13">
        <v>45783</v>
      </c>
      <c r="C230" t="s">
        <v>1515</v>
      </c>
      <c r="D230" t="s">
        <v>2174</v>
      </c>
    </row>
    <row r="231" spans="1:4">
      <c r="A231">
        <v>227</v>
      </c>
      <c r="B231" s="13">
        <v>45783</v>
      </c>
      <c r="C231" t="s">
        <v>1445</v>
      </c>
      <c r="D231" t="s">
        <v>2176</v>
      </c>
    </row>
    <row r="232" spans="1:4">
      <c r="A232">
        <v>228</v>
      </c>
      <c r="B232" s="13">
        <v>45784</v>
      </c>
      <c r="C232" t="s">
        <v>1351</v>
      </c>
      <c r="D232" t="s">
        <v>2177</v>
      </c>
    </row>
    <row r="233" spans="1:4">
      <c r="A233">
        <v>229</v>
      </c>
      <c r="B233" s="13">
        <v>45784</v>
      </c>
      <c r="C233" t="s">
        <v>2180</v>
      </c>
      <c r="D233" t="s">
        <v>2184</v>
      </c>
    </row>
    <row r="234" spans="1:4">
      <c r="A234">
        <v>230</v>
      </c>
      <c r="B234" s="13">
        <v>45784</v>
      </c>
      <c r="C234" t="s">
        <v>2180</v>
      </c>
      <c r="D234" t="s">
        <v>2186</v>
      </c>
    </row>
    <row r="235" spans="1:4">
      <c r="A235">
        <v>231</v>
      </c>
      <c r="B235" s="13">
        <v>45784</v>
      </c>
      <c r="C235" t="s">
        <v>2180</v>
      </c>
      <c r="D235" t="s">
        <v>2187</v>
      </c>
    </row>
    <row r="236" spans="1:4">
      <c r="A236">
        <v>232</v>
      </c>
      <c r="B236" s="13">
        <v>45784</v>
      </c>
      <c r="C236" t="s">
        <v>1445</v>
      </c>
      <c r="D236" t="s">
        <v>2188</v>
      </c>
    </row>
    <row r="237" spans="1:4">
      <c r="A237">
        <v>233</v>
      </c>
      <c r="B237" s="13">
        <v>45784</v>
      </c>
      <c r="C237" t="s">
        <v>2180</v>
      </c>
      <c r="D237" t="s">
        <v>2193</v>
      </c>
    </row>
    <row r="238" spans="1:4">
      <c r="A238">
        <v>234</v>
      </c>
      <c r="B238" s="13">
        <v>45784</v>
      </c>
      <c r="C238" t="s">
        <v>2189</v>
      </c>
      <c r="D238" t="s">
        <v>2194</v>
      </c>
    </row>
    <row r="239" spans="1:4">
      <c r="A239">
        <v>235</v>
      </c>
      <c r="B239" s="13">
        <v>45785</v>
      </c>
      <c r="C239" t="s">
        <v>2195</v>
      </c>
      <c r="D239" t="s">
        <v>2199</v>
      </c>
    </row>
    <row r="240" spans="1:4">
      <c r="A240">
        <v>236</v>
      </c>
      <c r="B240" s="13">
        <v>45785</v>
      </c>
      <c r="C240" t="s">
        <v>1790</v>
      </c>
      <c r="D240" t="s">
        <v>2200</v>
      </c>
    </row>
    <row r="241" spans="1:4">
      <c r="A241">
        <v>237</v>
      </c>
      <c r="B241" s="13">
        <v>45786</v>
      </c>
      <c r="C241" t="s">
        <v>1351</v>
      </c>
      <c r="D241" t="s">
        <v>2205</v>
      </c>
    </row>
    <row r="242" spans="1:4">
      <c r="A242">
        <v>238</v>
      </c>
      <c r="B242" s="13">
        <v>45786</v>
      </c>
      <c r="C242" t="s">
        <v>2101</v>
      </c>
      <c r="D242" t="s">
        <v>2206</v>
      </c>
    </row>
    <row r="243" spans="1:4">
      <c r="A243">
        <v>239</v>
      </c>
      <c r="B243" s="13">
        <v>45786</v>
      </c>
      <c r="C243" t="s">
        <v>2208</v>
      </c>
      <c r="D243" t="s">
        <v>2209</v>
      </c>
    </row>
    <row r="244" spans="1:4">
      <c r="A244">
        <v>240</v>
      </c>
      <c r="B244" s="13">
        <v>45786</v>
      </c>
      <c r="C244" t="s">
        <v>2208</v>
      </c>
      <c r="D244" t="s">
        <v>2210</v>
      </c>
    </row>
    <row r="245" spans="1:4">
      <c r="A245">
        <v>241</v>
      </c>
      <c r="B245" s="13">
        <v>45789</v>
      </c>
      <c r="C245" t="s">
        <v>2214</v>
      </c>
      <c r="D245" t="s">
        <v>2217</v>
      </c>
    </row>
    <row r="246" spans="1:4">
      <c r="A246">
        <v>242</v>
      </c>
      <c r="B246" s="13">
        <v>45789</v>
      </c>
      <c r="C246" t="s">
        <v>1490</v>
      </c>
      <c r="D246" t="s">
        <v>2218</v>
      </c>
    </row>
    <row r="247" spans="1:4">
      <c r="A247">
        <v>243</v>
      </c>
      <c r="B247" s="13">
        <v>45789</v>
      </c>
      <c r="C247" t="s">
        <v>2063</v>
      </c>
      <c r="D247" t="s">
        <v>2219</v>
      </c>
    </row>
    <row r="248" spans="1:4">
      <c r="A248">
        <v>244</v>
      </c>
      <c r="B248" s="13">
        <v>45789</v>
      </c>
      <c r="C248" t="s">
        <v>1647</v>
      </c>
      <c r="D248" t="s">
        <v>2220</v>
      </c>
    </row>
    <row r="249" spans="1:4">
      <c r="A249">
        <v>245</v>
      </c>
      <c r="B249" s="13">
        <v>45789</v>
      </c>
      <c r="C249" t="s">
        <v>1500</v>
      </c>
      <c r="D249" t="s">
        <v>2223</v>
      </c>
    </row>
    <row r="250" spans="1:4">
      <c r="A250">
        <v>246</v>
      </c>
      <c r="B250" s="13">
        <v>45789</v>
      </c>
      <c r="C250" t="s">
        <v>1183</v>
      </c>
      <c r="D250" t="s">
        <v>2225</v>
      </c>
    </row>
    <row r="251" spans="1:4">
      <c r="A251">
        <v>247</v>
      </c>
      <c r="B251" s="13">
        <v>45789</v>
      </c>
      <c r="C251" t="s">
        <v>2228</v>
      </c>
      <c r="D251" t="s">
        <v>2231</v>
      </c>
    </row>
    <row r="252" spans="1:4">
      <c r="A252">
        <v>248</v>
      </c>
      <c r="B252" s="13">
        <v>45789</v>
      </c>
      <c r="C252" t="s">
        <v>1445</v>
      </c>
      <c r="D252" t="s">
        <v>2233</v>
      </c>
    </row>
    <row r="253" spans="1:4">
      <c r="A253">
        <v>249</v>
      </c>
      <c r="B253" s="13">
        <v>45789</v>
      </c>
      <c r="C253" t="s">
        <v>1515</v>
      </c>
      <c r="D253" t="s">
        <v>2234</v>
      </c>
    </row>
    <row r="254" spans="1:4">
      <c r="A254">
        <v>250</v>
      </c>
      <c r="B254" s="13">
        <v>45790</v>
      </c>
      <c r="C254" t="s">
        <v>1495</v>
      </c>
      <c r="D254" t="s">
        <v>2238</v>
      </c>
    </row>
    <row r="255" spans="1:4">
      <c r="A255">
        <v>251</v>
      </c>
      <c r="B255" s="13">
        <v>45790</v>
      </c>
      <c r="C255" t="s">
        <v>2016</v>
      </c>
      <c r="D255" t="s">
        <v>2239</v>
      </c>
    </row>
    <row r="256" spans="1:4">
      <c r="A256">
        <v>252</v>
      </c>
      <c r="B256" s="13">
        <v>45790</v>
      </c>
      <c r="C256" t="s">
        <v>1515</v>
      </c>
      <c r="D256" t="s">
        <v>2240</v>
      </c>
    </row>
    <row r="257" spans="1:4">
      <c r="A257">
        <v>253</v>
      </c>
      <c r="B257" s="13">
        <v>45790</v>
      </c>
      <c r="C257" t="s">
        <v>1866</v>
      </c>
      <c r="D257" t="s">
        <v>2241</v>
      </c>
    </row>
    <row r="258" spans="1:4">
      <c r="A258">
        <v>254</v>
      </c>
      <c r="B258" s="13">
        <v>45790</v>
      </c>
      <c r="C258" t="s">
        <v>2242</v>
      </c>
      <c r="D258" t="s">
        <v>2243</v>
      </c>
    </row>
    <row r="259" spans="1:4">
      <c r="A259">
        <v>255</v>
      </c>
      <c r="B259" s="13">
        <v>45790</v>
      </c>
      <c r="C259" t="s">
        <v>1961</v>
      </c>
      <c r="D259" t="s">
        <v>2244</v>
      </c>
    </row>
    <row r="260" spans="1:4">
      <c r="A260">
        <v>256</v>
      </c>
      <c r="B260" s="13">
        <v>45790</v>
      </c>
      <c r="C260" t="s">
        <v>1445</v>
      </c>
      <c r="D260" t="s">
        <v>2251</v>
      </c>
    </row>
    <row r="261" spans="1:4">
      <c r="A261">
        <v>257</v>
      </c>
      <c r="B261" s="13">
        <v>45790</v>
      </c>
      <c r="C261" t="s">
        <v>1351</v>
      </c>
      <c r="D261" t="s">
        <v>2254</v>
      </c>
    </row>
    <row r="262" spans="1:4">
      <c r="A262">
        <v>258</v>
      </c>
      <c r="B262" s="13">
        <v>45790</v>
      </c>
      <c r="C262" t="s">
        <v>1734</v>
      </c>
      <c r="D262" t="s">
        <v>2256</v>
      </c>
    </row>
    <row r="263" spans="1:4">
      <c r="A263">
        <v>259</v>
      </c>
      <c r="B263" s="13">
        <v>45790</v>
      </c>
      <c r="C263" t="s">
        <v>1424</v>
      </c>
      <c r="D263" t="s">
        <v>2258</v>
      </c>
    </row>
    <row r="264" spans="1:4">
      <c r="A264">
        <v>260</v>
      </c>
      <c r="B264" s="13">
        <v>45791</v>
      </c>
      <c r="C264" t="s">
        <v>1790</v>
      </c>
      <c r="D264" t="s">
        <v>2263</v>
      </c>
    </row>
    <row r="265" spans="1:4">
      <c r="A265">
        <v>261</v>
      </c>
      <c r="B265" s="13">
        <v>45791</v>
      </c>
      <c r="C265" t="s">
        <v>2269</v>
      </c>
      <c r="D265" t="s">
        <v>2271</v>
      </c>
    </row>
    <row r="266" spans="1:4">
      <c r="A266">
        <v>262</v>
      </c>
      <c r="B266" s="13">
        <v>45791</v>
      </c>
      <c r="C266" t="s">
        <v>1030</v>
      </c>
      <c r="D266" t="s">
        <v>2272</v>
      </c>
    </row>
    <row r="267" spans="1:4">
      <c r="A267">
        <v>263</v>
      </c>
      <c r="B267" s="13">
        <v>45791</v>
      </c>
      <c r="C267" t="s">
        <v>1866</v>
      </c>
      <c r="D267" t="s">
        <v>2274</v>
      </c>
    </row>
    <row r="268" spans="1:4">
      <c r="A268">
        <v>264</v>
      </c>
      <c r="B268" s="13">
        <v>45791</v>
      </c>
      <c r="C268" t="s">
        <v>1647</v>
      </c>
      <c r="D268" t="s">
        <v>2275</v>
      </c>
    </row>
    <row r="269" spans="1:4">
      <c r="A269">
        <v>265</v>
      </c>
      <c r="B269" s="13">
        <v>45792</v>
      </c>
      <c r="C269" t="s">
        <v>1629</v>
      </c>
      <c r="D269" t="s">
        <v>2308</v>
      </c>
    </row>
    <row r="270" spans="1:4">
      <c r="A270">
        <v>266</v>
      </c>
      <c r="B270" s="13">
        <v>45792</v>
      </c>
      <c r="C270" t="s">
        <v>2180</v>
      </c>
      <c r="D270" t="s">
        <v>2309</v>
      </c>
    </row>
    <row r="271" spans="1:4">
      <c r="A271">
        <v>267</v>
      </c>
      <c r="B271" s="13">
        <v>45792</v>
      </c>
      <c r="C271" t="s">
        <v>1587</v>
      </c>
      <c r="D271" t="s">
        <v>2310</v>
      </c>
    </row>
    <row r="272" spans="1:4">
      <c r="A272">
        <v>268</v>
      </c>
      <c r="B272" s="13">
        <v>45792</v>
      </c>
      <c r="C272" t="s">
        <v>1817</v>
      </c>
      <c r="D272" t="s">
        <v>2313</v>
      </c>
    </row>
    <row r="273" spans="1:5">
      <c r="A273">
        <v>269</v>
      </c>
      <c r="B273" s="13">
        <v>45792</v>
      </c>
      <c r="C273" t="s">
        <v>1817</v>
      </c>
      <c r="D273" t="s">
        <v>2315</v>
      </c>
    </row>
    <row r="274" spans="1:5">
      <c r="A274">
        <v>270</v>
      </c>
      <c r="B274" s="13">
        <v>45792</v>
      </c>
      <c r="C274" t="s">
        <v>1955</v>
      </c>
      <c r="D274" t="s">
        <v>2319</v>
      </c>
    </row>
    <row r="275" spans="1:5">
      <c r="A275">
        <v>271</v>
      </c>
      <c r="B275" s="13">
        <v>45793</v>
      </c>
      <c r="C275" t="s">
        <v>2189</v>
      </c>
      <c r="D275" t="s">
        <v>2327</v>
      </c>
    </row>
    <row r="276" spans="1:5">
      <c r="A276">
        <v>272</v>
      </c>
      <c r="B276" s="13">
        <v>45793</v>
      </c>
      <c r="C276" t="s">
        <v>1817</v>
      </c>
      <c r="D276" t="s">
        <v>2328</v>
      </c>
    </row>
    <row r="277" spans="1:5">
      <c r="A277">
        <v>273</v>
      </c>
      <c r="B277" s="13">
        <v>45793</v>
      </c>
      <c r="C277" t="s">
        <v>1955</v>
      </c>
      <c r="D277" t="s">
        <v>2330</v>
      </c>
    </row>
    <row r="278" spans="1:5">
      <c r="A278">
        <v>274</v>
      </c>
      <c r="B278" s="13">
        <v>45794</v>
      </c>
      <c r="C278" t="s">
        <v>1932</v>
      </c>
      <c r="D278" t="s">
        <v>2332</v>
      </c>
    </row>
    <row r="279" spans="1:5">
      <c r="A279">
        <v>275</v>
      </c>
      <c r="B279" s="13">
        <v>45794</v>
      </c>
      <c r="C279" t="s">
        <v>1817</v>
      </c>
      <c r="D279" t="s">
        <v>2333</v>
      </c>
    </row>
    <row r="280" spans="1:5">
      <c r="A280">
        <v>276</v>
      </c>
      <c r="B280" s="13">
        <v>45794</v>
      </c>
      <c r="C280" t="s">
        <v>1069</v>
      </c>
      <c r="D280" t="s">
        <v>2334</v>
      </c>
    </row>
    <row r="281" spans="1:5">
      <c r="A281">
        <v>277</v>
      </c>
      <c r="B281" s="13">
        <v>45794</v>
      </c>
      <c r="C281" t="s">
        <v>1490</v>
      </c>
      <c r="D281" t="s">
        <v>2338</v>
      </c>
    </row>
    <row r="282" spans="1:5">
      <c r="A282">
        <v>278</v>
      </c>
      <c r="B282" s="13">
        <v>45794</v>
      </c>
      <c r="C282" t="s">
        <v>2340</v>
      </c>
      <c r="D282" t="s">
        <v>2341</v>
      </c>
    </row>
    <row r="283" spans="1:5">
      <c r="A283">
        <v>279</v>
      </c>
      <c r="B283" s="13">
        <v>45794</v>
      </c>
      <c r="C283" t="s">
        <v>1790</v>
      </c>
      <c r="D283" t="s">
        <v>2343</v>
      </c>
    </row>
    <row r="284" spans="1:5">
      <c r="A284">
        <v>280</v>
      </c>
      <c r="B284" s="13">
        <v>45794</v>
      </c>
      <c r="C284" t="s">
        <v>1437</v>
      </c>
      <c r="D284" t="s">
        <v>2344</v>
      </c>
    </row>
    <row r="285" spans="1:5">
      <c r="A285">
        <v>281</v>
      </c>
      <c r="B285" s="13">
        <v>45796</v>
      </c>
      <c r="C285" t="s">
        <v>1183</v>
      </c>
      <c r="D285" t="s">
        <v>2349</v>
      </c>
    </row>
    <row r="286" spans="1:5">
      <c r="A286">
        <v>282</v>
      </c>
      <c r="B286" s="13">
        <v>45796</v>
      </c>
      <c r="C286" t="s">
        <v>1069</v>
      </c>
      <c r="D286" t="s">
        <v>2352</v>
      </c>
      <c r="E286" t="s">
        <v>2351</v>
      </c>
    </row>
    <row r="287" spans="1:5">
      <c r="A287">
        <v>283</v>
      </c>
      <c r="B287" s="13">
        <v>45797</v>
      </c>
      <c r="C287" t="s">
        <v>1027</v>
      </c>
      <c r="D287" t="s">
        <v>2353</v>
      </c>
    </row>
    <row r="288" spans="1:5">
      <c r="A288">
        <v>284</v>
      </c>
      <c r="B288" s="13">
        <v>45797</v>
      </c>
      <c r="C288" t="s">
        <v>1629</v>
      </c>
      <c r="D288" t="s">
        <v>2354</v>
      </c>
    </row>
    <row r="289" spans="1:4">
      <c r="A289">
        <v>285</v>
      </c>
      <c r="B289" s="13">
        <v>45797</v>
      </c>
      <c r="C289" t="s">
        <v>1946</v>
      </c>
      <c r="D289" t="s">
        <v>2355</v>
      </c>
    </row>
    <row r="290" spans="1:4">
      <c r="A290">
        <v>286</v>
      </c>
      <c r="B290" s="13">
        <v>45798</v>
      </c>
      <c r="C290" t="s">
        <v>1600</v>
      </c>
      <c r="D290" t="s">
        <v>2360</v>
      </c>
    </row>
    <row r="291" spans="1:4">
      <c r="A291">
        <v>287</v>
      </c>
      <c r="B291" s="13">
        <v>45798</v>
      </c>
      <c r="C291" t="s">
        <v>2361</v>
      </c>
      <c r="D291" t="s">
        <v>2362</v>
      </c>
    </row>
    <row r="292" spans="1:4">
      <c r="A292">
        <v>288</v>
      </c>
      <c r="B292" s="13">
        <v>45798</v>
      </c>
      <c r="C292" t="s">
        <v>1734</v>
      </c>
      <c r="D292" t="s">
        <v>2363</v>
      </c>
    </row>
    <row r="293" spans="1:4">
      <c r="A293">
        <v>289</v>
      </c>
      <c r="B293" s="13">
        <v>45798</v>
      </c>
      <c r="C293" t="s">
        <v>2364</v>
      </c>
      <c r="D293" t="s">
        <v>2367</v>
      </c>
    </row>
    <row r="294" spans="1:4">
      <c r="A294">
        <v>290</v>
      </c>
      <c r="B294" s="13">
        <v>45798</v>
      </c>
      <c r="C294" t="s">
        <v>1946</v>
      </c>
      <c r="D294" t="s">
        <v>2368</v>
      </c>
    </row>
    <row r="295" spans="1:4">
      <c r="A295">
        <v>291</v>
      </c>
      <c r="B295" s="13">
        <v>45799</v>
      </c>
      <c r="C295" t="s">
        <v>1445</v>
      </c>
      <c r="D295" t="s">
        <v>2370</v>
      </c>
    </row>
    <row r="296" spans="1:4">
      <c r="A296">
        <v>292</v>
      </c>
      <c r="B296" s="13">
        <v>45799</v>
      </c>
      <c r="C296" t="s">
        <v>1069</v>
      </c>
      <c r="D296" t="s">
        <v>2371</v>
      </c>
    </row>
    <row r="297" spans="1:4">
      <c r="A297">
        <v>293</v>
      </c>
      <c r="B297" s="13">
        <v>45799</v>
      </c>
      <c r="C297" t="s">
        <v>1600</v>
      </c>
      <c r="D297" t="s">
        <v>2372</v>
      </c>
    </row>
    <row r="298" spans="1:4">
      <c r="A298">
        <v>294</v>
      </c>
      <c r="B298" s="13">
        <v>45799</v>
      </c>
      <c r="C298" t="s">
        <v>1495</v>
      </c>
      <c r="D298" t="s">
        <v>2374</v>
      </c>
    </row>
    <row r="299" spans="1:4">
      <c r="A299">
        <v>295</v>
      </c>
      <c r="B299" s="13">
        <v>45799</v>
      </c>
      <c r="C299" t="s">
        <v>1525</v>
      </c>
      <c r="D299" t="s">
        <v>2375</v>
      </c>
    </row>
    <row r="300" spans="1:4">
      <c r="A300">
        <v>296</v>
      </c>
      <c r="B300" s="13">
        <v>45800</v>
      </c>
      <c r="C300" t="s">
        <v>1069</v>
      </c>
      <c r="D300" t="s">
        <v>2381</v>
      </c>
    </row>
    <row r="301" spans="1:4">
      <c r="A301">
        <v>297</v>
      </c>
      <c r="B301" s="13">
        <v>45800</v>
      </c>
      <c r="C301" t="s">
        <v>2382</v>
      </c>
      <c r="D301" t="s">
        <v>2386</v>
      </c>
    </row>
    <row r="302" spans="1:4">
      <c r="A302">
        <v>298</v>
      </c>
      <c r="B302" s="13">
        <v>45800</v>
      </c>
      <c r="C302" t="s">
        <v>1069</v>
      </c>
      <c r="D302" t="s">
        <v>2387</v>
      </c>
    </row>
    <row r="303" spans="1:4">
      <c r="A303">
        <v>299</v>
      </c>
      <c r="B303" s="13">
        <v>45800</v>
      </c>
      <c r="C303" t="s">
        <v>1790</v>
      </c>
      <c r="D303" t="s">
        <v>2388</v>
      </c>
    </row>
    <row r="304" spans="1:4">
      <c r="A304">
        <v>300</v>
      </c>
      <c r="B304" s="13">
        <v>45801</v>
      </c>
      <c r="C304" t="s">
        <v>1498</v>
      </c>
      <c r="D304" t="s">
        <v>2394</v>
      </c>
    </row>
    <row r="305" spans="1:4">
      <c r="A305">
        <v>301</v>
      </c>
      <c r="B305" s="13">
        <v>45801</v>
      </c>
      <c r="C305" t="s">
        <v>1030</v>
      </c>
      <c r="D305" t="s">
        <v>2395</v>
      </c>
    </row>
    <row r="306" spans="1:4">
      <c r="A306">
        <v>302</v>
      </c>
      <c r="B306" s="13">
        <v>45801</v>
      </c>
      <c r="C306" t="s">
        <v>1590</v>
      </c>
      <c r="D306" t="s">
        <v>2397</v>
      </c>
    </row>
    <row r="307" spans="1:4">
      <c r="A307">
        <v>303</v>
      </c>
      <c r="B307" s="13">
        <v>45803</v>
      </c>
      <c r="C307" t="s">
        <v>2398</v>
      </c>
      <c r="D307" t="s">
        <v>2403</v>
      </c>
    </row>
    <row r="308" spans="1:4">
      <c r="A308">
        <v>304</v>
      </c>
      <c r="B308" s="13">
        <v>45803</v>
      </c>
      <c r="C308" t="s">
        <v>1445</v>
      </c>
      <c r="D308" t="s">
        <v>2404</v>
      </c>
    </row>
    <row r="309" spans="1:4">
      <c r="A309">
        <v>305</v>
      </c>
      <c r="B309" s="13">
        <v>45803</v>
      </c>
      <c r="C309" t="s">
        <v>1626</v>
      </c>
      <c r="D309" t="s">
        <v>2405</v>
      </c>
    </row>
    <row r="310" spans="1:4">
      <c r="A310">
        <v>306</v>
      </c>
      <c r="B310" s="13">
        <v>45803</v>
      </c>
      <c r="C310" t="s">
        <v>2214</v>
      </c>
      <c r="D310" t="s">
        <v>2407</v>
      </c>
    </row>
    <row r="311" spans="1:4">
      <c r="A311">
        <v>307</v>
      </c>
      <c r="B311" s="13">
        <v>45803</v>
      </c>
      <c r="C311" t="s">
        <v>1030</v>
      </c>
      <c r="D311" t="s">
        <v>2408</v>
      </c>
    </row>
    <row r="312" spans="1:4">
      <c r="A312">
        <v>308</v>
      </c>
      <c r="B312" s="13">
        <v>45803</v>
      </c>
      <c r="C312" t="s">
        <v>1734</v>
      </c>
      <c r="D312" t="s">
        <v>2409</v>
      </c>
    </row>
    <row r="313" spans="1:4">
      <c r="A313">
        <v>309</v>
      </c>
      <c r="B313" s="13">
        <v>45803</v>
      </c>
      <c r="C313" t="s">
        <v>1635</v>
      </c>
      <c r="D313" t="s">
        <v>2413</v>
      </c>
    </row>
    <row r="314" spans="1:4">
      <c r="A314">
        <v>310</v>
      </c>
      <c r="B314" s="13">
        <v>45804</v>
      </c>
      <c r="C314" t="s">
        <v>1525</v>
      </c>
      <c r="D314" t="s">
        <v>2416</v>
      </c>
    </row>
    <row r="315" spans="1:4">
      <c r="A315">
        <v>311</v>
      </c>
      <c r="B315" s="13">
        <v>45804</v>
      </c>
      <c r="C315" t="s">
        <v>1790</v>
      </c>
      <c r="D315" t="s">
        <v>2417</v>
      </c>
    </row>
    <row r="316" spans="1:4">
      <c r="A316">
        <v>312</v>
      </c>
      <c r="B316" s="13">
        <v>45804</v>
      </c>
      <c r="C316" t="s">
        <v>1626</v>
      </c>
      <c r="D316" t="s">
        <v>2418</v>
      </c>
    </row>
    <row r="317" spans="1:4">
      <c r="A317">
        <v>313</v>
      </c>
      <c r="B317" s="13">
        <v>45804</v>
      </c>
      <c r="C317" t="s">
        <v>1418</v>
      </c>
      <c r="D317" t="s">
        <v>2419</v>
      </c>
    </row>
    <row r="318" spans="1:4">
      <c r="A318">
        <v>314</v>
      </c>
      <c r="B318" s="13">
        <v>45804</v>
      </c>
      <c r="C318" t="s">
        <v>1587</v>
      </c>
      <c r="D318" t="s">
        <v>2422</v>
      </c>
    </row>
    <row r="319" spans="1:4">
      <c r="A319">
        <v>343</v>
      </c>
      <c r="B319" s="13">
        <v>45806</v>
      </c>
      <c r="C319" t="s">
        <v>2364</v>
      </c>
      <c r="D319" t="s">
        <v>2431</v>
      </c>
    </row>
    <row r="320" spans="1:4">
      <c r="A320">
        <v>344</v>
      </c>
      <c r="B320" s="13">
        <v>45806</v>
      </c>
      <c r="C320" t="s">
        <v>1437</v>
      </c>
      <c r="D320" t="s">
        <v>2432</v>
      </c>
    </row>
    <row r="321" spans="1:4">
      <c r="A321">
        <v>345</v>
      </c>
      <c r="B321" s="13">
        <v>45806</v>
      </c>
      <c r="C321" t="s">
        <v>1445</v>
      </c>
      <c r="D321" t="s">
        <v>2433</v>
      </c>
    </row>
    <row r="322" spans="1:4">
      <c r="A322">
        <v>346</v>
      </c>
      <c r="B322" s="13">
        <v>45807</v>
      </c>
      <c r="C322" t="s">
        <v>1567</v>
      </c>
      <c r="D322" t="s">
        <v>2434</v>
      </c>
    </row>
    <row r="323" spans="1:4">
      <c r="A323">
        <v>347</v>
      </c>
      <c r="B323" s="13">
        <v>45807</v>
      </c>
      <c r="C323" t="s">
        <v>1525</v>
      </c>
      <c r="D323" t="s">
        <v>2440</v>
      </c>
    </row>
    <row r="324" spans="1:4">
      <c r="A324">
        <v>348</v>
      </c>
      <c r="B324" s="13">
        <v>45807</v>
      </c>
      <c r="C324" t="s">
        <v>2441</v>
      </c>
      <c r="D324" t="s">
        <v>2442</v>
      </c>
    </row>
    <row r="325" spans="1:4">
      <c r="A325">
        <v>349</v>
      </c>
      <c r="B325" s="13">
        <v>45807</v>
      </c>
      <c r="C325" t="s">
        <v>1069</v>
      </c>
      <c r="D325" t="s">
        <v>2443</v>
      </c>
    </row>
    <row r="326" spans="1:4">
      <c r="A326">
        <v>350</v>
      </c>
      <c r="B326" s="13">
        <v>45807</v>
      </c>
      <c r="C326" t="s">
        <v>2427</v>
      </c>
      <c r="D326" t="s">
        <v>2444</v>
      </c>
    </row>
    <row r="327" spans="1:4">
      <c r="A327">
        <v>351</v>
      </c>
      <c r="B327" s="13">
        <v>45807</v>
      </c>
      <c r="C327" t="s">
        <v>2195</v>
      </c>
      <c r="D327" t="s">
        <v>2445</v>
      </c>
    </row>
    <row r="328" spans="1:4">
      <c r="A328">
        <v>352</v>
      </c>
      <c r="B328" s="13">
        <v>45807</v>
      </c>
      <c r="C328" t="s">
        <v>1488</v>
      </c>
      <c r="D328" t="s">
        <v>2447</v>
      </c>
    </row>
    <row r="329" spans="1:4">
      <c r="A329">
        <v>353</v>
      </c>
      <c r="B329" s="13">
        <v>45808</v>
      </c>
      <c r="C329" t="s">
        <v>1281</v>
      </c>
      <c r="D329" t="s">
        <v>2454</v>
      </c>
    </row>
    <row r="330" spans="1:4">
      <c r="A330">
        <v>354</v>
      </c>
      <c r="B330" s="13">
        <v>45808</v>
      </c>
      <c r="C330" t="s">
        <v>1351</v>
      </c>
      <c r="D330" t="s">
        <v>2455</v>
      </c>
    </row>
    <row r="331" spans="1:4">
      <c r="A331">
        <v>355</v>
      </c>
      <c r="B331" s="13">
        <v>45808</v>
      </c>
      <c r="C331" t="s">
        <v>1790</v>
      </c>
      <c r="D331" t="s">
        <v>2463</v>
      </c>
    </row>
    <row r="332" spans="1:4">
      <c r="A332">
        <v>356</v>
      </c>
      <c r="B332" s="13">
        <v>45810</v>
      </c>
      <c r="C332" t="s">
        <v>997</v>
      </c>
      <c r="D332" t="s">
        <v>2468</v>
      </c>
    </row>
    <row r="333" spans="1:4">
      <c r="A333">
        <v>357</v>
      </c>
      <c r="B333" s="13">
        <v>45810</v>
      </c>
      <c r="C333" t="s">
        <v>1587</v>
      </c>
      <c r="D333" t="s">
        <v>2469</v>
      </c>
    </row>
    <row r="334" spans="1:4">
      <c r="A334">
        <v>358</v>
      </c>
      <c r="B334" s="13">
        <v>45810</v>
      </c>
      <c r="C334" t="s">
        <v>2398</v>
      </c>
      <c r="D334" t="s">
        <v>2470</v>
      </c>
    </row>
    <row r="335" spans="1:4">
      <c r="A335">
        <v>359</v>
      </c>
      <c r="B335" s="13">
        <v>45810</v>
      </c>
      <c r="C335" t="s">
        <v>1502</v>
      </c>
      <c r="D335" t="s">
        <v>2471</v>
      </c>
    </row>
    <row r="336" spans="1:4">
      <c r="A336">
        <v>360</v>
      </c>
      <c r="B336" s="13">
        <v>45810</v>
      </c>
      <c r="C336" t="s">
        <v>1587</v>
      </c>
      <c r="D336" t="s">
        <v>2472</v>
      </c>
    </row>
    <row r="337" spans="1:4">
      <c r="A337">
        <v>361</v>
      </c>
      <c r="B337" s="13">
        <v>45810</v>
      </c>
      <c r="C337" t="s">
        <v>2361</v>
      </c>
      <c r="D337" t="s">
        <v>2475</v>
      </c>
    </row>
    <row r="338" spans="1:4">
      <c r="A338">
        <v>362</v>
      </c>
      <c r="B338" s="13">
        <v>45811</v>
      </c>
      <c r="C338" t="s">
        <v>1645</v>
      </c>
      <c r="D338" t="s">
        <v>2481</v>
      </c>
    </row>
    <row r="339" spans="1:4">
      <c r="A339">
        <v>363</v>
      </c>
      <c r="B339" s="13">
        <v>45811</v>
      </c>
      <c r="C339" t="s">
        <v>1495</v>
      </c>
      <c r="D339" t="s">
        <v>2483</v>
      </c>
    </row>
    <row r="340" spans="1:4">
      <c r="A340">
        <v>364</v>
      </c>
      <c r="B340" s="13">
        <v>45811</v>
      </c>
      <c r="C340" t="s">
        <v>2484</v>
      </c>
      <c r="D340" t="s">
        <v>2487</v>
      </c>
    </row>
    <row r="341" spans="1:4">
      <c r="A341">
        <v>365</v>
      </c>
      <c r="B341" s="13">
        <v>45811</v>
      </c>
      <c r="C341" t="s">
        <v>2484</v>
      </c>
      <c r="D341" t="s">
        <v>2488</v>
      </c>
    </row>
    <row r="342" spans="1:4">
      <c r="A342">
        <v>366</v>
      </c>
      <c r="B342" s="13">
        <v>45807</v>
      </c>
      <c r="C342" t="s">
        <v>1027</v>
      </c>
      <c r="D342" t="s">
        <v>2498</v>
      </c>
    </row>
    <row r="343" spans="1:4">
      <c r="A343">
        <v>367</v>
      </c>
      <c r="B343" s="13">
        <v>45812</v>
      </c>
      <c r="C343" t="s">
        <v>1647</v>
      </c>
      <c r="D343" t="s">
        <v>2499</v>
      </c>
    </row>
    <row r="344" spans="1:4">
      <c r="A344">
        <v>368</v>
      </c>
      <c r="B344" s="13">
        <v>45812</v>
      </c>
      <c r="C344" t="s">
        <v>2500</v>
      </c>
      <c r="D344" t="s">
        <v>2505</v>
      </c>
    </row>
    <row r="345" spans="1:4">
      <c r="A345">
        <v>369</v>
      </c>
      <c r="B345" s="13">
        <v>45812</v>
      </c>
      <c r="C345" t="s">
        <v>1629</v>
      </c>
      <c r="D345" t="s">
        <v>2512</v>
      </c>
    </row>
    <row r="346" spans="1:4">
      <c r="A346">
        <v>370</v>
      </c>
      <c r="B346" s="13">
        <v>45813</v>
      </c>
      <c r="C346" t="s">
        <v>1587</v>
      </c>
      <c r="D346" t="s">
        <v>2517</v>
      </c>
    </row>
    <row r="347" spans="1:4">
      <c r="A347">
        <v>371</v>
      </c>
      <c r="B347" s="13">
        <v>45813</v>
      </c>
      <c r="C347" t="s">
        <v>1587</v>
      </c>
      <c r="D347" t="s">
        <v>2518</v>
      </c>
    </row>
    <row r="348" spans="1:4">
      <c r="A348">
        <v>372</v>
      </c>
      <c r="B348" s="13">
        <v>45813</v>
      </c>
      <c r="C348" t="s">
        <v>1502</v>
      </c>
      <c r="D348" t="s">
        <v>2519</v>
      </c>
    </row>
    <row r="349" spans="1:4">
      <c r="A349">
        <v>373</v>
      </c>
      <c r="B349" s="13">
        <v>45813</v>
      </c>
      <c r="C349" t="s">
        <v>1183</v>
      </c>
      <c r="D349" t="s">
        <v>2522</v>
      </c>
    </row>
    <row r="350" spans="1:4">
      <c r="A350">
        <v>374</v>
      </c>
      <c r="B350" s="13">
        <v>45813</v>
      </c>
      <c r="C350" t="s">
        <v>2529</v>
      </c>
      <c r="D350" t="s">
        <v>2530</v>
      </c>
    </row>
    <row r="351" spans="1:4">
      <c r="A351">
        <v>375</v>
      </c>
      <c r="B351" s="13">
        <v>45814</v>
      </c>
      <c r="C351" t="s">
        <v>1790</v>
      </c>
      <c r="D351" t="s">
        <v>2531</v>
      </c>
    </row>
    <row r="352" spans="1:4">
      <c r="A352">
        <v>376</v>
      </c>
      <c r="B352" s="13">
        <v>45815</v>
      </c>
      <c r="C352" t="s">
        <v>1790</v>
      </c>
      <c r="D352" t="s">
        <v>2532</v>
      </c>
    </row>
    <row r="353" spans="1:4">
      <c r="A353">
        <v>377</v>
      </c>
      <c r="B353" s="13">
        <v>45817</v>
      </c>
      <c r="C353" t="s">
        <v>2534</v>
      </c>
      <c r="D353" t="s">
        <v>2535</v>
      </c>
    </row>
    <row r="354" spans="1:4">
      <c r="A354">
        <v>378</v>
      </c>
      <c r="B354" s="13">
        <v>45817</v>
      </c>
      <c r="C354" t="s">
        <v>997</v>
      </c>
      <c r="D354" t="s">
        <v>2536</v>
      </c>
    </row>
    <row r="355" spans="1:4">
      <c r="A355">
        <v>379</v>
      </c>
      <c r="B355" s="13">
        <v>45817</v>
      </c>
      <c r="C355" t="s">
        <v>1183</v>
      </c>
      <c r="D355" t="s">
        <v>2539</v>
      </c>
    </row>
    <row r="356" spans="1:4">
      <c r="A356">
        <v>380</v>
      </c>
      <c r="B356" s="13">
        <v>45817</v>
      </c>
      <c r="C356" t="s">
        <v>1790</v>
      </c>
      <c r="D356" t="s">
        <v>2540</v>
      </c>
    </row>
    <row r="357" spans="1:4">
      <c r="A357">
        <v>381</v>
      </c>
      <c r="B357" s="13">
        <v>45817</v>
      </c>
      <c r="C357" t="s">
        <v>1030</v>
      </c>
      <c r="D357" t="s">
        <v>2543</v>
      </c>
    </row>
    <row r="358" spans="1:4">
      <c r="A358">
        <v>382</v>
      </c>
      <c r="B358" s="13">
        <v>45817</v>
      </c>
      <c r="C358" t="s">
        <v>1490</v>
      </c>
      <c r="D358" t="s">
        <v>2544</v>
      </c>
    </row>
    <row r="359" spans="1:4">
      <c r="A359">
        <v>383</v>
      </c>
      <c r="B359" s="13">
        <v>45817</v>
      </c>
      <c r="C359" t="s">
        <v>1445</v>
      </c>
      <c r="D359" t="s">
        <v>2545</v>
      </c>
    </row>
    <row r="360" spans="1:4">
      <c r="A360">
        <v>384</v>
      </c>
      <c r="B360" s="13">
        <v>45817</v>
      </c>
      <c r="C360" t="s">
        <v>1629</v>
      </c>
      <c r="D360" t="s">
        <v>2546</v>
      </c>
    </row>
    <row r="361" spans="1:4">
      <c r="A361">
        <v>385</v>
      </c>
      <c r="B361" s="13">
        <v>45817</v>
      </c>
      <c r="C361" t="s">
        <v>1626</v>
      </c>
      <c r="D361" t="s">
        <v>2552</v>
      </c>
    </row>
    <row r="362" spans="1:4">
      <c r="A362">
        <v>386</v>
      </c>
      <c r="B362" s="13">
        <v>45817</v>
      </c>
      <c r="C362" t="s">
        <v>1790</v>
      </c>
      <c r="D362" t="s">
        <v>2567</v>
      </c>
    </row>
    <row r="363" spans="1:4">
      <c r="A363">
        <v>387</v>
      </c>
      <c r="B363" s="13">
        <v>45817</v>
      </c>
      <c r="C363" t="s">
        <v>1445</v>
      </c>
      <c r="D363" t="s">
        <v>2569</v>
      </c>
    </row>
    <row r="364" spans="1:4">
      <c r="A364">
        <v>388</v>
      </c>
      <c r="B364" s="13">
        <v>45818</v>
      </c>
      <c r="C364" t="s">
        <v>2484</v>
      </c>
      <c r="D364" t="s">
        <v>2585</v>
      </c>
    </row>
    <row r="365" spans="1:4">
      <c r="A365">
        <v>389</v>
      </c>
      <c r="B365" s="13">
        <v>45818</v>
      </c>
      <c r="C365" t="s">
        <v>1817</v>
      </c>
      <c r="D365" t="s">
        <v>2586</v>
      </c>
    </row>
    <row r="366" spans="1:4">
      <c r="A366">
        <v>390</v>
      </c>
      <c r="B366" s="13">
        <v>45818</v>
      </c>
      <c r="C366" t="s">
        <v>1445</v>
      </c>
      <c r="D366" t="s">
        <v>2587</v>
      </c>
    </row>
    <row r="367" spans="1:4">
      <c r="A367">
        <v>391</v>
      </c>
      <c r="B367" s="13">
        <v>45818</v>
      </c>
      <c r="C367" t="s">
        <v>1351</v>
      </c>
      <c r="D367" t="s">
        <v>2589</v>
      </c>
    </row>
    <row r="368" spans="1:4">
      <c r="A368">
        <v>392</v>
      </c>
      <c r="B368" s="13">
        <v>45818</v>
      </c>
      <c r="C368" t="s">
        <v>1626</v>
      </c>
      <c r="D368" t="s">
        <v>2590</v>
      </c>
    </row>
    <row r="369" spans="1:4">
      <c r="A369">
        <v>393</v>
      </c>
      <c r="B369" s="13">
        <v>45818</v>
      </c>
      <c r="C369" t="s">
        <v>1490</v>
      </c>
      <c r="D369" t="s">
        <v>2592</v>
      </c>
    </row>
    <row r="370" spans="1:4">
      <c r="A370">
        <v>394</v>
      </c>
      <c r="B370" s="13">
        <v>45818</v>
      </c>
      <c r="C370" t="s">
        <v>2427</v>
      </c>
      <c r="D370" t="s">
        <v>2596</v>
      </c>
    </row>
    <row r="371" spans="1:4">
      <c r="A371">
        <v>395</v>
      </c>
      <c r="B371" s="13">
        <v>45818</v>
      </c>
      <c r="C371" t="s">
        <v>1979</v>
      </c>
      <c r="D371" t="s">
        <v>2597</v>
      </c>
    </row>
    <row r="372" spans="1:4">
      <c r="A372">
        <v>396</v>
      </c>
      <c r="B372" s="13">
        <v>45819</v>
      </c>
      <c r="C372" t="s">
        <v>1495</v>
      </c>
      <c r="D372" t="s">
        <v>2601</v>
      </c>
    </row>
    <row r="373" spans="1:4">
      <c r="A373">
        <v>397</v>
      </c>
      <c r="B373" s="13">
        <v>45819</v>
      </c>
      <c r="C373" t="s">
        <v>2490</v>
      </c>
      <c r="D373" t="s">
        <v>2613</v>
      </c>
    </row>
    <row r="374" spans="1:4">
      <c r="A374">
        <v>398</v>
      </c>
      <c r="B374" s="13">
        <v>45819</v>
      </c>
      <c r="C374" t="s">
        <v>2614</v>
      </c>
      <c r="D374" t="s">
        <v>2615</v>
      </c>
    </row>
    <row r="375" spans="1:4">
      <c r="A375">
        <v>399</v>
      </c>
      <c r="B375" s="13">
        <v>45819</v>
      </c>
      <c r="C375" t="s">
        <v>1498</v>
      </c>
      <c r="D375" t="s">
        <v>2617</v>
      </c>
    </row>
    <row r="376" spans="1:4">
      <c r="A376">
        <v>400</v>
      </c>
      <c r="B376" s="13">
        <v>45819</v>
      </c>
      <c r="C376" t="s">
        <v>1418</v>
      </c>
      <c r="D376" t="s">
        <v>2618</v>
      </c>
    </row>
    <row r="377" spans="1:4">
      <c r="A377">
        <v>401</v>
      </c>
      <c r="B377" s="13">
        <v>45819</v>
      </c>
      <c r="C377" t="s">
        <v>2605</v>
      </c>
      <c r="D377" t="s">
        <v>2619</v>
      </c>
    </row>
    <row r="378" spans="1:4">
      <c r="A378">
        <v>402</v>
      </c>
      <c r="B378" s="13">
        <v>45819</v>
      </c>
      <c r="C378" t="s">
        <v>1495</v>
      </c>
      <c r="D378" t="s">
        <v>2620</v>
      </c>
    </row>
    <row r="379" spans="1:4">
      <c r="A379">
        <v>403</v>
      </c>
      <c r="B379" s="13">
        <v>45820</v>
      </c>
      <c r="C379" t="s">
        <v>1519</v>
      </c>
      <c r="D379" t="s">
        <v>2621</v>
      </c>
    </row>
    <row r="380" spans="1:4">
      <c r="A380">
        <v>404</v>
      </c>
      <c r="B380" s="13">
        <v>45820</v>
      </c>
      <c r="C380" t="s">
        <v>1519</v>
      </c>
      <c r="D380" t="s">
        <v>2623</v>
      </c>
    </row>
    <row r="381" spans="1:4">
      <c r="A381">
        <v>405</v>
      </c>
      <c r="B381" s="13">
        <v>45820</v>
      </c>
      <c r="C381" t="s">
        <v>1525</v>
      </c>
      <c r="D381" t="s">
        <v>2624</v>
      </c>
    </row>
    <row r="382" spans="1:4">
      <c r="A382">
        <v>406</v>
      </c>
      <c r="B382" s="13">
        <v>45821</v>
      </c>
      <c r="C382" t="s">
        <v>2625</v>
      </c>
      <c r="D382" t="s">
        <v>2631</v>
      </c>
    </row>
    <row r="383" spans="1:4">
      <c r="A383">
        <v>407</v>
      </c>
      <c r="B383" s="13">
        <v>45821</v>
      </c>
      <c r="C383" t="s">
        <v>1030</v>
      </c>
      <c r="D383" t="s">
        <v>2632</v>
      </c>
    </row>
    <row r="384" spans="1:4">
      <c r="A384">
        <v>408</v>
      </c>
      <c r="B384" s="13">
        <v>45821</v>
      </c>
      <c r="C384" t="s">
        <v>1885</v>
      </c>
      <c r="D384" t="s">
        <v>2633</v>
      </c>
    </row>
    <row r="385" spans="1:4">
      <c r="A385">
        <v>409</v>
      </c>
      <c r="B385" s="13">
        <v>45821</v>
      </c>
      <c r="C385" t="s">
        <v>2066</v>
      </c>
      <c r="D385" t="s">
        <v>2634</v>
      </c>
    </row>
    <row r="386" spans="1:4">
      <c r="A386">
        <v>410</v>
      </c>
      <c r="B386" s="13">
        <v>45821</v>
      </c>
      <c r="C386" t="s">
        <v>2635</v>
      </c>
      <c r="D386" t="s">
        <v>2636</v>
      </c>
    </row>
    <row r="387" spans="1:4">
      <c r="A387">
        <v>411</v>
      </c>
      <c r="B387" s="13">
        <v>45821</v>
      </c>
      <c r="C387" t="s">
        <v>1515</v>
      </c>
      <c r="D387" t="s">
        <v>2640</v>
      </c>
    </row>
    <row r="388" spans="1:4">
      <c r="A388">
        <v>412</v>
      </c>
      <c r="B388" s="13">
        <v>45821</v>
      </c>
      <c r="C388" t="s">
        <v>1540</v>
      </c>
      <c r="D388" t="s">
        <v>2647</v>
      </c>
    </row>
    <row r="389" spans="1:4">
      <c r="A389">
        <v>413</v>
      </c>
      <c r="B389" s="13">
        <v>45822</v>
      </c>
      <c r="C389" t="s">
        <v>1445</v>
      </c>
      <c r="D389" t="s">
        <v>2648</v>
      </c>
    </row>
    <row r="390" spans="1:4">
      <c r="A390">
        <v>414</v>
      </c>
      <c r="B390" s="13">
        <v>45822</v>
      </c>
      <c r="C390" t="s">
        <v>1587</v>
      </c>
      <c r="D390" t="s">
        <v>2649</v>
      </c>
    </row>
    <row r="391" spans="1:4">
      <c r="A391">
        <v>415</v>
      </c>
      <c r="B391" s="13">
        <v>45824</v>
      </c>
      <c r="C391" t="s">
        <v>1500</v>
      </c>
      <c r="D391" t="s">
        <v>2650</v>
      </c>
    </row>
    <row r="392" spans="1:4">
      <c r="A392">
        <v>416</v>
      </c>
      <c r="B392" s="13">
        <v>45824</v>
      </c>
      <c r="C392" t="s">
        <v>1030</v>
      </c>
      <c r="D392" t="s">
        <v>2655</v>
      </c>
    </row>
    <row r="393" spans="1:4">
      <c r="A393">
        <v>417</v>
      </c>
      <c r="B393" s="13">
        <v>45824</v>
      </c>
      <c r="C393" t="s">
        <v>1445</v>
      </c>
      <c r="D393" t="s">
        <v>2656</v>
      </c>
    </row>
    <row r="394" spans="1:4">
      <c r="A394">
        <v>418</v>
      </c>
      <c r="B394" s="13">
        <v>45825</v>
      </c>
      <c r="C394" t="s">
        <v>1424</v>
      </c>
      <c r="D394" t="s">
        <v>2657</v>
      </c>
    </row>
    <row r="395" spans="1:4">
      <c r="A395">
        <v>419</v>
      </c>
      <c r="B395" s="13">
        <v>45825</v>
      </c>
      <c r="C395" t="s">
        <v>1587</v>
      </c>
      <c r="D395" t="s">
        <v>2698</v>
      </c>
    </row>
    <row r="396" spans="1:4">
      <c r="A396">
        <v>420</v>
      </c>
      <c r="B396" s="13">
        <v>45825</v>
      </c>
      <c r="C396" t="s">
        <v>1445</v>
      </c>
      <c r="D396" t="s">
        <v>2701</v>
      </c>
    </row>
    <row r="397" spans="1:4">
      <c r="A397">
        <v>421</v>
      </c>
      <c r="B397" s="13">
        <v>45825</v>
      </c>
      <c r="C397" t="s">
        <v>2700</v>
      </c>
      <c r="D397" t="s">
        <v>2702</v>
      </c>
    </row>
    <row r="398" spans="1:4">
      <c r="A398">
        <v>422</v>
      </c>
      <c r="B398" s="13">
        <v>45826</v>
      </c>
      <c r="C398" t="s">
        <v>1030</v>
      </c>
      <c r="D398" t="s">
        <v>2708</v>
      </c>
    </row>
    <row r="399" spans="1:4">
      <c r="A399">
        <v>423</v>
      </c>
      <c r="B399" s="13">
        <v>45826</v>
      </c>
      <c r="C399" t="s">
        <v>1445</v>
      </c>
      <c r="D399" t="s">
        <v>2713</v>
      </c>
    </row>
    <row r="400" spans="1:4">
      <c r="A400">
        <v>424</v>
      </c>
      <c r="B400" s="13">
        <v>45826</v>
      </c>
      <c r="C400" t="s">
        <v>2614</v>
      </c>
      <c r="D400" t="s">
        <v>2715</v>
      </c>
    </row>
    <row r="401" spans="1:4">
      <c r="A401">
        <v>425</v>
      </c>
      <c r="B401" s="13">
        <v>45826</v>
      </c>
      <c r="C401" t="s">
        <v>2063</v>
      </c>
      <c r="D401" t="s">
        <v>2716</v>
      </c>
    </row>
    <row r="402" spans="1:4">
      <c r="A402">
        <v>426</v>
      </c>
      <c r="B402" s="13">
        <v>45826</v>
      </c>
      <c r="C402" t="s">
        <v>2398</v>
      </c>
      <c r="D402" t="s">
        <v>2717</v>
      </c>
    </row>
    <row r="403" spans="1:4">
      <c r="A403">
        <v>427</v>
      </c>
      <c r="B403" s="13">
        <v>45826</v>
      </c>
      <c r="C403" t="s">
        <v>1790</v>
      </c>
      <c r="D403" t="s">
        <v>2718</v>
      </c>
    </row>
    <row r="404" spans="1:4">
      <c r="A404">
        <v>428</v>
      </c>
      <c r="B404" s="13">
        <v>45826</v>
      </c>
      <c r="C404" t="s">
        <v>1445</v>
      </c>
      <c r="D404" t="s">
        <v>2719</v>
      </c>
    </row>
    <row r="405" spans="1:4">
      <c r="A405">
        <v>429</v>
      </c>
      <c r="B405" s="13">
        <v>45827</v>
      </c>
      <c r="C405" t="s">
        <v>2063</v>
      </c>
      <c r="D405" t="s">
        <v>2721</v>
      </c>
    </row>
    <row r="406" spans="1:4">
      <c r="A406">
        <v>430</v>
      </c>
      <c r="B406" s="13">
        <v>45827</v>
      </c>
      <c r="C406" t="s">
        <v>1495</v>
      </c>
      <c r="D406" t="s">
        <v>2722</v>
      </c>
    </row>
    <row r="407" spans="1:4">
      <c r="A407">
        <v>431</v>
      </c>
      <c r="B407" s="13">
        <v>45827</v>
      </c>
      <c r="C407" t="s">
        <v>2700</v>
      </c>
      <c r="D407" t="s">
        <v>2727</v>
      </c>
    </row>
    <row r="408" spans="1:4">
      <c r="A408">
        <v>432</v>
      </c>
      <c r="B408" s="13">
        <v>45827</v>
      </c>
      <c r="C408" t="s">
        <v>1445</v>
      </c>
      <c r="D408" t="s">
        <v>2730</v>
      </c>
    </row>
    <row r="409" spans="1:4">
      <c r="A409">
        <v>433</v>
      </c>
      <c r="B409" s="13">
        <v>45827</v>
      </c>
      <c r="C409" t="s">
        <v>1490</v>
      </c>
      <c r="D409" t="s">
        <v>2731</v>
      </c>
    </row>
    <row r="410" spans="1:4">
      <c r="A410">
        <v>434</v>
      </c>
      <c r="B410" s="13">
        <v>45827</v>
      </c>
      <c r="C410" t="s">
        <v>1790</v>
      </c>
      <c r="D410" t="s">
        <v>2732</v>
      </c>
    </row>
    <row r="411" spans="1:4">
      <c r="A411">
        <v>435</v>
      </c>
      <c r="B411" s="13">
        <v>45827</v>
      </c>
      <c r="C411" t="s">
        <v>2534</v>
      </c>
      <c r="D411" t="s">
        <v>2733</v>
      </c>
    </row>
    <row r="412" spans="1:4">
      <c r="A412">
        <v>436</v>
      </c>
      <c r="B412" s="13">
        <v>45827</v>
      </c>
      <c r="C412" t="s">
        <v>1626</v>
      </c>
      <c r="D412" t="s">
        <v>2735</v>
      </c>
    </row>
    <row r="413" spans="1:4">
      <c r="A413">
        <v>437</v>
      </c>
      <c r="B413" s="13">
        <v>45827</v>
      </c>
      <c r="C413" t="s">
        <v>1626</v>
      </c>
      <c r="D413" t="s">
        <v>2737</v>
      </c>
    </row>
    <row r="414" spans="1:4">
      <c r="A414">
        <v>438</v>
      </c>
      <c r="B414" s="13">
        <v>45828</v>
      </c>
      <c r="C414" t="s">
        <v>2745</v>
      </c>
      <c r="D414" t="s">
        <v>2746</v>
      </c>
    </row>
    <row r="415" spans="1:4">
      <c r="A415">
        <v>439</v>
      </c>
      <c r="B415" s="13">
        <v>45828</v>
      </c>
      <c r="C415" t="s">
        <v>1629</v>
      </c>
      <c r="D415" t="s">
        <v>2747</v>
      </c>
    </row>
    <row r="416" spans="1:4">
      <c r="A416">
        <v>440</v>
      </c>
      <c r="B416" s="13">
        <v>45828</v>
      </c>
      <c r="C416" t="s">
        <v>1027</v>
      </c>
      <c r="D416" t="s">
        <v>2748</v>
      </c>
    </row>
    <row r="417" spans="1:4">
      <c r="A417">
        <v>441</v>
      </c>
      <c r="B417" s="13">
        <v>45828</v>
      </c>
      <c r="C417" t="s">
        <v>1587</v>
      </c>
      <c r="D417" t="s">
        <v>2749</v>
      </c>
    </row>
    <row r="418" spans="1:4">
      <c r="A418">
        <v>442</v>
      </c>
      <c r="B418" s="13">
        <v>45828</v>
      </c>
      <c r="C418" t="s">
        <v>2750</v>
      </c>
      <c r="D418" t="s">
        <v>2751</v>
      </c>
    </row>
    <row r="419" spans="1:4">
      <c r="A419">
        <v>443</v>
      </c>
      <c r="B419" s="13">
        <v>45828</v>
      </c>
      <c r="C419" t="s">
        <v>1629</v>
      </c>
      <c r="D419" t="s">
        <v>2752</v>
      </c>
    </row>
    <row r="420" spans="1:4">
      <c r="A420">
        <v>444</v>
      </c>
      <c r="B420" s="13">
        <v>45828</v>
      </c>
      <c r="C420" t="s">
        <v>2760</v>
      </c>
      <c r="D420" t="s">
        <v>2761</v>
      </c>
    </row>
    <row r="421" spans="1:4">
      <c r="A421">
        <v>445</v>
      </c>
      <c r="B421" s="13">
        <v>45829</v>
      </c>
      <c r="C421" t="s">
        <v>1635</v>
      </c>
      <c r="D421" t="s">
        <v>2767</v>
      </c>
    </row>
    <row r="422" spans="1:4">
      <c r="A422">
        <v>446</v>
      </c>
      <c r="B422" s="13">
        <v>45829</v>
      </c>
      <c r="C422" t="s">
        <v>2641</v>
      </c>
      <c r="D422" t="s">
        <v>2768</v>
      </c>
    </row>
    <row r="423" spans="1:4">
      <c r="A423">
        <v>447</v>
      </c>
      <c r="B423" s="13">
        <v>45829</v>
      </c>
      <c r="C423" t="s">
        <v>1790</v>
      </c>
      <c r="D423" t="s">
        <v>2773</v>
      </c>
    </row>
    <row r="424" spans="1:4">
      <c r="A424">
        <v>448</v>
      </c>
      <c r="B424" s="13">
        <v>45831</v>
      </c>
      <c r="C424" t="s">
        <v>2774</v>
      </c>
      <c r="D424" t="s">
        <v>2775</v>
      </c>
    </row>
    <row r="425" spans="1:4">
      <c r="A425">
        <v>449</v>
      </c>
      <c r="B425" s="13">
        <v>45831</v>
      </c>
      <c r="C425" t="s">
        <v>2781</v>
      </c>
      <c r="D425" t="s">
        <v>2782</v>
      </c>
    </row>
    <row r="426" spans="1:4">
      <c r="A426">
        <v>450</v>
      </c>
      <c r="B426" s="13">
        <v>45832</v>
      </c>
      <c r="C426" t="s">
        <v>1183</v>
      </c>
      <c r="D426" t="s">
        <v>2788</v>
      </c>
    </row>
    <row r="427" spans="1:4">
      <c r="A427">
        <v>451</v>
      </c>
      <c r="B427" s="13">
        <v>45832</v>
      </c>
      <c r="C427" t="s">
        <v>1629</v>
      </c>
      <c r="D427" t="s">
        <v>2789</v>
      </c>
    </row>
    <row r="428" spans="1:4">
      <c r="A428">
        <v>452</v>
      </c>
      <c r="B428" s="13">
        <v>45832</v>
      </c>
      <c r="C428" t="s">
        <v>2614</v>
      </c>
      <c r="D428" t="s">
        <v>2797</v>
      </c>
    </row>
    <row r="429" spans="1:4">
      <c r="A429">
        <v>453</v>
      </c>
      <c r="B429" s="13">
        <v>45832</v>
      </c>
      <c r="C429" t="s">
        <v>2790</v>
      </c>
      <c r="D429" t="s">
        <v>2798</v>
      </c>
    </row>
    <row r="430" spans="1:4">
      <c r="A430">
        <v>454</v>
      </c>
      <c r="B430" s="13">
        <v>45832</v>
      </c>
      <c r="C430" t="s">
        <v>1790</v>
      </c>
      <c r="D430" t="s">
        <v>2799</v>
      </c>
    </row>
    <row r="431" spans="1:4">
      <c r="A431">
        <v>455</v>
      </c>
      <c r="B431" s="13">
        <v>45832</v>
      </c>
      <c r="C431" t="s">
        <v>1587</v>
      </c>
      <c r="D431" t="s">
        <v>2800</v>
      </c>
    </row>
    <row r="432" spans="1:4">
      <c r="A432">
        <v>456</v>
      </c>
      <c r="B432" s="13">
        <v>45833</v>
      </c>
      <c r="C432" t="s">
        <v>1060</v>
      </c>
      <c r="D432" t="s">
        <v>2807</v>
      </c>
    </row>
    <row r="433" spans="1:4">
      <c r="A433">
        <v>457</v>
      </c>
      <c r="B433" s="13">
        <v>45833</v>
      </c>
      <c r="C433" t="s">
        <v>987</v>
      </c>
      <c r="D433" t="s">
        <v>2808</v>
      </c>
    </row>
    <row r="434" spans="1:4">
      <c r="A434">
        <v>458</v>
      </c>
      <c r="B434" s="13">
        <v>45833</v>
      </c>
      <c r="C434" t="s">
        <v>1979</v>
      </c>
      <c r="D434" t="s">
        <v>2809</v>
      </c>
    </row>
    <row r="435" spans="1:4">
      <c r="A435">
        <v>459</v>
      </c>
      <c r="B435" s="13">
        <v>45833</v>
      </c>
      <c r="C435" t="s">
        <v>1647</v>
      </c>
      <c r="D435" t="s">
        <v>2811</v>
      </c>
    </row>
    <row r="436" spans="1:4">
      <c r="A436">
        <v>460</v>
      </c>
      <c r="B436" s="13">
        <v>45833</v>
      </c>
      <c r="C436" t="s">
        <v>2802</v>
      </c>
      <c r="D436" t="s">
        <v>2812</v>
      </c>
    </row>
    <row r="437" spans="1:4">
      <c r="A437">
        <v>461</v>
      </c>
      <c r="B437" s="13">
        <v>45833</v>
      </c>
      <c r="C437" t="s">
        <v>1069</v>
      </c>
      <c r="D437" t="s">
        <v>2819</v>
      </c>
    </row>
    <row r="438" spans="1:4">
      <c r="A438">
        <v>462</v>
      </c>
      <c r="B438" s="13">
        <v>45833</v>
      </c>
      <c r="C438" t="s">
        <v>1635</v>
      </c>
      <c r="D438" t="s">
        <v>2820</v>
      </c>
    </row>
    <row r="439" spans="1:4">
      <c r="A439">
        <v>463</v>
      </c>
      <c r="B439" s="13">
        <v>45833</v>
      </c>
      <c r="C439" t="s">
        <v>1525</v>
      </c>
      <c r="D439" t="s">
        <v>2827</v>
      </c>
    </row>
    <row r="440" spans="1:4">
      <c r="A440">
        <v>464</v>
      </c>
      <c r="B440" s="13">
        <v>45834</v>
      </c>
      <c r="C440" t="s">
        <v>1515</v>
      </c>
      <c r="D440" t="s">
        <v>2829</v>
      </c>
    </row>
    <row r="441" spans="1:4">
      <c r="A441">
        <v>465</v>
      </c>
      <c r="B441" s="13">
        <v>45834</v>
      </c>
      <c r="C441" t="s">
        <v>1790</v>
      </c>
      <c r="D441" t="s">
        <v>2834</v>
      </c>
    </row>
    <row r="442" spans="1:4">
      <c r="A442">
        <v>466</v>
      </c>
      <c r="B442" s="13">
        <v>45834</v>
      </c>
      <c r="C442" t="s">
        <v>1445</v>
      </c>
      <c r="D442" t="s">
        <v>2835</v>
      </c>
    </row>
    <row r="443" spans="1:4">
      <c r="A443">
        <v>467</v>
      </c>
      <c r="B443" s="13">
        <v>45834</v>
      </c>
      <c r="C443" t="s">
        <v>1445</v>
      </c>
      <c r="D443" t="s">
        <v>2839</v>
      </c>
    </row>
    <row r="444" spans="1:4">
      <c r="A444">
        <v>468</v>
      </c>
      <c r="B444" s="13">
        <v>45834</v>
      </c>
      <c r="C444" t="s">
        <v>1445</v>
      </c>
      <c r="D444" t="s">
        <v>2858</v>
      </c>
    </row>
    <row r="445" spans="1:4">
      <c r="A445">
        <v>469</v>
      </c>
      <c r="B445" s="13">
        <v>45834</v>
      </c>
      <c r="C445" t="s">
        <v>1069</v>
      </c>
      <c r="D445" t="s">
        <v>2863</v>
      </c>
    </row>
  </sheetData>
  <phoneticPr fontId="2" type="noConversion"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8475FB-B701-4E31-85ED-27AFC3218E22}">
  <sheetPr codeName="shtCustomer"/>
  <dimension ref="A1:R227"/>
  <sheetViews>
    <sheetView zoomScaleNormal="100" workbookViewId="0">
      <pane xSplit="1" ySplit="1" topLeftCell="B2" activePane="bottomRight" state="frozen"/>
      <selection activeCell="N26" sqref="N26"/>
      <selection pane="topRight" activeCell="N26" sqref="N26"/>
      <selection pane="bottomLeft" activeCell="N26" sqref="N26"/>
      <selection pane="bottomRight" activeCell="I2" sqref="I2"/>
    </sheetView>
  </sheetViews>
  <sheetFormatPr defaultColWidth="9" defaultRowHeight="16.5"/>
  <cols>
    <col min="1" max="1" width="7.75" bestFit="1" customWidth="1"/>
    <col min="2" max="2" width="21.75" customWidth="1"/>
    <col min="3" max="3" width="24.125" customWidth="1"/>
    <col min="4" max="4" width="13.125" customWidth="1"/>
    <col min="5" max="5" width="15" customWidth="1"/>
    <col min="6" max="6" width="45.875" customWidth="1"/>
    <col min="7" max="7" width="12.75" customWidth="1"/>
    <col min="8" max="8" width="31.25" customWidth="1"/>
    <col min="9" max="9" width="28.75" style="206" customWidth="1"/>
    <col min="10" max="10" width="11.625" style="52" bestFit="1" customWidth="1"/>
    <col min="11" max="11" width="11.625" bestFit="1" customWidth="1"/>
    <col min="12" max="12" width="10.25" bestFit="1" customWidth="1"/>
  </cols>
  <sheetData>
    <row r="1" spans="1:11" ht="17.25" thickBot="1">
      <c r="A1" s="66" t="s">
        <v>2</v>
      </c>
      <c r="B1" s="66" t="s">
        <v>8</v>
      </c>
      <c r="C1" s="66" t="s">
        <v>9</v>
      </c>
      <c r="D1" s="66" t="s">
        <v>40</v>
      </c>
      <c r="E1" s="66" t="s">
        <v>33</v>
      </c>
      <c r="F1" s="66" t="s">
        <v>10</v>
      </c>
      <c r="G1" s="66" t="s">
        <v>34</v>
      </c>
      <c r="H1" s="66" t="s">
        <v>35</v>
      </c>
      <c r="I1" s="210" t="s">
        <v>85</v>
      </c>
      <c r="J1" s="246">
        <v>149</v>
      </c>
      <c r="K1" s="52"/>
    </row>
    <row r="2" spans="1:11">
      <c r="A2">
        <v>1</v>
      </c>
      <c r="B2" t="s">
        <v>1319</v>
      </c>
      <c r="C2" t="s">
        <v>1682</v>
      </c>
      <c r="D2" t="s">
        <v>1683</v>
      </c>
      <c r="F2" t="s">
        <v>1684</v>
      </c>
      <c r="G2" t="s">
        <v>1685</v>
      </c>
      <c r="H2" t="s">
        <v>1686</v>
      </c>
      <c r="I2" s="206">
        <f>SUMIF(주문_리스트!C:C,거래처!B2,주문_리스트!K:K)+SUMIF(주문_리스트!C:C,거래처!B2,주문_리스트!L:L)-1543201</f>
        <v>4443999.5999999996</v>
      </c>
      <c r="J2" s="206" t="s">
        <v>2821</v>
      </c>
    </row>
    <row r="3" spans="1:11">
      <c r="A3">
        <v>2</v>
      </c>
      <c r="B3" t="s">
        <v>2740</v>
      </c>
      <c r="C3" t="s">
        <v>2741</v>
      </c>
      <c r="F3" t="s">
        <v>2742</v>
      </c>
      <c r="I3" s="206">
        <f>SUMIF(주문_리스트!C:C,거래처!B3,주문_리스트!K:K)+SUMIF(주문_리스트!C:C,거래처!B3,주문_리스트!L:L)</f>
        <v>0</v>
      </c>
    </row>
    <row r="4" spans="1:11">
      <c r="A4">
        <v>3</v>
      </c>
      <c r="B4" t="s">
        <v>1320</v>
      </c>
      <c r="C4" t="s">
        <v>1098</v>
      </c>
      <c r="F4" t="s">
        <v>1099</v>
      </c>
      <c r="I4" s="206">
        <f>SUMIF(주문_리스트!C:C,거래처!B4,주문_리스트!K:K)+SUMIF(주문_리스트!C:C,거래처!B4,주문_리스트!L:L)-2000000</f>
        <v>0</v>
      </c>
    </row>
    <row r="5" spans="1:11">
      <c r="A5">
        <v>4</v>
      </c>
      <c r="B5" t="s">
        <v>1195</v>
      </c>
      <c r="C5" t="s">
        <v>1196</v>
      </c>
      <c r="F5" t="s">
        <v>1197</v>
      </c>
      <c r="G5" t="s">
        <v>1198</v>
      </c>
      <c r="I5" s="206">
        <f>SUMIF(주문_리스트!C:C,거래처!B5,주문_리스트!K:K)+SUMIF(주문_리스트!C:C,거래처!B5,주문_리스트!L:L)</f>
        <v>0</v>
      </c>
    </row>
    <row r="6" spans="1:11">
      <c r="A6">
        <v>5</v>
      </c>
      <c r="B6" t="s">
        <v>1321</v>
      </c>
      <c r="C6" t="s">
        <v>2743</v>
      </c>
      <c r="F6" t="s">
        <v>2744</v>
      </c>
      <c r="G6" t="s">
        <v>1218</v>
      </c>
      <c r="I6" s="206">
        <f>SUMIF(주문_리스트!C:C,거래처!B6,주문_리스트!K:K)+SUMIF(주문_리스트!C:C,거래처!B6,주문_리스트!L:L)</f>
        <v>0</v>
      </c>
      <c r="J6" s="52" t="s">
        <v>2739</v>
      </c>
    </row>
    <row r="7" spans="1:11">
      <c r="A7">
        <v>6</v>
      </c>
      <c r="B7" t="s">
        <v>1322</v>
      </c>
      <c r="C7" t="s">
        <v>1084</v>
      </c>
      <c r="F7" t="s">
        <v>1085</v>
      </c>
      <c r="G7" t="s">
        <v>981</v>
      </c>
      <c r="I7" s="206">
        <f>SUMIF(주문_리스트!C:C,거래처!B7,주문_리스트!K:K)+SUMIF(주문_리스트!C:C,거래처!B7,주문_리스트!L:L)</f>
        <v>0</v>
      </c>
    </row>
    <row r="8" spans="1:11">
      <c r="A8">
        <v>7</v>
      </c>
      <c r="B8" t="s">
        <v>1336</v>
      </c>
      <c r="C8" t="s">
        <v>1110</v>
      </c>
      <c r="F8" t="s">
        <v>1111</v>
      </c>
      <c r="I8" s="206">
        <f>SUMIF(주문_리스트!C:C,거래처!B8,주문_리스트!K:K)+SUMIF(주문_리스트!C:C,거래처!B8,주문_리스트!L:L)</f>
        <v>0</v>
      </c>
    </row>
    <row r="9" spans="1:11">
      <c r="A9">
        <v>8</v>
      </c>
      <c r="B9" t="s">
        <v>1323</v>
      </c>
      <c r="C9" t="s">
        <v>1128</v>
      </c>
      <c r="F9" t="s">
        <v>1129</v>
      </c>
      <c r="I9" s="206">
        <f>SUMIF(주문_리스트!C:C,거래처!B9,주문_리스트!K:K)+SUMIF(주문_리스트!C:C,거래처!B9,주문_리스트!L:L)</f>
        <v>0</v>
      </c>
    </row>
    <row r="10" spans="1:11">
      <c r="A10">
        <v>9</v>
      </c>
      <c r="B10" t="s">
        <v>1324</v>
      </c>
      <c r="C10" t="s">
        <v>1867</v>
      </c>
      <c r="F10" t="s">
        <v>1325</v>
      </c>
      <c r="G10" t="s">
        <v>1863</v>
      </c>
      <c r="H10" t="s">
        <v>1868</v>
      </c>
      <c r="I10" s="206">
        <f>SUMIF(주문_리스트!C:C,거래처!B10,주문_리스트!K:K)+SUMIF(주문_리스트!C:C,거래처!B10,주문_리스트!L:L)</f>
        <v>0</v>
      </c>
      <c r="J10" s="52" t="s">
        <v>2412</v>
      </c>
    </row>
    <row r="11" spans="1:11">
      <c r="A11">
        <v>10</v>
      </c>
      <c r="B11" t="s">
        <v>1326</v>
      </c>
      <c r="C11" t="s">
        <v>1665</v>
      </c>
      <c r="F11" t="s">
        <v>1666</v>
      </c>
      <c r="G11" t="s">
        <v>970</v>
      </c>
      <c r="H11" t="s">
        <v>1667</v>
      </c>
      <c r="I11" s="206">
        <f>SUMIF(주문_리스트!C:C,거래처!B11,주문_리스트!K:K)+SUMIF(주문_리스트!C:C,거래처!B11,주문_리스트!L:L)+60000</f>
        <v>0</v>
      </c>
    </row>
    <row r="12" spans="1:11">
      <c r="A12">
        <v>11</v>
      </c>
      <c r="B12" t="s">
        <v>1327</v>
      </c>
      <c r="C12" t="s">
        <v>2226</v>
      </c>
      <c r="F12" t="s">
        <v>2227</v>
      </c>
      <c r="I12" s="206">
        <f>SUMIF(주문_리스트!C:C,거래처!B12,주문_리스트!K:K)+SUMIF(주문_리스트!C:C,거래처!B12,주문_리스트!L:L)</f>
        <v>0</v>
      </c>
    </row>
    <row r="13" spans="1:11">
      <c r="A13">
        <v>12</v>
      </c>
      <c r="B13" t="s">
        <v>1328</v>
      </c>
      <c r="C13" t="s">
        <v>1249</v>
      </c>
      <c r="F13" t="s">
        <v>1250</v>
      </c>
      <c r="G13" t="s">
        <v>2479</v>
      </c>
      <c r="H13" t="s">
        <v>2480</v>
      </c>
      <c r="I13" s="206">
        <f>SUMIF(주문_리스트!C:C,거래처!B13,주문_리스트!K:K)+SUMIF(주문_리스트!C:C,거래처!B13,주문_리스트!L:L)-1320000</f>
        <v>0</v>
      </c>
    </row>
    <row r="14" spans="1:11">
      <c r="A14">
        <v>13</v>
      </c>
      <c r="B14" t="s">
        <v>1329</v>
      </c>
      <c r="C14" t="s">
        <v>2642</v>
      </c>
      <c r="F14" t="s">
        <v>2643</v>
      </c>
      <c r="G14" t="s">
        <v>970</v>
      </c>
      <c r="H14" t="s">
        <v>2644</v>
      </c>
      <c r="I14" s="206">
        <f>SUMIF(주문_리스트!C:C,거래처!B14,주문_리스트!K:K)+SUMIF(주문_리스트!C:C,거래처!B14,주문_리스트!L:L)-1280000</f>
        <v>0</v>
      </c>
      <c r="J14" s="52" t="s">
        <v>2739</v>
      </c>
    </row>
    <row r="15" spans="1:11">
      <c r="A15">
        <v>14</v>
      </c>
      <c r="B15" t="s">
        <v>1330</v>
      </c>
      <c r="C15" t="s">
        <v>1106</v>
      </c>
      <c r="F15" t="s">
        <v>1107</v>
      </c>
      <c r="G15" t="s">
        <v>981</v>
      </c>
      <c r="I15" s="206">
        <f>SUMIF(주문_리스트!C:C,거래처!B15,주문_리스트!K:K)+SUMIF(주문_리스트!C:C,거래처!B15,주문_리스트!L:L)</f>
        <v>0</v>
      </c>
    </row>
    <row r="16" spans="1:11">
      <c r="A16">
        <v>15</v>
      </c>
      <c r="B16" t="s">
        <v>1331</v>
      </c>
      <c r="C16" t="s">
        <v>1096</v>
      </c>
      <c r="F16" t="s">
        <v>1097</v>
      </c>
      <c r="G16" t="s">
        <v>981</v>
      </c>
      <c r="I16" s="206">
        <f>SUMIF(주문_리스트!C:C,거래처!B16,주문_리스트!K:K)+SUMIF(주문_리스트!C:C,거래처!B16,주문_리스트!L:L)</f>
        <v>0</v>
      </c>
    </row>
    <row r="17" spans="1:11">
      <c r="A17">
        <v>16</v>
      </c>
      <c r="B17" t="s">
        <v>1332</v>
      </c>
      <c r="C17" t="s">
        <v>1033</v>
      </c>
      <c r="F17" t="s">
        <v>1034</v>
      </c>
      <c r="G17" t="s">
        <v>981</v>
      </c>
      <c r="I17" s="206">
        <f>SUMIF(주문_리스트!C:C,거래처!B17,주문_리스트!K:K)+SUMIF(주문_리스트!C:C,거래처!B17,주문_리스트!L:L)+13873000</f>
        <v>16261000.199999999</v>
      </c>
      <c r="J17" s="52" t="s">
        <v>2821</v>
      </c>
      <c r="K17" s="241">
        <f>I17+I57</f>
        <v>16949000.199999999</v>
      </c>
    </row>
    <row r="18" spans="1:11">
      <c r="A18">
        <v>17</v>
      </c>
      <c r="B18" t="s">
        <v>1333</v>
      </c>
      <c r="C18" t="s">
        <v>1214</v>
      </c>
      <c r="F18" t="s">
        <v>1215</v>
      </c>
      <c r="G18" t="s">
        <v>1216</v>
      </c>
      <c r="H18" t="s">
        <v>1217</v>
      </c>
      <c r="I18" s="206">
        <f>SUMIF(주문_리스트!C:C,거래처!B18,주문_리스트!K:K)+SUMIF(주문_리스트!C:C,거래처!B18,주문_리스트!L:L)-2524500</f>
        <v>0</v>
      </c>
    </row>
    <row r="19" spans="1:11">
      <c r="A19">
        <v>18</v>
      </c>
      <c r="B19" t="s">
        <v>1334</v>
      </c>
      <c r="C19" t="s">
        <v>1013</v>
      </c>
      <c r="F19" t="s">
        <v>1014</v>
      </c>
      <c r="G19" t="s">
        <v>981</v>
      </c>
      <c r="I19" s="206">
        <f>SUMIF(주문_리스트!C:C,거래처!B19,주문_리스트!K:K)+SUMIF(주문_리스트!C:C,거래처!B19,주문_리스트!L:L)+9970000</f>
        <v>470000</v>
      </c>
      <c r="J19" s="52" t="s">
        <v>2821</v>
      </c>
    </row>
    <row r="20" spans="1:11">
      <c r="A20">
        <v>19</v>
      </c>
      <c r="B20" t="s">
        <v>1335</v>
      </c>
      <c r="C20" t="s">
        <v>1274</v>
      </c>
      <c r="D20" t="s">
        <v>1275</v>
      </c>
      <c r="F20" t="s">
        <v>1276</v>
      </c>
      <c r="G20" t="s">
        <v>1268</v>
      </c>
      <c r="H20" t="s">
        <v>1145</v>
      </c>
      <c r="I20" s="206">
        <f>SUMIF(주문_리스트!C:C,거래처!B20,주문_리스트!K:K)+SUMIF(주문_리스트!C:C,거래처!B20,주문_리스트!L:L)-10000</f>
        <v>-0.30000000004656613</v>
      </c>
    </row>
    <row r="21" spans="1:11">
      <c r="A21">
        <v>20</v>
      </c>
      <c r="B21" t="s">
        <v>1277</v>
      </c>
      <c r="C21" t="s">
        <v>1278</v>
      </c>
      <c r="F21" t="s">
        <v>1279</v>
      </c>
      <c r="G21" t="s">
        <v>1280</v>
      </c>
      <c r="I21" s="206">
        <f>SUMIF(주문_리스트!C:C,거래처!B21,주문_리스트!K:K)+SUMIF(주문_리스트!C:C,거래처!B21,주문_리스트!L:L)</f>
        <v>0</v>
      </c>
    </row>
    <row r="22" spans="1:11">
      <c r="A22">
        <v>21</v>
      </c>
      <c r="B22" t="s">
        <v>1337</v>
      </c>
      <c r="C22" t="s">
        <v>1080</v>
      </c>
      <c r="F22" t="s">
        <v>1081</v>
      </c>
      <c r="G22" t="s">
        <v>981</v>
      </c>
      <c r="I22" s="206">
        <f>SUMIF(주문_리스트!C:C,거래처!B22,주문_리스트!K:K)+SUMIF(주문_리스트!C:C,거래처!B22,주문_리스트!L:L)</f>
        <v>0</v>
      </c>
    </row>
    <row r="23" spans="1:11">
      <c r="A23">
        <v>22</v>
      </c>
      <c r="B23" t="s">
        <v>1338</v>
      </c>
      <c r="C23" t="s">
        <v>1002</v>
      </c>
      <c r="F23" t="s">
        <v>1003</v>
      </c>
      <c r="I23" s="206">
        <f>SUMIF(주문_리스트!C:C,거래처!B23,주문_리스트!K:K)+SUMIF(주문_리스트!C:C,거래처!B23,주문_리스트!L:L)</f>
        <v>0</v>
      </c>
    </row>
    <row r="24" spans="1:11">
      <c r="A24">
        <v>23</v>
      </c>
      <c r="B24" t="s">
        <v>1339</v>
      </c>
      <c r="C24" t="s">
        <v>1094</v>
      </c>
      <c r="F24" t="s">
        <v>1095</v>
      </c>
      <c r="I24" s="206">
        <f>SUMIF(주문_리스트!C:C,거래처!B24,주문_리스트!K:K)+SUMIF(주문_리스트!C:C,거래처!B24,주문_리스트!L:L)</f>
        <v>0</v>
      </c>
    </row>
    <row r="25" spans="1:11">
      <c r="A25">
        <v>24</v>
      </c>
      <c r="B25" t="s">
        <v>1340</v>
      </c>
      <c r="C25" t="s">
        <v>1028</v>
      </c>
      <c r="F25" t="s">
        <v>1029</v>
      </c>
      <c r="G25" t="s">
        <v>981</v>
      </c>
      <c r="I25" s="206">
        <f>SUMIF(주문_리스트!C:C,거래처!B25,주문_리스트!K:K)+SUMIF(주문_리스트!C:C,거래처!B25,주문_리스트!L:L)-210000</f>
        <v>0</v>
      </c>
    </row>
    <row r="26" spans="1:11">
      <c r="A26">
        <v>25</v>
      </c>
      <c r="B26" t="s">
        <v>1341</v>
      </c>
      <c r="C26" t="s">
        <v>1058</v>
      </c>
      <c r="F26" t="s">
        <v>1059</v>
      </c>
      <c r="I26" s="206">
        <f>SUMIF(주문_리스트!C:C,거래처!B26,주문_리스트!K:K)+SUMIF(주문_리스트!C:C,거래처!B26,주문_리스트!L:L)-1200000</f>
        <v>1200000</v>
      </c>
      <c r="J26" s="52" t="s">
        <v>2821</v>
      </c>
    </row>
    <row r="27" spans="1:11">
      <c r="A27">
        <v>26</v>
      </c>
      <c r="B27" t="s">
        <v>1342</v>
      </c>
      <c r="C27" t="s">
        <v>998</v>
      </c>
      <c r="F27" t="s">
        <v>999</v>
      </c>
      <c r="G27" t="s">
        <v>970</v>
      </c>
      <c r="I27" s="206">
        <f>SUMIF(주문_리스트!C:C,거래처!B27,주문_리스트!K:K)+SUMIF(주문_리스트!C:C,거래처!B27,주문_리스트!L:L)</f>
        <v>0</v>
      </c>
    </row>
    <row r="28" spans="1:11">
      <c r="A28">
        <v>27</v>
      </c>
      <c r="B28" t="s">
        <v>1661</v>
      </c>
      <c r="C28" t="s">
        <v>1662</v>
      </c>
      <c r="F28" t="s">
        <v>1663</v>
      </c>
      <c r="G28" t="s">
        <v>1664</v>
      </c>
      <c r="H28" t="s">
        <v>234</v>
      </c>
      <c r="I28" s="206">
        <f>SUMIF(주문_리스트!C:C,거래처!B28,주문_리스트!K:K)+SUMIF(주문_리스트!C:C,거래처!B28,주문_리스트!L:L)-1683000</f>
        <v>0</v>
      </c>
      <c r="J28" s="52" t="s">
        <v>2821</v>
      </c>
    </row>
    <row r="29" spans="1:11">
      <c r="A29">
        <v>28</v>
      </c>
      <c r="B29" t="s">
        <v>1989</v>
      </c>
      <c r="C29" t="s">
        <v>1990</v>
      </c>
      <c r="F29" t="s">
        <v>1991</v>
      </c>
      <c r="G29" t="s">
        <v>1984</v>
      </c>
      <c r="H29" t="s">
        <v>1992</v>
      </c>
      <c r="I29" s="206">
        <f>SUMIF(주문_리스트!C:C,거래처!B29,주문_리스트!K:K)+SUMIF(주문_리스트!C:C,거래처!B29,주문_리스트!L:L)-3710000</f>
        <v>0</v>
      </c>
    </row>
    <row r="30" spans="1:11">
      <c r="A30">
        <v>29</v>
      </c>
      <c r="B30" t="s">
        <v>1100</v>
      </c>
      <c r="C30" t="s">
        <v>1101</v>
      </c>
      <c r="F30" t="s">
        <v>1102</v>
      </c>
      <c r="G30" t="s">
        <v>970</v>
      </c>
      <c r="I30" s="206">
        <f>SUMIF(주문_리스트!C:C,거래처!B30,주문_리스트!K:K)+SUMIF(주문_리스트!C:C,거래처!B30,주문_리스트!L:L)</f>
        <v>0</v>
      </c>
    </row>
    <row r="31" spans="1:11">
      <c r="A31">
        <v>30</v>
      </c>
      <c r="B31" t="s">
        <v>1343</v>
      </c>
      <c r="C31" t="s">
        <v>1780</v>
      </c>
      <c r="F31" t="s">
        <v>1781</v>
      </c>
      <c r="G31" t="s">
        <v>970</v>
      </c>
      <c r="H31" t="s">
        <v>1782</v>
      </c>
      <c r="I31" s="206">
        <f>SUMIF(주문_리스트!C:C,거래처!B31,주문_리스트!K:K)+SUMIF(주문_리스트!C:C,거래처!B31,주문_리스트!L:L)-1200000</f>
        <v>0</v>
      </c>
    </row>
    <row r="32" spans="1:11">
      <c r="A32">
        <v>31</v>
      </c>
      <c r="B32" t="s">
        <v>992</v>
      </c>
      <c r="C32" t="s">
        <v>993</v>
      </c>
      <c r="D32" t="s">
        <v>994</v>
      </c>
      <c r="F32" t="s">
        <v>995</v>
      </c>
      <c r="G32" t="s">
        <v>977</v>
      </c>
      <c r="H32" t="s">
        <v>996</v>
      </c>
      <c r="I32" s="206">
        <f>SUMIF(주문_리스트!C:C,거래처!B32,주문_리스트!K:K)+SUMIF(주문_리스트!C:C,거래처!B32,주문_리스트!L:L)</f>
        <v>1320000</v>
      </c>
      <c r="J32" s="52" t="s">
        <v>2821</v>
      </c>
    </row>
    <row r="33" spans="1:12">
      <c r="A33">
        <v>32</v>
      </c>
      <c r="B33" t="s">
        <v>1344</v>
      </c>
      <c r="C33" t="s">
        <v>1073</v>
      </c>
      <c r="F33" t="s">
        <v>1074</v>
      </c>
      <c r="I33" s="206">
        <f>SUMIF(주문_리스트!C:C,거래처!B33,주문_리스트!K:K)+SUMIF(주문_리스트!C:C,거래처!B33,주문_리스트!L:L)</f>
        <v>0</v>
      </c>
    </row>
    <row r="34" spans="1:12">
      <c r="A34">
        <v>33</v>
      </c>
      <c r="B34" t="s">
        <v>1345</v>
      </c>
      <c r="C34" t="s">
        <v>1126</v>
      </c>
      <c r="F34" t="s">
        <v>1127</v>
      </c>
      <c r="G34" t="s">
        <v>981</v>
      </c>
      <c r="I34" s="206">
        <f>SUMIF(주문_리스트!C:C,거래처!B34,주문_리스트!K:K)+SUMIF(주문_리스트!C:C,거래처!B34,주문_리스트!L:L)</f>
        <v>0</v>
      </c>
    </row>
    <row r="35" spans="1:12">
      <c r="A35">
        <v>34</v>
      </c>
      <c r="B35" t="s">
        <v>1346</v>
      </c>
      <c r="C35" t="s">
        <v>979</v>
      </c>
      <c r="F35" t="s">
        <v>980</v>
      </c>
      <c r="G35" t="s">
        <v>981</v>
      </c>
      <c r="I35" s="206">
        <f>SUMIF(주문_리스트!C:C,거래처!B35,주문_리스트!K:K)+SUMIF(주문_리스트!C:C,거래처!B35,주문_리스트!L:L)</f>
        <v>0</v>
      </c>
    </row>
    <row r="36" spans="1:12">
      <c r="A36">
        <v>35</v>
      </c>
      <c r="B36" t="s">
        <v>1618</v>
      </c>
      <c r="C36" t="s">
        <v>1598</v>
      </c>
      <c r="F36" t="s">
        <v>1599</v>
      </c>
      <c r="G36" t="s">
        <v>1619</v>
      </c>
      <c r="H36" t="s">
        <v>1620</v>
      </c>
      <c r="I36" s="206">
        <f>SUMIF(주문_리스트!C:C,거래처!B36,주문_리스트!K:K)+SUMIF(주문_리스트!C:C,거래처!B36,주문_리스트!L:L)-2200000</f>
        <v>0</v>
      </c>
    </row>
    <row r="37" spans="1:12">
      <c r="A37">
        <v>36</v>
      </c>
      <c r="B37" t="s">
        <v>1347</v>
      </c>
      <c r="C37" t="s">
        <v>24</v>
      </c>
      <c r="D37" t="s">
        <v>41</v>
      </c>
      <c r="E37" t="s">
        <v>965</v>
      </c>
      <c r="F37" t="s">
        <v>25</v>
      </c>
      <c r="G37" t="s">
        <v>29</v>
      </c>
      <c r="H37" t="s">
        <v>25</v>
      </c>
      <c r="I37" s="206">
        <f>SUMIF(주문_리스트!C:C,거래처!B37,주문_리스트!K:K)+SUMIF(주문_리스트!C:C,거래처!B37,주문_리스트!L:L)-6136000</f>
        <v>10614000</v>
      </c>
      <c r="J37" s="52" t="s">
        <v>2821</v>
      </c>
      <c r="L37" s="241">
        <f>SUM(I2:I147)</f>
        <v>61588499.300000004</v>
      </c>
    </row>
    <row r="38" spans="1:12">
      <c r="A38">
        <v>37</v>
      </c>
      <c r="B38" t="s">
        <v>1049</v>
      </c>
      <c r="C38" t="s">
        <v>973</v>
      </c>
      <c r="D38" t="s">
        <v>41</v>
      </c>
      <c r="F38" t="s">
        <v>974</v>
      </c>
      <c r="G38" t="s">
        <v>36</v>
      </c>
      <c r="H38" t="s">
        <v>1610</v>
      </c>
      <c r="I38" s="206">
        <f>SUMIF(주문_리스트!C:C,거래처!B38,주문_리스트!K:K)+SUMIF(주문_리스트!C:C,거래처!B38,주문_리스트!L:L)</f>
        <v>-9.999999962747097E-2</v>
      </c>
    </row>
    <row r="39" spans="1:12">
      <c r="A39">
        <v>38</v>
      </c>
      <c r="B39" t="s">
        <v>1348</v>
      </c>
      <c r="C39" t="s">
        <v>1438</v>
      </c>
      <c r="F39" t="s">
        <v>1439</v>
      </c>
      <c r="G39" t="s">
        <v>970</v>
      </c>
      <c r="H39" t="s">
        <v>1440</v>
      </c>
      <c r="I39" s="206">
        <f>SUMIF(주문_리스트!C:C,거래처!B39,주문_리스트!K:K)+SUMIF(주문_리스트!C:C,거래처!B39,주문_리스트!L:L)-2200000</f>
        <v>0</v>
      </c>
    </row>
    <row r="40" spans="1:12">
      <c r="A40">
        <v>39</v>
      </c>
      <c r="B40" t="s">
        <v>1349</v>
      </c>
      <c r="C40" t="s">
        <v>1007</v>
      </c>
      <c r="F40" t="s">
        <v>1008</v>
      </c>
      <c r="I40" s="206">
        <f>SUMIF(주문_리스트!C:C,거래처!B40,주문_리스트!K:K)+SUMIF(주문_리스트!C:C,거래처!B40,주문_리스트!L:L)</f>
        <v>0</v>
      </c>
    </row>
    <row r="41" spans="1:12">
      <c r="A41">
        <v>40</v>
      </c>
      <c r="B41" t="s">
        <v>1350</v>
      </c>
      <c r="C41" t="s">
        <v>1061</v>
      </c>
      <c r="F41" t="s">
        <v>1062</v>
      </c>
      <c r="G41" t="s">
        <v>981</v>
      </c>
      <c r="I41" s="206">
        <f>SUMIF(주문_리스트!C:C,거래처!B41,주문_리스트!K:K)+SUMIF(주문_리스트!C:C,거래처!B41,주문_리스트!L:L)</f>
        <v>0</v>
      </c>
      <c r="J41" s="52" t="s">
        <v>2821</v>
      </c>
    </row>
    <row r="42" spans="1:12">
      <c r="A42">
        <v>41</v>
      </c>
      <c r="B42" t="s">
        <v>1024</v>
      </c>
      <c r="C42" t="s">
        <v>1025</v>
      </c>
      <c r="F42" t="s">
        <v>1026</v>
      </c>
      <c r="G42" t="s">
        <v>984</v>
      </c>
      <c r="I42" s="206">
        <f>SUMIF(주문_리스트!C:C,거래처!B42,주문_리스트!K:K)+SUMIF(주문_리스트!C:C,거래처!B42,주문_리스트!L:L)</f>
        <v>0</v>
      </c>
    </row>
    <row r="43" spans="1:12">
      <c r="A43">
        <v>42</v>
      </c>
      <c r="B43" t="s">
        <v>1352</v>
      </c>
      <c r="C43" t="s">
        <v>1409</v>
      </c>
      <c r="F43" t="s">
        <v>1410</v>
      </c>
      <c r="G43" t="s">
        <v>2461</v>
      </c>
      <c r="H43" t="s">
        <v>2462</v>
      </c>
      <c r="I43" s="206">
        <f>SUMIF(주문_리스트!C:C,거래처!B43,주문_리스트!K:K)+SUMIF(주문_리스트!C:C,거래처!B43,주문_리스트!L:L)-1600000</f>
        <v>0</v>
      </c>
    </row>
    <row r="44" spans="1:12">
      <c r="A44">
        <v>43</v>
      </c>
      <c r="B44" t="s">
        <v>1353</v>
      </c>
      <c r="C44" t="s">
        <v>2803</v>
      </c>
      <c r="F44" t="s">
        <v>2804</v>
      </c>
      <c r="G44" t="s">
        <v>970</v>
      </c>
      <c r="H44" t="s">
        <v>2805</v>
      </c>
      <c r="I44" s="206">
        <f>SUMIF(주문_리스트!C:C,거래처!B44,주문_리스트!K:K)+SUMIF(주문_리스트!C:C,거래처!B44,주문_리스트!L:L)</f>
        <v>0</v>
      </c>
    </row>
    <row r="45" spans="1:12">
      <c r="A45">
        <v>44</v>
      </c>
      <c r="B45" t="s">
        <v>1354</v>
      </c>
      <c r="C45" t="s">
        <v>1103</v>
      </c>
      <c r="F45" t="s">
        <v>1104</v>
      </c>
      <c r="G45" t="s">
        <v>981</v>
      </c>
      <c r="I45" s="206">
        <f>SUMIF(주문_리스트!C:C,거래처!B45,주문_리스트!K:K)+SUMIF(주문_리스트!C:C,거래처!B45,주문_리스트!L:L)</f>
        <v>0</v>
      </c>
    </row>
    <row r="46" spans="1:12">
      <c r="A46">
        <v>45</v>
      </c>
      <c r="B46" t="s">
        <v>1355</v>
      </c>
      <c r="C46" t="s">
        <v>2575</v>
      </c>
      <c r="F46" t="s">
        <v>2577</v>
      </c>
      <c r="G46" t="s">
        <v>1218</v>
      </c>
      <c r="H46" t="s">
        <v>2576</v>
      </c>
      <c r="I46" s="206">
        <f>SUMIF(주문_리스트!C:C,거래처!B46,주문_리스트!K:K)+SUMIF(주문_리스트!C:C,거래처!B46,주문_리스트!L:L)</f>
        <v>200000</v>
      </c>
    </row>
    <row r="47" spans="1:12">
      <c r="A47">
        <v>46</v>
      </c>
      <c r="B47" t="s">
        <v>1356</v>
      </c>
      <c r="C47" t="s">
        <v>1092</v>
      </c>
      <c r="F47" t="s">
        <v>1093</v>
      </c>
      <c r="G47" t="s">
        <v>981</v>
      </c>
      <c r="I47" s="206">
        <f>SUMIF(주문_리스트!C:C,거래처!B47,주문_리스트!K:K)+SUMIF(주문_리스트!C:C,거래처!B47,주문_리스트!L:L)</f>
        <v>0</v>
      </c>
    </row>
    <row r="48" spans="1:12">
      <c r="A48">
        <v>47</v>
      </c>
      <c r="B48" t="s">
        <v>1357</v>
      </c>
      <c r="C48" t="s">
        <v>975</v>
      </c>
      <c r="F48" t="s">
        <v>976</v>
      </c>
      <c r="G48" t="s">
        <v>977</v>
      </c>
      <c r="H48" t="s">
        <v>978</v>
      </c>
      <c r="I48" s="206">
        <f>SUMIF(주문_리스트!C:C,거래처!B48,주문_리스트!K:K)+SUMIF(주문_리스트!C:C,거래처!B48,주문_리스트!L:L)</f>
        <v>0</v>
      </c>
    </row>
    <row r="49" spans="1:10">
      <c r="A49">
        <v>48</v>
      </c>
      <c r="B49" t="s">
        <v>1358</v>
      </c>
      <c r="C49" t="s">
        <v>1266</v>
      </c>
      <c r="F49" t="s">
        <v>1267</v>
      </c>
      <c r="G49" t="s">
        <v>1268</v>
      </c>
      <c r="H49" t="s">
        <v>1269</v>
      </c>
      <c r="I49" s="206">
        <f>SUMIF(주문_리스트!C:C,거래처!B49,주문_리스트!K:K)+SUMIF(주문_리스트!C:C,거래처!B49,주문_리스트!L:L)-5199000</f>
        <v>9.999999962747097E-2</v>
      </c>
    </row>
    <row r="50" spans="1:10">
      <c r="A50">
        <v>49</v>
      </c>
      <c r="B50" t="s">
        <v>1313</v>
      </c>
      <c r="C50" t="s">
        <v>1314</v>
      </c>
      <c r="F50" t="s">
        <v>1315</v>
      </c>
      <c r="I50" s="206">
        <f>SUMIF(주문_리스트!C:C,거래처!B50,주문_리스트!K:K)+SUMIF(주문_리스트!C:C,거래처!B50,주문_리스트!L:L)-1500000</f>
        <v>0</v>
      </c>
    </row>
    <row r="51" spans="1:10">
      <c r="A51">
        <v>50</v>
      </c>
      <c r="B51" t="s">
        <v>1316</v>
      </c>
      <c r="C51" t="s">
        <v>1317</v>
      </c>
      <c r="F51" t="s">
        <v>1318</v>
      </c>
      <c r="G51" t="s">
        <v>970</v>
      </c>
      <c r="H51" t="s">
        <v>1949</v>
      </c>
      <c r="I51" s="206">
        <f>SUMIF(주문_리스트!C:C,거래처!B51,주문_리스트!K:K)+SUMIF(주문_리스트!C:C,거래처!B51,주문_리스트!L:L)-3500000</f>
        <v>0</v>
      </c>
      <c r="J51" s="52" t="s">
        <v>2369</v>
      </c>
    </row>
    <row r="52" spans="1:10">
      <c r="A52">
        <v>51</v>
      </c>
      <c r="B52" t="s">
        <v>1359</v>
      </c>
      <c r="C52" t="s">
        <v>1442</v>
      </c>
      <c r="F52" t="s">
        <v>1443</v>
      </c>
      <c r="G52" t="s">
        <v>970</v>
      </c>
      <c r="H52" t="s">
        <v>1444</v>
      </c>
      <c r="I52" s="206">
        <f>SUMIF(주문_리스트!C:C,거래처!B52,주문_리스트!K:K)+SUMIF(주문_리스트!C:C,거래처!B52,주문_리스트!L:L)-650000</f>
        <v>0</v>
      </c>
    </row>
    <row r="53" spans="1:10">
      <c r="A53">
        <v>52</v>
      </c>
      <c r="B53" t="s">
        <v>1360</v>
      </c>
      <c r="C53" t="s">
        <v>1050</v>
      </c>
      <c r="F53" t="s">
        <v>1051</v>
      </c>
      <c r="G53" t="s">
        <v>981</v>
      </c>
      <c r="I53" s="206">
        <f>SUMIF(주문_리스트!C:C,거래처!B53,주문_리스트!K:K)+SUMIF(주문_리스트!C:C,거래처!B53,주문_리스트!L:L)</f>
        <v>0</v>
      </c>
    </row>
    <row r="54" spans="1:10">
      <c r="A54">
        <v>53</v>
      </c>
      <c r="B54" t="s">
        <v>1184</v>
      </c>
      <c r="C54" t="s">
        <v>1865</v>
      </c>
      <c r="F54" t="s">
        <v>2784</v>
      </c>
      <c r="G54" t="s">
        <v>36</v>
      </c>
      <c r="H54" t="s">
        <v>2785</v>
      </c>
      <c r="I54" s="206">
        <f>SUMIF(주문_리스트!C:C,거래처!B54,주문_리스트!K:K)+SUMIF(주문_리스트!C:C,거래처!B54,주문_리스트!L:L)-4015000</f>
        <v>2110000</v>
      </c>
      <c r="J54" s="52" t="s">
        <v>2821</v>
      </c>
    </row>
    <row r="55" spans="1:10">
      <c r="A55">
        <v>54</v>
      </c>
      <c r="B55" t="s">
        <v>1112</v>
      </c>
      <c r="C55" t="s">
        <v>1113</v>
      </c>
      <c r="F55" t="s">
        <v>1114</v>
      </c>
      <c r="G55" t="s">
        <v>977</v>
      </c>
      <c r="I55" s="206">
        <f>SUMIF(주문_리스트!C:C,거래처!B55,주문_리스트!K:K)+SUMIF(주문_리스트!C:C,거래처!B55,주문_리스트!L:L)</f>
        <v>0</v>
      </c>
    </row>
    <row r="56" spans="1:10">
      <c r="A56">
        <v>55</v>
      </c>
      <c r="B56" t="s">
        <v>1361</v>
      </c>
      <c r="C56" t="s">
        <v>1047</v>
      </c>
      <c r="F56" t="s">
        <v>1048</v>
      </c>
      <c r="G56" t="s">
        <v>981</v>
      </c>
      <c r="I56" s="206">
        <f>SUMIF(주문_리스트!C:C,거래처!B56,주문_리스트!K:K)+SUMIF(주문_리스트!C:C,거래처!B56,주문_리스트!L:L)</f>
        <v>0</v>
      </c>
    </row>
    <row r="57" spans="1:10">
      <c r="A57">
        <v>56</v>
      </c>
      <c r="B57" t="s">
        <v>1362</v>
      </c>
      <c r="C57" t="s">
        <v>30</v>
      </c>
      <c r="F57" t="s">
        <v>31</v>
      </c>
      <c r="I57" s="206">
        <f>SUMIF(주문_리스트!C:C,거래처!B57,주문_리스트!K:K)+SUMIF(주문_리스트!C:C,거래처!B57,주문_리스트!L:L)+3478000</f>
        <v>688000</v>
      </c>
      <c r="J57" s="52" t="s">
        <v>2821</v>
      </c>
    </row>
    <row r="58" spans="1:10">
      <c r="A58">
        <v>57</v>
      </c>
      <c r="B58" t="s">
        <v>1363</v>
      </c>
      <c r="C58" t="s">
        <v>1285</v>
      </c>
      <c r="F58" t="s">
        <v>1286</v>
      </c>
      <c r="G58" t="s">
        <v>970</v>
      </c>
      <c r="H58" t="s">
        <v>1287</v>
      </c>
      <c r="I58" s="206">
        <f>SUMIF(주문_리스트!C:C,거래처!B58,주문_리스트!K:K)+SUMIF(주문_리스트!C:C,거래처!B58,주문_리스트!L:L)-650000</f>
        <v>0</v>
      </c>
    </row>
    <row r="59" spans="1:10">
      <c r="A59">
        <v>58</v>
      </c>
      <c r="B59" t="s">
        <v>1364</v>
      </c>
      <c r="C59" t="s">
        <v>1017</v>
      </c>
      <c r="F59" t="s">
        <v>1018</v>
      </c>
      <c r="G59" t="s">
        <v>981</v>
      </c>
      <c r="I59" s="206">
        <f>SUMIF(주문_리스트!C:C,거래처!B59,주문_리스트!K:K)+SUMIF(주문_리스트!C:C,거래처!B59,주문_리스트!L:L)</f>
        <v>0</v>
      </c>
    </row>
    <row r="60" spans="1:10">
      <c r="A60">
        <v>59</v>
      </c>
      <c r="B60" t="s">
        <v>1009</v>
      </c>
      <c r="C60" t="s">
        <v>1010</v>
      </c>
      <c r="F60" t="s">
        <v>1011</v>
      </c>
      <c r="G60" t="s">
        <v>984</v>
      </c>
      <c r="I60" s="206">
        <f>SUMIF(주문_리스트!C:C,거래처!B60,주문_리스트!K:K)+SUMIF(주문_리스트!C:C,거래처!B60,주문_리스트!L:L)</f>
        <v>0</v>
      </c>
    </row>
    <row r="61" spans="1:10">
      <c r="A61">
        <v>60</v>
      </c>
      <c r="B61" t="s">
        <v>1365</v>
      </c>
      <c r="C61" t="s">
        <v>1057</v>
      </c>
      <c r="F61" t="s">
        <v>1673</v>
      </c>
      <c r="G61" t="s">
        <v>981</v>
      </c>
      <c r="I61" s="206">
        <f>SUMIF(주문_리스트!C:C,거래처!B61,주문_리스트!K:K)+SUMIF(주문_리스트!C:C,거래처!B61,주문_리스트!L:L)</f>
        <v>0</v>
      </c>
    </row>
    <row r="62" spans="1:10">
      <c r="A62">
        <v>61</v>
      </c>
      <c r="B62" t="s">
        <v>1366</v>
      </c>
      <c r="C62" t="s">
        <v>2753</v>
      </c>
      <c r="D62" t="s">
        <v>2754</v>
      </c>
      <c r="F62" t="s">
        <v>2755</v>
      </c>
      <c r="G62" t="s">
        <v>2756</v>
      </c>
      <c r="H62" t="s">
        <v>2757</v>
      </c>
      <c r="I62" s="206">
        <f>SUMIF(주문_리스트!C:C,거래처!B62,주문_리스트!K:K)+SUMIF(주문_리스트!C:C,거래처!B62,주문_리스트!L:L)</f>
        <v>0</v>
      </c>
      <c r="J62" s="52" t="s">
        <v>2759</v>
      </c>
    </row>
    <row r="63" spans="1:10">
      <c r="A63">
        <v>62</v>
      </c>
      <c r="B63" t="s">
        <v>1367</v>
      </c>
      <c r="C63" t="s">
        <v>1055</v>
      </c>
      <c r="F63" t="s">
        <v>1056</v>
      </c>
      <c r="G63" t="s">
        <v>981</v>
      </c>
      <c r="I63" s="206">
        <f>SUMIF(주문_리스트!C:C,거래처!B63,주문_리스트!K:K)+SUMIF(주문_리스트!C:C,거래처!B63,주문_리스트!L:L)</f>
        <v>0</v>
      </c>
    </row>
    <row r="64" spans="1:10">
      <c r="A64">
        <v>63</v>
      </c>
      <c r="B64" t="s">
        <v>1368</v>
      </c>
      <c r="C64" t="s">
        <v>1078</v>
      </c>
      <c r="F64" t="s">
        <v>1079</v>
      </c>
      <c r="G64" t="s">
        <v>981</v>
      </c>
      <c r="I64" s="206">
        <f>SUMIF(주문_리스트!C:C,거래처!B64,주문_리스트!K:K)+SUMIF(주문_리스트!C:C,거래처!B64,주문_리스트!L:L)</f>
        <v>0</v>
      </c>
    </row>
    <row r="65" spans="1:10">
      <c r="A65">
        <v>64</v>
      </c>
      <c r="B65" t="s">
        <v>1369</v>
      </c>
      <c r="C65" t="s">
        <v>2776</v>
      </c>
      <c r="F65" t="s">
        <v>2777</v>
      </c>
      <c r="G65" t="s">
        <v>2778</v>
      </c>
      <c r="H65" t="s">
        <v>2779</v>
      </c>
      <c r="I65" s="206">
        <f>SUMIF(주문_리스트!C:C,거래처!B65,주문_리스트!K:K)+SUMIF(주문_리스트!C:C,거래처!B65,주문_리스트!L:L)</f>
        <v>0</v>
      </c>
    </row>
    <row r="66" spans="1:10">
      <c r="A66">
        <v>65</v>
      </c>
      <c r="B66" t="s">
        <v>1225</v>
      </c>
      <c r="C66" t="s">
        <v>1226</v>
      </c>
      <c r="F66" t="s">
        <v>1227</v>
      </c>
      <c r="G66" t="s">
        <v>2133</v>
      </c>
      <c r="H66" t="s">
        <v>2134</v>
      </c>
      <c r="I66" s="206">
        <f>SUMIF(주문_리스트!C:C,거래처!B66,주문_리스트!K:K)+SUMIF(주문_리스트!C:C,거래처!B66,주문_리스트!L:L)</f>
        <v>0</v>
      </c>
    </row>
    <row r="67" spans="1:10">
      <c r="A67">
        <v>66</v>
      </c>
      <c r="B67" t="s">
        <v>1370</v>
      </c>
      <c r="C67" t="s">
        <v>1086</v>
      </c>
      <c r="F67" t="s">
        <v>1087</v>
      </c>
      <c r="G67" t="s">
        <v>981</v>
      </c>
      <c r="I67" s="206">
        <f>SUMIF(주문_리스트!C:C,거래처!B67,주문_리스트!K:K)+SUMIF(주문_리스트!C:C,거래처!B67,주문_리스트!L:L)</f>
        <v>0</v>
      </c>
    </row>
    <row r="68" spans="1:10">
      <c r="A68">
        <v>67</v>
      </c>
      <c r="B68" t="s">
        <v>1371</v>
      </c>
      <c r="C68" t="s">
        <v>1041</v>
      </c>
      <c r="F68" t="s">
        <v>1042</v>
      </c>
      <c r="G68" t="s">
        <v>981</v>
      </c>
      <c r="I68" s="206">
        <f>SUMIF(주문_리스트!C:C,거래처!B68,주문_리스트!K:K)+SUMIF(주문_리스트!C:C,거래처!B68,주문_리스트!L:L)-1000000</f>
        <v>0</v>
      </c>
    </row>
    <row r="69" spans="1:10">
      <c r="A69">
        <v>68</v>
      </c>
      <c r="B69" t="s">
        <v>1372</v>
      </c>
      <c r="C69" t="s">
        <v>1090</v>
      </c>
      <c r="F69" t="s">
        <v>1091</v>
      </c>
      <c r="I69" s="206">
        <f>SUMIF(주문_리스트!C:C,거래처!B69,주문_리스트!K:K)+SUMIF(주문_리스트!C:C,거래처!B69,주문_리스트!L:L)</f>
        <v>0</v>
      </c>
    </row>
    <row r="70" spans="1:10">
      <c r="A70">
        <v>69</v>
      </c>
      <c r="B70" t="s">
        <v>1373</v>
      </c>
      <c r="C70" t="s">
        <v>2196</v>
      </c>
      <c r="F70" t="s">
        <v>2197</v>
      </c>
      <c r="G70" t="s">
        <v>36</v>
      </c>
      <c r="H70" t="s">
        <v>2578</v>
      </c>
      <c r="I70" s="206">
        <f>SUMIF(주문_리스트!C:C,거래처!B70,주문_리스트!K:K)+SUMIF(주문_리스트!C:C,거래처!B70,주문_리스트!L:L)</f>
        <v>0</v>
      </c>
    </row>
    <row r="71" spans="1:10">
      <c r="A71">
        <v>70</v>
      </c>
      <c r="B71" t="s">
        <v>1374</v>
      </c>
      <c r="C71" t="s">
        <v>2645</v>
      </c>
      <c r="F71" t="s">
        <v>2646</v>
      </c>
      <c r="G71" t="s">
        <v>1218</v>
      </c>
      <c r="H71" t="s">
        <v>625</v>
      </c>
      <c r="I71" s="206">
        <f>SUMIF(주문_리스트!C:C,거래처!B71,주문_리스트!K:K)+SUMIF(주문_리스트!C:C,거래처!B71,주문_리스트!L:L)</f>
        <v>0</v>
      </c>
    </row>
    <row r="72" spans="1:10">
      <c r="A72">
        <v>71</v>
      </c>
      <c r="B72" t="s">
        <v>1375</v>
      </c>
      <c r="C72" t="s">
        <v>1053</v>
      </c>
      <c r="F72" t="s">
        <v>1054</v>
      </c>
      <c r="G72" t="s">
        <v>981</v>
      </c>
      <c r="I72" s="206">
        <f>SUMIF(주문_리스트!C:C,거래처!B72,주문_리스트!K:K)+SUMIF(주문_리스트!C:C,거래처!B72,주문_리스트!L:L)-1890000</f>
        <v>-180000</v>
      </c>
    </row>
    <row r="73" spans="1:10">
      <c r="A73">
        <v>72</v>
      </c>
      <c r="B73" t="s">
        <v>1534</v>
      </c>
      <c r="C73" t="s">
        <v>1535</v>
      </c>
      <c r="F73" t="s">
        <v>2060</v>
      </c>
      <c r="G73" t="s">
        <v>970</v>
      </c>
      <c r="H73" t="s">
        <v>1233</v>
      </c>
      <c r="I73" s="206">
        <f>SUMIF(주문_리스트!C:C,거래처!B73,주문_리스트!K:K)+SUMIF(주문_리스트!C:C,거래처!B73,주문_리스트!L:L)-3100000+1500000</f>
        <v>1550000</v>
      </c>
      <c r="J73" s="52" t="s">
        <v>2821</v>
      </c>
    </row>
    <row r="74" spans="1:10">
      <c r="A74">
        <v>73</v>
      </c>
      <c r="B74" t="s">
        <v>1419</v>
      </c>
      <c r="C74" t="s">
        <v>1420</v>
      </c>
      <c r="F74" t="s">
        <v>1421</v>
      </c>
      <c r="G74" t="s">
        <v>1422</v>
      </c>
      <c r="I74" s="206">
        <f>SUMIF(주문_리스트!C:C,거래처!B74,주문_리스트!K:K)+SUMIF(주문_리스트!C:C,거래처!B74,주문_리스트!L:L)-1500000</f>
        <v>600000</v>
      </c>
      <c r="J74" s="52" t="s">
        <v>2821</v>
      </c>
    </row>
    <row r="75" spans="1:10">
      <c r="A75">
        <v>74</v>
      </c>
      <c r="B75" t="s">
        <v>1376</v>
      </c>
      <c r="C75" t="s">
        <v>1004</v>
      </c>
      <c r="F75" t="s">
        <v>1377</v>
      </c>
      <c r="I75" s="206">
        <f>SUMIF(주문_리스트!C:C,거래처!B75,주문_리스트!K:K)+SUMIF(주문_리스트!C:C,거래처!B75,주문_리스트!L:L)</f>
        <v>0</v>
      </c>
    </row>
    <row r="76" spans="1:10">
      <c r="A76">
        <v>75</v>
      </c>
      <c r="B76" t="s">
        <v>1378</v>
      </c>
      <c r="C76" t="s">
        <v>1115</v>
      </c>
      <c r="F76" t="s">
        <v>1116</v>
      </c>
      <c r="G76" t="s">
        <v>981</v>
      </c>
      <c r="I76" s="206">
        <f>SUMIF(주문_리스트!C:C,거래처!B76,주문_리스트!K:K)+SUMIF(주문_리스트!C:C,거래처!B76,주문_리스트!L:L)-8677000</f>
        <v>2439000</v>
      </c>
      <c r="J76" s="52" t="s">
        <v>2821</v>
      </c>
    </row>
    <row r="77" spans="1:10">
      <c r="A77">
        <v>76</v>
      </c>
      <c r="B77" t="s">
        <v>1379</v>
      </c>
      <c r="C77" t="s">
        <v>1022</v>
      </c>
      <c r="F77" t="s">
        <v>1023</v>
      </c>
      <c r="G77" t="s">
        <v>981</v>
      </c>
      <c r="I77" s="206">
        <f>SUMIF(주문_리스트!C:C,거래처!B77,주문_리스트!K:K)+SUMIF(주문_리스트!C:C,거래처!B77,주문_리스트!L:L)-5800000</f>
        <v>0</v>
      </c>
      <c r="J77" s="52" t="s">
        <v>2739</v>
      </c>
    </row>
    <row r="78" spans="1:10">
      <c r="A78">
        <v>77</v>
      </c>
      <c r="B78" t="s">
        <v>1380</v>
      </c>
      <c r="C78" t="s">
        <v>1067</v>
      </c>
      <c r="F78" t="s">
        <v>1068</v>
      </c>
      <c r="I78" s="206">
        <f>SUMIF(주문_리스트!C:C,거래처!B78,주문_리스트!K:K)+SUMIF(주문_리스트!C:C,거래처!B78,주문_리스트!L:L)</f>
        <v>0</v>
      </c>
    </row>
    <row r="79" spans="1:10">
      <c r="A79">
        <v>78</v>
      </c>
      <c r="B79" t="s">
        <v>1381</v>
      </c>
      <c r="C79" t="s">
        <v>61</v>
      </c>
      <c r="D79" t="s">
        <v>994</v>
      </c>
      <c r="F79" t="s">
        <v>62</v>
      </c>
      <c r="G79" t="s">
        <v>981</v>
      </c>
      <c r="I79" s="206">
        <f>SUMIF(주문_리스트!C:C,거래처!B79,주문_리스트!K:K)+SUMIF(주문_리스트!C:C,거래처!B79,주문_리스트!L:L)+84700</f>
        <v>8560000</v>
      </c>
      <c r="J79" s="52" t="s">
        <v>2821</v>
      </c>
    </row>
    <row r="80" spans="1:10">
      <c r="A80">
        <v>79</v>
      </c>
      <c r="B80" t="s">
        <v>1382</v>
      </c>
      <c r="C80" t="s">
        <v>1120</v>
      </c>
      <c r="F80" t="s">
        <v>1121</v>
      </c>
      <c r="I80" s="206">
        <f>SUMIF(주문_리스트!C:C,거래처!B80,주문_리스트!K:K)+SUMIF(주문_리스트!C:C,거래처!B80,주문_리스트!L:L)</f>
        <v>0</v>
      </c>
    </row>
    <row r="81" spans="1:10">
      <c r="A81">
        <v>80</v>
      </c>
      <c r="B81" t="s">
        <v>1383</v>
      </c>
      <c r="C81" t="s">
        <v>1088</v>
      </c>
      <c r="F81" t="s">
        <v>1089</v>
      </c>
      <c r="I81" s="206">
        <f>SUMIF(주문_리스트!C:C,거래처!B81,주문_리스트!K:K)+SUMIF(주문_리스트!C:C,거래처!B81,주문_리스트!L:L)</f>
        <v>0</v>
      </c>
    </row>
    <row r="82" spans="1:10">
      <c r="A82">
        <v>81</v>
      </c>
      <c r="B82" t="s">
        <v>1384</v>
      </c>
      <c r="C82" t="s">
        <v>1005</v>
      </c>
      <c r="F82" t="s">
        <v>1006</v>
      </c>
      <c r="I82" s="206">
        <f>SUMIF(주문_리스트!C:C,거래처!B82,주문_리스트!K:K)+SUMIF(주문_리스트!C:C,거래처!B82,주문_리스트!L:L)-1200000</f>
        <v>0</v>
      </c>
    </row>
    <row r="83" spans="1:10">
      <c r="A83">
        <v>82</v>
      </c>
      <c r="B83" t="s">
        <v>1385</v>
      </c>
      <c r="C83" t="s">
        <v>1045</v>
      </c>
      <c r="F83" t="s">
        <v>1046</v>
      </c>
      <c r="G83" t="s">
        <v>970</v>
      </c>
      <c r="I83" s="206">
        <f>SUMIF(주문_리스트!C:C,거래처!B83,주문_리스트!K:K)+SUMIF(주문_리스트!C:C,거래처!B83,주문_리스트!L:L)</f>
        <v>0</v>
      </c>
    </row>
    <row r="84" spans="1:10">
      <c r="A84">
        <v>83</v>
      </c>
      <c r="B84" t="s">
        <v>1386</v>
      </c>
      <c r="C84" t="s">
        <v>1208</v>
      </c>
      <c r="F84" t="s">
        <v>1209</v>
      </c>
      <c r="G84" t="s">
        <v>970</v>
      </c>
      <c r="H84" t="s">
        <v>358</v>
      </c>
      <c r="I84" s="206">
        <f>SUMIF(주문_리스트!C:C,거래처!B84,주문_리스트!K:K)+SUMIF(주문_리스트!C:C,거래처!B84,주문_리스트!L:L)-1100000</f>
        <v>1500000</v>
      </c>
      <c r="J84" s="52" t="s">
        <v>2821</v>
      </c>
    </row>
    <row r="85" spans="1:10">
      <c r="A85">
        <v>84</v>
      </c>
      <c r="B85" t="s">
        <v>1387</v>
      </c>
      <c r="C85" t="s">
        <v>1043</v>
      </c>
      <c r="F85" t="s">
        <v>1044</v>
      </c>
      <c r="G85" t="s">
        <v>981</v>
      </c>
      <c r="I85" s="206">
        <f>SUMIF(주문_리스트!C:C,거래처!B85,주문_리스트!K:K)+SUMIF(주문_리스트!C:C,거래처!B85,주문_리스트!L:L)</f>
        <v>0</v>
      </c>
    </row>
    <row r="86" spans="1:10">
      <c r="A86">
        <v>85</v>
      </c>
      <c r="B86" t="s">
        <v>1388</v>
      </c>
      <c r="C86" t="s">
        <v>1000</v>
      </c>
      <c r="F86" t="s">
        <v>1001</v>
      </c>
      <c r="I86" s="206">
        <f>SUMIF(주문_리스트!C:C,거래처!B86,주문_리스트!K:K)+SUMIF(주문_리스트!C:C,거래처!B86,주문_리스트!L:L)</f>
        <v>0</v>
      </c>
    </row>
    <row r="87" spans="1:10">
      <c r="A87">
        <v>86</v>
      </c>
      <c r="B87" t="s">
        <v>1389</v>
      </c>
      <c r="C87" t="s">
        <v>1063</v>
      </c>
      <c r="F87" t="s">
        <v>1064</v>
      </c>
      <c r="G87" t="s">
        <v>984</v>
      </c>
      <c r="I87" s="206">
        <f>SUMIF(주문_리스트!C:C,거래처!B87,주문_리스트!K:K)+SUMIF(주문_리스트!C:C,거래처!B87,주문_리스트!L:L)-650000</f>
        <v>0</v>
      </c>
    </row>
    <row r="88" spans="1:10">
      <c r="A88">
        <v>87</v>
      </c>
      <c r="B88" t="s">
        <v>1390</v>
      </c>
      <c r="C88" t="s">
        <v>2048</v>
      </c>
      <c r="F88" t="s">
        <v>2047</v>
      </c>
      <c r="G88" t="s">
        <v>970</v>
      </c>
      <c r="H88" t="s">
        <v>2053</v>
      </c>
      <c r="I88" s="206">
        <f>SUMIF(주문_리스트!C:C,거래처!B88,주문_리스트!K:K)+SUMIF(주문_리스트!C:C,거래처!B88,주문_리스트!L:L)-3130000</f>
        <v>0</v>
      </c>
    </row>
    <row r="89" spans="1:10">
      <c r="A89">
        <v>88</v>
      </c>
      <c r="B89" t="s">
        <v>1391</v>
      </c>
      <c r="C89" t="s">
        <v>1993</v>
      </c>
      <c r="F89" t="s">
        <v>1994</v>
      </c>
      <c r="G89" t="s">
        <v>970</v>
      </c>
      <c r="H89" t="s">
        <v>1995</v>
      </c>
      <c r="I89" s="206">
        <f>SUMIF(주문_리스트!C:C,거래처!B89,주문_리스트!K:K)+SUMIF(주문_리스트!C:C,거래처!B89,주문_리스트!L:L)</f>
        <v>0</v>
      </c>
    </row>
    <row r="90" spans="1:10">
      <c r="A90">
        <v>89</v>
      </c>
      <c r="B90" t="s">
        <v>1392</v>
      </c>
      <c r="C90" t="s">
        <v>1122</v>
      </c>
      <c r="F90" t="s">
        <v>1123</v>
      </c>
      <c r="I90" s="206">
        <f>SUMIF(주문_리스트!C:C,거래처!B90,주문_리스트!K:K)+SUMIF(주문_리스트!C:C,거래처!B90,주문_리스트!L:L)</f>
        <v>0</v>
      </c>
    </row>
    <row r="91" spans="1:10">
      <c r="A91">
        <v>90</v>
      </c>
      <c r="B91" t="s">
        <v>1393</v>
      </c>
      <c r="C91" t="s">
        <v>2514</v>
      </c>
      <c r="F91" t="s">
        <v>2515</v>
      </c>
      <c r="G91" t="s">
        <v>2516</v>
      </c>
      <c r="I91" s="206">
        <f>SUMIF(주문_리스트!C:C,거래처!B91,주문_리스트!K:K)+SUMIF(주문_리스트!C:C,거래처!B91,주문_리스트!L:L)-700000</f>
        <v>0</v>
      </c>
      <c r="J91" s="52" t="s">
        <v>2599</v>
      </c>
    </row>
    <row r="92" spans="1:10">
      <c r="A92">
        <v>91</v>
      </c>
      <c r="B92" t="s">
        <v>1394</v>
      </c>
      <c r="C92" t="s">
        <v>1914</v>
      </c>
      <c r="D92" t="s">
        <v>1915</v>
      </c>
      <c r="F92" t="s">
        <v>1916</v>
      </c>
      <c r="G92" t="s">
        <v>1917</v>
      </c>
      <c r="H92" t="s">
        <v>1918</v>
      </c>
      <c r="I92" s="206">
        <f>SUMIF(주문_리스트!C:C,거래처!B92,주문_리스트!K:K)+SUMIF(주문_리스트!C:C,거래처!B92,주문_리스트!L:L)-2089000</f>
        <v>0.10000000009313226</v>
      </c>
    </row>
    <row r="93" spans="1:10">
      <c r="A93">
        <v>92</v>
      </c>
      <c r="B93" t="s">
        <v>1395</v>
      </c>
      <c r="C93" t="s">
        <v>1065</v>
      </c>
      <c r="F93" t="s">
        <v>1066</v>
      </c>
      <c r="I93" s="206">
        <f>SUMIF(주문_리스트!C:C,거래처!B93,주문_리스트!K:K)+SUMIF(주문_리스트!C:C,거래처!B93,주문_리스트!L:L)</f>
        <v>0</v>
      </c>
    </row>
    <row r="94" spans="1:10">
      <c r="A94">
        <v>93</v>
      </c>
      <c r="B94" t="s">
        <v>2320</v>
      </c>
      <c r="C94" t="s">
        <v>2321</v>
      </c>
      <c r="F94" t="s">
        <v>2322</v>
      </c>
      <c r="G94" t="s">
        <v>2323</v>
      </c>
      <c r="I94" s="206">
        <f>SUMIF(주문_리스트!C:C,거래처!B94,주문_리스트!K:K)+SUMIF(주문_리스트!C:C,거래처!B94,주문_리스트!L:L)-1320000</f>
        <v>0</v>
      </c>
      <c r="J94" s="52" t="s">
        <v>2821</v>
      </c>
    </row>
    <row r="95" spans="1:10">
      <c r="A95">
        <v>94</v>
      </c>
      <c r="B95" t="s">
        <v>1396</v>
      </c>
      <c r="C95" t="s">
        <v>1889</v>
      </c>
      <c r="F95" t="s">
        <v>1890</v>
      </c>
      <c r="G95" t="s">
        <v>970</v>
      </c>
      <c r="H95" t="s">
        <v>1891</v>
      </c>
      <c r="I95" s="206">
        <f>SUMIF(주문_리스트!C:C,거래처!B95,주문_리스트!K:K)+SUMIF(주문_리스트!C:C,거래처!B95,주문_리스트!L:L)-715000</f>
        <v>0</v>
      </c>
    </row>
    <row r="96" spans="1:10">
      <c r="A96">
        <v>95</v>
      </c>
      <c r="B96" t="s">
        <v>1397</v>
      </c>
      <c r="C96" t="s">
        <v>1082</v>
      </c>
      <c r="F96" t="s">
        <v>1083</v>
      </c>
      <c r="I96" s="206">
        <f>SUMIF(주문_리스트!C:C,거래처!B96,주문_리스트!K:K)+SUMIF(주문_리스트!C:C,거래처!B96,주문_리스트!L:L)</f>
        <v>0</v>
      </c>
    </row>
    <row r="97" spans="1:18">
      <c r="A97">
        <v>96</v>
      </c>
      <c r="B97" t="s">
        <v>1398</v>
      </c>
      <c r="C97" t="s">
        <v>27</v>
      </c>
      <c r="D97" t="s">
        <v>41</v>
      </c>
      <c r="E97" t="s">
        <v>78</v>
      </c>
      <c r="F97" t="s">
        <v>28</v>
      </c>
      <c r="G97" t="s">
        <v>42</v>
      </c>
      <c r="H97" t="s">
        <v>28</v>
      </c>
      <c r="I97" s="206">
        <f>SUMIF(주문_리스트!C:C,거래처!B97,주문_리스트!K:K)+SUMIF(주문_리스트!C:C,거래처!B97,주문_리스트!L:L)-650000</f>
        <v>0</v>
      </c>
      <c r="J97" s="52" t="s">
        <v>2759</v>
      </c>
    </row>
    <row r="98" spans="1:18">
      <c r="A98">
        <v>97</v>
      </c>
      <c r="B98" t="s">
        <v>1399</v>
      </c>
      <c r="C98" t="s">
        <v>1968</v>
      </c>
      <c r="F98" t="s">
        <v>1969</v>
      </c>
      <c r="G98" t="s">
        <v>970</v>
      </c>
      <c r="H98" t="s">
        <v>1970</v>
      </c>
      <c r="I98" s="206">
        <f>SUMIF(주문_리스트!C:C,거래처!B98,주문_리스트!K:K)+SUMIF(주문_리스트!C:C,거래처!B98,주문_리스트!L:L)-650000</f>
        <v>0</v>
      </c>
    </row>
    <row r="99" spans="1:18">
      <c r="A99">
        <v>98</v>
      </c>
      <c r="B99" t="s">
        <v>1075</v>
      </c>
      <c r="C99" t="s">
        <v>1076</v>
      </c>
      <c r="D99" t="s">
        <v>41</v>
      </c>
      <c r="F99" t="s">
        <v>1077</v>
      </c>
      <c r="G99" t="s">
        <v>37</v>
      </c>
      <c r="H99" t="s">
        <v>2574</v>
      </c>
      <c r="I99" s="206">
        <f>SUMIF(주문_리스트!C:C,거래처!B99,주문_리스트!K:K)+SUMIF(주문_리스트!C:C,거래처!B99,주문_리스트!L:L)</f>
        <v>0</v>
      </c>
      <c r="J99" s="52" t="s">
        <v>2739</v>
      </c>
    </row>
    <row r="100" spans="1:18">
      <c r="A100">
        <v>99</v>
      </c>
      <c r="B100" t="s">
        <v>2570</v>
      </c>
      <c r="C100" t="s">
        <v>2571</v>
      </c>
      <c r="F100" t="s">
        <v>2572</v>
      </c>
      <c r="G100" t="s">
        <v>2573</v>
      </c>
      <c r="H100" t="s">
        <v>222</v>
      </c>
      <c r="I100" s="206">
        <f>SUMIF(주문_리스트!C:C,거래처!B100,주문_리스트!K:K)+SUMIF(주문_리스트!C:C,거래처!B100,주문_리스트!L:L)-2286900</f>
        <v>0</v>
      </c>
    </row>
    <row r="101" spans="1:18">
      <c r="A101">
        <v>100</v>
      </c>
      <c r="B101" t="s">
        <v>988</v>
      </c>
      <c r="C101" t="s">
        <v>989</v>
      </c>
      <c r="D101" t="s">
        <v>990</v>
      </c>
      <c r="F101" t="s">
        <v>991</v>
      </c>
      <c r="G101" t="s">
        <v>977</v>
      </c>
      <c r="H101" t="s">
        <v>140</v>
      </c>
      <c r="I101" s="206">
        <f>SUMIF(주문_리스트!C:C,거래처!B101,주문_리스트!K:K)+SUMIF(주문_리스트!C:C,거래처!B101,주문_리스트!L:L)-2824500</f>
        <v>1429999.7000000002</v>
      </c>
      <c r="J101" s="52" t="s">
        <v>2821</v>
      </c>
    </row>
    <row r="102" spans="1:18">
      <c r="A102">
        <v>101</v>
      </c>
      <c r="B102" t="s">
        <v>1400</v>
      </c>
      <c r="C102" t="s">
        <v>982</v>
      </c>
      <c r="F102" t="s">
        <v>983</v>
      </c>
      <c r="G102" t="s">
        <v>970</v>
      </c>
      <c r="I102" s="206">
        <f>SUMIF(주문_리스트!C:C,거래처!B102,주문_리스트!K:K)+SUMIF(주문_리스트!C:C,거래처!B102,주문_리스트!L:L)</f>
        <v>0</v>
      </c>
    </row>
    <row r="103" spans="1:18">
      <c r="A103">
        <v>102</v>
      </c>
      <c r="B103" t="s">
        <v>1070</v>
      </c>
      <c r="C103" t="s">
        <v>1071</v>
      </c>
      <c r="F103" t="s">
        <v>1072</v>
      </c>
      <c r="G103" t="s">
        <v>981</v>
      </c>
      <c r="I103" s="206">
        <f>SUMIF(주문_리스트!C:C,거래처!B103,주문_리스트!K:K)+SUMIF(주문_리스트!C:C,거래처!B103,주문_리스트!L:L)</f>
        <v>0</v>
      </c>
    </row>
    <row r="104" spans="1:18">
      <c r="A104">
        <v>103</v>
      </c>
      <c r="B104" t="s">
        <v>1401</v>
      </c>
      <c r="C104" t="s">
        <v>1015</v>
      </c>
      <c r="F104" t="s">
        <v>1016</v>
      </c>
      <c r="G104" t="s">
        <v>981</v>
      </c>
      <c r="I104" s="206">
        <f>SUMIF(주문_리스트!C:C,거래처!B104,주문_리스트!K:K)+SUMIF(주문_리스트!C:C,거래처!B104,주문_리스트!L:L)-3050000</f>
        <v>0</v>
      </c>
    </row>
    <row r="105" spans="1:18">
      <c r="A105">
        <v>104</v>
      </c>
      <c r="B105" t="s">
        <v>1402</v>
      </c>
      <c r="C105" t="s">
        <v>2399</v>
      </c>
      <c r="D105" t="s">
        <v>2400</v>
      </c>
      <c r="F105" t="s">
        <v>2401</v>
      </c>
      <c r="G105" t="s">
        <v>2402</v>
      </c>
      <c r="I105" s="206">
        <f>SUMIF(주문_리스트!C:C,거래처!B105,주문_리스트!K:K)+SUMIF(주문_리스트!C:C,거래처!B105,주문_리스트!L:L)</f>
        <v>0</v>
      </c>
    </row>
    <row r="106" spans="1:18">
      <c r="A106">
        <v>105</v>
      </c>
      <c r="B106" t="s">
        <v>1117</v>
      </c>
      <c r="C106" t="s">
        <v>1118</v>
      </c>
      <c r="F106" t="s">
        <v>1119</v>
      </c>
      <c r="I106" s="206">
        <f>SUMIF(주문_리스트!C:C,거래처!B106,주문_리스트!K:K)+SUMIF(주문_리스트!C:C,거래처!B106,주문_리스트!L:L)</f>
        <v>0</v>
      </c>
    </row>
    <row r="107" spans="1:18">
      <c r="A107">
        <v>106</v>
      </c>
      <c r="B107" t="s">
        <v>1038</v>
      </c>
      <c r="C107" t="s">
        <v>1039</v>
      </c>
      <c r="F107" t="s">
        <v>1040</v>
      </c>
      <c r="I107" s="206">
        <f>SUMIF(주문_리스트!C:C,거래처!B107,주문_리스트!K:K)+SUMIF(주문_리스트!C:C,거래처!B107,주문_리스트!L:L)-450000</f>
        <v>0</v>
      </c>
    </row>
    <row r="108" spans="1:18">
      <c r="A108">
        <v>107</v>
      </c>
      <c r="B108" t="s">
        <v>1035</v>
      </c>
      <c r="C108" t="s">
        <v>1036</v>
      </c>
      <c r="F108" t="s">
        <v>1037</v>
      </c>
      <c r="I108" s="206">
        <f>SUMIF(주문_리스트!C:C,거래처!B108,주문_리스트!K:K)+SUMIF(주문_리스트!C:C,거래처!B108,주문_리스트!L:L)</f>
        <v>0</v>
      </c>
    </row>
    <row r="109" spans="1:18">
      <c r="A109">
        <v>108</v>
      </c>
      <c r="B109" t="s">
        <v>1030</v>
      </c>
      <c r="C109" t="s">
        <v>1031</v>
      </c>
      <c r="F109" t="s">
        <v>1032</v>
      </c>
      <c r="G109" t="s">
        <v>981</v>
      </c>
      <c r="I109" s="206">
        <f>SUMIF(주문_리스트!C:C,거래처!B109,주문_리스트!K:K)+SUMIF(주문_리스트!C:C,거래처!B109,주문_리스트!L:L)-3550000</f>
        <v>5582500</v>
      </c>
      <c r="J109" s="52" t="s">
        <v>2821</v>
      </c>
    </row>
    <row r="110" spans="1:18">
      <c r="A110">
        <v>109</v>
      </c>
      <c r="B110" t="s">
        <v>1019</v>
      </c>
      <c r="C110" t="s">
        <v>1020</v>
      </c>
      <c r="F110" t="s">
        <v>1021</v>
      </c>
      <c r="G110" t="s">
        <v>981</v>
      </c>
      <c r="I110" s="206">
        <f>SUMIF(주문_리스트!C:C,거래처!B110,주문_리스트!K:K)+SUMIF(주문_리스트!C:C,거래처!B110,주문_리스트!L:L)-1200000</f>
        <v>0</v>
      </c>
      <c r="R110" t="s">
        <v>2201</v>
      </c>
    </row>
    <row r="111" spans="1:18">
      <c r="A111">
        <v>110</v>
      </c>
      <c r="B111" t="s">
        <v>1403</v>
      </c>
      <c r="C111" t="s">
        <v>1108</v>
      </c>
      <c r="F111" t="s">
        <v>1109</v>
      </c>
      <c r="G111" t="s">
        <v>981</v>
      </c>
      <c r="I111" s="206">
        <f>SUMIF(주문_리스트!C:C,거래처!B111,주문_리스트!K:K)+SUMIF(주문_리스트!C:C,거래처!B111,주문_리스트!L:L)</f>
        <v>0</v>
      </c>
    </row>
    <row r="112" spans="1:18">
      <c r="A112">
        <v>111</v>
      </c>
      <c r="B112" t="s">
        <v>1668</v>
      </c>
      <c r="C112" t="s">
        <v>1669</v>
      </c>
      <c r="F112" t="s">
        <v>1670</v>
      </c>
      <c r="G112" t="s">
        <v>1664</v>
      </c>
      <c r="H112" t="s">
        <v>1671</v>
      </c>
      <c r="I112" s="206">
        <f>SUMIF(주문_리스트!C:C,거래처!B112,주문_리스트!K:K)+SUMIF(주문_리스트!C:C,거래처!B112,주문_리스트!L:L)</f>
        <v>0</v>
      </c>
    </row>
    <row r="113" spans="1:10">
      <c r="A113">
        <v>112</v>
      </c>
      <c r="B113" t="s">
        <v>1860</v>
      </c>
      <c r="C113" t="s">
        <v>1861</v>
      </c>
      <c r="F113" t="s">
        <v>1862</v>
      </c>
      <c r="G113" t="s">
        <v>1863</v>
      </c>
      <c r="H113" t="s">
        <v>1864</v>
      </c>
      <c r="I113" s="206">
        <f>SUMIF(주문_리스트!C:C,거래처!B113,주문_리스트!K:K)+SUMIF(주문_리스트!C:C,거래처!B113,주문_리스트!L:L)-5100000</f>
        <v>2800000</v>
      </c>
      <c r="J113" s="52" t="s">
        <v>2821</v>
      </c>
    </row>
    <row r="114" spans="1:10">
      <c r="A114">
        <v>113</v>
      </c>
      <c r="B114" t="s">
        <v>1404</v>
      </c>
      <c r="C114" t="s">
        <v>1188</v>
      </c>
      <c r="F114" t="s">
        <v>1189</v>
      </c>
      <c r="I114" s="206">
        <f>SUMIF(주문_리스트!C:C,거래처!B114,주문_리스트!K:K)+SUMIF(주문_리스트!C:C,거래처!B114,주문_리스트!L:L)-650000</f>
        <v>0</v>
      </c>
    </row>
    <row r="115" spans="1:10">
      <c r="A115">
        <v>114</v>
      </c>
      <c r="B115" t="s">
        <v>1192</v>
      </c>
      <c r="C115" t="s">
        <v>1193</v>
      </c>
      <c r="F115" t="s">
        <v>1194</v>
      </c>
      <c r="G115" t="s">
        <v>970</v>
      </c>
      <c r="I115" s="206">
        <f>SUMIF(주문_리스트!C:C,거래처!B115,주문_리스트!K:K)+SUMIF(주문_리스트!C:C,거래처!B115,주문_리스트!L:L)-1200000</f>
        <v>0</v>
      </c>
    </row>
    <row r="116" spans="1:10">
      <c r="A116">
        <v>115</v>
      </c>
      <c r="B116" t="s">
        <v>1210</v>
      </c>
      <c r="C116" t="s">
        <v>1211</v>
      </c>
      <c r="F116" t="s">
        <v>1212</v>
      </c>
      <c r="G116" t="s">
        <v>970</v>
      </c>
      <c r="H116" t="s">
        <v>1213</v>
      </c>
      <c r="I116" s="206">
        <f>SUMIF(주문_리스트!C:C,거래처!B116,주문_리스트!K:K)+SUMIF(주문_리스트!C:C,거래처!B116,주문_리스트!L:L)-2300000</f>
        <v>0</v>
      </c>
    </row>
    <row r="117" spans="1:10">
      <c r="A117">
        <v>116</v>
      </c>
      <c r="B117" t="s">
        <v>1405</v>
      </c>
      <c r="C117" t="s">
        <v>1124</v>
      </c>
      <c r="F117" t="s">
        <v>1125</v>
      </c>
      <c r="G117" t="s">
        <v>1218</v>
      </c>
      <c r="H117" t="s">
        <v>1125</v>
      </c>
      <c r="I117" s="206">
        <f>SUMIF(주문_리스트!C:C,거래처!B117,주문_리스트!K:K)+SUMIF(주문_리스트!C:C,거래처!B117,주문_리스트!L:L)</f>
        <v>0</v>
      </c>
    </row>
    <row r="118" spans="1:10">
      <c r="A118">
        <v>117</v>
      </c>
      <c r="B118" t="s">
        <v>1228</v>
      </c>
      <c r="C118" t="s">
        <v>1229</v>
      </c>
      <c r="F118" t="s">
        <v>1230</v>
      </c>
      <c r="G118" t="s">
        <v>1231</v>
      </c>
      <c r="H118" t="s">
        <v>1232</v>
      </c>
      <c r="I118" s="206">
        <f>SUMIF(주문_리스트!C:C,거래처!B118,주문_리스트!K:K)+SUMIF(주문_리스트!C:C,거래처!B118,주문_리스트!L:L)-1600000</f>
        <v>0</v>
      </c>
    </row>
    <row r="119" spans="1:10">
      <c r="A119">
        <v>118</v>
      </c>
      <c r="B119" t="s">
        <v>1270</v>
      </c>
      <c r="C119" t="s">
        <v>1271</v>
      </c>
      <c r="F119" t="s">
        <v>1272</v>
      </c>
      <c r="G119" t="s">
        <v>970</v>
      </c>
      <c r="H119" t="s">
        <v>1273</v>
      </c>
      <c r="I119" s="206">
        <f>SUMIF(주문_리스트!C:C,거래처!B119,주문_리스트!K:K)+SUMIF(주문_리스트!C:C,거래처!B119,주문_리스트!L:L)-1600000</f>
        <v>0</v>
      </c>
    </row>
    <row r="120" spans="1:10">
      <c r="A120">
        <v>119</v>
      </c>
      <c r="B120" t="s">
        <v>1281</v>
      </c>
      <c r="C120" t="s">
        <v>1282</v>
      </c>
      <c r="F120" t="s">
        <v>1283</v>
      </c>
      <c r="G120" t="s">
        <v>981</v>
      </c>
      <c r="I120" s="206">
        <f>SUMIF(주문_리스트!C:C,거래처!B120,주문_리스트!K:K)+SUMIF(주문_리스트!C:C,거래처!B120,주문_리스트!L:L)-1450000</f>
        <v>150000</v>
      </c>
    </row>
    <row r="121" spans="1:10">
      <c r="A121">
        <v>120</v>
      </c>
      <c r="B121" t="s">
        <v>2630</v>
      </c>
      <c r="C121" t="s">
        <v>1568</v>
      </c>
      <c r="F121" t="s">
        <v>1569</v>
      </c>
      <c r="I121" s="206">
        <f>SUMIF(주문_리스트!C:C,거래처!B146,주문_리스트!K:K)+SUMIF(주문_리스트!C:C,거래처!B146,주문_리스트!L:L)-150000</f>
        <v>-150000</v>
      </c>
    </row>
    <row r="122" spans="1:10">
      <c r="A122">
        <v>121</v>
      </c>
      <c r="B122" t="s">
        <v>2389</v>
      </c>
      <c r="C122" t="s">
        <v>2390</v>
      </c>
      <c r="F122" t="s">
        <v>2391</v>
      </c>
      <c r="G122" t="s">
        <v>2392</v>
      </c>
      <c r="H122" t="s">
        <v>2393</v>
      </c>
      <c r="I122" s="206">
        <f>SUMIF(주문_리스트!C:C,거래처!B122,주문_리스트!K:K)+SUMIF(주문_리스트!C:C,거래처!B122,주문_리스트!L:L)-1500000</f>
        <v>0</v>
      </c>
    </row>
    <row r="123" spans="1:10">
      <c r="A123">
        <v>122</v>
      </c>
      <c r="B123" t="s">
        <v>1611</v>
      </c>
      <c r="C123" t="s">
        <v>1612</v>
      </c>
      <c r="F123" t="s">
        <v>1613</v>
      </c>
      <c r="G123" t="s">
        <v>970</v>
      </c>
      <c r="H123" t="s">
        <v>1269</v>
      </c>
      <c r="I123" s="206">
        <f>SUMIF(주문_리스트!C:C,거래처!B123,주문_리스트!K:K)+SUMIF(주문_리스트!C:C,거래처!B123,주문_리스트!L:L)</f>
        <v>0</v>
      </c>
    </row>
    <row r="124" spans="1:10">
      <c r="A124">
        <v>123</v>
      </c>
      <c r="B124" t="s">
        <v>1719</v>
      </c>
      <c r="C124" t="s">
        <v>1720</v>
      </c>
      <c r="F124" t="s">
        <v>1721</v>
      </c>
      <c r="G124" t="s">
        <v>1218</v>
      </c>
      <c r="H124" t="s">
        <v>1721</v>
      </c>
      <c r="I124" s="206">
        <f>SUMIF(주문_리스트!C:C,거래처!B124,주문_리스트!K:K)+SUMIF(주문_리스트!C:C,거래처!B124,주문_리스트!L:L)-250000</f>
        <v>0</v>
      </c>
    </row>
    <row r="125" spans="1:10">
      <c r="A125">
        <v>124</v>
      </c>
      <c r="B125" t="s">
        <v>1734</v>
      </c>
      <c r="C125" t="s">
        <v>1735</v>
      </c>
      <c r="F125" t="s">
        <v>1736</v>
      </c>
      <c r="I125" s="206">
        <f>SUMIF(주문_리스트!C:C,거래처!B125,주문_리스트!K:K)+SUMIF(주문_리스트!C:C,거래처!B125,주문_리스트!L:L)-4755000</f>
        <v>0</v>
      </c>
    </row>
    <row r="126" spans="1:10">
      <c r="A126">
        <v>125</v>
      </c>
      <c r="B126" t="s">
        <v>1920</v>
      </c>
      <c r="C126" t="s">
        <v>1921</v>
      </c>
      <c r="F126" t="s">
        <v>1922</v>
      </c>
      <c r="G126" t="s">
        <v>970</v>
      </c>
      <c r="H126" t="s">
        <v>1923</v>
      </c>
      <c r="I126" s="206">
        <f>SUMIF(주문_리스트!C:C,거래처!B126,주문_리스트!K:K)+SUMIF(주문_리스트!C:C,거래처!B126,주문_리스트!L:L)-150000</f>
        <v>0</v>
      </c>
    </row>
    <row r="127" spans="1:10">
      <c r="A127">
        <v>126</v>
      </c>
      <c r="B127" t="s">
        <v>1975</v>
      </c>
      <c r="C127" t="s">
        <v>1976</v>
      </c>
      <c r="F127" t="s">
        <v>1977</v>
      </c>
      <c r="G127" t="s">
        <v>981</v>
      </c>
      <c r="I127" s="206">
        <f>SUMIF(주문_리스트!C:C,거래처!B127,주문_리스트!K:K)+SUMIF(주문_리스트!C:C,거래처!B127,주문_리스트!L:L)-250000</f>
        <v>0</v>
      </c>
    </row>
    <row r="128" spans="1:10">
      <c r="A128">
        <v>127</v>
      </c>
      <c r="B128" t="s">
        <v>2103</v>
      </c>
      <c r="C128" t="s">
        <v>2104</v>
      </c>
      <c r="F128" t="s">
        <v>2105</v>
      </c>
      <c r="G128" t="s">
        <v>970</v>
      </c>
      <c r="H128" t="s">
        <v>2106</v>
      </c>
      <c r="I128" s="206">
        <f>SUMIF(주문_리스트!C:C,거래처!B128,주문_리스트!K:K)+SUMIF(주문_리스트!C:C,거래처!B128,주문_리스트!L:L)</f>
        <v>0</v>
      </c>
    </row>
    <row r="129" spans="1:9">
      <c r="A129">
        <v>128</v>
      </c>
      <c r="B129" t="s">
        <v>2158</v>
      </c>
      <c r="C129" t="s">
        <v>2159</v>
      </c>
      <c r="F129" t="s">
        <v>2160</v>
      </c>
      <c r="G129" t="s">
        <v>970</v>
      </c>
      <c r="H129" t="s">
        <v>1995</v>
      </c>
      <c r="I129" s="206">
        <f>SUMIF(주문_리스트!C:C,거래처!B129,주문_리스트!K:K)+SUMIF(주문_리스트!C:C,거래처!B129,주문_리스트!L:L)</f>
        <v>0</v>
      </c>
    </row>
    <row r="130" spans="1:9">
      <c r="A130">
        <v>129</v>
      </c>
      <c r="B130" t="s">
        <v>2120</v>
      </c>
      <c r="C130" t="s">
        <v>2121</v>
      </c>
      <c r="F130" t="s">
        <v>2122</v>
      </c>
      <c r="I130" s="206">
        <f>SUMIF(주문_리스트!C:C,거래처!B130,주문_리스트!K:K)+SUMIF(주문_리스트!C:C,거래처!B130,주문_리스트!L:L)</f>
        <v>0</v>
      </c>
    </row>
    <row r="131" spans="1:9">
      <c r="A131">
        <v>130</v>
      </c>
      <c r="B131" t="s">
        <v>2125</v>
      </c>
      <c r="C131" t="s">
        <v>2126</v>
      </c>
      <c r="F131" t="s">
        <v>2127</v>
      </c>
      <c r="I131" s="206">
        <f>SUMIF(주문_리스트!C:C,거래처!B131,주문_리스트!K:K)+SUMIF(주문_리스트!C:C,거래처!B131,주문_리스트!L:L)</f>
        <v>0</v>
      </c>
    </row>
    <row r="132" spans="1:9">
      <c r="A132">
        <v>131</v>
      </c>
      <c r="B132" t="s">
        <v>2180</v>
      </c>
      <c r="C132" t="s">
        <v>2181</v>
      </c>
      <c r="F132" t="s">
        <v>2182</v>
      </c>
      <c r="G132" t="s">
        <v>1218</v>
      </c>
      <c r="H132" t="s">
        <v>2183</v>
      </c>
      <c r="I132" s="206">
        <f>SUMIF(주문_리스트!C:C,거래처!B132,주문_리스트!K:K)+SUMIF(주문_리스트!C:C,거래처!B132,주문_리스트!L:L)</f>
        <v>0</v>
      </c>
    </row>
    <row r="133" spans="1:9">
      <c r="A133">
        <v>132</v>
      </c>
      <c r="B133" t="s">
        <v>2189</v>
      </c>
      <c r="C133" t="s">
        <v>2190</v>
      </c>
      <c r="F133" t="s">
        <v>2191</v>
      </c>
      <c r="G133" t="s">
        <v>984</v>
      </c>
      <c r="H133" t="s">
        <v>2192</v>
      </c>
      <c r="I133" s="206">
        <f>SUMIF(주문_리스트!C:C,거래처!B133,주문_리스트!K:K)+SUMIF(주문_리스트!C:C,거래처!B133,주문_리스트!L:L)</f>
        <v>0</v>
      </c>
    </row>
    <row r="134" spans="1:9">
      <c r="A134">
        <v>133</v>
      </c>
      <c r="B134" t="s">
        <v>2415</v>
      </c>
      <c r="C134" t="s">
        <v>2215</v>
      </c>
      <c r="F134" t="s">
        <v>2216</v>
      </c>
      <c r="G134" t="s">
        <v>981</v>
      </c>
      <c r="I134" s="206">
        <f>SUMIF(주문_리스트!C:C,거래처!B134,주문_리스트!K:K)+SUMIF(주문_리스트!C:C,거래처!B134,주문_리스트!L:L)</f>
        <v>0</v>
      </c>
    </row>
    <row r="135" spans="1:9">
      <c r="A135">
        <v>134</v>
      </c>
      <c r="B135" t="s">
        <v>2228</v>
      </c>
      <c r="C135" t="s">
        <v>2229</v>
      </c>
      <c r="F135" t="s">
        <v>2230</v>
      </c>
      <c r="I135" s="206">
        <f>SUMIF(주문_리스트!C:C,거래처!B135,주문_리스트!K:K)+SUMIF(주문_리스트!C:C,거래처!B135,주문_리스트!L:L)</f>
        <v>0</v>
      </c>
    </row>
    <row r="136" spans="1:9">
      <c r="A136">
        <v>135</v>
      </c>
      <c r="B136" t="s">
        <v>2245</v>
      </c>
      <c r="C136" t="s">
        <v>2247</v>
      </c>
      <c r="F136" t="s">
        <v>2248</v>
      </c>
      <c r="I136" s="206">
        <f>SUMIF(주문_리스트!C:C,거래처!B136,주문_리스트!K:K)+SUMIF(주문_리스트!C:C,거래처!B136,주문_리스트!L:L)</f>
        <v>0</v>
      </c>
    </row>
    <row r="137" spans="1:9">
      <c r="A137">
        <v>136</v>
      </c>
      <c r="B137" t="s">
        <v>2383</v>
      </c>
      <c r="C137" t="s">
        <v>2384</v>
      </c>
      <c r="F137" t="s">
        <v>2385</v>
      </c>
      <c r="G137" t="s">
        <v>29</v>
      </c>
      <c r="I137" s="206">
        <f>SUMIF(주문_리스트!C:C,거래처!B137,주문_리스트!K:K)+SUMIF(주문_리스트!C:C,거래처!B137,주문_리스트!L:L)</f>
        <v>0</v>
      </c>
    </row>
    <row r="138" spans="1:9">
      <c r="A138">
        <v>137</v>
      </c>
      <c r="B138" t="s">
        <v>2364</v>
      </c>
      <c r="C138" t="s">
        <v>2365</v>
      </c>
      <c r="F138" t="s">
        <v>2366</v>
      </c>
      <c r="G138" t="s">
        <v>1218</v>
      </c>
      <c r="I138" s="206">
        <f>SUMIF(주문_리스트!C:C,거래처!B138,주문_리스트!K:K)+SUMIF(주문_리스트!C:C,거래처!B138,주문_리스트!L:L)</f>
        <v>0</v>
      </c>
    </row>
    <row r="139" spans="1:9">
      <c r="A139">
        <v>138</v>
      </c>
      <c r="B139" t="s">
        <v>2494</v>
      </c>
      <c r="C139" t="s">
        <v>2495</v>
      </c>
      <c r="F139" t="s">
        <v>2496</v>
      </c>
      <c r="I139" s="206">
        <f>SUMIF(주문_리스트!C:C,거래처!B139,주문_리스트!K:K)+SUMIF(주문_리스트!C:C,거래처!B139,주문_리스트!L:L)</f>
        <v>0</v>
      </c>
    </row>
    <row r="140" spans="1:9">
      <c r="A140">
        <v>139</v>
      </c>
      <c r="B140" t="s">
        <v>2361</v>
      </c>
      <c r="C140" t="s">
        <v>2473</v>
      </c>
      <c r="F140" t="s">
        <v>2474</v>
      </c>
      <c r="G140" t="s">
        <v>970</v>
      </c>
      <c r="I140" s="206">
        <f>SUMIF(주문_리스트!C:C,거래처!B140,주문_리스트!K:K)+SUMIF(주문_리스트!C:C,거래처!B140,주문_리스트!L:L)</f>
        <v>0</v>
      </c>
    </row>
    <row r="141" spans="1:9">
      <c r="A141">
        <v>140</v>
      </c>
      <c r="B141" t="s">
        <v>2484</v>
      </c>
      <c r="C141" t="s">
        <v>2485</v>
      </c>
      <c r="F141" t="s">
        <v>2486</v>
      </c>
      <c r="I141" s="206">
        <f>SUMIF(주문_리스트!C:C,거래처!B141,주문_리스트!K:K)+SUMIF(주문_리스트!C:C,거래처!B141,주문_리스트!L:L)</f>
        <v>0</v>
      </c>
    </row>
    <row r="142" spans="1:9">
      <c r="A142">
        <v>141</v>
      </c>
      <c r="B142" t="s">
        <v>2490</v>
      </c>
      <c r="C142" t="s">
        <v>2491</v>
      </c>
      <c r="F142" t="s">
        <v>2492</v>
      </c>
      <c r="I142" s="206">
        <f>SUMIF(주문_리스트!C:C,거래처!B142,주문_리스트!K:K)+SUMIF(주문_리스트!C:C,거래처!B142,주문_리스트!L:L)</f>
        <v>0</v>
      </c>
    </row>
    <row r="143" spans="1:9">
      <c r="A143">
        <v>142</v>
      </c>
      <c r="B143" t="s">
        <v>2501</v>
      </c>
      <c r="C143" t="s">
        <v>2502</v>
      </c>
      <c r="F143" t="s">
        <v>2503</v>
      </c>
      <c r="I143" s="206">
        <f>SUMIF(주문_리스트!C:C,거래처!B143,주문_리스트!K:K)+SUMIF(주문_리스트!C:C,거래처!B143,주문_리스트!L:L)</f>
        <v>0</v>
      </c>
    </row>
    <row r="144" spans="1:9">
      <c r="A144">
        <v>143</v>
      </c>
      <c r="B144" t="s">
        <v>2606</v>
      </c>
      <c r="C144" t="s">
        <v>2607</v>
      </c>
      <c r="F144" t="s">
        <v>2609</v>
      </c>
      <c r="G144" t="s">
        <v>2608</v>
      </c>
      <c r="I144" s="206">
        <f>SUMIF(주문_리스트!C:C,거래처!B144,주문_리스트!K:K)+SUMIF(주문_리스트!C:C,거래처!B144,주문_리스트!L:L)</f>
        <v>0</v>
      </c>
    </row>
    <row r="145" spans="1:10">
      <c r="A145">
        <v>144</v>
      </c>
      <c r="B145" t="s">
        <v>2610</v>
      </c>
      <c r="C145" t="s">
        <v>2593</v>
      </c>
      <c r="F145" t="s">
        <v>2594</v>
      </c>
      <c r="I145" s="206">
        <f>SUMIF(주문_리스트!C:C,거래처!B145,주문_리스트!K:K)+SUMIF(주문_리스트!C:C,거래처!B145,주문_리스트!L:L)</f>
        <v>0</v>
      </c>
    </row>
    <row r="146" spans="1:10">
      <c r="A146">
        <v>145</v>
      </c>
      <c r="B146" t="s">
        <v>2626</v>
      </c>
      <c r="C146" t="s">
        <v>2627</v>
      </c>
      <c r="F146" t="s">
        <v>2628</v>
      </c>
      <c r="G146" t="s">
        <v>970</v>
      </c>
      <c r="H146" t="s">
        <v>2629</v>
      </c>
      <c r="I146" s="206">
        <f>SUMIF(주문_리스트!C:C,거래처!B146,주문_리스트!K:K)+SUMIF(주문_리스트!C:C,거래처!B146,주문_리스트!L:L)</f>
        <v>0</v>
      </c>
    </row>
    <row r="147" spans="1:10">
      <c r="A147">
        <v>146</v>
      </c>
      <c r="B147" t="s">
        <v>2855</v>
      </c>
      <c r="C147" t="s">
        <v>2853</v>
      </c>
      <c r="D147" t="s">
        <v>2856</v>
      </c>
      <c r="F147" t="s">
        <v>2854</v>
      </c>
      <c r="I147" s="206">
        <f>SUMIF(주문_리스트!C:C,거래처!B147,주문_리스트!K:K)+SUMIF(주문_리스트!C:C,거래처!B147,주문_리스트!L:L)</f>
        <v>0</v>
      </c>
      <c r="J147" s="52" t="s">
        <v>2821</v>
      </c>
    </row>
    <row r="148" spans="1:10">
      <c r="A148">
        <v>147</v>
      </c>
      <c r="B148" t="s">
        <v>2703</v>
      </c>
      <c r="C148" t="s">
        <v>2704</v>
      </c>
      <c r="F148" t="s">
        <v>2705</v>
      </c>
      <c r="G148" t="s">
        <v>984</v>
      </c>
      <c r="H148" t="s">
        <v>2706</v>
      </c>
      <c r="I148" s="206">
        <f>SUMIF(주문_리스트!C:C,거래처!B148,주문_리스트!K:K)+SUMIF(주문_리스트!C:C,거래처!B148,주문_리스트!L:L)</f>
        <v>0</v>
      </c>
    </row>
    <row r="149" spans="1:10">
      <c r="A149">
        <v>148</v>
      </c>
      <c r="B149" t="s">
        <v>2791</v>
      </c>
      <c r="C149" t="s">
        <v>2792</v>
      </c>
      <c r="E149" t="s">
        <v>2793</v>
      </c>
      <c r="F149" t="s">
        <v>2794</v>
      </c>
      <c r="G149" t="s">
        <v>2795</v>
      </c>
      <c r="H149" t="s">
        <v>2796</v>
      </c>
      <c r="I149" s="206">
        <f>SUMIF(주문_리스트!C:C,거래처!B149,주문_리스트!K:K)+SUMIF(주문_리스트!C:C,거래처!B149,주문_리스트!L:L)</f>
        <v>0</v>
      </c>
    </row>
    <row r="150" spans="1:10">
      <c r="I150" s="206">
        <f>SUMIF(주문_리스트!C:C,거래처!B150,주문_리스트!K:K)+SUMIF(주문_리스트!C:C,거래처!B150,주문_리스트!L:L)</f>
        <v>0</v>
      </c>
    </row>
    <row r="151" spans="1:10">
      <c r="I151" s="206">
        <f>SUMIF(주문_리스트!C:C,거래처!B151,주문_리스트!K:K)+SUMIF(주문_리스트!C:C,거래처!B151,주문_리스트!L:L)</f>
        <v>0</v>
      </c>
    </row>
    <row r="152" spans="1:10">
      <c r="I152" s="206">
        <f>SUMIF(주문_리스트!C:C,거래처!B152,주문_리스트!K:K)+SUMIF(주문_리스트!C:C,거래처!B152,주문_리스트!L:L)</f>
        <v>0</v>
      </c>
    </row>
    <row r="153" spans="1:10">
      <c r="I153" s="206">
        <f>SUMIF(주문_리스트!C:C,거래처!B153,주문_리스트!K:K)+SUMIF(주문_리스트!C:C,거래처!B153,주문_리스트!L:L)</f>
        <v>0</v>
      </c>
    </row>
    <row r="154" spans="1:10">
      <c r="I154" s="206">
        <f>SUMIF(주문_리스트!C:C,거래처!B154,주문_리스트!K:K)+SUMIF(주문_리스트!C:C,거래처!B154,주문_리스트!L:L)</f>
        <v>0</v>
      </c>
    </row>
    <row r="155" spans="1:10">
      <c r="I155" s="206">
        <f>SUMIF(주문_리스트!C:C,거래처!B155,주문_리스트!K:K)+SUMIF(주문_리스트!C:C,거래처!B155,주문_리스트!L:L)</f>
        <v>0</v>
      </c>
    </row>
    <row r="156" spans="1:10">
      <c r="I156" s="206">
        <f>SUMIF(주문_리스트!C:C,거래처!B156,주문_리스트!K:K)+SUMIF(주문_리스트!C:C,거래처!B156,주문_리스트!L:L)</f>
        <v>0</v>
      </c>
    </row>
    <row r="157" spans="1:10">
      <c r="I157" s="206">
        <f>SUMIF(주문_리스트!C:C,거래처!B157,주문_리스트!K:K)+SUMIF(주문_리스트!C:C,거래처!B157,주문_리스트!L:L)</f>
        <v>0</v>
      </c>
    </row>
    <row r="158" spans="1:10">
      <c r="I158" s="206">
        <f>SUMIF(주문_리스트!C:C,거래처!B158,주문_리스트!K:K)+SUMIF(주문_리스트!C:C,거래처!B158,주문_리스트!L:L)</f>
        <v>0</v>
      </c>
    </row>
    <row r="159" spans="1:10">
      <c r="I159" s="206">
        <f>SUMIF(주문_리스트!C:C,거래처!B159,주문_리스트!K:K)+SUMIF(주문_리스트!C:C,거래처!B159,주문_리스트!L:L)</f>
        <v>0</v>
      </c>
    </row>
    <row r="160" spans="1:10">
      <c r="I160" s="206">
        <f>SUMIF(주문_리스트!C:C,거래처!B160,주문_리스트!K:K)+SUMIF(주문_리스트!C:C,거래처!B160,주문_리스트!L:L)</f>
        <v>0</v>
      </c>
    </row>
    <row r="161" spans="9:9">
      <c r="I161" s="206">
        <f>SUMIF(주문_리스트!C:C,거래처!B161,주문_리스트!K:K)+SUMIF(주문_리스트!C:C,거래처!B161,주문_리스트!L:L)</f>
        <v>0</v>
      </c>
    </row>
    <row r="162" spans="9:9">
      <c r="I162" s="206">
        <f>SUMIF(주문_리스트!C:C,거래처!B162,주문_리스트!K:K)+SUMIF(주문_리스트!C:C,거래처!B162,주문_리스트!L:L)</f>
        <v>0</v>
      </c>
    </row>
    <row r="163" spans="9:9">
      <c r="I163" s="206">
        <f>SUMIF(주문_리스트!C:C,거래처!B163,주문_리스트!K:K)+SUMIF(주문_리스트!C:C,거래처!B163,주문_리스트!L:L)</f>
        <v>0</v>
      </c>
    </row>
    <row r="164" spans="9:9">
      <c r="I164" s="206">
        <f>SUMIF(주문_리스트!C:C,거래처!B164,주문_리스트!K:K)+SUMIF(주문_리스트!C:C,거래처!B164,주문_리스트!L:L)</f>
        <v>0</v>
      </c>
    </row>
    <row r="165" spans="9:9">
      <c r="I165" s="206">
        <f>SUMIF(주문_리스트!C:C,거래처!B165,주문_리스트!K:K)+SUMIF(주문_리스트!C:C,거래처!B165,주문_리스트!L:L)</f>
        <v>0</v>
      </c>
    </row>
    <row r="166" spans="9:9">
      <c r="I166" s="206">
        <f>SUMIF(주문_리스트!C:C,거래처!B166,주문_리스트!K:K)+SUMIF(주문_리스트!C:C,거래처!B166,주문_리스트!L:L)</f>
        <v>0</v>
      </c>
    </row>
    <row r="167" spans="9:9">
      <c r="I167" s="206">
        <f>SUMIF(주문_리스트!C:C,거래처!B167,주문_리스트!K:K)+SUMIF(주문_리스트!C:C,거래처!B167,주문_리스트!L:L)</f>
        <v>0</v>
      </c>
    </row>
    <row r="168" spans="9:9">
      <c r="I168" s="206">
        <f>SUMIF(주문_리스트!C:C,거래처!B168,주문_리스트!K:K)+SUMIF(주문_리스트!C:C,거래처!B168,주문_리스트!L:L)</f>
        <v>0</v>
      </c>
    </row>
    <row r="169" spans="9:9">
      <c r="I169" s="206">
        <f>SUMIF(주문_리스트!C:C,거래처!B169,주문_리스트!K:K)+SUMIF(주문_리스트!C:C,거래처!B169,주문_리스트!L:L)</f>
        <v>0</v>
      </c>
    </row>
    <row r="170" spans="9:9">
      <c r="I170" s="206">
        <f>SUMIF(주문_리스트!C:C,거래처!B170,주문_리스트!K:K)+SUMIF(주문_리스트!C:C,거래처!B170,주문_리스트!L:L)</f>
        <v>0</v>
      </c>
    </row>
    <row r="171" spans="9:9">
      <c r="I171" s="206">
        <f>SUMIF(주문_리스트!C:C,거래처!B171,주문_리스트!K:K)+SUMIF(주문_리스트!C:C,거래처!B171,주문_리스트!L:L)</f>
        <v>0</v>
      </c>
    </row>
    <row r="172" spans="9:9">
      <c r="I172" s="206">
        <f>SUMIF(주문_리스트!C:C,거래처!B172,주문_리스트!K:K)+SUMIF(주문_리스트!C:C,거래처!B172,주문_리스트!L:L)</f>
        <v>0</v>
      </c>
    </row>
    <row r="173" spans="9:9">
      <c r="I173" s="206">
        <f>SUMIF(주문_리스트!C:C,거래처!B173,주문_리스트!K:K)+SUMIF(주문_리스트!C:C,거래처!B173,주문_리스트!L:L)</f>
        <v>0</v>
      </c>
    </row>
    <row r="174" spans="9:9">
      <c r="I174" s="206">
        <f>SUMIF(주문_리스트!C:C,거래처!B174,주문_리스트!K:K)+SUMIF(주문_리스트!C:C,거래처!B174,주문_리스트!L:L)</f>
        <v>0</v>
      </c>
    </row>
    <row r="175" spans="9:9">
      <c r="I175" s="206">
        <f>SUMIF(주문_리스트!C:C,거래처!B175,주문_리스트!K:K)+SUMIF(주문_리스트!C:C,거래처!B175,주문_리스트!L:L)</f>
        <v>0</v>
      </c>
    </row>
    <row r="176" spans="9:9">
      <c r="I176" s="206">
        <f>SUMIF(주문_리스트!C:C,거래처!B176,주문_리스트!K:K)+SUMIF(주문_리스트!C:C,거래처!B176,주문_리스트!L:L)</f>
        <v>0</v>
      </c>
    </row>
    <row r="177" spans="9:9">
      <c r="I177" s="206">
        <f>SUMIF(주문_리스트!C:C,거래처!B177,주문_리스트!K:K)+SUMIF(주문_리스트!C:C,거래처!B177,주문_리스트!L:L)</f>
        <v>0</v>
      </c>
    </row>
    <row r="178" spans="9:9">
      <c r="I178" s="206">
        <f>SUMIF(주문_리스트!C:C,거래처!B178,주문_리스트!K:K)+SUMIF(주문_리스트!C:C,거래처!B178,주문_리스트!L:L)</f>
        <v>0</v>
      </c>
    </row>
    <row r="179" spans="9:9">
      <c r="I179" s="206">
        <f>SUMIF(주문_리스트!C:C,거래처!B179,주문_리스트!K:K)+SUMIF(주문_리스트!C:C,거래처!B179,주문_리스트!L:L)</f>
        <v>0</v>
      </c>
    </row>
    <row r="180" spans="9:9">
      <c r="I180" s="206">
        <f>SUMIF(주문_리스트!C:C,거래처!B180,주문_리스트!K:K)+SUMIF(주문_리스트!C:C,거래처!B180,주문_리스트!L:L)</f>
        <v>0</v>
      </c>
    </row>
    <row r="181" spans="9:9">
      <c r="I181" s="206">
        <f>SUMIF(주문_리스트!C:C,거래처!B181,주문_리스트!K:K)+SUMIF(주문_리스트!C:C,거래처!B181,주문_리스트!L:L)</f>
        <v>0</v>
      </c>
    </row>
    <row r="182" spans="9:9">
      <c r="I182" s="206">
        <f>SUMIF(주문_리스트!C:C,거래처!B182,주문_리스트!K:K)+SUMIF(주문_리스트!C:C,거래처!B182,주문_리스트!L:L)</f>
        <v>0</v>
      </c>
    </row>
    <row r="183" spans="9:9">
      <c r="I183" s="206">
        <f>SUMIF(주문_리스트!C:C,거래처!B183,주문_리스트!K:K)+SUMIF(주문_리스트!C:C,거래처!B183,주문_리스트!L:L)</f>
        <v>0</v>
      </c>
    </row>
    <row r="184" spans="9:9">
      <c r="I184" s="206">
        <f>SUMIF(주문_리스트!C:C,거래처!B184,주문_리스트!K:K)+SUMIF(주문_리스트!C:C,거래처!B184,주문_리스트!L:L)</f>
        <v>0</v>
      </c>
    </row>
    <row r="185" spans="9:9">
      <c r="I185" s="206">
        <f>SUMIF(주문_리스트!C:C,거래처!B185,주문_리스트!K:K)+SUMIF(주문_리스트!C:C,거래처!B185,주문_리스트!L:L)</f>
        <v>0</v>
      </c>
    </row>
    <row r="186" spans="9:9">
      <c r="I186" s="206">
        <f>SUMIF(주문_리스트!C:C,거래처!B186,주문_리스트!K:K)+SUMIF(주문_리스트!C:C,거래처!B186,주문_리스트!L:L)</f>
        <v>0</v>
      </c>
    </row>
    <row r="187" spans="9:9">
      <c r="I187" s="206">
        <f>SUMIF(주문_리스트!C:C,거래처!B187,주문_리스트!K:K)+SUMIF(주문_리스트!C:C,거래처!B187,주문_리스트!L:L)</f>
        <v>0</v>
      </c>
    </row>
    <row r="188" spans="9:9">
      <c r="I188" s="206">
        <f>SUMIF(주문_리스트!C:C,거래처!B188,주문_리스트!K:K)+SUMIF(주문_리스트!C:C,거래처!B188,주문_리스트!L:L)</f>
        <v>0</v>
      </c>
    </row>
    <row r="189" spans="9:9">
      <c r="I189" s="206">
        <f>SUMIF(주문_리스트!C:C,거래처!B189,주문_리스트!K:K)+SUMIF(주문_리스트!C:C,거래처!B189,주문_리스트!L:L)</f>
        <v>0</v>
      </c>
    </row>
    <row r="190" spans="9:9">
      <c r="I190" s="206">
        <f>SUMIF(주문_리스트!C:C,거래처!B190,주문_리스트!K:K)+SUMIF(주문_리스트!C:C,거래처!B190,주문_리스트!L:L)</f>
        <v>0</v>
      </c>
    </row>
    <row r="191" spans="9:9">
      <c r="I191" s="206">
        <f>SUMIF(주문_리스트!C:C,거래처!B191,주문_리스트!K:K)+SUMIF(주문_리스트!C:C,거래처!B191,주문_리스트!L:L)</f>
        <v>0</v>
      </c>
    </row>
    <row r="192" spans="9:9">
      <c r="I192" s="206">
        <f>SUMIF(주문_리스트!C:C,거래처!B192,주문_리스트!K:K)+SUMIF(주문_리스트!C:C,거래처!B192,주문_리스트!L:L)</f>
        <v>0</v>
      </c>
    </row>
    <row r="193" spans="9:9">
      <c r="I193" s="206">
        <f>SUMIF(주문_리스트!C:C,거래처!B193,주문_리스트!K:K)+SUMIF(주문_리스트!C:C,거래처!B193,주문_리스트!L:L)</f>
        <v>0</v>
      </c>
    </row>
    <row r="194" spans="9:9">
      <c r="I194" s="206">
        <f>SUMIF(주문_리스트!C:C,거래처!B194,주문_리스트!K:K)+SUMIF(주문_리스트!C:C,거래처!B194,주문_리스트!L:L)</f>
        <v>0</v>
      </c>
    </row>
    <row r="195" spans="9:9">
      <c r="I195" s="206">
        <f>SUMIF(주문_리스트!C:C,거래처!B195,주문_리스트!K:K)+SUMIF(주문_리스트!C:C,거래처!B195,주문_리스트!L:L)</f>
        <v>0</v>
      </c>
    </row>
    <row r="196" spans="9:9">
      <c r="I196" s="206">
        <f>SUMIF(주문_리스트!C:C,거래처!B196,주문_리스트!K:K)+SUMIF(주문_리스트!C:C,거래처!B196,주문_리스트!L:L)</f>
        <v>0</v>
      </c>
    </row>
    <row r="197" spans="9:9">
      <c r="I197" s="206">
        <f>SUMIF(주문_리스트!C:C,거래처!B197,주문_리스트!K:K)+SUMIF(주문_리스트!C:C,거래처!B197,주문_리스트!L:L)</f>
        <v>0</v>
      </c>
    </row>
    <row r="198" spans="9:9">
      <c r="I198" s="206">
        <f>SUMIF(주문_리스트!C:C,거래처!B198,주문_리스트!K:K)+SUMIF(주문_리스트!C:C,거래처!B198,주문_리스트!L:L)</f>
        <v>0</v>
      </c>
    </row>
    <row r="199" spans="9:9">
      <c r="I199" s="206">
        <f>SUMIF(주문_리스트!C:C,거래처!B199,주문_리스트!K:K)+SUMIF(주문_리스트!C:C,거래처!B199,주문_리스트!L:L)</f>
        <v>0</v>
      </c>
    </row>
    <row r="200" spans="9:9">
      <c r="I200" s="206">
        <f>SUMIF(주문_리스트!C:C,거래처!B200,주문_리스트!K:K)+SUMIF(주문_리스트!C:C,거래처!B200,주문_리스트!L:L)</f>
        <v>0</v>
      </c>
    </row>
    <row r="201" spans="9:9">
      <c r="I201" s="206">
        <f>SUMIF(주문_리스트!C:C,거래처!B201,주문_리스트!K:K)+SUMIF(주문_리스트!C:C,거래처!B201,주문_리스트!L:L)</f>
        <v>0</v>
      </c>
    </row>
    <row r="202" spans="9:9">
      <c r="I202" s="206">
        <f>SUMIF(주문_리스트!C:C,거래처!B202,주문_리스트!K:K)+SUMIF(주문_리스트!C:C,거래처!B202,주문_리스트!L:L)</f>
        <v>0</v>
      </c>
    </row>
    <row r="203" spans="9:9">
      <c r="I203" s="206">
        <f>SUMIF(주문_리스트!C:C,거래처!B203,주문_리스트!K:K)+SUMIF(주문_리스트!C:C,거래처!B203,주문_리스트!L:L)</f>
        <v>0</v>
      </c>
    </row>
    <row r="204" spans="9:9">
      <c r="I204" s="206">
        <f>SUMIF(주문_리스트!C:C,거래처!B204,주문_리스트!K:K)+SUMIF(주문_리스트!C:C,거래처!B204,주문_리스트!L:L)</f>
        <v>0</v>
      </c>
    </row>
    <row r="205" spans="9:9">
      <c r="I205" s="206">
        <f>SUMIF(주문_리스트!C:C,거래처!B205,주문_리스트!K:K)+SUMIF(주문_리스트!C:C,거래처!B205,주문_리스트!L:L)</f>
        <v>0</v>
      </c>
    </row>
    <row r="206" spans="9:9">
      <c r="I206" s="206">
        <f>SUMIF(주문_리스트!C:C,거래처!B206,주문_리스트!K:K)+SUMIF(주문_리스트!C:C,거래처!B206,주문_리스트!L:L)</f>
        <v>0</v>
      </c>
    </row>
    <row r="207" spans="9:9">
      <c r="I207" s="206">
        <f>SUMIF(주문_리스트!C:C,거래처!B207,주문_리스트!K:K)+SUMIF(주문_리스트!C:C,거래처!B207,주문_리스트!L:L)</f>
        <v>0</v>
      </c>
    </row>
    <row r="208" spans="9:9">
      <c r="I208" s="206">
        <f>SUMIF(주문_리스트!C:C,거래처!B208,주문_리스트!K:K)+SUMIF(주문_리스트!C:C,거래처!B208,주문_리스트!L:L)</f>
        <v>0</v>
      </c>
    </row>
    <row r="209" spans="9:9">
      <c r="I209" s="206">
        <f>SUMIF(주문_리스트!C:C,거래처!B209,주문_리스트!K:K)+SUMIF(주문_리스트!C:C,거래처!B209,주문_리스트!L:L)</f>
        <v>0</v>
      </c>
    </row>
    <row r="210" spans="9:9">
      <c r="I210" s="206">
        <f>SUMIF(주문_리스트!C:C,거래처!B210,주문_리스트!K:K)+SUMIF(주문_리스트!C:C,거래처!B210,주문_리스트!L:L)</f>
        <v>0</v>
      </c>
    </row>
    <row r="211" spans="9:9">
      <c r="I211" s="206">
        <f>SUMIF(주문_리스트!C:C,거래처!B211,주문_리스트!K:K)+SUMIF(주문_리스트!C:C,거래처!B211,주문_리스트!L:L)</f>
        <v>0</v>
      </c>
    </row>
    <row r="212" spans="9:9">
      <c r="I212" s="206">
        <f>SUMIF(주문_리스트!C:C,거래처!B212,주문_리스트!K:K)+SUMIF(주문_리스트!C:C,거래처!B212,주문_리스트!L:L)</f>
        <v>0</v>
      </c>
    </row>
    <row r="213" spans="9:9">
      <c r="I213" s="206">
        <f>SUMIF(주문_리스트!C:C,거래처!B213,주문_리스트!K:K)+SUMIF(주문_리스트!C:C,거래처!B213,주문_리스트!L:L)</f>
        <v>0</v>
      </c>
    </row>
    <row r="214" spans="9:9">
      <c r="I214" s="206">
        <f>SUMIF(주문_리스트!C:C,거래처!B214,주문_리스트!K:K)+SUMIF(주문_리스트!C:C,거래처!B214,주문_리스트!L:L)</f>
        <v>0</v>
      </c>
    </row>
    <row r="215" spans="9:9">
      <c r="I215" s="206">
        <f>SUMIF(주문_리스트!C:C,거래처!B215,주문_리스트!K:K)+SUMIF(주문_리스트!C:C,거래처!B215,주문_리스트!L:L)</f>
        <v>0</v>
      </c>
    </row>
    <row r="216" spans="9:9">
      <c r="I216" s="206">
        <f>SUMIF(주문_리스트!C:C,거래처!B216,주문_리스트!K:K)+SUMIF(주문_리스트!C:C,거래처!B216,주문_리스트!L:L)</f>
        <v>0</v>
      </c>
    </row>
    <row r="217" spans="9:9">
      <c r="I217" s="206">
        <f>SUMIF(주문_리스트!C:C,거래처!B217,주문_리스트!K:K)+SUMIF(주문_리스트!C:C,거래처!B217,주문_리스트!L:L)</f>
        <v>0</v>
      </c>
    </row>
    <row r="218" spans="9:9">
      <c r="I218" s="206">
        <f>SUMIF(주문_리스트!C:C,거래처!B218,주문_리스트!K:K)+SUMIF(주문_리스트!C:C,거래처!B218,주문_리스트!L:L)</f>
        <v>0</v>
      </c>
    </row>
    <row r="219" spans="9:9">
      <c r="I219" s="206">
        <f>SUMIF(주문_리스트!C:C,거래처!B219,주문_리스트!K:K)+SUMIF(주문_리스트!C:C,거래처!B219,주문_리스트!L:L)</f>
        <v>0</v>
      </c>
    </row>
    <row r="220" spans="9:9">
      <c r="I220" s="206">
        <f>SUMIF(주문_리스트!C:C,거래처!B220,주문_리스트!K:K)+SUMIF(주문_리스트!C:C,거래처!B220,주문_리스트!L:L)</f>
        <v>0</v>
      </c>
    </row>
    <row r="221" spans="9:9">
      <c r="I221" s="206">
        <f>SUMIF(주문_리스트!C:C,거래처!B221,주문_리스트!K:K)+SUMIF(주문_리스트!C:C,거래처!B221,주문_리스트!L:L)</f>
        <v>0</v>
      </c>
    </row>
    <row r="222" spans="9:9">
      <c r="I222" s="206">
        <f>SUMIF(주문_리스트!C:C,거래처!B222,주문_리스트!K:K)+SUMIF(주문_리스트!C:C,거래처!B222,주문_리스트!L:L)</f>
        <v>0</v>
      </c>
    </row>
    <row r="223" spans="9:9">
      <c r="I223" s="206">
        <f>SUMIF(주문_리스트!C:C,거래처!B223,주문_리스트!K:K)+SUMIF(주문_리스트!C:C,거래처!B223,주문_리스트!L:L)</f>
        <v>0</v>
      </c>
    </row>
    <row r="224" spans="9:9">
      <c r="I224" s="206">
        <f>SUMIF(주문_리스트!C:C,거래처!B224,주문_리스트!K:K)+SUMIF(주문_리스트!C:C,거래처!B224,주문_리스트!L:L)</f>
        <v>0</v>
      </c>
    </row>
    <row r="225" spans="9:9">
      <c r="I225" s="206">
        <f>SUMIF(주문_리스트!C:C,거래처!B225,주문_리스트!K:K)+SUMIF(주문_리스트!C:C,거래처!B225,주문_리스트!L:L)</f>
        <v>0</v>
      </c>
    </row>
    <row r="226" spans="9:9">
      <c r="I226" s="206">
        <f>SUMIF(주문_리스트!C:C,거래처!B226,주문_리스트!K:K)+SUMIF(주문_리스트!C:C,거래처!B226,주문_리스트!L:L)</f>
        <v>0</v>
      </c>
    </row>
    <row r="227" spans="9:9">
      <c r="I227" s="206">
        <f>SUMIF(주문_리스트!C:C,거래처!B227,주문_리스트!K:K)+SUMIF(주문_리스트!C:C,거래처!B227,주문_리스트!L:L)</f>
        <v>0</v>
      </c>
    </row>
  </sheetData>
  <autoFilter ref="A1:J220" xr:uid="{508475FB-B701-4E31-85ED-27AFC3218E22}">
    <sortState xmlns:xlrd2="http://schemas.microsoft.com/office/spreadsheetml/2017/richdata2" ref="A2:J220">
      <sortCondition ref="A1:A220"/>
    </sortState>
  </autoFilter>
  <phoneticPr fontId="2" type="noConversion"/>
  <pageMargins left="0.7" right="0.7" top="0.75" bottom="0.75" header="0.3" footer="0.3"/>
  <pageSetup paperSize="9" orientation="portrait" horizontalDpi="4294967293" verticalDpi="203" r:id="rId1"/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6DD26F-1A85-4412-B36F-71A6D3BA3E7E}">
  <sheetPr codeName="Sheet5"/>
  <dimension ref="A1"/>
  <sheetViews>
    <sheetView workbookViewId="0">
      <selection activeCell="E25" sqref="E25"/>
    </sheetView>
  </sheetViews>
  <sheetFormatPr defaultRowHeight="16.5"/>
  <sheetData/>
  <phoneticPr fontId="2" type="noConversion"/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591F76-09FC-442F-83B5-ED59F8638A37}">
  <sheetPr codeName="shtsales"/>
  <dimension ref="A1:Q1"/>
  <sheetViews>
    <sheetView workbookViewId="0">
      <selection activeCell="K1" sqref="K1:P1"/>
    </sheetView>
  </sheetViews>
  <sheetFormatPr defaultRowHeight="16.5"/>
  <cols>
    <col min="16" max="16" width="16" customWidth="1"/>
  </cols>
  <sheetData>
    <row r="1" spans="1:17">
      <c r="A1" s="61" t="s">
        <v>2</v>
      </c>
      <c r="B1" s="61" t="s">
        <v>1</v>
      </c>
      <c r="C1" s="61" t="s">
        <v>0</v>
      </c>
      <c r="D1" s="61" t="s">
        <v>52</v>
      </c>
      <c r="E1" s="61" t="s">
        <v>1146</v>
      </c>
      <c r="F1" s="61" t="s">
        <v>1147</v>
      </c>
      <c r="G1" s="61" t="s">
        <v>1154</v>
      </c>
      <c r="H1" s="61" t="s">
        <v>1148</v>
      </c>
      <c r="I1" s="61" t="s">
        <v>1149</v>
      </c>
      <c r="J1" s="61" t="s">
        <v>1150</v>
      </c>
      <c r="K1" s="500" t="s">
        <v>1151</v>
      </c>
      <c r="L1" s="500"/>
      <c r="M1" s="500"/>
      <c r="N1" s="500" t="s">
        <v>1152</v>
      </c>
      <c r="O1" s="500"/>
      <c r="P1" s="61" t="s">
        <v>1153</v>
      </c>
      <c r="Q1">
        <v>2</v>
      </c>
    </row>
  </sheetData>
  <mergeCells count="2">
    <mergeCell ref="K1:M1"/>
    <mergeCell ref="N1:O1"/>
  </mergeCells>
  <phoneticPr fontId="2" type="noConversion"/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C6588C-D5C2-4EF5-92E1-FD38AA8EFAE9}">
  <sheetPr codeName="shtSale"/>
  <dimension ref="A1:Z86"/>
  <sheetViews>
    <sheetView workbookViewId="0">
      <selection activeCell="D1" sqref="D1"/>
    </sheetView>
  </sheetViews>
  <sheetFormatPr defaultColWidth="9" defaultRowHeight="16.5"/>
  <cols>
    <col min="1" max="1" width="6.375" customWidth="1"/>
    <col min="2" max="2" width="12.25" style="13" customWidth="1"/>
    <col min="3" max="4" width="18.75" customWidth="1"/>
    <col min="5" max="5" width="26" bestFit="1" customWidth="1"/>
    <col min="6" max="6" width="12" bestFit="1" customWidth="1"/>
    <col min="7" max="7" width="13.25" style="52" customWidth="1"/>
    <col min="8" max="8" width="10.5" style="52" bestFit="1" customWidth="1"/>
    <col min="9" max="9" width="9.5" bestFit="1" customWidth="1"/>
    <col min="10" max="10" width="9.5" customWidth="1"/>
    <col min="11" max="11" width="13.25" style="52" bestFit="1" customWidth="1"/>
    <col min="12" max="17" width="13.25" style="52" customWidth="1"/>
    <col min="18" max="18" width="17.625" style="52" customWidth="1"/>
    <col min="19" max="19" width="17.875" style="52" bestFit="1" customWidth="1"/>
    <col min="20" max="20" width="16.125" style="52" bestFit="1" customWidth="1"/>
    <col min="21" max="22" width="13.25" style="52" customWidth="1"/>
  </cols>
  <sheetData>
    <row r="1" spans="1:25" s="63" customFormat="1" ht="17.25" thickBot="1">
      <c r="A1" s="31" t="s">
        <v>2</v>
      </c>
      <c r="B1" s="62" t="s">
        <v>14</v>
      </c>
      <c r="C1" s="31" t="s">
        <v>8</v>
      </c>
      <c r="D1" s="31" t="s">
        <v>1617</v>
      </c>
      <c r="E1" s="31" t="s">
        <v>0</v>
      </c>
      <c r="F1" s="31" t="s">
        <v>52</v>
      </c>
      <c r="G1" s="65" t="s">
        <v>1147</v>
      </c>
      <c r="H1" s="51" t="s">
        <v>47</v>
      </c>
      <c r="I1" s="31" t="s">
        <v>55</v>
      </c>
      <c r="J1" s="31" t="s">
        <v>88</v>
      </c>
      <c r="K1" s="51" t="s">
        <v>63</v>
      </c>
      <c r="L1" s="51" t="s">
        <v>64</v>
      </c>
      <c r="M1" s="65" t="s">
        <v>1148</v>
      </c>
      <c r="N1" s="65" t="s">
        <v>1149</v>
      </c>
      <c r="O1" s="65" t="s">
        <v>1150</v>
      </c>
      <c r="P1" s="64" t="s">
        <v>1155</v>
      </c>
      <c r="Q1" s="51" t="s">
        <v>1156</v>
      </c>
      <c r="R1" s="51" t="s">
        <v>1157</v>
      </c>
      <c r="S1" s="51" t="s">
        <v>1160</v>
      </c>
      <c r="T1" s="51" t="s">
        <v>1159</v>
      </c>
      <c r="U1" s="51" t="s">
        <v>1158</v>
      </c>
      <c r="V1" s="51" t="s">
        <v>1153</v>
      </c>
      <c r="W1" s="8">
        <v>1</v>
      </c>
    </row>
    <row r="2" spans="1:25">
      <c r="A2" s="49">
        <v>1</v>
      </c>
      <c r="B2" s="13">
        <v>45723</v>
      </c>
      <c r="C2" s="49" t="s">
        <v>1445</v>
      </c>
      <c r="D2" s="49"/>
      <c r="E2" s="49" t="s">
        <v>1171</v>
      </c>
      <c r="F2" s="49">
        <v>2821402</v>
      </c>
      <c r="G2" s="49"/>
      <c r="H2" s="52">
        <v>30000</v>
      </c>
      <c r="I2" s="49">
        <v>3</v>
      </c>
      <c r="J2" s="97"/>
      <c r="L2" s="52">
        <v>90000</v>
      </c>
      <c r="M2" s="49"/>
      <c r="N2" s="49"/>
      <c r="O2" s="49"/>
      <c r="P2" s="49"/>
      <c r="Q2" s="49"/>
      <c r="R2" s="49"/>
      <c r="S2" s="49"/>
      <c r="T2" s="49"/>
      <c r="U2" s="49"/>
      <c r="V2" s="49"/>
      <c r="W2" s="49"/>
      <c r="X2" s="49"/>
      <c r="Y2" s="49"/>
    </row>
    <row r="3" spans="1:25">
      <c r="A3" s="49">
        <v>2</v>
      </c>
      <c r="B3" s="13">
        <v>45723</v>
      </c>
      <c r="C3" s="49" t="s">
        <v>1483</v>
      </c>
      <c r="D3" s="49"/>
      <c r="E3" s="49" t="s">
        <v>1241</v>
      </c>
      <c r="F3" s="49" t="s">
        <v>1406</v>
      </c>
      <c r="G3" s="49"/>
      <c r="H3" s="52">
        <v>1300000</v>
      </c>
      <c r="I3" s="49">
        <v>1</v>
      </c>
      <c r="J3" s="97"/>
      <c r="L3" s="52">
        <v>1300000</v>
      </c>
      <c r="M3" s="49"/>
      <c r="N3" s="49"/>
      <c r="O3" s="49"/>
      <c r="P3" s="49"/>
      <c r="Q3" s="49"/>
      <c r="R3" s="49"/>
      <c r="S3" s="49"/>
      <c r="T3" s="49"/>
      <c r="U3" s="49"/>
      <c r="V3" s="49"/>
      <c r="W3" s="49"/>
      <c r="X3" s="49"/>
      <c r="Y3" s="49"/>
    </row>
    <row r="4" spans="1:25">
      <c r="A4" s="49">
        <v>3</v>
      </c>
      <c r="B4" s="13">
        <v>45723</v>
      </c>
      <c r="C4" s="49" t="s">
        <v>1483</v>
      </c>
      <c r="D4" s="49"/>
      <c r="E4" s="49" t="s">
        <v>1181</v>
      </c>
      <c r="F4" s="49"/>
      <c r="G4" s="49"/>
      <c r="H4" s="52">
        <v>800000</v>
      </c>
      <c r="I4" s="49">
        <v>1</v>
      </c>
      <c r="J4" s="97"/>
      <c r="L4" s="52">
        <v>800000</v>
      </c>
      <c r="M4" s="49"/>
      <c r="N4" s="49"/>
      <c r="O4" s="49"/>
      <c r="P4" s="49"/>
      <c r="Q4" s="49"/>
      <c r="R4" s="49"/>
      <c r="S4" s="49"/>
      <c r="T4" s="49"/>
      <c r="U4" s="49"/>
      <c r="V4" s="49"/>
      <c r="W4" s="49"/>
      <c r="X4" s="49"/>
      <c r="Y4" s="49"/>
    </row>
    <row r="5" spans="1:25">
      <c r="A5" s="49">
        <v>4</v>
      </c>
      <c r="B5" s="13">
        <v>45723</v>
      </c>
      <c r="C5" s="49" t="s">
        <v>1437</v>
      </c>
      <c r="D5" s="49"/>
      <c r="E5" s="49" t="s">
        <v>1172</v>
      </c>
      <c r="F5" s="49"/>
      <c r="G5" s="49"/>
      <c r="H5" s="52">
        <v>1000000</v>
      </c>
      <c r="I5" s="49">
        <v>1</v>
      </c>
      <c r="J5" s="97"/>
      <c r="L5" s="52">
        <v>1000000</v>
      </c>
      <c r="M5" s="49"/>
      <c r="N5" s="49"/>
      <c r="O5" s="49"/>
      <c r="P5" s="49"/>
      <c r="Q5" s="49"/>
      <c r="R5" s="49"/>
      <c r="S5" s="49"/>
      <c r="T5" s="49"/>
      <c r="U5" s="49"/>
      <c r="V5" s="49"/>
      <c r="W5" s="49"/>
      <c r="X5" s="49"/>
      <c r="Y5" s="49"/>
    </row>
    <row r="6" spans="1:25">
      <c r="A6" s="49">
        <v>5</v>
      </c>
      <c r="B6" s="13">
        <v>45722</v>
      </c>
      <c r="C6" s="49" t="s">
        <v>1445</v>
      </c>
      <c r="D6" s="49"/>
      <c r="E6" s="49" t="s">
        <v>1173</v>
      </c>
      <c r="F6" s="49"/>
      <c r="G6" s="49"/>
      <c r="H6" s="52">
        <v>198000</v>
      </c>
      <c r="I6" s="49">
        <v>1</v>
      </c>
      <c r="J6" s="97"/>
      <c r="L6" s="52">
        <v>198000</v>
      </c>
      <c r="M6" s="49"/>
      <c r="N6" s="49"/>
      <c r="O6" s="49"/>
      <c r="P6" s="49"/>
      <c r="Q6" s="49"/>
      <c r="R6" s="49"/>
      <c r="S6" s="49"/>
      <c r="T6" s="49"/>
      <c r="U6" s="49"/>
      <c r="V6" s="49"/>
      <c r="W6" s="49"/>
      <c r="X6" s="49"/>
      <c r="Y6" s="49"/>
    </row>
    <row r="7" spans="1:25">
      <c r="A7" s="49">
        <v>6</v>
      </c>
      <c r="B7" s="13">
        <v>45722</v>
      </c>
      <c r="C7" s="49" t="s">
        <v>1445</v>
      </c>
      <c r="D7" s="49"/>
      <c r="E7" s="49" t="s">
        <v>1174</v>
      </c>
      <c r="F7" s="49"/>
      <c r="G7" s="49"/>
      <c r="H7" s="52">
        <v>12000</v>
      </c>
      <c r="I7" s="49">
        <v>1</v>
      </c>
      <c r="J7" s="97"/>
      <c r="L7" s="52">
        <v>12000</v>
      </c>
      <c r="M7" s="49"/>
      <c r="N7" s="49"/>
      <c r="O7" s="49"/>
      <c r="P7" s="49"/>
      <c r="Q7" s="49"/>
      <c r="R7" s="49"/>
      <c r="S7" s="49"/>
      <c r="T7" s="49"/>
      <c r="U7" s="49"/>
      <c r="V7" s="49"/>
      <c r="W7" s="49"/>
      <c r="X7" s="49"/>
      <c r="Y7" s="49"/>
    </row>
    <row r="8" spans="1:25">
      <c r="A8" s="49">
        <v>7</v>
      </c>
      <c r="B8" s="13">
        <v>45722</v>
      </c>
      <c r="C8" s="49" t="s">
        <v>1445</v>
      </c>
      <c r="D8" s="49"/>
      <c r="E8" s="49" t="s">
        <v>1180</v>
      </c>
      <c r="F8" s="49"/>
      <c r="G8" s="49"/>
      <c r="H8" s="52">
        <v>25000</v>
      </c>
      <c r="I8" s="49">
        <v>1</v>
      </c>
      <c r="J8" s="97"/>
      <c r="L8" s="52">
        <v>25000</v>
      </c>
      <c r="M8" s="49"/>
      <c r="N8" s="49"/>
      <c r="O8" s="49"/>
      <c r="P8" s="49"/>
      <c r="Q8" s="49"/>
      <c r="R8" s="49"/>
      <c r="S8" s="49"/>
      <c r="T8" s="49"/>
      <c r="U8" s="49"/>
      <c r="V8" s="49"/>
      <c r="W8" s="49"/>
      <c r="X8" s="49"/>
      <c r="Y8" s="49"/>
    </row>
    <row r="9" spans="1:25">
      <c r="A9" s="49">
        <v>8</v>
      </c>
      <c r="B9" s="13">
        <v>45722</v>
      </c>
      <c r="C9" s="49" t="s">
        <v>1183</v>
      </c>
      <c r="D9" s="49"/>
      <c r="E9" s="49" t="s">
        <v>1175</v>
      </c>
      <c r="F9" s="49"/>
      <c r="G9" s="49"/>
      <c r="H9" s="52">
        <v>1100000</v>
      </c>
      <c r="I9" s="49">
        <v>1</v>
      </c>
      <c r="J9" s="97"/>
      <c r="L9" s="52">
        <v>1100000</v>
      </c>
      <c r="M9" s="49"/>
      <c r="N9" s="49"/>
      <c r="O9" s="49"/>
      <c r="P9" s="49"/>
      <c r="Q9" s="49"/>
      <c r="R9" s="49"/>
      <c r="S9" s="49"/>
      <c r="T9" s="49"/>
      <c r="U9" s="49"/>
      <c r="V9" s="49"/>
      <c r="W9" s="49"/>
      <c r="X9" s="49"/>
      <c r="Y9" s="49"/>
    </row>
    <row r="10" spans="1:25">
      <c r="A10" s="49">
        <v>9</v>
      </c>
      <c r="B10" s="13">
        <v>45722</v>
      </c>
      <c r="C10" s="49" t="s">
        <v>1488</v>
      </c>
      <c r="D10" s="49"/>
      <c r="E10" s="49" t="s">
        <v>1241</v>
      </c>
      <c r="F10" s="49" t="s">
        <v>1406</v>
      </c>
      <c r="G10" s="49"/>
      <c r="H10" s="52">
        <v>1200000</v>
      </c>
      <c r="I10" s="49">
        <v>1</v>
      </c>
      <c r="J10" s="97"/>
      <c r="L10" s="52">
        <v>1200000</v>
      </c>
      <c r="M10" s="49"/>
      <c r="N10" s="49"/>
      <c r="O10" s="49"/>
      <c r="P10" s="49"/>
      <c r="Q10" s="49"/>
      <c r="R10" s="49"/>
      <c r="S10" s="49"/>
      <c r="T10" s="49"/>
      <c r="U10" s="49"/>
      <c r="V10" s="49"/>
      <c r="W10" s="49"/>
      <c r="X10" s="49"/>
      <c r="Y10" s="49"/>
    </row>
    <row r="11" spans="1:25">
      <c r="A11" s="49">
        <v>10</v>
      </c>
      <c r="B11" s="13">
        <v>45721</v>
      </c>
      <c r="C11" s="49" t="s">
        <v>1490</v>
      </c>
      <c r="D11" s="49"/>
      <c r="E11" s="49">
        <v>415054509</v>
      </c>
      <c r="F11" s="49"/>
      <c r="H11" s="52">
        <v>330000</v>
      </c>
      <c r="I11" s="49">
        <v>1</v>
      </c>
      <c r="J11" s="97"/>
      <c r="L11" s="52">
        <v>330000</v>
      </c>
      <c r="M11" s="49"/>
      <c r="N11" s="49"/>
      <c r="O11" s="49"/>
      <c r="P11" s="49"/>
      <c r="Q11" s="49"/>
      <c r="R11" s="49"/>
      <c r="S11" s="49"/>
      <c r="T11" s="49"/>
      <c r="U11" s="49"/>
      <c r="V11" s="49"/>
      <c r="W11" s="49"/>
      <c r="X11" s="49"/>
      <c r="Y11" s="49"/>
    </row>
    <row r="12" spans="1:25">
      <c r="A12" s="49">
        <v>11</v>
      </c>
      <c r="B12" s="13">
        <v>45720</v>
      </c>
      <c r="C12" s="49" t="s">
        <v>1445</v>
      </c>
      <c r="D12" s="49"/>
      <c r="E12" s="49" t="s">
        <v>1176</v>
      </c>
      <c r="F12" s="49"/>
      <c r="H12" s="52">
        <v>1000000</v>
      </c>
      <c r="I12" s="49">
        <v>1</v>
      </c>
      <c r="J12" s="97"/>
      <c r="L12" s="52">
        <v>1000000</v>
      </c>
      <c r="M12" s="49"/>
      <c r="N12" s="49"/>
      <c r="O12" s="49"/>
      <c r="P12" s="49"/>
      <c r="Q12" s="49"/>
      <c r="R12" s="49"/>
      <c r="S12" s="49"/>
      <c r="T12" s="49"/>
      <c r="U12" s="49"/>
      <c r="V12" s="49"/>
      <c r="W12" s="49"/>
      <c r="X12" s="49"/>
      <c r="Y12" s="49"/>
    </row>
    <row r="13" spans="1:25">
      <c r="A13" s="49">
        <v>12</v>
      </c>
      <c r="B13" s="13">
        <v>45720</v>
      </c>
      <c r="C13" s="49" t="s">
        <v>1490</v>
      </c>
      <c r="D13" s="49"/>
      <c r="E13" s="49">
        <v>602000700</v>
      </c>
      <c r="F13" s="49">
        <v>602000700</v>
      </c>
      <c r="H13" s="52">
        <v>350000</v>
      </c>
      <c r="I13" s="49">
        <v>1</v>
      </c>
      <c r="J13" s="97"/>
      <c r="L13" s="52">
        <v>350000</v>
      </c>
      <c r="M13" s="49"/>
      <c r="N13" s="49"/>
      <c r="O13" s="49"/>
      <c r="P13" s="49"/>
      <c r="Q13" s="49"/>
      <c r="R13" s="49"/>
      <c r="S13" s="49"/>
      <c r="T13" s="49"/>
      <c r="U13" s="49"/>
      <c r="V13" s="49"/>
      <c r="W13" s="49"/>
      <c r="X13" s="49"/>
      <c r="Y13" s="49"/>
    </row>
    <row r="14" spans="1:25">
      <c r="A14" s="49">
        <v>13</v>
      </c>
      <c r="B14" s="13">
        <v>45720</v>
      </c>
      <c r="C14" s="49" t="s">
        <v>1490</v>
      </c>
      <c r="D14" s="49"/>
      <c r="E14" s="49" t="s">
        <v>1161</v>
      </c>
      <c r="F14" s="49"/>
      <c r="G14" s="49"/>
      <c r="H14" s="52">
        <v>-300000</v>
      </c>
      <c r="I14" s="49">
        <v>1</v>
      </c>
      <c r="J14" s="97"/>
      <c r="L14" s="52">
        <v>-300000</v>
      </c>
      <c r="M14" s="49"/>
      <c r="N14" s="49"/>
      <c r="O14" s="49"/>
      <c r="P14" s="49"/>
      <c r="Q14" s="49"/>
      <c r="R14" s="49"/>
      <c r="S14" s="49"/>
      <c r="T14" s="49"/>
      <c r="U14" s="49"/>
      <c r="V14" s="49"/>
      <c r="W14" s="49"/>
      <c r="X14" s="49"/>
      <c r="Y14" s="49"/>
    </row>
    <row r="15" spans="1:25">
      <c r="A15" s="49">
        <v>14</v>
      </c>
      <c r="B15" s="13">
        <v>45720</v>
      </c>
      <c r="C15" s="49" t="s">
        <v>1183</v>
      </c>
      <c r="D15" s="49"/>
      <c r="E15" s="49" t="s">
        <v>1185</v>
      </c>
      <c r="F15" s="49"/>
      <c r="G15" s="49"/>
      <c r="H15" s="52">
        <v>610000</v>
      </c>
      <c r="I15" s="49">
        <v>1</v>
      </c>
      <c r="J15" s="97"/>
      <c r="L15" s="52">
        <v>610000</v>
      </c>
      <c r="M15" s="49"/>
      <c r="N15" s="49"/>
      <c r="O15" s="49"/>
      <c r="P15" s="49"/>
      <c r="Q15" s="49"/>
      <c r="R15" s="49"/>
      <c r="S15" s="49"/>
      <c r="T15" s="49"/>
      <c r="U15" s="49"/>
      <c r="V15" s="49"/>
      <c r="W15" s="49"/>
      <c r="X15" s="49"/>
      <c r="Y15" s="49"/>
    </row>
    <row r="16" spans="1:25">
      <c r="A16" s="49">
        <v>15</v>
      </c>
      <c r="B16" s="13">
        <v>45720</v>
      </c>
      <c r="C16" s="49" t="s">
        <v>1183</v>
      </c>
      <c r="D16" s="49"/>
      <c r="E16" s="49" t="s">
        <v>1171</v>
      </c>
      <c r="F16" s="49">
        <v>2821402</v>
      </c>
      <c r="G16" s="49"/>
      <c r="H16" s="52">
        <v>55000</v>
      </c>
      <c r="I16" s="49">
        <v>1</v>
      </c>
      <c r="J16" s="97"/>
      <c r="L16" s="52">
        <v>55000</v>
      </c>
      <c r="M16" s="49"/>
      <c r="N16" s="49"/>
      <c r="O16" s="49"/>
      <c r="P16" s="49"/>
      <c r="Q16" s="49"/>
      <c r="R16" s="49"/>
      <c r="S16" s="49"/>
      <c r="T16" s="49"/>
      <c r="U16" s="49"/>
      <c r="V16" s="49"/>
      <c r="W16" s="49"/>
      <c r="X16" s="49"/>
      <c r="Y16" s="49"/>
    </row>
    <row r="17" spans="1:26">
      <c r="A17" s="49">
        <v>16</v>
      </c>
      <c r="B17" s="13">
        <v>45720</v>
      </c>
      <c r="C17" s="49" t="s">
        <v>1183</v>
      </c>
      <c r="D17" s="49"/>
      <c r="E17" s="49" t="s">
        <v>1179</v>
      </c>
      <c r="F17" s="49"/>
      <c r="G17" s="49"/>
      <c r="H17" s="52">
        <v>600000</v>
      </c>
      <c r="I17" s="49">
        <v>1</v>
      </c>
      <c r="J17" s="97"/>
      <c r="L17" s="52">
        <v>600000</v>
      </c>
      <c r="M17" s="49"/>
      <c r="N17" s="49"/>
      <c r="O17" s="49"/>
      <c r="P17" s="49"/>
      <c r="Q17" s="49"/>
      <c r="R17" s="49"/>
      <c r="S17" s="49"/>
      <c r="T17" s="49"/>
      <c r="U17" s="49"/>
      <c r="V17" s="49"/>
      <c r="W17" s="49"/>
      <c r="X17" s="49"/>
      <c r="Y17" s="49"/>
    </row>
    <row r="18" spans="1:26">
      <c r="A18" s="49">
        <v>17</v>
      </c>
      <c r="B18" s="13">
        <v>45720</v>
      </c>
      <c r="C18" s="49" t="s">
        <v>1495</v>
      </c>
      <c r="D18" s="49"/>
      <c r="E18" s="49" t="s">
        <v>1186</v>
      </c>
      <c r="F18" s="49"/>
      <c r="G18" s="49"/>
      <c r="H18" s="52">
        <v>1100000</v>
      </c>
      <c r="I18" s="49">
        <v>1</v>
      </c>
      <c r="J18" s="97"/>
      <c r="L18" s="52">
        <v>1100000</v>
      </c>
      <c r="M18" s="49"/>
      <c r="N18" s="49"/>
      <c r="O18" s="49"/>
      <c r="P18" s="49"/>
      <c r="Q18" s="49"/>
      <c r="R18" s="49"/>
      <c r="S18" s="49"/>
      <c r="T18" s="49"/>
      <c r="U18" s="49"/>
      <c r="V18" s="49"/>
      <c r="W18" s="49"/>
      <c r="X18" s="49"/>
      <c r="Y18" s="49"/>
    </row>
    <row r="19" spans="1:26">
      <c r="A19" s="49">
        <v>18</v>
      </c>
      <c r="B19" s="13">
        <v>45717</v>
      </c>
      <c r="C19" s="49" t="s">
        <v>1445</v>
      </c>
      <c r="D19" s="49"/>
      <c r="E19" s="49" t="s">
        <v>1175</v>
      </c>
      <c r="F19" s="49"/>
      <c r="G19" s="49"/>
      <c r="H19" s="52">
        <v>650000</v>
      </c>
      <c r="I19" s="49">
        <v>1</v>
      </c>
      <c r="J19" s="97"/>
      <c r="L19" s="52">
        <v>650000</v>
      </c>
      <c r="M19" s="49"/>
      <c r="N19" s="49"/>
      <c r="O19" s="49"/>
      <c r="P19" s="49"/>
      <c r="Q19" s="49"/>
      <c r="R19" s="49"/>
      <c r="S19" s="49"/>
      <c r="T19" s="49"/>
      <c r="U19" s="49"/>
      <c r="V19" s="49"/>
      <c r="W19" s="49"/>
      <c r="X19" s="49"/>
      <c r="Y19" s="49"/>
    </row>
    <row r="20" spans="1:26">
      <c r="A20" s="49">
        <v>19</v>
      </c>
      <c r="B20" s="13">
        <v>45717</v>
      </c>
      <c r="C20" s="49" t="s">
        <v>1498</v>
      </c>
      <c r="D20" s="49"/>
      <c r="E20" s="49" t="s">
        <v>1187</v>
      </c>
      <c r="F20" s="49"/>
      <c r="G20" s="49"/>
      <c r="H20" s="52">
        <v>1650000</v>
      </c>
      <c r="I20" s="49">
        <v>1</v>
      </c>
      <c r="J20" s="97"/>
      <c r="L20" s="52">
        <v>1650000</v>
      </c>
      <c r="M20" s="49"/>
      <c r="N20" s="49"/>
      <c r="O20" s="49"/>
      <c r="P20" s="49"/>
      <c r="Q20" s="49"/>
      <c r="R20" s="49"/>
      <c r="S20" s="49"/>
      <c r="T20" s="49"/>
      <c r="U20" s="49"/>
      <c r="V20" s="49"/>
      <c r="W20" s="49"/>
      <c r="X20" s="49"/>
      <c r="Y20" s="49"/>
    </row>
    <row r="21" spans="1:26">
      <c r="A21" s="49">
        <v>20</v>
      </c>
      <c r="B21" s="122">
        <v>45723</v>
      </c>
      <c r="C21" s="123" t="s">
        <v>1500</v>
      </c>
      <c r="D21" s="123"/>
      <c r="E21" s="52" t="s">
        <v>1175</v>
      </c>
      <c r="F21" s="52"/>
      <c r="H21" s="52">
        <v>650000</v>
      </c>
      <c r="I21" s="52">
        <v>1</v>
      </c>
      <c r="J21" s="52"/>
      <c r="L21" s="52">
        <v>650000</v>
      </c>
      <c r="M21" s="49"/>
      <c r="N21" s="49"/>
      <c r="O21" s="49"/>
      <c r="P21" s="49"/>
      <c r="Q21" s="49"/>
      <c r="R21" s="49"/>
      <c r="S21" s="49"/>
      <c r="T21" s="49"/>
      <c r="U21" s="49"/>
      <c r="V21" s="49"/>
      <c r="W21" s="49"/>
      <c r="X21" s="49"/>
      <c r="Y21" s="49"/>
      <c r="Z21">
        <v>1</v>
      </c>
    </row>
    <row r="22" spans="1:26">
      <c r="A22" s="49">
        <v>21</v>
      </c>
      <c r="B22" s="13">
        <v>45723</v>
      </c>
      <c r="C22" s="49" t="s">
        <v>1502</v>
      </c>
      <c r="D22" s="49"/>
      <c r="E22" s="49" t="s">
        <v>1190</v>
      </c>
      <c r="F22" s="49"/>
      <c r="G22" s="49"/>
      <c r="H22" s="52">
        <v>700000</v>
      </c>
      <c r="I22" s="49">
        <v>1</v>
      </c>
      <c r="J22" s="97"/>
      <c r="L22" s="52">
        <v>700000</v>
      </c>
      <c r="M22" s="49"/>
      <c r="N22" s="49"/>
      <c r="O22" s="49"/>
      <c r="P22" s="49"/>
      <c r="Q22" s="49"/>
      <c r="R22" s="49"/>
      <c r="S22" s="49"/>
      <c r="T22" s="49"/>
      <c r="U22" s="49"/>
      <c r="V22" s="49"/>
      <c r="W22" s="49"/>
      <c r="X22" s="49"/>
      <c r="Y22" s="49"/>
    </row>
    <row r="23" spans="1:26">
      <c r="A23" s="49">
        <v>22</v>
      </c>
      <c r="B23" s="13">
        <v>45723</v>
      </c>
      <c r="C23" s="49" t="s">
        <v>1504</v>
      </c>
      <c r="D23" s="49"/>
      <c r="E23" s="49" t="s">
        <v>1166</v>
      </c>
      <c r="F23" s="49"/>
      <c r="G23" s="49"/>
      <c r="H23" s="52">
        <v>1500000</v>
      </c>
      <c r="I23" s="49">
        <v>1</v>
      </c>
      <c r="J23" s="97"/>
      <c r="L23" s="52">
        <v>1500000</v>
      </c>
      <c r="M23" s="49"/>
      <c r="N23" s="49"/>
      <c r="O23" s="49"/>
      <c r="P23" s="49"/>
      <c r="Q23" s="49"/>
      <c r="R23" s="49"/>
      <c r="S23" s="49"/>
      <c r="T23" s="49"/>
      <c r="U23" s="49"/>
      <c r="V23" s="49"/>
      <c r="W23" s="49"/>
      <c r="X23" s="49"/>
      <c r="Y23" s="49"/>
    </row>
    <row r="24" spans="1:26">
      <c r="A24" s="49">
        <v>23</v>
      </c>
      <c r="B24" s="13">
        <v>45724</v>
      </c>
      <c r="C24" s="49" t="s">
        <v>1445</v>
      </c>
      <c r="D24" s="49"/>
      <c r="E24" s="49" t="s">
        <v>1241</v>
      </c>
      <c r="F24" s="49" t="s">
        <v>1406</v>
      </c>
      <c r="G24" s="49"/>
      <c r="H24" s="52">
        <v>1200000</v>
      </c>
      <c r="I24" s="49">
        <v>1</v>
      </c>
      <c r="J24" s="97"/>
      <c r="L24" s="52">
        <v>1200000</v>
      </c>
      <c r="M24" s="49"/>
      <c r="N24" s="49"/>
      <c r="O24" s="49"/>
      <c r="P24" s="49"/>
      <c r="Q24" s="49"/>
      <c r="R24" s="49"/>
      <c r="S24" s="49"/>
      <c r="T24" s="49"/>
      <c r="U24" s="49"/>
      <c r="V24" s="49"/>
      <c r="W24" s="49"/>
      <c r="X24" s="49"/>
      <c r="Y24" s="49"/>
    </row>
    <row r="25" spans="1:26">
      <c r="A25" s="49">
        <v>24</v>
      </c>
      <c r="B25" s="13">
        <v>45724</v>
      </c>
      <c r="C25" s="49" t="s">
        <v>1445</v>
      </c>
      <c r="D25" s="49"/>
      <c r="E25" s="49" t="s">
        <v>1173</v>
      </c>
      <c r="F25" s="49"/>
      <c r="G25" s="49"/>
      <c r="H25" s="52">
        <v>198000</v>
      </c>
      <c r="I25" s="49">
        <v>1</v>
      </c>
      <c r="J25" s="97"/>
      <c r="L25" s="52">
        <v>198000</v>
      </c>
      <c r="M25" s="49"/>
      <c r="N25" s="49"/>
      <c r="O25" s="49"/>
      <c r="P25" s="49"/>
      <c r="Q25" s="49"/>
      <c r="R25" s="49"/>
      <c r="S25" s="49"/>
      <c r="T25" s="49"/>
      <c r="U25" s="49"/>
      <c r="V25" s="49"/>
      <c r="W25" s="49"/>
      <c r="X25" s="49"/>
      <c r="Y25" s="49"/>
    </row>
    <row r="26" spans="1:26">
      <c r="A26" s="49">
        <v>25</v>
      </c>
      <c r="B26" s="13">
        <v>45726</v>
      </c>
      <c r="C26" s="49" t="s">
        <v>1490</v>
      </c>
      <c r="D26" s="49"/>
      <c r="E26" s="49" t="s">
        <v>1168</v>
      </c>
      <c r="F26" s="49"/>
      <c r="G26" s="49"/>
      <c r="H26" s="52">
        <v>300000</v>
      </c>
      <c r="I26" s="49">
        <v>1</v>
      </c>
      <c r="J26" s="97"/>
      <c r="L26" s="52">
        <v>300000</v>
      </c>
      <c r="M26" s="49"/>
      <c r="N26" s="49"/>
      <c r="O26" s="49"/>
      <c r="P26" s="49"/>
      <c r="Q26" s="49"/>
      <c r="R26" s="49"/>
      <c r="S26" s="49"/>
      <c r="T26" s="49"/>
      <c r="U26" s="49"/>
      <c r="V26" s="49"/>
      <c r="W26" s="49"/>
      <c r="X26" s="49"/>
      <c r="Y26" s="49"/>
    </row>
    <row r="27" spans="1:26">
      <c r="A27" s="49">
        <v>26</v>
      </c>
      <c r="B27" s="13">
        <v>45726</v>
      </c>
      <c r="C27" s="49" t="s">
        <v>1069</v>
      </c>
      <c r="D27" s="49"/>
      <c r="E27" s="49" t="s">
        <v>1167</v>
      </c>
      <c r="F27" s="49"/>
      <c r="G27" s="49"/>
      <c r="H27" s="52">
        <v>1000000</v>
      </c>
      <c r="I27" s="49">
        <v>1</v>
      </c>
      <c r="J27" s="97"/>
      <c r="L27" s="52">
        <v>1000000</v>
      </c>
      <c r="M27" s="49"/>
      <c r="N27" s="49"/>
      <c r="O27" s="49"/>
      <c r="P27" s="49"/>
      <c r="Q27" s="49"/>
      <c r="R27" s="49"/>
      <c r="S27" s="49"/>
      <c r="T27" s="49"/>
      <c r="U27" s="49"/>
      <c r="V27" s="49"/>
      <c r="W27" s="49"/>
      <c r="X27" s="49"/>
      <c r="Y27" s="49"/>
    </row>
    <row r="28" spans="1:26">
      <c r="A28" s="49">
        <v>27</v>
      </c>
      <c r="B28" s="13">
        <v>45727</v>
      </c>
      <c r="C28" s="49" t="s">
        <v>1105</v>
      </c>
      <c r="D28" s="49"/>
      <c r="E28" s="49" t="s">
        <v>1166</v>
      </c>
      <c r="F28" s="49"/>
      <c r="G28" s="49"/>
      <c r="H28" s="52">
        <v>1500000</v>
      </c>
      <c r="I28" s="49">
        <v>1</v>
      </c>
      <c r="J28" s="97"/>
      <c r="L28" s="52">
        <v>1500000</v>
      </c>
      <c r="M28" s="49"/>
      <c r="N28" s="49"/>
      <c r="O28" s="49"/>
      <c r="P28" s="49"/>
      <c r="Q28" s="49"/>
      <c r="R28" s="49"/>
      <c r="S28" s="49"/>
      <c r="T28" s="49"/>
      <c r="U28" s="49"/>
      <c r="V28" s="49"/>
      <c r="W28" s="49"/>
      <c r="X28" s="49"/>
      <c r="Y28" s="49"/>
    </row>
    <row r="29" spans="1:26">
      <c r="A29" s="49">
        <v>28</v>
      </c>
      <c r="B29" s="13">
        <v>45727</v>
      </c>
      <c r="C29" s="49" t="s">
        <v>1445</v>
      </c>
      <c r="D29" s="49"/>
      <c r="E29" s="49" t="s">
        <v>1175</v>
      </c>
      <c r="F29" s="49"/>
      <c r="G29" s="49"/>
      <c r="H29" s="52">
        <v>650000</v>
      </c>
      <c r="I29" s="49">
        <v>1</v>
      </c>
      <c r="J29" s="97"/>
      <c r="L29" s="52">
        <v>650000</v>
      </c>
      <c r="M29" s="49"/>
      <c r="N29" s="49"/>
      <c r="O29" s="49"/>
      <c r="P29" s="49"/>
      <c r="Q29" s="49"/>
      <c r="R29" s="49"/>
      <c r="S29" s="49"/>
      <c r="T29" s="49"/>
      <c r="U29" s="49"/>
      <c r="V29" s="49"/>
      <c r="W29" s="49"/>
      <c r="X29" s="49"/>
      <c r="Y29" s="49"/>
    </row>
    <row r="30" spans="1:26">
      <c r="A30" s="49">
        <v>29</v>
      </c>
      <c r="B30" s="13">
        <v>45727</v>
      </c>
      <c r="C30" t="s">
        <v>1445</v>
      </c>
      <c r="E30" t="s">
        <v>1165</v>
      </c>
      <c r="F30" t="s">
        <v>1510</v>
      </c>
      <c r="G30"/>
      <c r="H30" s="52">
        <v>1500000</v>
      </c>
      <c r="I30">
        <v>1</v>
      </c>
      <c r="J30" s="97"/>
      <c r="L30" s="52">
        <v>1500000</v>
      </c>
    </row>
    <row r="31" spans="1:26">
      <c r="A31" s="49">
        <v>30</v>
      </c>
      <c r="B31" s="13">
        <v>45727</v>
      </c>
      <c r="C31" t="s">
        <v>1192</v>
      </c>
      <c r="E31" t="s">
        <v>1241</v>
      </c>
      <c r="F31" t="s">
        <v>1406</v>
      </c>
      <c r="G31"/>
      <c r="H31" s="52">
        <v>1200000</v>
      </c>
      <c r="I31">
        <v>1</v>
      </c>
      <c r="J31" s="97"/>
      <c r="L31" s="52">
        <v>1200000</v>
      </c>
    </row>
    <row r="32" spans="1:26">
      <c r="A32" s="49">
        <v>31</v>
      </c>
      <c r="B32" s="13">
        <v>45727</v>
      </c>
      <c r="C32" t="s">
        <v>1513</v>
      </c>
      <c r="E32" t="s">
        <v>1199</v>
      </c>
      <c r="G32"/>
      <c r="H32" s="52">
        <v>150000</v>
      </c>
      <c r="I32">
        <v>1</v>
      </c>
      <c r="J32" s="97"/>
      <c r="L32" s="52">
        <v>150000</v>
      </c>
    </row>
    <row r="33" spans="1:12">
      <c r="A33" s="49">
        <v>32</v>
      </c>
      <c r="B33" s="13">
        <v>45727</v>
      </c>
      <c r="C33" t="s">
        <v>1513</v>
      </c>
      <c r="E33" t="s">
        <v>1199</v>
      </c>
      <c r="G33"/>
      <c r="H33" s="52">
        <v>150000</v>
      </c>
      <c r="I33">
        <v>2</v>
      </c>
      <c r="J33" s="97"/>
      <c r="L33" s="52">
        <v>300000</v>
      </c>
    </row>
    <row r="34" spans="1:12">
      <c r="A34" s="49">
        <v>33</v>
      </c>
      <c r="B34" s="13">
        <v>45727</v>
      </c>
      <c r="C34" t="s">
        <v>1513</v>
      </c>
      <c r="E34" t="s">
        <v>1200</v>
      </c>
      <c r="G34"/>
      <c r="H34" s="52">
        <v>100000</v>
      </c>
      <c r="I34">
        <v>1</v>
      </c>
      <c r="J34" s="97"/>
      <c r="L34" s="52">
        <v>100000</v>
      </c>
    </row>
    <row r="35" spans="1:12">
      <c r="A35" s="49">
        <v>34</v>
      </c>
      <c r="B35" s="13">
        <v>45727</v>
      </c>
      <c r="C35" t="s">
        <v>1513</v>
      </c>
      <c r="E35" t="s">
        <v>1201</v>
      </c>
      <c r="G35"/>
      <c r="H35" s="52">
        <v>230000</v>
      </c>
      <c r="I35">
        <v>1</v>
      </c>
      <c r="J35" s="97"/>
      <c r="L35" s="52">
        <v>230000</v>
      </c>
    </row>
    <row r="36" spans="1:12">
      <c r="A36" s="49">
        <v>35</v>
      </c>
      <c r="B36" s="13">
        <v>45729</v>
      </c>
      <c r="C36" t="s">
        <v>1515</v>
      </c>
      <c r="E36" t="s">
        <v>1304</v>
      </c>
      <c r="F36" t="s">
        <v>1303</v>
      </c>
      <c r="G36"/>
      <c r="H36" s="52">
        <v>130000</v>
      </c>
      <c r="I36">
        <v>1</v>
      </c>
      <c r="J36" s="97"/>
      <c r="L36" s="52">
        <v>130000</v>
      </c>
    </row>
    <row r="37" spans="1:12">
      <c r="A37" s="49">
        <v>36</v>
      </c>
      <c r="B37" s="13">
        <v>45729</v>
      </c>
      <c r="C37" t="s">
        <v>1515</v>
      </c>
      <c r="E37" t="s">
        <v>1516</v>
      </c>
      <c r="G37"/>
      <c r="H37" s="52">
        <v>10000</v>
      </c>
      <c r="I37">
        <v>1</v>
      </c>
      <c r="J37" s="97"/>
      <c r="L37" s="52">
        <v>10000</v>
      </c>
    </row>
    <row r="38" spans="1:12">
      <c r="A38" s="49">
        <v>37</v>
      </c>
      <c r="B38" s="13">
        <v>45729</v>
      </c>
      <c r="C38" t="s">
        <v>1019</v>
      </c>
      <c r="E38" t="s">
        <v>1310</v>
      </c>
      <c r="F38" t="s">
        <v>1309</v>
      </c>
      <c r="G38"/>
      <c r="H38" s="52">
        <v>50000</v>
      </c>
      <c r="I38">
        <v>1</v>
      </c>
      <c r="J38" s="97"/>
      <c r="L38" s="52">
        <v>50000</v>
      </c>
    </row>
    <row r="39" spans="1:12">
      <c r="A39" s="49">
        <v>38</v>
      </c>
      <c r="B39" s="13">
        <v>45730</v>
      </c>
      <c r="C39" t="s">
        <v>1519</v>
      </c>
      <c r="E39" t="s">
        <v>1241</v>
      </c>
      <c r="F39" t="s">
        <v>1406</v>
      </c>
      <c r="G39"/>
      <c r="H39" s="52">
        <v>1100000</v>
      </c>
      <c r="I39">
        <v>1</v>
      </c>
      <c r="J39" s="97"/>
      <c r="L39" s="52">
        <v>1100000</v>
      </c>
    </row>
    <row r="40" spans="1:12">
      <c r="A40" s="49">
        <v>39</v>
      </c>
      <c r="B40" s="13">
        <v>45730</v>
      </c>
      <c r="C40" t="s">
        <v>1445</v>
      </c>
      <c r="E40" t="s">
        <v>1521</v>
      </c>
      <c r="G40"/>
      <c r="H40" s="52">
        <v>13000</v>
      </c>
      <c r="I40">
        <v>1</v>
      </c>
      <c r="J40" s="97"/>
      <c r="L40" s="52">
        <v>13000</v>
      </c>
    </row>
    <row r="41" spans="1:12">
      <c r="A41" s="49">
        <v>40</v>
      </c>
      <c r="B41" s="13">
        <v>45730</v>
      </c>
      <c r="C41" t="s">
        <v>1445</v>
      </c>
      <c r="E41" t="s">
        <v>1522</v>
      </c>
      <c r="G41"/>
      <c r="H41" s="52">
        <v>50000</v>
      </c>
      <c r="I41">
        <v>1</v>
      </c>
      <c r="J41" s="97"/>
      <c r="L41" s="52">
        <v>50000</v>
      </c>
    </row>
    <row r="42" spans="1:12">
      <c r="A42" s="49">
        <v>41</v>
      </c>
      <c r="B42" s="13">
        <v>45731</v>
      </c>
      <c r="C42" t="s">
        <v>1210</v>
      </c>
      <c r="E42" t="s">
        <v>1175</v>
      </c>
      <c r="G42"/>
      <c r="H42" s="52">
        <v>1100000</v>
      </c>
      <c r="I42">
        <v>1</v>
      </c>
      <c r="J42" s="97"/>
      <c r="L42" s="52">
        <v>1100000</v>
      </c>
    </row>
    <row r="43" spans="1:12">
      <c r="A43" s="49">
        <v>42</v>
      </c>
      <c r="B43" s="13">
        <v>45731</v>
      </c>
      <c r="C43" t="s">
        <v>1525</v>
      </c>
      <c r="E43" t="s">
        <v>1526</v>
      </c>
      <c r="G43"/>
      <c r="H43" s="52">
        <v>140000</v>
      </c>
      <c r="I43">
        <v>3</v>
      </c>
      <c r="J43" s="97"/>
      <c r="L43" s="52">
        <v>420000</v>
      </c>
    </row>
    <row r="44" spans="1:12">
      <c r="A44" s="49">
        <v>43</v>
      </c>
      <c r="B44" s="13">
        <v>45731</v>
      </c>
      <c r="C44" t="s">
        <v>1038</v>
      </c>
      <c r="E44" t="s">
        <v>1528</v>
      </c>
      <c r="H44" s="52">
        <v>450000</v>
      </c>
      <c r="I44">
        <v>1</v>
      </c>
      <c r="L44" s="52">
        <v>450000</v>
      </c>
    </row>
    <row r="45" spans="1:12">
      <c r="A45" s="49">
        <v>44</v>
      </c>
      <c r="B45" s="13">
        <v>45733</v>
      </c>
      <c r="C45" t="s">
        <v>1183</v>
      </c>
      <c r="E45" t="s">
        <v>1528</v>
      </c>
      <c r="H45" s="52">
        <v>450000</v>
      </c>
      <c r="I45">
        <v>1</v>
      </c>
      <c r="L45" s="52">
        <v>450000</v>
      </c>
    </row>
    <row r="46" spans="1:12">
      <c r="A46" s="49">
        <v>45</v>
      </c>
      <c r="B46" s="13">
        <v>45733</v>
      </c>
      <c r="C46" t="s">
        <v>1531</v>
      </c>
      <c r="E46" t="s">
        <v>1532</v>
      </c>
      <c r="H46" s="52">
        <v>1600000</v>
      </c>
      <c r="I46">
        <v>1</v>
      </c>
      <c r="L46" s="52">
        <v>1600000</v>
      </c>
    </row>
    <row r="47" spans="1:12">
      <c r="A47" s="49">
        <v>46</v>
      </c>
      <c r="B47" s="13">
        <v>45733</v>
      </c>
      <c r="C47" t="s">
        <v>1060</v>
      </c>
      <c r="E47" t="s">
        <v>1536</v>
      </c>
      <c r="H47" s="52">
        <v>1600000</v>
      </c>
      <c r="I47">
        <v>1</v>
      </c>
      <c r="L47" s="52">
        <v>1600000</v>
      </c>
    </row>
    <row r="48" spans="1:12">
      <c r="A48" s="49">
        <v>47</v>
      </c>
      <c r="B48" s="13">
        <v>45733</v>
      </c>
      <c r="C48" t="s">
        <v>1515</v>
      </c>
      <c r="E48" t="s">
        <v>1538</v>
      </c>
      <c r="H48" s="52">
        <v>100000</v>
      </c>
      <c r="I48">
        <v>1</v>
      </c>
      <c r="L48" s="52">
        <v>100000</v>
      </c>
    </row>
    <row r="49" spans="1:12">
      <c r="A49" s="49">
        <v>48</v>
      </c>
      <c r="B49" s="13">
        <v>45733</v>
      </c>
      <c r="C49" t="s">
        <v>1540</v>
      </c>
      <c r="E49" t="s">
        <v>1541</v>
      </c>
      <c r="F49" t="s">
        <v>1406</v>
      </c>
      <c r="H49" s="52">
        <v>650000</v>
      </c>
      <c r="I49">
        <v>1</v>
      </c>
      <c r="L49" s="52">
        <v>650000</v>
      </c>
    </row>
    <row r="50" spans="1:12">
      <c r="A50" s="49">
        <v>49</v>
      </c>
      <c r="B50" s="13">
        <v>45733</v>
      </c>
      <c r="C50" t="s">
        <v>1540</v>
      </c>
      <c r="E50" t="s">
        <v>1542</v>
      </c>
      <c r="H50" s="52">
        <v>350000</v>
      </c>
      <c r="I50">
        <v>1</v>
      </c>
      <c r="L50" s="52">
        <v>350000</v>
      </c>
    </row>
    <row r="51" spans="1:12">
      <c r="A51" s="49">
        <v>50</v>
      </c>
      <c r="B51" s="13">
        <v>45734</v>
      </c>
      <c r="C51" t="s">
        <v>1544</v>
      </c>
      <c r="E51" t="s">
        <v>1241</v>
      </c>
      <c r="F51" t="s">
        <v>1406</v>
      </c>
      <c r="H51" s="52">
        <v>1200000</v>
      </c>
      <c r="I51">
        <v>1</v>
      </c>
      <c r="L51" s="52">
        <v>1200000</v>
      </c>
    </row>
    <row r="52" spans="1:12">
      <c r="A52" s="49">
        <v>51</v>
      </c>
      <c r="B52" s="13">
        <v>45735</v>
      </c>
      <c r="C52" t="s">
        <v>1445</v>
      </c>
      <c r="E52" t="s">
        <v>1259</v>
      </c>
      <c r="F52" t="s">
        <v>1258</v>
      </c>
      <c r="H52" s="52">
        <v>1500000</v>
      </c>
      <c r="I52">
        <v>1</v>
      </c>
      <c r="L52" s="52">
        <v>1500000</v>
      </c>
    </row>
    <row r="53" spans="1:12">
      <c r="A53" s="49">
        <v>52</v>
      </c>
      <c r="B53" s="13">
        <v>45735</v>
      </c>
      <c r="C53" t="s">
        <v>1445</v>
      </c>
      <c r="E53" t="s">
        <v>1547</v>
      </c>
      <c r="H53" s="52">
        <v>-500000</v>
      </c>
      <c r="I53">
        <v>1</v>
      </c>
      <c r="L53" s="52">
        <v>-500000</v>
      </c>
    </row>
    <row r="54" spans="1:12">
      <c r="A54" s="49">
        <v>53</v>
      </c>
      <c r="B54" s="13">
        <v>45735</v>
      </c>
      <c r="C54" t="s">
        <v>1069</v>
      </c>
      <c r="E54" t="s">
        <v>1549</v>
      </c>
      <c r="H54" s="52">
        <v>1600000</v>
      </c>
      <c r="I54">
        <v>1</v>
      </c>
      <c r="L54" s="52">
        <v>1600000</v>
      </c>
    </row>
    <row r="55" spans="1:12">
      <c r="A55" s="49">
        <v>54</v>
      </c>
      <c r="B55" s="13">
        <v>45735</v>
      </c>
      <c r="C55" t="s">
        <v>1424</v>
      </c>
      <c r="E55" t="s">
        <v>1551</v>
      </c>
      <c r="H55" s="52">
        <v>1000000</v>
      </c>
      <c r="I55">
        <v>1</v>
      </c>
      <c r="L55" s="52">
        <v>1000000</v>
      </c>
    </row>
    <row r="56" spans="1:12">
      <c r="A56" s="49">
        <v>55</v>
      </c>
      <c r="B56" s="13">
        <v>45735</v>
      </c>
      <c r="C56" t="s">
        <v>1424</v>
      </c>
      <c r="E56" t="s">
        <v>1552</v>
      </c>
      <c r="H56" s="52">
        <v>200000</v>
      </c>
      <c r="I56">
        <v>1</v>
      </c>
      <c r="L56" s="52">
        <v>200000</v>
      </c>
    </row>
    <row r="57" spans="1:12">
      <c r="A57" s="49">
        <v>56</v>
      </c>
      <c r="B57" s="13">
        <v>45736</v>
      </c>
      <c r="C57" t="s">
        <v>1490</v>
      </c>
      <c r="E57" t="s">
        <v>1554</v>
      </c>
      <c r="H57" s="52">
        <v>-1270000</v>
      </c>
      <c r="I57">
        <v>1</v>
      </c>
      <c r="L57" s="52">
        <v>-1270000</v>
      </c>
    </row>
    <row r="58" spans="1:12">
      <c r="A58" s="49">
        <v>57</v>
      </c>
      <c r="B58" s="13">
        <v>45736</v>
      </c>
      <c r="C58" t="s">
        <v>1490</v>
      </c>
      <c r="E58" t="s">
        <v>1555</v>
      </c>
      <c r="H58" s="52">
        <v>-300000</v>
      </c>
      <c r="I58">
        <v>1</v>
      </c>
      <c r="L58" s="52">
        <v>-300000</v>
      </c>
    </row>
    <row r="59" spans="1:12">
      <c r="A59" s="49">
        <v>58</v>
      </c>
      <c r="B59" s="13">
        <v>45736</v>
      </c>
      <c r="C59" t="s">
        <v>1490</v>
      </c>
      <c r="E59" t="s">
        <v>1556</v>
      </c>
      <c r="H59" s="52">
        <v>-200000</v>
      </c>
      <c r="I59">
        <v>1</v>
      </c>
      <c r="L59" s="52">
        <v>-200000</v>
      </c>
    </row>
    <row r="60" spans="1:12">
      <c r="A60" s="49">
        <v>59</v>
      </c>
      <c r="B60" s="13">
        <v>45736</v>
      </c>
      <c r="C60" t="s">
        <v>1281</v>
      </c>
      <c r="E60" t="s">
        <v>1243</v>
      </c>
      <c r="F60" t="s">
        <v>1242</v>
      </c>
      <c r="H60" s="52">
        <v>150000</v>
      </c>
      <c r="I60">
        <v>1</v>
      </c>
      <c r="L60" s="52">
        <v>150000</v>
      </c>
    </row>
    <row r="61" spans="1:12">
      <c r="A61" s="49">
        <v>60</v>
      </c>
      <c r="B61" s="13">
        <v>45736</v>
      </c>
      <c r="C61" t="s">
        <v>1515</v>
      </c>
      <c r="E61" t="s">
        <v>1241</v>
      </c>
      <c r="F61" t="s">
        <v>1406</v>
      </c>
      <c r="H61" s="52">
        <v>1300000</v>
      </c>
      <c r="I61">
        <v>1</v>
      </c>
      <c r="L61" s="52">
        <v>1300000</v>
      </c>
    </row>
    <row r="62" spans="1:12">
      <c r="A62" s="49">
        <v>61</v>
      </c>
      <c r="B62" s="13">
        <v>45736</v>
      </c>
      <c r="C62" t="s">
        <v>1270</v>
      </c>
      <c r="E62" t="s">
        <v>1549</v>
      </c>
      <c r="H62" s="52">
        <v>1600000</v>
      </c>
      <c r="I62">
        <v>1</v>
      </c>
      <c r="L62" s="52">
        <v>1600000</v>
      </c>
    </row>
    <row r="63" spans="1:12">
      <c r="A63" s="49">
        <v>62</v>
      </c>
      <c r="B63" s="13">
        <v>45736</v>
      </c>
      <c r="C63" t="s">
        <v>1561</v>
      </c>
      <c r="E63" t="s">
        <v>1175</v>
      </c>
      <c r="H63" s="52">
        <v>650000</v>
      </c>
      <c r="I63">
        <v>1</v>
      </c>
      <c r="L63" s="52">
        <v>650000</v>
      </c>
    </row>
    <row r="64" spans="1:12">
      <c r="A64" s="49">
        <v>63</v>
      </c>
      <c r="B64" s="13">
        <v>45741</v>
      </c>
      <c r="C64" t="s">
        <v>1563</v>
      </c>
      <c r="E64" t="s">
        <v>1564</v>
      </c>
      <c r="H64" s="52">
        <v>150000</v>
      </c>
      <c r="I64">
        <v>2</v>
      </c>
      <c r="L64" s="52">
        <v>300000</v>
      </c>
    </row>
    <row r="65" spans="1:12">
      <c r="A65" s="49">
        <v>64</v>
      </c>
      <c r="B65" s="13">
        <v>45741</v>
      </c>
      <c r="C65" t="s">
        <v>1563</v>
      </c>
      <c r="E65" t="s">
        <v>1565</v>
      </c>
      <c r="H65" s="52">
        <v>20000</v>
      </c>
      <c r="I65">
        <v>1</v>
      </c>
      <c r="L65" s="52">
        <v>20000</v>
      </c>
    </row>
    <row r="66" spans="1:12">
      <c r="A66" s="49">
        <v>65</v>
      </c>
      <c r="B66" s="13">
        <v>45737</v>
      </c>
      <c r="C66" t="s">
        <v>1567</v>
      </c>
      <c r="E66" t="s">
        <v>1570</v>
      </c>
      <c r="H66" s="52">
        <v>250000</v>
      </c>
      <c r="I66">
        <v>1</v>
      </c>
      <c r="L66" s="52">
        <v>250000</v>
      </c>
    </row>
    <row r="67" spans="1:12">
      <c r="A67" s="49">
        <v>66</v>
      </c>
      <c r="B67" s="13">
        <v>45737</v>
      </c>
      <c r="C67" t="s">
        <v>1490</v>
      </c>
      <c r="E67" t="s">
        <v>1246</v>
      </c>
      <c r="F67" t="s">
        <v>1245</v>
      </c>
      <c r="H67" s="52">
        <v>570000</v>
      </c>
      <c r="I67">
        <v>2</v>
      </c>
      <c r="L67" s="52">
        <v>1140000</v>
      </c>
    </row>
    <row r="68" spans="1:12">
      <c r="A68" s="49">
        <v>67</v>
      </c>
      <c r="B68" s="13">
        <v>45737</v>
      </c>
      <c r="C68" t="s">
        <v>1490</v>
      </c>
      <c r="E68" t="s">
        <v>1454</v>
      </c>
      <c r="I68">
        <v>2</v>
      </c>
      <c r="L68" s="52">
        <v>0</v>
      </c>
    </row>
    <row r="69" spans="1:12">
      <c r="A69" s="49">
        <v>68</v>
      </c>
      <c r="B69" s="13">
        <v>45740</v>
      </c>
      <c r="C69" t="s">
        <v>1351</v>
      </c>
      <c r="E69">
        <v>2703900</v>
      </c>
      <c r="H69" s="52">
        <v>1600000</v>
      </c>
      <c r="I69">
        <v>1</v>
      </c>
      <c r="L69" s="52">
        <v>1600000</v>
      </c>
    </row>
    <row r="70" spans="1:12">
      <c r="A70" s="49">
        <v>69</v>
      </c>
      <c r="B70" s="13">
        <v>45740</v>
      </c>
      <c r="C70" t="s">
        <v>1281</v>
      </c>
      <c r="E70" t="s">
        <v>1241</v>
      </c>
      <c r="F70" t="s">
        <v>1406</v>
      </c>
      <c r="H70" s="52">
        <v>1300000</v>
      </c>
      <c r="I70">
        <v>1</v>
      </c>
      <c r="L70" s="52">
        <v>1300000</v>
      </c>
    </row>
    <row r="71" spans="1:12">
      <c r="A71" s="49">
        <v>70</v>
      </c>
      <c r="B71" s="13">
        <v>45740</v>
      </c>
      <c r="C71" t="s">
        <v>1418</v>
      </c>
      <c r="E71" t="s">
        <v>1191</v>
      </c>
      <c r="H71" s="52">
        <v>1500000</v>
      </c>
      <c r="I71">
        <v>1</v>
      </c>
      <c r="L71" s="52">
        <v>1500000</v>
      </c>
    </row>
    <row r="72" spans="1:12">
      <c r="A72" s="49">
        <v>71</v>
      </c>
      <c r="B72" s="13">
        <v>45740</v>
      </c>
      <c r="C72" t="s">
        <v>1210</v>
      </c>
      <c r="E72" t="s">
        <v>1241</v>
      </c>
      <c r="F72" t="s">
        <v>1406</v>
      </c>
      <c r="H72" s="52">
        <v>1200000</v>
      </c>
      <c r="I72">
        <v>1</v>
      </c>
      <c r="L72" s="52">
        <v>1200000</v>
      </c>
    </row>
    <row r="73" spans="1:12">
      <c r="A73" s="49">
        <v>72</v>
      </c>
      <c r="B73" s="13">
        <v>45740</v>
      </c>
      <c r="C73" t="s">
        <v>1019</v>
      </c>
      <c r="E73" t="s">
        <v>1186</v>
      </c>
      <c r="H73" s="52">
        <v>1100000</v>
      </c>
      <c r="I73">
        <v>1</v>
      </c>
      <c r="L73" s="52">
        <v>1100000</v>
      </c>
    </row>
    <row r="74" spans="1:12">
      <c r="A74" s="49">
        <v>73</v>
      </c>
      <c r="B74" s="13">
        <v>45740</v>
      </c>
      <c r="C74" t="s">
        <v>1578</v>
      </c>
      <c r="E74" t="s">
        <v>1240</v>
      </c>
      <c r="F74" t="s">
        <v>1239</v>
      </c>
      <c r="H74" s="52">
        <v>1500000</v>
      </c>
      <c r="I74">
        <v>1</v>
      </c>
      <c r="L74" s="52">
        <v>1500000</v>
      </c>
    </row>
    <row r="75" spans="1:12">
      <c r="A75" s="49">
        <v>74</v>
      </c>
      <c r="B75" s="13">
        <v>45741</v>
      </c>
      <c r="C75" t="s">
        <v>1495</v>
      </c>
      <c r="E75" t="s">
        <v>1581</v>
      </c>
      <c r="H75" s="52">
        <v>450000</v>
      </c>
      <c r="I75">
        <v>1</v>
      </c>
      <c r="L75" s="52">
        <v>450000</v>
      </c>
    </row>
    <row r="76" spans="1:12">
      <c r="A76" s="49">
        <v>75</v>
      </c>
      <c r="B76" s="13">
        <v>45741</v>
      </c>
      <c r="C76" t="s">
        <v>1183</v>
      </c>
      <c r="E76" t="s">
        <v>1241</v>
      </c>
      <c r="F76" t="s">
        <v>1406</v>
      </c>
      <c r="H76" s="52">
        <v>1200000</v>
      </c>
      <c r="I76">
        <v>1</v>
      </c>
      <c r="L76" s="52">
        <v>1200000</v>
      </c>
    </row>
    <row r="77" spans="1:12">
      <c r="A77" s="49">
        <v>76</v>
      </c>
      <c r="B77" s="13">
        <v>45741</v>
      </c>
      <c r="C77" t="s">
        <v>1030</v>
      </c>
      <c r="E77" t="s">
        <v>1584</v>
      </c>
      <c r="H77" s="52">
        <v>2000000</v>
      </c>
      <c r="I77">
        <v>1</v>
      </c>
      <c r="L77" s="52">
        <v>2000000</v>
      </c>
    </row>
    <row r="78" spans="1:12">
      <c r="A78" s="49">
        <v>77</v>
      </c>
      <c r="B78" s="13">
        <v>45741</v>
      </c>
      <c r="C78" t="s">
        <v>1490</v>
      </c>
      <c r="E78" t="s">
        <v>1168</v>
      </c>
      <c r="H78" s="52">
        <v>350000</v>
      </c>
      <c r="I78">
        <v>2</v>
      </c>
      <c r="L78" s="52">
        <v>700000</v>
      </c>
    </row>
    <row r="79" spans="1:12">
      <c r="A79" s="49">
        <v>78</v>
      </c>
      <c r="B79" s="13">
        <v>45741</v>
      </c>
      <c r="C79" t="s">
        <v>1490</v>
      </c>
      <c r="E79" t="s">
        <v>1168</v>
      </c>
      <c r="H79" s="52">
        <v>300000</v>
      </c>
      <c r="I79">
        <v>2</v>
      </c>
      <c r="L79" s="52">
        <v>600000</v>
      </c>
    </row>
    <row r="80" spans="1:12">
      <c r="A80" s="49">
        <v>79</v>
      </c>
      <c r="B80" s="13">
        <v>45741</v>
      </c>
      <c r="C80" t="s">
        <v>1587</v>
      </c>
      <c r="E80" t="s">
        <v>1588</v>
      </c>
      <c r="H80" s="52">
        <v>129000</v>
      </c>
      <c r="I80">
        <v>1</v>
      </c>
      <c r="L80" s="52">
        <v>129000</v>
      </c>
    </row>
    <row r="81" spans="1:12">
      <c r="A81" s="49">
        <v>80</v>
      </c>
      <c r="B81" s="13">
        <v>45741</v>
      </c>
      <c r="C81" t="s">
        <v>1590</v>
      </c>
      <c r="E81" t="s">
        <v>1259</v>
      </c>
      <c r="F81" t="s">
        <v>1258</v>
      </c>
      <c r="H81" s="52">
        <v>1500000</v>
      </c>
      <c r="I81">
        <v>1</v>
      </c>
      <c r="L81" s="52">
        <v>1500000</v>
      </c>
    </row>
    <row r="82" spans="1:12">
      <c r="A82" s="49">
        <v>81</v>
      </c>
      <c r="B82" s="13">
        <v>45742</v>
      </c>
      <c r="C82" t="s">
        <v>1030</v>
      </c>
      <c r="E82" t="s">
        <v>1241</v>
      </c>
      <c r="F82" t="s">
        <v>1406</v>
      </c>
      <c r="H82" s="52">
        <v>1200000</v>
      </c>
      <c r="I82">
        <v>1</v>
      </c>
      <c r="L82" s="52">
        <v>1200000</v>
      </c>
    </row>
    <row r="83" spans="1:12">
      <c r="A83" s="49">
        <v>82</v>
      </c>
      <c r="B83" s="13">
        <v>45742</v>
      </c>
      <c r="C83" t="s">
        <v>1030</v>
      </c>
      <c r="E83" t="s">
        <v>1542</v>
      </c>
      <c r="H83" s="52">
        <v>350000</v>
      </c>
      <c r="I83">
        <v>1</v>
      </c>
      <c r="L83" s="52">
        <v>350000</v>
      </c>
    </row>
    <row r="84" spans="1:12">
      <c r="A84" s="49">
        <v>83</v>
      </c>
      <c r="B84" s="13">
        <v>45742</v>
      </c>
      <c r="C84" t="s">
        <v>1437</v>
      </c>
      <c r="E84" t="s">
        <v>1241</v>
      </c>
      <c r="F84" t="s">
        <v>1406</v>
      </c>
      <c r="H84" s="52">
        <v>1200000</v>
      </c>
      <c r="I84">
        <v>1</v>
      </c>
      <c r="L84" s="52">
        <v>1200000</v>
      </c>
    </row>
    <row r="85" spans="1:12">
      <c r="A85" s="49">
        <v>84</v>
      </c>
      <c r="B85" s="13">
        <v>45742</v>
      </c>
      <c r="C85" t="s">
        <v>1441</v>
      </c>
      <c r="E85" t="s">
        <v>1175</v>
      </c>
      <c r="H85" s="52">
        <v>650000</v>
      </c>
      <c r="I85">
        <v>1</v>
      </c>
      <c r="L85" s="52">
        <v>650000</v>
      </c>
    </row>
    <row r="86" spans="1:12">
      <c r="A86" s="49">
        <v>85</v>
      </c>
      <c r="B86" s="13">
        <v>45742</v>
      </c>
      <c r="C86" t="s">
        <v>1019</v>
      </c>
      <c r="E86" t="s">
        <v>1595</v>
      </c>
      <c r="H86" s="52">
        <v>50000</v>
      </c>
      <c r="I86">
        <v>1</v>
      </c>
      <c r="L86" s="52">
        <v>50000</v>
      </c>
    </row>
  </sheetData>
  <phoneticPr fontId="2" type="noConversion"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4BB12A-F488-4C4B-87E6-43F3AE5FA34B}">
  <sheetPr codeName="shtItem"/>
  <dimension ref="A1:K198"/>
  <sheetViews>
    <sheetView zoomScale="115" zoomScaleNormal="115" workbookViewId="0">
      <pane xSplit="2" ySplit="1" topLeftCell="C20" activePane="bottomRight" state="frozen"/>
      <selection activeCell="N26" sqref="N26"/>
      <selection pane="topRight" activeCell="N26" sqref="N26"/>
      <selection pane="bottomLeft" activeCell="N26" sqref="N26"/>
      <selection pane="bottomRight" activeCell="I110" sqref="A110:I110"/>
    </sheetView>
  </sheetViews>
  <sheetFormatPr defaultColWidth="9" defaultRowHeight="16.5"/>
  <cols>
    <col min="1" max="2" width="11.75" customWidth="1"/>
    <col min="3" max="3" width="22" style="203" customWidth="1"/>
    <col min="4" max="4" width="26" style="202" bestFit="1" customWidth="1"/>
    <col min="5" max="5" width="14.375" style="202" customWidth="1"/>
    <col min="6" max="9" width="13.125" style="52" customWidth="1"/>
    <col min="10" max="10" width="13.125" bestFit="1" customWidth="1"/>
  </cols>
  <sheetData>
    <row r="1" spans="1:11" ht="17.25" thickBot="1">
      <c r="A1" s="31" t="s">
        <v>2</v>
      </c>
      <c r="B1" s="31" t="s">
        <v>1141</v>
      </c>
      <c r="C1" s="50" t="s">
        <v>1</v>
      </c>
      <c r="D1" s="31" t="s">
        <v>0</v>
      </c>
      <c r="E1" s="31" t="s">
        <v>49</v>
      </c>
      <c r="F1" s="51" t="s">
        <v>47</v>
      </c>
      <c r="G1" s="51" t="s">
        <v>1657</v>
      </c>
      <c r="H1" s="51" t="s">
        <v>4</v>
      </c>
      <c r="I1" s="51" t="s">
        <v>1910</v>
      </c>
      <c r="J1" s="106">
        <v>197</v>
      </c>
    </row>
    <row r="2" spans="1:11">
      <c r="A2">
        <v>1</v>
      </c>
      <c r="B2">
        <v>3</v>
      </c>
      <c r="C2" s="202"/>
      <c r="D2" s="202" t="s">
        <v>2276</v>
      </c>
      <c r="F2" s="52">
        <v>1500000</v>
      </c>
      <c r="H2"/>
      <c r="I2">
        <f>SUMIF(재고!E:E,제품!D2,재고!H:H)-SUMIF(주문_리스트!E:E,제품!D2,주문_리스트!H:H)</f>
        <v>-7</v>
      </c>
    </row>
    <row r="3" spans="1:11">
      <c r="A3">
        <v>2</v>
      </c>
      <c r="B3">
        <v>2</v>
      </c>
      <c r="C3" s="202">
        <v>28120504</v>
      </c>
      <c r="D3" s="202" t="s">
        <v>2660</v>
      </c>
      <c r="E3" s="202">
        <v>28120504</v>
      </c>
      <c r="F3" s="52">
        <v>1000000</v>
      </c>
      <c r="H3"/>
      <c r="I3">
        <f>SUMIF(재고!E:E,제품!D3,재고!H:H)-SUMIF(주문_리스트!E:E,제품!D3,주문_리스트!H:H)</f>
        <v>0</v>
      </c>
    </row>
    <row r="4" spans="1:11">
      <c r="A4">
        <v>3</v>
      </c>
      <c r="B4">
        <v>3</v>
      </c>
      <c r="C4" s="202"/>
      <c r="D4" s="202" t="s">
        <v>2293</v>
      </c>
      <c r="F4" s="52">
        <v>300000</v>
      </c>
      <c r="H4"/>
      <c r="I4">
        <f>SUMIF(재고!E:E,제품!D4,재고!H:H)-SUMIF(주문_리스트!E:E,제품!D4,주문_리스트!H:H)</f>
        <v>0</v>
      </c>
    </row>
    <row r="5" spans="1:11">
      <c r="A5">
        <v>4</v>
      </c>
      <c r="B5">
        <v>1</v>
      </c>
      <c r="C5" s="202"/>
      <c r="D5" s="202" t="s">
        <v>1177</v>
      </c>
      <c r="F5" s="52">
        <v>700000</v>
      </c>
      <c r="H5"/>
      <c r="I5">
        <f>SUMIF(재고!E:E,제품!D5,재고!H:H)-SUMIF(주문_리스트!E:E,제품!D5,주문_리스트!H:H)</f>
        <v>-1</v>
      </c>
    </row>
    <row r="6" spans="1:11">
      <c r="A6">
        <v>5</v>
      </c>
      <c r="B6">
        <v>6</v>
      </c>
      <c r="C6" s="203" t="s">
        <v>2037</v>
      </c>
      <c r="D6" s="202" t="s">
        <v>2036</v>
      </c>
      <c r="E6" s="202" t="s">
        <v>2037</v>
      </c>
      <c r="F6" s="52">
        <v>1000000</v>
      </c>
      <c r="G6" s="52">
        <v>550000</v>
      </c>
      <c r="H6"/>
      <c r="I6">
        <f>SUMIF(재고!E:E,제품!D6,재고!H:H)-SUMIF(주문_리스트!E:E,제품!D6,주문_리스트!H:H)</f>
        <v>-1</v>
      </c>
    </row>
    <row r="7" spans="1:11">
      <c r="A7">
        <v>6</v>
      </c>
      <c r="B7">
        <v>1</v>
      </c>
      <c r="C7" s="202"/>
      <c r="D7" s="202" t="s">
        <v>1692</v>
      </c>
      <c r="F7" s="52">
        <v>198000</v>
      </c>
      <c r="H7"/>
      <c r="I7">
        <f>SUMIF(재고!E:E,제품!D7,재고!H:H)-SUMIF(주문_리스트!E:E,제품!D7,주문_리스트!H:H)</f>
        <v>-3</v>
      </c>
    </row>
    <row r="8" spans="1:11">
      <c r="A8">
        <v>7</v>
      </c>
      <c r="B8">
        <v>8</v>
      </c>
      <c r="C8" s="202"/>
      <c r="D8" s="202" t="s">
        <v>1659</v>
      </c>
      <c r="F8" s="52">
        <v>12000</v>
      </c>
      <c r="H8"/>
      <c r="I8">
        <f>SUMIF(재고!E:E,제품!D8,재고!H:H)-SUMIF(주문_리스트!E:E,제품!D8,주문_리스트!H:H)</f>
        <v>-1</v>
      </c>
    </row>
    <row r="9" spans="1:11">
      <c r="A9">
        <v>8</v>
      </c>
      <c r="C9" s="202"/>
      <c r="D9" s="202" t="s">
        <v>1813</v>
      </c>
      <c r="F9" s="52">
        <v>650000</v>
      </c>
      <c r="H9"/>
      <c r="I9">
        <f>SUMIF(재고!E:E,제품!D9,재고!H:H)-SUMIF(주문_리스트!E:E,제품!D9,주문_리스트!H:H)</f>
        <v>-16</v>
      </c>
    </row>
    <row r="10" spans="1:11">
      <c r="A10">
        <v>9</v>
      </c>
      <c r="B10">
        <v>2</v>
      </c>
      <c r="D10" s="202" t="s">
        <v>1176</v>
      </c>
      <c r="F10" s="52">
        <v>1000000</v>
      </c>
      <c r="I10">
        <f>SUMIF(재고!E:E,제품!D10,재고!H:H)-SUMIF(주문_리스트!E:E,제품!D10,주문_리스트!H:H)</f>
        <v>-4</v>
      </c>
    </row>
    <row r="11" spans="1:11">
      <c r="A11">
        <v>10</v>
      </c>
      <c r="B11">
        <v>9</v>
      </c>
      <c r="D11" s="202" t="s">
        <v>2294</v>
      </c>
      <c r="E11" s="202">
        <v>602000700</v>
      </c>
      <c r="F11" s="52">
        <v>350000</v>
      </c>
      <c r="I11">
        <f>SUMIF(재고!E:E,제품!D11,재고!H:H)-SUMIF(주문_리스트!E:E,제품!D11,주문_리스트!H:H)</f>
        <v>-1</v>
      </c>
    </row>
    <row r="12" spans="1:11">
      <c r="A12">
        <v>11</v>
      </c>
      <c r="B12">
        <v>8</v>
      </c>
      <c r="D12" s="202" t="s">
        <v>2282</v>
      </c>
      <c r="F12" s="52">
        <v>55000</v>
      </c>
      <c r="I12">
        <f>SUMIF(재고!E:E,제품!D12,재고!H:H)-SUMIF(주문_리스트!E:E,제품!D12,주문_리스트!H:H)</f>
        <v>-1</v>
      </c>
    </row>
    <row r="13" spans="1:11">
      <c r="A13">
        <v>12</v>
      </c>
      <c r="B13">
        <v>7</v>
      </c>
      <c r="D13" s="202" t="s">
        <v>1179</v>
      </c>
      <c r="F13" s="52">
        <v>600000</v>
      </c>
      <c r="I13">
        <f>SUMIF(재고!E:E,제품!D13,재고!H:H)-SUMIF(주문_리스트!E:E,제품!D13,주문_리스트!H:H)</f>
        <v>-1</v>
      </c>
    </row>
    <row r="14" spans="1:11">
      <c r="A14">
        <v>13</v>
      </c>
      <c r="B14">
        <v>8</v>
      </c>
      <c r="D14" s="202" t="s">
        <v>1180</v>
      </c>
      <c r="F14" s="52">
        <v>25000</v>
      </c>
      <c r="I14">
        <f>SUMIF(재고!E:E,제품!D14,재고!H:H)-SUMIF(주문_리스트!E:E,제품!D14,주문_리스트!H:H)</f>
        <v>-1</v>
      </c>
    </row>
    <row r="15" spans="1:11">
      <c r="A15">
        <v>14</v>
      </c>
      <c r="B15">
        <v>8</v>
      </c>
      <c r="D15" s="202" t="s">
        <v>1181</v>
      </c>
      <c r="F15" s="52">
        <v>800000</v>
      </c>
      <c r="I15">
        <f>SUMIF(재고!E:E,제품!D15,재고!H:H)-SUMIF(주문_리스트!E:E,제품!D15,주문_리스트!H:H)</f>
        <v>-1</v>
      </c>
    </row>
    <row r="16" spans="1:11">
      <c r="A16">
        <v>15</v>
      </c>
      <c r="B16">
        <v>9</v>
      </c>
      <c r="C16" s="203">
        <v>415054509</v>
      </c>
      <c r="D16" s="202" t="s">
        <v>2663</v>
      </c>
      <c r="E16" s="202">
        <v>415054509</v>
      </c>
      <c r="F16" s="52">
        <v>330000</v>
      </c>
      <c r="I16">
        <f>SUMIF(재고!E:E,제품!D16,재고!H:H)-SUMIF(주문_리스트!E:E,제품!D16,주문_리스트!H:H)</f>
        <v>-12</v>
      </c>
      <c r="J16" t="s">
        <v>1696</v>
      </c>
      <c r="K16">
        <v>75000</v>
      </c>
    </row>
    <row r="17" spans="1:9">
      <c r="A17">
        <v>16</v>
      </c>
      <c r="B17">
        <v>2</v>
      </c>
      <c r="C17" s="203">
        <v>2830402</v>
      </c>
      <c r="D17" s="202" t="s">
        <v>1715</v>
      </c>
      <c r="E17" s="202">
        <v>2830402</v>
      </c>
      <c r="F17" s="52">
        <v>1100000</v>
      </c>
      <c r="I17">
        <f>SUMIF(재고!E:E,제품!D17,재고!H:H)-SUMIF(주문_리스트!E:E,제품!D17,주문_리스트!H:H)</f>
        <v>-2</v>
      </c>
    </row>
    <row r="18" spans="1:9">
      <c r="A18">
        <v>17</v>
      </c>
      <c r="B18">
        <v>2</v>
      </c>
      <c r="D18" s="202" t="s">
        <v>1187</v>
      </c>
      <c r="F18" s="52">
        <v>1650000</v>
      </c>
      <c r="I18">
        <f>SUMIF(재고!E:E,제품!D18,재고!H:H)-SUMIF(주문_리스트!E:E,제품!D18,주문_리스트!H:H)</f>
        <v>-1</v>
      </c>
    </row>
    <row r="19" spans="1:9">
      <c r="A19">
        <v>18</v>
      </c>
      <c r="B19">
        <v>3</v>
      </c>
      <c r="D19" s="202" t="s">
        <v>2295</v>
      </c>
      <c r="F19" s="52">
        <v>1500000</v>
      </c>
      <c r="I19">
        <f>SUMIF(재고!E:E,제품!D19,재고!H:H)-SUMIF(주문_리스트!E:E,제품!D19,주문_리스트!H:H)</f>
        <v>-5</v>
      </c>
    </row>
    <row r="20" spans="1:9">
      <c r="A20">
        <v>19</v>
      </c>
      <c r="D20" s="202" t="s">
        <v>1131</v>
      </c>
      <c r="F20" s="52">
        <v>198000</v>
      </c>
      <c r="I20">
        <f>SUMIF(재고!E:E,제품!D20,재고!H:H)-SUMIF(주문_리스트!E:E,제품!D20,주문_리스트!H:H)</f>
        <v>-1</v>
      </c>
    </row>
    <row r="21" spans="1:9">
      <c r="A21">
        <v>20</v>
      </c>
      <c r="B21">
        <v>8</v>
      </c>
      <c r="D21" s="202" t="s">
        <v>2303</v>
      </c>
      <c r="F21" s="52">
        <v>150000</v>
      </c>
      <c r="I21">
        <f>SUMIF(재고!E:E,제품!D21,재고!H:H)-SUMIF(주문_리스트!E:E,제품!D21,주문_리스트!H:H)</f>
        <v>-1</v>
      </c>
    </row>
    <row r="22" spans="1:9">
      <c r="A22">
        <v>21</v>
      </c>
      <c r="B22">
        <v>8</v>
      </c>
      <c r="D22" s="202" t="s">
        <v>2301</v>
      </c>
      <c r="F22" s="52">
        <v>100000</v>
      </c>
      <c r="I22">
        <f>SUMIF(재고!E:E,제품!D22,재고!H:H)-SUMIF(주문_리스트!E:E,제품!D22,주문_리스트!H:H)</f>
        <v>0</v>
      </c>
    </row>
    <row r="23" spans="1:9">
      <c r="A23">
        <v>22</v>
      </c>
      <c r="B23">
        <v>8</v>
      </c>
      <c r="D23" s="202" t="s">
        <v>1712</v>
      </c>
      <c r="F23" s="52">
        <v>230000</v>
      </c>
      <c r="I23">
        <f>SUMIF(재고!E:E,제품!D23,재고!H:H)-SUMIF(주문_리스트!E:E,제품!D23,주문_리스트!H:H)</f>
        <v>-1</v>
      </c>
    </row>
    <row r="24" spans="1:9">
      <c r="A24">
        <v>23</v>
      </c>
      <c r="B24">
        <v>3</v>
      </c>
      <c r="D24" s="202" t="s">
        <v>2283</v>
      </c>
      <c r="F24" s="52">
        <v>600000</v>
      </c>
      <c r="I24">
        <f>SUMIF(재고!E:E,제품!D24,재고!H:H)-SUMIF(주문_리스트!E:E,제품!D24,주문_리스트!H:H)</f>
        <v>0</v>
      </c>
    </row>
    <row r="25" spans="1:9">
      <c r="A25">
        <v>24</v>
      </c>
      <c r="B25">
        <v>4</v>
      </c>
      <c r="C25" s="203" t="s">
        <v>1236</v>
      </c>
      <c r="D25" s="202" t="s">
        <v>2296</v>
      </c>
      <c r="E25" s="202" t="s">
        <v>1236</v>
      </c>
      <c r="F25" s="52">
        <v>1000000</v>
      </c>
      <c r="I25">
        <f>SUMIF(재고!E:E,제품!D25,재고!H:H)-SUMIF(주문_리스트!E:E,제품!D25,주문_리스트!H:H)</f>
        <v>-4</v>
      </c>
    </row>
    <row r="26" spans="1:9">
      <c r="A26">
        <v>25</v>
      </c>
      <c r="B26">
        <v>4</v>
      </c>
      <c r="C26" s="203" t="s">
        <v>1237</v>
      </c>
      <c r="D26" s="202" t="s">
        <v>2296</v>
      </c>
      <c r="E26" s="202" t="s">
        <v>1237</v>
      </c>
      <c r="F26" s="52">
        <v>1000000</v>
      </c>
      <c r="I26">
        <f>SUMIF(재고!E:E,제품!D26,재고!H:H)-SUMIF(주문_리스트!E:E,제품!D26,주문_리스트!H:H)</f>
        <v>-4</v>
      </c>
    </row>
    <row r="27" spans="1:9">
      <c r="A27">
        <v>26</v>
      </c>
      <c r="B27">
        <v>3</v>
      </c>
      <c r="C27" s="203" t="s">
        <v>1238</v>
      </c>
      <c r="D27" s="202" t="s">
        <v>2284</v>
      </c>
      <c r="E27" s="202" t="s">
        <v>1238</v>
      </c>
      <c r="F27" s="52">
        <v>1400000</v>
      </c>
      <c r="I27">
        <f>SUMIF(재고!E:E,제품!D27,재고!H:H)-SUMIF(주문_리스트!E:E,제품!D27,주문_리스트!H:H)</f>
        <v>-4</v>
      </c>
    </row>
    <row r="28" spans="1:9">
      <c r="A28">
        <v>27</v>
      </c>
      <c r="B28">
        <v>3</v>
      </c>
      <c r="C28" s="203" t="s">
        <v>1239</v>
      </c>
      <c r="D28" s="202" t="s">
        <v>2278</v>
      </c>
      <c r="E28" s="202" t="s">
        <v>1239</v>
      </c>
      <c r="F28" s="52">
        <v>1500000</v>
      </c>
      <c r="I28">
        <f>SUMIF(재고!E:E,제품!D28,재고!H:H)-SUMIF(주문_리스트!E:E,제품!D28,주문_리스트!H:H)</f>
        <v>-14</v>
      </c>
    </row>
    <row r="29" spans="1:9">
      <c r="A29">
        <v>28</v>
      </c>
      <c r="B29">
        <v>3</v>
      </c>
      <c r="C29" s="203" t="s">
        <v>2080</v>
      </c>
      <c r="D29" s="202" t="s">
        <v>1703</v>
      </c>
      <c r="E29" s="202" t="s">
        <v>2080</v>
      </c>
      <c r="F29" s="52">
        <v>1500000</v>
      </c>
      <c r="I29">
        <f>SUMIF(재고!E:E,제품!D29,재고!H:H)-SUMIF(주문_리스트!E:E,제품!D29,주문_리스트!H:H)</f>
        <v>-1</v>
      </c>
    </row>
    <row r="30" spans="1:9">
      <c r="A30">
        <v>29</v>
      </c>
      <c r="B30">
        <v>1</v>
      </c>
      <c r="C30" s="202" t="s">
        <v>1263</v>
      </c>
      <c r="D30" s="202" t="s">
        <v>1261</v>
      </c>
      <c r="E30" s="202" t="s">
        <v>1263</v>
      </c>
      <c r="F30" s="52">
        <v>1400000</v>
      </c>
      <c r="H30" s="52">
        <v>5000</v>
      </c>
      <c r="I30">
        <f>SUMIF(재고!E:E,제품!D30,재고!H:H)-SUMIF(주문_리스트!E:E,제품!D30,주문_리스트!H:H)</f>
        <v>-37</v>
      </c>
    </row>
    <row r="31" spans="1:9">
      <c r="A31">
        <v>30</v>
      </c>
      <c r="B31">
        <v>1</v>
      </c>
      <c r="C31" s="203" t="s">
        <v>1242</v>
      </c>
      <c r="D31" s="202" t="s">
        <v>1243</v>
      </c>
      <c r="E31" s="202" t="s">
        <v>1242</v>
      </c>
      <c r="F31" s="52">
        <v>1200000</v>
      </c>
      <c r="I31">
        <f>SUMIF(재고!E:E,제품!D31,재고!H:H)-SUMIF(주문_리스트!E:E,제품!D31,주문_리스트!H:H)</f>
        <v>-10</v>
      </c>
    </row>
    <row r="32" spans="1:9">
      <c r="A32">
        <v>31</v>
      </c>
      <c r="B32">
        <v>1</v>
      </c>
      <c r="C32" s="203" t="s">
        <v>1244</v>
      </c>
      <c r="D32" s="202" t="s">
        <v>1243</v>
      </c>
      <c r="E32" s="202" t="s">
        <v>1244</v>
      </c>
      <c r="F32" s="52">
        <v>1200000</v>
      </c>
      <c r="I32">
        <f>SUMIF(재고!E:E,제품!D32,재고!H:H)-SUMIF(주문_리스트!E:E,제품!D32,주문_리스트!H:H)</f>
        <v>-10</v>
      </c>
    </row>
    <row r="33" spans="1:9">
      <c r="A33">
        <v>32</v>
      </c>
      <c r="B33">
        <v>3</v>
      </c>
      <c r="C33" s="203" t="s">
        <v>1832</v>
      </c>
      <c r="D33" s="202" t="s">
        <v>2317</v>
      </c>
      <c r="E33" s="202" t="s">
        <v>1832</v>
      </c>
      <c r="F33" s="52">
        <v>569000</v>
      </c>
      <c r="G33" s="52">
        <v>480000</v>
      </c>
      <c r="I33">
        <f>SUMIF(재고!E:E,제품!D33,재고!H:H)-SUMIF(주문_리스트!E:E,제품!D33,주문_리스트!H:H)</f>
        <v>-10</v>
      </c>
    </row>
    <row r="34" spans="1:9">
      <c r="A34">
        <v>33</v>
      </c>
      <c r="B34">
        <v>1</v>
      </c>
      <c r="C34" s="202" t="s">
        <v>1248</v>
      </c>
      <c r="D34" s="202" t="s">
        <v>1247</v>
      </c>
      <c r="E34" s="202" t="s">
        <v>1248</v>
      </c>
      <c r="F34" s="52">
        <v>1300000</v>
      </c>
      <c r="I34">
        <f>SUMIF(재고!E:E,제품!D34,재고!H:H)-SUMIF(주문_리스트!E:E,제품!D34,주문_리스트!H:H)</f>
        <v>0</v>
      </c>
    </row>
    <row r="35" spans="1:9">
      <c r="A35">
        <v>34</v>
      </c>
      <c r="B35">
        <v>4</v>
      </c>
      <c r="C35" s="203" t="s">
        <v>1253</v>
      </c>
      <c r="D35" s="202" t="s">
        <v>2603</v>
      </c>
      <c r="E35" s="202" t="s">
        <v>1253</v>
      </c>
      <c r="F35" s="52">
        <v>1500000</v>
      </c>
      <c r="I35">
        <f>SUMIF(재고!E:E,제품!D35,재고!H:H)-SUMIF(주문_리스트!E:E,제품!D35,주문_리스트!H:H)</f>
        <v>-7</v>
      </c>
    </row>
    <row r="36" spans="1:9">
      <c r="A36">
        <v>35</v>
      </c>
      <c r="B36">
        <v>4</v>
      </c>
      <c r="C36" s="203" t="s">
        <v>2723</v>
      </c>
      <c r="D36" s="202" t="s">
        <v>2724</v>
      </c>
      <c r="E36" s="202" t="s">
        <v>2723</v>
      </c>
      <c r="F36" s="52">
        <v>1600000</v>
      </c>
      <c r="I36">
        <f>SUMIF(재고!E:E,제품!D36,재고!H:H)-SUMIF(주문_리스트!E:E,제품!D36,주문_리스트!H:H)</f>
        <v>0</v>
      </c>
    </row>
    <row r="37" spans="1:9">
      <c r="A37">
        <v>36</v>
      </c>
      <c r="B37">
        <v>4</v>
      </c>
      <c r="C37" s="203" t="s">
        <v>1257</v>
      </c>
      <c r="D37" s="202" t="s">
        <v>2277</v>
      </c>
      <c r="E37" s="202" t="s">
        <v>1257</v>
      </c>
      <c r="F37" s="52">
        <v>2200000</v>
      </c>
      <c r="I37">
        <f>SUMIF(재고!E:E,제품!D37,재고!H:H)-SUMIF(주문_리스트!E:E,제품!D37,주문_리스트!H:H)</f>
        <v>-1</v>
      </c>
    </row>
    <row r="38" spans="1:9">
      <c r="A38">
        <v>37</v>
      </c>
      <c r="B38">
        <v>4</v>
      </c>
      <c r="C38" s="203" t="s">
        <v>1258</v>
      </c>
      <c r="D38" s="202" t="s">
        <v>1704</v>
      </c>
      <c r="E38" s="202" t="s">
        <v>1258</v>
      </c>
      <c r="F38" s="52">
        <v>1500000</v>
      </c>
      <c r="I38">
        <f>SUMIF(재고!E:E,제품!D38,재고!H:H)-SUMIF(주문_리스트!E:E,제품!D38,주문_리스트!H:H)</f>
        <v>-4</v>
      </c>
    </row>
    <row r="39" spans="1:9">
      <c r="A39">
        <v>38</v>
      </c>
      <c r="B39">
        <v>1</v>
      </c>
      <c r="C39" s="202" t="s">
        <v>1265</v>
      </c>
      <c r="D39" s="202" t="s">
        <v>1411</v>
      </c>
      <c r="E39" s="202" t="s">
        <v>1412</v>
      </c>
      <c r="F39" s="52">
        <v>1600000</v>
      </c>
      <c r="I39">
        <f>SUMIF(재고!E:E,제품!D39,재고!H:H)-SUMIF(주문_리스트!E:E,제품!D39,주문_리스트!H:H)</f>
        <v>1</v>
      </c>
    </row>
    <row r="40" spans="1:9">
      <c r="A40">
        <v>39</v>
      </c>
      <c r="B40">
        <v>1</v>
      </c>
      <c r="C40" s="202" t="s">
        <v>1301</v>
      </c>
      <c r="D40" s="202" t="s">
        <v>1302</v>
      </c>
      <c r="E40" s="202" t="s">
        <v>1301</v>
      </c>
      <c r="F40" s="52">
        <v>770000</v>
      </c>
      <c r="I40">
        <f>SUMIF(재고!E:E,제품!D40,재고!H:H)-SUMIF(주문_리스트!E:E,제품!D40,주문_리스트!H:H)</f>
        <v>-1</v>
      </c>
    </row>
    <row r="41" spans="1:9">
      <c r="A41">
        <v>40</v>
      </c>
      <c r="B41">
        <v>3</v>
      </c>
      <c r="C41" s="203" t="s">
        <v>1741</v>
      </c>
      <c r="D41" s="202" t="s">
        <v>2286</v>
      </c>
      <c r="E41" s="202" t="s">
        <v>1741</v>
      </c>
      <c r="F41" s="52">
        <v>130000</v>
      </c>
      <c r="G41" s="52">
        <v>90000</v>
      </c>
      <c r="I41">
        <f>SUMIF(재고!E:E,제품!D41,재고!H:H)-SUMIF(주문_리스트!E:E,제품!D41,주문_리스트!H:H)</f>
        <v>-8</v>
      </c>
    </row>
    <row r="42" spans="1:9">
      <c r="A42">
        <v>41</v>
      </c>
      <c r="B42">
        <v>2</v>
      </c>
      <c r="C42" s="203" t="s">
        <v>1795</v>
      </c>
      <c r="D42" s="202" t="s">
        <v>1796</v>
      </c>
      <c r="E42" s="202" t="s">
        <v>1795</v>
      </c>
      <c r="F42" s="52">
        <v>50000</v>
      </c>
      <c r="I42">
        <f>SUMIF(재고!E:E,제품!D42,재고!H:H)-SUMIF(주문_리스트!E:E,제품!D42,주문_리스트!H:H)</f>
        <v>-27</v>
      </c>
    </row>
    <row r="43" spans="1:9">
      <c r="A43">
        <v>42</v>
      </c>
      <c r="B43">
        <v>1</v>
      </c>
      <c r="C43" s="203">
        <v>2703900</v>
      </c>
      <c r="D43" s="202" t="s">
        <v>1311</v>
      </c>
      <c r="E43" s="202">
        <v>2703900</v>
      </c>
      <c r="F43" s="52">
        <v>1600000</v>
      </c>
      <c r="I43">
        <f>SUMIF(재고!E:E,제품!D43,재고!H:H)-SUMIF(주문_리스트!E:E,제품!D43,주문_리스트!H:H)</f>
        <v>0</v>
      </c>
    </row>
    <row r="44" spans="1:9">
      <c r="A44">
        <v>43</v>
      </c>
      <c r="B44">
        <v>2</v>
      </c>
      <c r="D44" s="202" t="s">
        <v>1426</v>
      </c>
      <c r="F44" s="52">
        <v>1000000</v>
      </c>
      <c r="I44">
        <f>SUMIF(재고!E:E,제품!D44,재고!H:H)-SUMIF(주문_리스트!E:E,제품!D44,주문_리스트!H:H)</f>
        <v>-1</v>
      </c>
    </row>
    <row r="45" spans="1:9">
      <c r="A45">
        <v>44</v>
      </c>
      <c r="B45">
        <v>8</v>
      </c>
      <c r="D45" s="202" t="s">
        <v>1516</v>
      </c>
      <c r="F45" s="52">
        <v>10000</v>
      </c>
      <c r="I45">
        <f>SUMIF(재고!E:E,제품!D45,재고!H:H)-SUMIF(주문_리스트!E:E,제품!D45,주문_리스트!H:H)</f>
        <v>-1</v>
      </c>
    </row>
    <row r="46" spans="1:9">
      <c r="A46">
        <v>45</v>
      </c>
      <c r="B46">
        <v>8</v>
      </c>
      <c r="D46" s="202" t="s">
        <v>1526</v>
      </c>
      <c r="F46" s="52">
        <v>140000</v>
      </c>
      <c r="I46">
        <f>SUMIF(재고!E:E,제품!D46,재고!H:H)-SUMIF(주문_리스트!E:E,제품!D46,주문_리스트!H:H)</f>
        <v>-3</v>
      </c>
    </row>
    <row r="47" spans="1:9">
      <c r="A47">
        <v>46</v>
      </c>
      <c r="B47">
        <v>2</v>
      </c>
      <c r="D47" s="202" t="s">
        <v>1532</v>
      </c>
      <c r="F47" s="52">
        <v>1600000</v>
      </c>
      <c r="I47">
        <f>SUMIF(재고!E:E,제품!D47,재고!H:H)-SUMIF(주문_리스트!E:E,제품!D47,주문_리스트!H:H)</f>
        <v>-1</v>
      </c>
    </row>
    <row r="48" spans="1:9">
      <c r="A48">
        <v>47</v>
      </c>
      <c r="B48">
        <v>7</v>
      </c>
      <c r="D48" s="202" t="s">
        <v>2304</v>
      </c>
      <c r="F48" s="52">
        <v>1600000</v>
      </c>
      <c r="I48">
        <f>SUMIF(재고!E:E,제품!D48,재고!H:H)-SUMIF(주문_리스트!E:E,제품!D48,주문_리스트!H:H)</f>
        <v>0</v>
      </c>
    </row>
    <row r="49" spans="1:9">
      <c r="A49">
        <v>48</v>
      </c>
      <c r="B49">
        <v>3</v>
      </c>
      <c r="D49" s="202" t="s">
        <v>2287</v>
      </c>
      <c r="F49" s="52">
        <v>100000</v>
      </c>
      <c r="I49">
        <f>SUMIF(재고!E:E,제품!D49,재고!H:H)-SUMIF(주문_리스트!E:E,제품!D49,주문_리스트!H:H)</f>
        <v>0</v>
      </c>
    </row>
    <row r="50" spans="1:9">
      <c r="A50">
        <v>49</v>
      </c>
      <c r="C50" s="203" t="s">
        <v>2859</v>
      </c>
      <c r="D50" s="202" t="s">
        <v>2446</v>
      </c>
      <c r="E50" s="202" t="s">
        <v>2859</v>
      </c>
      <c r="F50" s="52">
        <v>350000</v>
      </c>
      <c r="I50">
        <f>SUMIF(재고!E:E,제품!D50,재고!H:H)-SUMIF(주문_리스트!E:E,제품!D50,주문_리스트!H:H)</f>
        <v>-22</v>
      </c>
    </row>
    <row r="51" spans="1:9">
      <c r="A51">
        <v>50</v>
      </c>
      <c r="D51" s="202" t="s">
        <v>2305</v>
      </c>
      <c r="F51" s="52">
        <v>1600000</v>
      </c>
      <c r="I51">
        <f>SUMIF(재고!E:E,제품!D51,재고!H:H)-SUMIF(주문_리스트!E:E,제품!D51,주문_리스트!H:H)</f>
        <v>-2</v>
      </c>
    </row>
    <row r="52" spans="1:9">
      <c r="A52">
        <v>51</v>
      </c>
      <c r="D52" s="202" t="s">
        <v>1552</v>
      </c>
      <c r="F52" s="52">
        <v>200000</v>
      </c>
      <c r="I52">
        <f>SUMIF(재고!E:E,제품!D52,재고!H:H)-SUMIF(주문_리스트!E:E,제품!D52,주문_리스트!H:H)</f>
        <v>-1</v>
      </c>
    </row>
    <row r="53" spans="1:9">
      <c r="A53">
        <v>52</v>
      </c>
      <c r="D53" s="202" t="s">
        <v>1565</v>
      </c>
      <c r="F53" s="52">
        <v>20000</v>
      </c>
      <c r="I53">
        <f>SUMIF(재고!E:E,제품!D53,재고!H:H)-SUMIF(주문_리스트!E:E,제품!D53,주문_리스트!H:H)</f>
        <v>-8</v>
      </c>
    </row>
    <row r="54" spans="1:9">
      <c r="A54">
        <v>53</v>
      </c>
      <c r="D54" s="202" t="s">
        <v>1570</v>
      </c>
      <c r="F54" s="52">
        <v>250000</v>
      </c>
      <c r="I54">
        <f>SUMIF(재고!E:E,제품!D54,재고!H:H)-SUMIF(주문_리스트!E:E,제품!D54,주문_리스트!H:H)</f>
        <v>-2</v>
      </c>
    </row>
    <row r="55" spans="1:9">
      <c r="A55">
        <v>54</v>
      </c>
      <c r="B55">
        <v>1</v>
      </c>
      <c r="D55" s="202">
        <v>2703900</v>
      </c>
      <c r="F55" s="52">
        <v>1600000</v>
      </c>
      <c r="I55">
        <f>SUMIF(재고!E:E,제품!D55,재고!H:H)-SUMIF(주문_리스트!E:E,제품!D55,주문_리스트!H:H)</f>
        <v>-1</v>
      </c>
    </row>
    <row r="56" spans="1:9">
      <c r="A56">
        <v>55</v>
      </c>
      <c r="B56">
        <v>1</v>
      </c>
      <c r="D56" s="202">
        <v>2703900</v>
      </c>
      <c r="F56" s="52">
        <v>1600000</v>
      </c>
      <c r="I56">
        <f>SUMIF(재고!E:E,제품!D56,재고!H:H)-SUMIF(주문_리스트!E:E,제품!D56,주문_리스트!H:H)</f>
        <v>-1</v>
      </c>
    </row>
    <row r="57" spans="1:9">
      <c r="A57">
        <v>56</v>
      </c>
      <c r="D57" s="202" t="s">
        <v>1581</v>
      </c>
      <c r="F57" s="52">
        <v>450000</v>
      </c>
      <c r="I57">
        <f>SUMIF(재고!E:E,제품!D57,재고!H:H)-SUMIF(주문_리스트!E:E,제품!D57,주문_리스트!H:H)</f>
        <v>-9</v>
      </c>
    </row>
    <row r="58" spans="1:9">
      <c r="A58">
        <v>57</v>
      </c>
      <c r="B58">
        <v>2</v>
      </c>
      <c r="C58" s="203">
        <v>24152333903</v>
      </c>
      <c r="D58" s="202" t="s">
        <v>1896</v>
      </c>
      <c r="E58" s="202">
        <v>24152333903</v>
      </c>
      <c r="F58" s="52">
        <v>50000</v>
      </c>
      <c r="H58" s="52" t="s">
        <v>1897</v>
      </c>
      <c r="I58">
        <f>SUMIF(재고!E:E,제품!D58,재고!H:H)-SUMIF(주문_리스트!E:E,제품!D58,주문_리스트!H:H)</f>
        <v>-7</v>
      </c>
    </row>
    <row r="59" spans="1:9">
      <c r="A59">
        <v>58</v>
      </c>
      <c r="B59">
        <v>10</v>
      </c>
      <c r="D59" s="202" t="s">
        <v>1601</v>
      </c>
      <c r="F59" s="52">
        <v>350000</v>
      </c>
      <c r="I59">
        <f>SUMIF(재고!E:E,제품!D59,재고!H:H)-SUMIF(주문_리스트!E:E,제품!D59,주문_리스트!H:H)</f>
        <v>-1</v>
      </c>
    </row>
    <row r="60" spans="1:9">
      <c r="A60">
        <v>59</v>
      </c>
      <c r="B60">
        <v>3</v>
      </c>
      <c r="C60" s="203" t="s">
        <v>1705</v>
      </c>
      <c r="D60" s="202" t="s">
        <v>2055</v>
      </c>
      <c r="E60" s="202" t="s">
        <v>1705</v>
      </c>
      <c r="F60" s="52">
        <v>1800000</v>
      </c>
      <c r="I60">
        <f>SUMIF(재고!E:E,제품!D60,재고!H:H)-SUMIF(주문_리스트!E:E,제품!D60,주문_리스트!H:H)</f>
        <v>2</v>
      </c>
    </row>
    <row r="61" spans="1:9">
      <c r="A61">
        <v>60</v>
      </c>
      <c r="C61" s="203" t="s">
        <v>1248</v>
      </c>
      <c r="D61" s="202" t="s">
        <v>1472</v>
      </c>
      <c r="E61" s="202" t="s">
        <v>1248</v>
      </c>
      <c r="F61" s="52">
        <v>1000000</v>
      </c>
      <c r="I61">
        <f>SUMIF(재고!E:E,제품!D61,재고!H:H)-SUMIF(주문_리스트!E:E,제품!D61,주문_리스트!H:H)</f>
        <v>-10</v>
      </c>
    </row>
    <row r="62" spans="1:9">
      <c r="A62">
        <v>61</v>
      </c>
      <c r="B62">
        <v>3</v>
      </c>
      <c r="D62" s="202" t="s">
        <v>2279</v>
      </c>
      <c r="F62" s="52">
        <v>30000</v>
      </c>
      <c r="I62">
        <f>SUMIF(재고!E:E,제품!D62,재고!H:H)-SUMIF(주문_리스트!E:E,제품!D62,주문_리스트!H:H)</f>
        <v>-15</v>
      </c>
    </row>
    <row r="63" spans="1:9">
      <c r="A63">
        <v>62</v>
      </c>
      <c r="B63">
        <v>3</v>
      </c>
      <c r="D63" s="202" t="s">
        <v>2306</v>
      </c>
      <c r="F63" s="52">
        <v>1100000</v>
      </c>
      <c r="I63">
        <f>SUMIF(재고!E:E,제품!D63,재고!H:H)-SUMIF(주문_리스트!E:E,제품!D63,주문_리스트!H:H)</f>
        <v>-1</v>
      </c>
    </row>
    <row r="64" spans="1:9">
      <c r="A64">
        <v>63</v>
      </c>
      <c r="B64">
        <v>1</v>
      </c>
      <c r="C64" s="203" t="s">
        <v>1709</v>
      </c>
      <c r="D64" s="202" t="s">
        <v>1708</v>
      </c>
      <c r="E64" s="202" t="s">
        <v>1709</v>
      </c>
      <c r="F64" s="52">
        <v>1100000</v>
      </c>
      <c r="I64">
        <f>SUMIF(재고!E:E,제품!D64,재고!H:H)-SUMIF(주문_리스트!E:E,제품!D64,주문_리스트!H:H)</f>
        <v>1</v>
      </c>
    </row>
    <row r="65" spans="1:9">
      <c r="A65">
        <v>64</v>
      </c>
      <c r="B65">
        <v>1</v>
      </c>
      <c r="C65" s="203" t="s">
        <v>1710</v>
      </c>
      <c r="D65" s="202" t="s">
        <v>1711</v>
      </c>
      <c r="E65" s="202" t="s">
        <v>1710</v>
      </c>
      <c r="F65" s="52">
        <v>3500000</v>
      </c>
      <c r="I65">
        <f>SUMIF(재고!E:E,제품!D65,재고!H:H)-SUMIF(주문_리스트!E:E,제품!D65,주문_리스트!H:H)</f>
        <v>0</v>
      </c>
    </row>
    <row r="66" spans="1:9">
      <c r="A66">
        <v>65</v>
      </c>
      <c r="B66">
        <v>4</v>
      </c>
      <c r="D66" s="202" t="s">
        <v>2297</v>
      </c>
      <c r="F66" s="52">
        <v>800000</v>
      </c>
      <c r="I66">
        <f>SUMIF(재고!E:E,제품!D66,재고!H:H)-SUMIF(주문_리스트!E:E,제품!D66,주문_리스트!H:H)</f>
        <v>0</v>
      </c>
    </row>
    <row r="67" spans="1:9">
      <c r="A67">
        <v>66</v>
      </c>
      <c r="B67">
        <v>9</v>
      </c>
      <c r="C67" s="203">
        <v>415090409</v>
      </c>
      <c r="D67" s="202" t="s">
        <v>2663</v>
      </c>
      <c r="E67" s="202">
        <v>415090409</v>
      </c>
      <c r="F67" s="52">
        <v>510000</v>
      </c>
      <c r="H67" s="52" t="s">
        <v>2664</v>
      </c>
      <c r="I67">
        <f>SUMIF(재고!E:E,제품!D67,재고!H:H)-SUMIF(주문_리스트!E:E,제품!D67,주문_리스트!H:H)</f>
        <v>-12</v>
      </c>
    </row>
    <row r="68" spans="1:9">
      <c r="A68">
        <v>67</v>
      </c>
      <c r="C68" s="203" t="s">
        <v>1677</v>
      </c>
      <c r="D68" s="202" t="s">
        <v>1678</v>
      </c>
      <c r="E68" s="202" t="s">
        <v>1677</v>
      </c>
      <c r="F68" s="52">
        <v>12000</v>
      </c>
      <c r="I68">
        <f>SUMIF(재고!E:E,제품!D68,재고!H:H)-SUMIF(주문_리스트!E:E,제품!D68,주문_리스트!H:H)</f>
        <v>-2</v>
      </c>
    </row>
    <row r="69" spans="1:9">
      <c r="A69">
        <v>68</v>
      </c>
      <c r="D69" s="202" t="s">
        <v>1680</v>
      </c>
      <c r="F69" s="52">
        <v>27000</v>
      </c>
      <c r="I69">
        <f>SUMIF(재고!E:E,제품!D69,재고!H:H)-SUMIF(주문_리스트!E:E,제품!D69,주문_리스트!H:H)</f>
        <v>-1</v>
      </c>
    </row>
    <row r="70" spans="1:9">
      <c r="A70">
        <v>69</v>
      </c>
      <c r="B70">
        <v>2</v>
      </c>
      <c r="D70" s="202" t="s">
        <v>1688</v>
      </c>
      <c r="F70" s="52">
        <v>850000</v>
      </c>
      <c r="I70">
        <f>SUMIF(재고!E:E,제품!D70,재고!H:H)-SUMIF(주문_리스트!E:E,제품!D70,주문_리스트!H:H)</f>
        <v>-1</v>
      </c>
    </row>
    <row r="71" spans="1:9">
      <c r="A71">
        <v>70</v>
      </c>
      <c r="B71">
        <v>4</v>
      </c>
      <c r="C71" s="203">
        <v>50228</v>
      </c>
      <c r="D71" s="202" t="s">
        <v>2288</v>
      </c>
      <c r="E71" s="202">
        <v>50228</v>
      </c>
      <c r="F71" s="52">
        <v>110000</v>
      </c>
      <c r="I71">
        <f>SUMIF(재고!E:E,제품!D71,재고!H:H)-SUMIF(주문_리스트!E:E,제품!D71,주문_리스트!H:H)</f>
        <v>-10</v>
      </c>
    </row>
    <row r="72" spans="1:9">
      <c r="A72">
        <v>71</v>
      </c>
      <c r="B72">
        <v>4</v>
      </c>
      <c r="C72" s="203">
        <v>50229</v>
      </c>
      <c r="D72" s="202" t="s">
        <v>2288</v>
      </c>
      <c r="E72" s="202">
        <v>50229</v>
      </c>
      <c r="F72" s="52">
        <v>75000</v>
      </c>
      <c r="I72">
        <f>SUMIF(재고!E:E,제품!D72,재고!H:H)-SUMIF(주문_리스트!E:E,제품!D72,주문_리스트!H:H)</f>
        <v>-10</v>
      </c>
    </row>
    <row r="73" spans="1:9">
      <c r="A73">
        <v>72</v>
      </c>
      <c r="D73" s="202" t="s">
        <v>1714</v>
      </c>
      <c r="F73" s="52">
        <v>150000</v>
      </c>
      <c r="I73">
        <f>SUMIF(재고!E:E,제품!D73,재고!H:H)-SUMIF(주문_리스트!E:E,제품!D73,주문_리스트!H:H)</f>
        <v>0</v>
      </c>
    </row>
    <row r="74" spans="1:9">
      <c r="A74">
        <v>73</v>
      </c>
      <c r="D74" s="202" t="s">
        <v>1714</v>
      </c>
      <c r="F74" s="52">
        <v>200000</v>
      </c>
      <c r="I74">
        <f>SUMIF(재고!E:E,제품!D74,재고!H:H)-SUMIF(주문_리스트!E:E,제품!D74,주문_리스트!H:H)</f>
        <v>0</v>
      </c>
    </row>
    <row r="75" spans="1:9">
      <c r="A75">
        <v>74</v>
      </c>
      <c r="D75" s="202" t="s">
        <v>1722</v>
      </c>
      <c r="F75" s="52">
        <v>250000</v>
      </c>
      <c r="I75">
        <f>SUMIF(재고!E:E,제품!D75,재고!H:H)-SUMIF(주문_리스트!E:E,제품!D75,주문_리스트!H:H)</f>
        <v>-1</v>
      </c>
    </row>
    <row r="76" spans="1:9">
      <c r="A76">
        <v>75</v>
      </c>
      <c r="B76">
        <v>2</v>
      </c>
      <c r="D76" s="202" t="s">
        <v>1729</v>
      </c>
      <c r="F76" s="52">
        <v>1850000</v>
      </c>
      <c r="I76">
        <f>SUMIF(재고!E:E,제품!D76,재고!H:H)-SUMIF(주문_리스트!E:E,제품!D76,주문_리스트!H:H)</f>
        <v>-1</v>
      </c>
    </row>
    <row r="77" spans="1:9">
      <c r="A77">
        <v>76</v>
      </c>
      <c r="B77">
        <v>4</v>
      </c>
      <c r="C77" s="203" t="s">
        <v>2725</v>
      </c>
      <c r="D77" s="202" t="s">
        <v>2726</v>
      </c>
      <c r="E77" s="202" t="s">
        <v>2725</v>
      </c>
      <c r="F77" s="52">
        <v>1500000</v>
      </c>
      <c r="I77">
        <f>SUMIF(재고!E:E,제품!D77,재고!H:H)-SUMIF(주문_리스트!E:E,제품!D77,주문_리스트!H:H)</f>
        <v>0</v>
      </c>
    </row>
    <row r="78" spans="1:9">
      <c r="A78">
        <v>77</v>
      </c>
      <c r="B78">
        <v>4</v>
      </c>
      <c r="C78" s="203" t="s">
        <v>1743</v>
      </c>
      <c r="D78" s="202" t="s">
        <v>2298</v>
      </c>
      <c r="E78" s="202" t="s">
        <v>1743</v>
      </c>
      <c r="F78" s="52">
        <v>50000</v>
      </c>
      <c r="G78" s="52">
        <v>14500</v>
      </c>
      <c r="I78">
        <f>SUMIF(재고!E:E,제품!D78,재고!H:H)-SUMIF(주문_리스트!E:E,제품!D78,주문_리스트!H:H)</f>
        <v>0</v>
      </c>
    </row>
    <row r="79" spans="1:9">
      <c r="A79">
        <v>78</v>
      </c>
      <c r="B79">
        <v>13</v>
      </c>
      <c r="C79" s="203">
        <v>28111601</v>
      </c>
      <c r="D79" s="202" t="s">
        <v>1842</v>
      </c>
      <c r="E79" s="202">
        <v>28111601</v>
      </c>
      <c r="F79" s="52">
        <v>220000</v>
      </c>
      <c r="G79" s="52">
        <v>105000</v>
      </c>
      <c r="H79" s="52" t="s">
        <v>1848</v>
      </c>
      <c r="I79">
        <f>SUMIF(재고!E:E,제품!D79,재고!H:H)-SUMIF(주문_리스트!E:E,제품!D79,주문_리스트!H:H)</f>
        <v>0</v>
      </c>
    </row>
    <row r="80" spans="1:9">
      <c r="A80">
        <v>79</v>
      </c>
      <c r="D80" s="202" t="s">
        <v>1844</v>
      </c>
      <c r="F80" s="52">
        <v>200000</v>
      </c>
      <c r="G80" s="52">
        <v>105000</v>
      </c>
      <c r="H80" s="52" t="s">
        <v>1843</v>
      </c>
      <c r="I80">
        <f>SUMIF(재고!E:E,제품!D80,재고!H:H)-SUMIF(주문_리스트!E:E,제품!D80,주문_리스트!H:H)</f>
        <v>0</v>
      </c>
    </row>
    <row r="81" spans="1:9">
      <c r="A81">
        <v>80</v>
      </c>
      <c r="D81" s="202" t="s">
        <v>2299</v>
      </c>
      <c r="F81" s="52">
        <v>130000</v>
      </c>
      <c r="G81" s="52">
        <v>53000</v>
      </c>
      <c r="I81">
        <f>SUMIF(재고!E:E,제품!D81,재고!H:H)-SUMIF(주문_리스트!E:E,제품!D81,주문_리스트!H:H)</f>
        <v>0</v>
      </c>
    </row>
    <row r="82" spans="1:9">
      <c r="A82">
        <v>81</v>
      </c>
      <c r="B82">
        <v>2</v>
      </c>
      <c r="C82" s="203" t="s">
        <v>1760</v>
      </c>
      <c r="D82" s="202" t="s">
        <v>1776</v>
      </c>
      <c r="E82" s="202" t="s">
        <v>1760</v>
      </c>
      <c r="F82" s="52">
        <v>20000</v>
      </c>
      <c r="G82" s="52">
        <v>12000</v>
      </c>
      <c r="H82" s="52" t="s">
        <v>1777</v>
      </c>
      <c r="I82">
        <f>SUMIF(재고!E:E,제품!D82,재고!H:H)-SUMIF(주문_리스트!E:E,제품!D82,주문_리스트!H:H)</f>
        <v>-6</v>
      </c>
    </row>
    <row r="83" spans="1:9">
      <c r="A83">
        <v>82</v>
      </c>
      <c r="D83" s="202" t="s">
        <v>1747</v>
      </c>
      <c r="F83" s="52">
        <v>20000</v>
      </c>
      <c r="G83" s="52">
        <v>10000</v>
      </c>
      <c r="I83">
        <f>SUMIF(재고!E:E,제품!D83,재고!H:H)-SUMIF(주문_리스트!E:E,제품!D83,주문_리스트!H:H)</f>
        <v>0</v>
      </c>
    </row>
    <row r="84" spans="1:9">
      <c r="A84">
        <v>83</v>
      </c>
      <c r="B84">
        <v>2</v>
      </c>
      <c r="D84" s="202" t="s">
        <v>1754</v>
      </c>
      <c r="F84" s="52">
        <v>35000</v>
      </c>
      <c r="G84" s="52">
        <v>13000</v>
      </c>
      <c r="H84" s="52" t="s">
        <v>1764</v>
      </c>
      <c r="I84">
        <f>SUMIF(재고!E:E,제품!D84,재고!H:H)-SUMIF(주문_리스트!E:E,제품!D84,주문_리스트!H:H)</f>
        <v>-3</v>
      </c>
    </row>
    <row r="85" spans="1:9">
      <c r="A85">
        <v>84</v>
      </c>
      <c r="D85" s="202" t="s">
        <v>2300</v>
      </c>
      <c r="F85" s="52">
        <v>10000</v>
      </c>
      <c r="I85">
        <f>SUMIF(재고!E:E,제품!D85,재고!H:H)-SUMIF(주문_리스트!E:E,제품!D85,주문_리스트!H:H)</f>
        <v>0</v>
      </c>
    </row>
    <row r="86" spans="1:9">
      <c r="A86">
        <v>85</v>
      </c>
      <c r="B86">
        <v>2</v>
      </c>
      <c r="D86" s="202" t="s">
        <v>1748</v>
      </c>
      <c r="F86" s="52">
        <v>130000</v>
      </c>
      <c r="G86" s="52">
        <v>53000</v>
      </c>
      <c r="H86" s="52" t="s">
        <v>1749</v>
      </c>
      <c r="I86">
        <f>SUMIF(재고!E:E,제품!D86,재고!H:H)-SUMIF(주문_리스트!E:E,제품!D86,주문_리스트!H:H)</f>
        <v>0</v>
      </c>
    </row>
    <row r="87" spans="1:9">
      <c r="A87">
        <v>86</v>
      </c>
      <c r="B87">
        <v>2</v>
      </c>
      <c r="D87" s="202" t="s">
        <v>1758</v>
      </c>
      <c r="F87" s="52">
        <v>280000</v>
      </c>
      <c r="I87">
        <f>SUMIF(재고!E:E,제품!D87,재고!H:H)-SUMIF(주문_리스트!E:E,제품!D87,주문_리스트!H:H)</f>
        <v>0</v>
      </c>
    </row>
    <row r="88" spans="1:9">
      <c r="A88">
        <v>87</v>
      </c>
      <c r="B88">
        <v>2</v>
      </c>
      <c r="C88" s="203">
        <v>24137542885</v>
      </c>
      <c r="D88" s="202" t="s">
        <v>1768</v>
      </c>
      <c r="E88" s="202">
        <v>24137542885</v>
      </c>
      <c r="H88" s="52" t="s">
        <v>1769</v>
      </c>
      <c r="I88">
        <f>SUMIF(재고!E:E,제품!D88,재고!H:H)-SUMIF(주문_리스트!E:E,제품!D88,주문_리스트!H:H)</f>
        <v>0</v>
      </c>
    </row>
    <row r="89" spans="1:9">
      <c r="A89">
        <v>88</v>
      </c>
      <c r="B89">
        <v>2</v>
      </c>
      <c r="C89" s="203">
        <v>24137519344</v>
      </c>
      <c r="D89" s="202" t="s">
        <v>1774</v>
      </c>
      <c r="E89" s="202">
        <v>24137519344</v>
      </c>
      <c r="H89" s="52" t="s">
        <v>1775</v>
      </c>
      <c r="I89">
        <f>SUMIF(재고!E:E,제품!D89,재고!H:H)-SUMIF(주문_리스트!E:E,제품!D89,주문_리스트!H:H)</f>
        <v>0</v>
      </c>
    </row>
    <row r="90" spans="1:9">
      <c r="A90">
        <v>89</v>
      </c>
      <c r="B90">
        <v>1</v>
      </c>
      <c r="C90" s="203">
        <v>7252703114</v>
      </c>
      <c r="D90" s="202" t="s">
        <v>1771</v>
      </c>
      <c r="E90" s="202">
        <v>7252703114</v>
      </c>
      <c r="F90" s="52">
        <v>129000</v>
      </c>
      <c r="G90" s="52">
        <v>70000</v>
      </c>
      <c r="I90">
        <f>SUMIF(재고!E:E,제품!D90,재고!H:H)-SUMIF(주문_리스트!E:E,제품!D90,주문_리스트!H:H)</f>
        <v>-8</v>
      </c>
    </row>
    <row r="91" spans="1:9">
      <c r="A91">
        <v>90</v>
      </c>
      <c r="B91">
        <v>1</v>
      </c>
      <c r="C91" s="203" t="s">
        <v>1772</v>
      </c>
      <c r="D91" s="202" t="s">
        <v>1773</v>
      </c>
      <c r="E91" s="202" t="s">
        <v>1772</v>
      </c>
      <c r="F91" s="52">
        <v>50000</v>
      </c>
      <c r="I91">
        <f>SUMIF(재고!E:E,제품!D91,재고!H:H)-SUMIF(주문_리스트!E:E,제품!D91,주문_리스트!H:H)</f>
        <v>-18</v>
      </c>
    </row>
    <row r="92" spans="1:9">
      <c r="A92">
        <v>91</v>
      </c>
      <c r="B92">
        <v>1</v>
      </c>
      <c r="C92" s="203" t="s">
        <v>1783</v>
      </c>
      <c r="D92" s="202" t="s">
        <v>1784</v>
      </c>
      <c r="E92" s="202" t="s">
        <v>1783</v>
      </c>
      <c r="F92" s="52">
        <v>20000</v>
      </c>
      <c r="G92" s="52">
        <v>9000</v>
      </c>
      <c r="I92">
        <f>SUMIF(재고!E:E,제품!D92,재고!H:H)-SUMIF(주문_리스트!E:E,제품!D92,주문_리스트!H:H)</f>
        <v>-2</v>
      </c>
    </row>
    <row r="93" spans="1:9">
      <c r="A93">
        <v>92</v>
      </c>
      <c r="B93">
        <v>2</v>
      </c>
      <c r="C93" s="203">
        <v>2800802</v>
      </c>
      <c r="D93" s="202" t="s">
        <v>1791</v>
      </c>
      <c r="E93" s="202">
        <v>2800802</v>
      </c>
      <c r="F93" s="52">
        <v>150000</v>
      </c>
      <c r="G93" s="52">
        <v>85000</v>
      </c>
      <c r="I93">
        <f>SUMIF(재고!E:E,제품!D93,재고!H:H)-SUMIF(주문_리스트!E:E,제품!D93,주문_리스트!H:H)</f>
        <v>-17</v>
      </c>
    </row>
    <row r="94" spans="1:9">
      <c r="A94">
        <v>93</v>
      </c>
      <c r="B94">
        <v>2</v>
      </c>
      <c r="C94" s="203">
        <v>2800801</v>
      </c>
      <c r="D94" s="202" t="s">
        <v>1792</v>
      </c>
      <c r="E94" s="202">
        <v>2800801</v>
      </c>
      <c r="F94" s="52">
        <v>150000</v>
      </c>
      <c r="G94" s="52">
        <v>85000</v>
      </c>
      <c r="I94">
        <f>SUMIF(재고!E:E,제품!D94,재고!H:H)-SUMIF(주문_리스트!E:E,제품!D94,주문_리스트!H:H)</f>
        <v>-4</v>
      </c>
    </row>
    <row r="95" spans="1:9">
      <c r="A95">
        <v>94</v>
      </c>
      <c r="B95">
        <v>3</v>
      </c>
      <c r="C95" s="203" t="s">
        <v>1786</v>
      </c>
      <c r="D95" s="202" t="s">
        <v>2325</v>
      </c>
      <c r="E95" s="202" t="s">
        <v>1786</v>
      </c>
      <c r="F95" s="52">
        <v>250000</v>
      </c>
      <c r="G95" s="52">
        <v>45000</v>
      </c>
      <c r="H95" s="52" t="s">
        <v>2326</v>
      </c>
      <c r="I95">
        <f>SUMIF(재고!E:E,제품!D95,재고!H:H)-SUMIF(주문_리스트!E:E,제품!D95,주문_리스트!H:H)</f>
        <v>-2</v>
      </c>
    </row>
    <row r="96" spans="1:9">
      <c r="A96">
        <v>95</v>
      </c>
      <c r="B96">
        <v>3</v>
      </c>
      <c r="C96" s="203" t="s">
        <v>1788</v>
      </c>
      <c r="D96" s="202" t="s">
        <v>2281</v>
      </c>
      <c r="E96" s="202" t="s">
        <v>1788</v>
      </c>
      <c r="F96" s="52">
        <v>60000</v>
      </c>
      <c r="G96" s="52">
        <v>40000</v>
      </c>
      <c r="I96">
        <f>SUMIF(재고!E:E,제품!D96,재고!H:H)-SUMIF(주문_리스트!E:E,제품!D96,주문_리스트!H:H)</f>
        <v>-1</v>
      </c>
    </row>
    <row r="97" spans="1:9">
      <c r="A97">
        <v>96</v>
      </c>
      <c r="D97" s="202" t="s">
        <v>1798</v>
      </c>
      <c r="F97" s="52">
        <v>200000</v>
      </c>
      <c r="G97" s="52">
        <v>25000</v>
      </c>
      <c r="I97">
        <f>SUMIF(재고!E:E,제품!D97,재고!H:H)-SUMIF(주문_리스트!E:E,제품!D97,주문_리스트!H:H)</f>
        <v>0</v>
      </c>
    </row>
    <row r="98" spans="1:9">
      <c r="A98">
        <v>97</v>
      </c>
      <c r="B98">
        <v>3</v>
      </c>
      <c r="C98" s="203" t="s">
        <v>1800</v>
      </c>
      <c r="D98" s="202" t="s">
        <v>2289</v>
      </c>
      <c r="E98" s="202" t="s">
        <v>1800</v>
      </c>
      <c r="F98" s="52">
        <v>30000</v>
      </c>
      <c r="G98" s="52">
        <v>16000</v>
      </c>
      <c r="I98">
        <f>SUMIF(재고!E:E,제품!D98,재고!H:H)-SUMIF(주문_리스트!E:E,제품!D98,주문_리스트!H:H)</f>
        <v>-4</v>
      </c>
    </row>
    <row r="99" spans="1:9">
      <c r="A99">
        <v>98</v>
      </c>
      <c r="B99">
        <v>3</v>
      </c>
      <c r="C99" s="203" t="s">
        <v>1802</v>
      </c>
      <c r="D99" s="202" t="s">
        <v>2290</v>
      </c>
      <c r="E99" s="202" t="s">
        <v>1802</v>
      </c>
      <c r="F99" s="52">
        <v>10000</v>
      </c>
      <c r="G99" s="52">
        <v>8500</v>
      </c>
      <c r="H99" s="52" t="s">
        <v>1856</v>
      </c>
      <c r="I99">
        <f>SUMIF(재고!E:E,제품!D99,재고!H:H)-SUMIF(주문_리스트!E:E,제품!D99,주문_리스트!H:H)</f>
        <v>-10</v>
      </c>
    </row>
    <row r="100" spans="1:9">
      <c r="A100">
        <v>99</v>
      </c>
      <c r="B100">
        <v>3</v>
      </c>
      <c r="C100" s="203" t="s">
        <v>1857</v>
      </c>
      <c r="D100" s="202" t="s">
        <v>2291</v>
      </c>
      <c r="E100" s="202" t="s">
        <v>1857</v>
      </c>
      <c r="F100" s="52">
        <v>10000</v>
      </c>
      <c r="G100" s="52">
        <v>5500</v>
      </c>
      <c r="I100">
        <f>SUMIF(재고!E:E,제품!D100,재고!H:H)-SUMIF(주문_리스트!E:E,제품!D100,주문_리스트!H:H)</f>
        <v>0</v>
      </c>
    </row>
    <row r="101" spans="1:9">
      <c r="A101">
        <v>100</v>
      </c>
      <c r="B101">
        <v>3</v>
      </c>
      <c r="C101" s="203" t="s">
        <v>1803</v>
      </c>
      <c r="D101" s="202" t="s">
        <v>1804</v>
      </c>
      <c r="E101" s="202" t="s">
        <v>1803</v>
      </c>
      <c r="F101" s="52">
        <v>20000</v>
      </c>
      <c r="G101" s="52">
        <v>13000</v>
      </c>
      <c r="I101">
        <f>SUMIF(재고!E:E,제품!D101,재고!H:H)-SUMIF(주문_리스트!E:E,제품!D101,주문_리스트!H:H)</f>
        <v>-3</v>
      </c>
    </row>
    <row r="102" spans="1:9">
      <c r="A102">
        <v>101</v>
      </c>
      <c r="B102">
        <v>6</v>
      </c>
      <c r="C102" s="203">
        <v>2850701</v>
      </c>
      <c r="D102" s="202" t="s">
        <v>1805</v>
      </c>
      <c r="E102" s="202">
        <v>2850701</v>
      </c>
      <c r="F102" s="52">
        <v>400000</v>
      </c>
      <c r="G102" s="52">
        <v>160000</v>
      </c>
      <c r="I102">
        <f>SUMIF(재고!E:E,제품!D102,재고!H:H)-SUMIF(주문_리스트!E:E,제품!D102,주문_리스트!H:H)</f>
        <v>-1</v>
      </c>
    </row>
    <row r="103" spans="1:9">
      <c r="A103">
        <v>102</v>
      </c>
      <c r="B103">
        <v>1</v>
      </c>
      <c r="C103" s="203">
        <v>2810701</v>
      </c>
      <c r="D103" s="202" t="s">
        <v>2637</v>
      </c>
      <c r="E103" s="202">
        <v>2810701</v>
      </c>
      <c r="F103" s="52">
        <v>450000</v>
      </c>
      <c r="G103" s="52">
        <v>250000</v>
      </c>
      <c r="I103">
        <f>SUMIF(재고!E:E,제품!D103,재고!H:H)-SUMIF(주문_리스트!E:E,제품!D103,주문_리스트!H:H)</f>
        <v>-1</v>
      </c>
    </row>
    <row r="104" spans="1:9">
      <c r="A104">
        <v>103</v>
      </c>
      <c r="B104">
        <v>2</v>
      </c>
      <c r="C104" s="203">
        <v>2830701</v>
      </c>
      <c r="D104" s="202" t="s">
        <v>1807</v>
      </c>
      <c r="E104" s="202">
        <v>2830701</v>
      </c>
      <c r="F104" s="52">
        <v>160000</v>
      </c>
      <c r="G104" s="52">
        <v>360000</v>
      </c>
      <c r="H104" s="52" t="s">
        <v>1808</v>
      </c>
      <c r="I104">
        <f>SUMIF(재고!E:E,제품!D104,재고!H:H)-SUMIF(주문_리스트!E:E,제품!D104,주문_리스트!H:H)</f>
        <v>0</v>
      </c>
    </row>
    <row r="105" spans="1:9">
      <c r="A105">
        <v>104</v>
      </c>
      <c r="B105">
        <v>2</v>
      </c>
      <c r="C105" s="203">
        <v>2830701</v>
      </c>
      <c r="D105" s="202" t="s">
        <v>1807</v>
      </c>
      <c r="E105" s="202">
        <v>2830701</v>
      </c>
      <c r="F105" s="52">
        <v>360000</v>
      </c>
      <c r="G105" s="52">
        <v>160000</v>
      </c>
      <c r="I105">
        <f>SUMIF(재고!E:E,제품!D105,재고!H:H)-SUMIF(주문_리스트!E:E,제품!D105,주문_리스트!H:H)</f>
        <v>0</v>
      </c>
    </row>
    <row r="106" spans="1:9">
      <c r="A106">
        <v>105</v>
      </c>
      <c r="B106">
        <v>3</v>
      </c>
      <c r="C106" s="203">
        <v>2801701</v>
      </c>
      <c r="D106" s="202" t="s">
        <v>1810</v>
      </c>
      <c r="E106" s="202">
        <v>2801701</v>
      </c>
      <c r="F106" s="52">
        <v>15000</v>
      </c>
      <c r="G106" s="52">
        <v>4500</v>
      </c>
      <c r="H106" s="52" t="s">
        <v>1811</v>
      </c>
      <c r="I106">
        <f>SUMIF(재고!E:E,제품!D106,재고!H:H)-SUMIF(주문_리스트!E:E,제품!D106,주문_리스트!H:H)</f>
        <v>0</v>
      </c>
    </row>
    <row r="107" spans="1:9">
      <c r="A107">
        <v>106</v>
      </c>
      <c r="B107">
        <v>3</v>
      </c>
      <c r="C107" s="203">
        <v>2801702</v>
      </c>
      <c r="D107" s="202" t="s">
        <v>1810</v>
      </c>
      <c r="E107" s="202">
        <v>2801702</v>
      </c>
      <c r="F107" s="52">
        <v>15000</v>
      </c>
      <c r="G107" s="52">
        <v>3300</v>
      </c>
      <c r="H107" s="52" t="s">
        <v>1812</v>
      </c>
      <c r="I107">
        <f>SUMIF(재고!E:E,제품!D107,재고!H:H)-SUMIF(주문_리스트!E:E,제품!D107,주문_리스트!H:H)</f>
        <v>0</v>
      </c>
    </row>
    <row r="108" spans="1:9">
      <c r="A108">
        <v>107</v>
      </c>
      <c r="B108">
        <v>3</v>
      </c>
      <c r="C108" s="203" t="s">
        <v>1825</v>
      </c>
      <c r="D108" s="202" t="s">
        <v>2279</v>
      </c>
      <c r="E108" s="202" t="s">
        <v>1825</v>
      </c>
      <c r="F108" s="52">
        <v>50000</v>
      </c>
      <c r="G108" s="52">
        <v>33000</v>
      </c>
      <c r="H108" s="52" t="s">
        <v>1827</v>
      </c>
      <c r="I108">
        <f>SUMIF(재고!E:E,제품!D108,재고!H:H)-SUMIF(주문_리스트!E:E,제품!D108,주문_리스트!H:H)</f>
        <v>-15</v>
      </c>
    </row>
    <row r="109" spans="1:9">
      <c r="A109">
        <v>108</v>
      </c>
      <c r="B109">
        <v>2</v>
      </c>
      <c r="D109" s="202" t="s">
        <v>1814</v>
      </c>
      <c r="F109" s="52">
        <v>1550000</v>
      </c>
      <c r="I109">
        <f>SUMIF(재고!E:E,제품!D109,재고!H:H)-SUMIF(주문_리스트!E:E,제품!D109,주문_리스트!H:H)</f>
        <v>-8</v>
      </c>
    </row>
    <row r="110" spans="1:9">
      <c r="A110">
        <v>109</v>
      </c>
      <c r="B110">
        <v>1</v>
      </c>
      <c r="C110" s="203" t="s">
        <v>1822</v>
      </c>
      <c r="D110" s="202" t="s">
        <v>1241</v>
      </c>
      <c r="E110" s="202" t="s">
        <v>1822</v>
      </c>
      <c r="F110" s="52">
        <v>1200000</v>
      </c>
      <c r="H110" s="52" t="s">
        <v>1823</v>
      </c>
      <c r="I110">
        <f>SUMIF(재고!E:E,제품!D110,재고!H:H)-SUMIF(주문_리스트!E:E,제품!D110,주문_리스트!H:H)</f>
        <v>-37</v>
      </c>
    </row>
    <row r="111" spans="1:9">
      <c r="A111">
        <v>110</v>
      </c>
      <c r="B111">
        <v>2</v>
      </c>
      <c r="C111" s="203">
        <v>24347544930</v>
      </c>
      <c r="D111" s="202" t="s">
        <v>1830</v>
      </c>
      <c r="E111" s="202">
        <v>24347544930</v>
      </c>
      <c r="F111" s="52">
        <v>250000</v>
      </c>
      <c r="G111" s="52">
        <v>0</v>
      </c>
      <c r="H111" s="52" t="s">
        <v>1829</v>
      </c>
      <c r="I111">
        <f>SUMIF(재고!E:E,제품!D111,재고!H:H)-SUMIF(주문_리스트!E:E,제품!D111,주문_리스트!H:H)</f>
        <v>0</v>
      </c>
    </row>
    <row r="112" spans="1:9">
      <c r="A112">
        <v>111</v>
      </c>
      <c r="B112">
        <v>14</v>
      </c>
      <c r="C112" s="203">
        <v>501220639</v>
      </c>
      <c r="D112" s="202" t="s">
        <v>2179</v>
      </c>
      <c r="E112" s="202">
        <v>501220639</v>
      </c>
      <c r="F112" s="52">
        <v>250000</v>
      </c>
      <c r="G112" s="52">
        <v>150000</v>
      </c>
      <c r="I112">
        <f>SUMIF(재고!E:E,제품!D112,재고!H:H)-SUMIF(주문_리스트!E:E,제품!D112,주문_리스트!H:H)</f>
        <v>-2</v>
      </c>
    </row>
    <row r="113" spans="1:9">
      <c r="A113">
        <v>112</v>
      </c>
      <c r="B113">
        <v>12</v>
      </c>
      <c r="C113" s="203" t="s">
        <v>1836</v>
      </c>
      <c r="D113" s="202" t="s">
        <v>1837</v>
      </c>
      <c r="E113" s="202" t="s">
        <v>1836</v>
      </c>
      <c r="F113" s="52">
        <v>25000</v>
      </c>
      <c r="G113" s="52">
        <v>11200</v>
      </c>
      <c r="H113" s="52" t="s">
        <v>1838</v>
      </c>
      <c r="I113">
        <f>SUMIF(재고!E:E,제품!D113,재고!H:H)-SUMIF(주문_리스트!E:E,제품!D113,주문_리스트!H:H)</f>
        <v>-4</v>
      </c>
    </row>
    <row r="114" spans="1:9">
      <c r="A114">
        <v>113</v>
      </c>
      <c r="B114">
        <v>12</v>
      </c>
      <c r="C114" s="203" t="s">
        <v>1839</v>
      </c>
      <c r="D114" s="202" t="s">
        <v>1837</v>
      </c>
      <c r="E114" s="202" t="s">
        <v>1839</v>
      </c>
      <c r="F114" s="52">
        <v>65000</v>
      </c>
      <c r="G114" s="52">
        <v>45000</v>
      </c>
      <c r="H114" s="52" t="s">
        <v>1840</v>
      </c>
      <c r="I114">
        <f>SUMIF(재고!E:E,제품!D114,재고!H:H)-SUMIF(주문_리스트!E:E,제품!D114,주문_리스트!H:H)</f>
        <v>-4</v>
      </c>
    </row>
    <row r="115" spans="1:9">
      <c r="A115">
        <v>114</v>
      </c>
      <c r="B115">
        <v>1</v>
      </c>
      <c r="C115" s="203" t="s">
        <v>1841</v>
      </c>
      <c r="D115" s="202" t="s">
        <v>1607</v>
      </c>
      <c r="E115" s="202" t="s">
        <v>1841</v>
      </c>
      <c r="F115" s="52">
        <v>1400000</v>
      </c>
      <c r="I115">
        <f>SUMIF(재고!E:E,제품!D115,재고!H:H)-SUMIF(주문_리스트!E:E,제품!D115,주문_리스트!H:H)</f>
        <v>1</v>
      </c>
    </row>
    <row r="116" spans="1:9">
      <c r="A116">
        <v>115</v>
      </c>
      <c r="B116">
        <v>2</v>
      </c>
      <c r="C116" s="203">
        <v>1068298046</v>
      </c>
      <c r="D116" s="202" t="s">
        <v>1894</v>
      </c>
      <c r="E116" s="202">
        <v>1068298046</v>
      </c>
      <c r="F116" s="52">
        <v>450000</v>
      </c>
      <c r="H116" s="52" t="s">
        <v>1895</v>
      </c>
      <c r="I116">
        <f>SUMIF(재고!E:E,제품!D116,재고!H:H)-SUMIF(주문_리스트!E:E,제품!D116,주문_리스트!H:H)</f>
        <v>-5</v>
      </c>
    </row>
    <row r="117" spans="1:9">
      <c r="A117">
        <v>116</v>
      </c>
      <c r="B117">
        <v>2</v>
      </c>
      <c r="C117" s="203">
        <v>1087298388</v>
      </c>
      <c r="D117" s="202" t="s">
        <v>2339</v>
      </c>
      <c r="E117" s="202">
        <v>1087298388</v>
      </c>
      <c r="F117" s="52">
        <v>550000</v>
      </c>
      <c r="H117" s="52" t="s">
        <v>2337</v>
      </c>
      <c r="I117">
        <f>SUMIF(재고!E:E,제품!D117,재고!H:H)-SUMIF(주문_리스트!E:E,제품!D117,주문_리스트!H:H)</f>
        <v>-2</v>
      </c>
    </row>
    <row r="118" spans="1:9">
      <c r="A118">
        <v>117</v>
      </c>
      <c r="B118">
        <v>2</v>
      </c>
      <c r="C118" s="203">
        <v>1068298044</v>
      </c>
      <c r="D118" s="202" t="s">
        <v>1894</v>
      </c>
      <c r="E118" s="202">
        <v>1068298044</v>
      </c>
      <c r="F118" s="52">
        <v>400000</v>
      </c>
      <c r="H118" s="52" t="s">
        <v>1899</v>
      </c>
      <c r="I118">
        <f>SUMIF(재고!E:E,제품!D118,재고!H:H)-SUMIF(주문_리스트!E:E,제품!D118,주문_리스트!H:H)</f>
        <v>-5</v>
      </c>
    </row>
    <row r="119" spans="1:9">
      <c r="A119">
        <v>118</v>
      </c>
      <c r="B119">
        <v>2</v>
      </c>
      <c r="C119" s="203">
        <v>24152333907</v>
      </c>
      <c r="D119" s="202" t="s">
        <v>1595</v>
      </c>
      <c r="E119" s="202">
        <v>24152333907</v>
      </c>
      <c r="F119" s="52">
        <v>50000</v>
      </c>
      <c r="H119" s="52" t="s">
        <v>1898</v>
      </c>
      <c r="I119">
        <f>SUMIF(재고!E:E,제품!D119,재고!H:H)-SUMIF(주문_리스트!E:E,제품!D119,주문_리스트!H:H)</f>
        <v>-7</v>
      </c>
    </row>
    <row r="120" spans="1:9">
      <c r="A120">
        <v>119</v>
      </c>
      <c r="B120">
        <v>3</v>
      </c>
      <c r="C120" s="203">
        <v>6058008122</v>
      </c>
      <c r="D120" s="202" t="s">
        <v>1909</v>
      </c>
      <c r="E120" s="202">
        <v>6058008122</v>
      </c>
      <c r="F120" s="52">
        <v>2500000</v>
      </c>
      <c r="I120">
        <f>SUMIF(재고!E:E,제품!D120,재고!H:H)-SUMIF(주문_리스트!E:E,제품!D120,주문_리스트!H:H)</f>
        <v>0</v>
      </c>
    </row>
    <row r="121" spans="1:9">
      <c r="A121">
        <v>120</v>
      </c>
      <c r="B121">
        <v>1</v>
      </c>
      <c r="C121" s="203" t="s">
        <v>1936</v>
      </c>
      <c r="D121" s="202" t="s">
        <v>1937</v>
      </c>
      <c r="E121" s="202" t="s">
        <v>1936</v>
      </c>
      <c r="F121" s="52">
        <v>210000</v>
      </c>
      <c r="G121" s="52">
        <v>150000</v>
      </c>
      <c r="H121" s="52" t="s">
        <v>1939</v>
      </c>
    </row>
    <row r="122" spans="1:9">
      <c r="A122">
        <v>121</v>
      </c>
      <c r="B122">
        <v>9</v>
      </c>
      <c r="C122" s="203">
        <v>415062109</v>
      </c>
      <c r="D122" s="202" t="s">
        <v>2663</v>
      </c>
      <c r="E122" s="202">
        <v>415062109</v>
      </c>
      <c r="F122" s="52">
        <v>680000</v>
      </c>
    </row>
    <row r="123" spans="1:9">
      <c r="A123">
        <v>122</v>
      </c>
      <c r="B123">
        <v>12</v>
      </c>
      <c r="D123" s="202" t="s">
        <v>1947</v>
      </c>
      <c r="F123" s="52">
        <v>3500000</v>
      </c>
    </row>
    <row r="124" spans="1:9">
      <c r="A124">
        <v>123</v>
      </c>
      <c r="B124">
        <v>2</v>
      </c>
      <c r="C124" s="203" t="s">
        <v>1958</v>
      </c>
      <c r="D124" s="202" t="s">
        <v>1959</v>
      </c>
      <c r="E124" s="202" t="s">
        <v>1958</v>
      </c>
      <c r="F124" s="52">
        <v>10000</v>
      </c>
      <c r="G124" s="52">
        <v>0</v>
      </c>
      <c r="H124" s="52" t="s">
        <v>1960</v>
      </c>
    </row>
    <row r="125" spans="1:9">
      <c r="A125">
        <v>124</v>
      </c>
      <c r="B125">
        <v>3</v>
      </c>
      <c r="D125" s="202" t="s">
        <v>1978</v>
      </c>
      <c r="F125" s="52">
        <v>250000</v>
      </c>
    </row>
    <row r="126" spans="1:9">
      <c r="A126">
        <v>125</v>
      </c>
      <c r="B126">
        <v>2</v>
      </c>
      <c r="C126" s="203">
        <v>501215718</v>
      </c>
      <c r="D126" s="202" t="s">
        <v>1998</v>
      </c>
      <c r="E126" s="202">
        <v>501215718</v>
      </c>
      <c r="F126" s="52">
        <v>15000</v>
      </c>
      <c r="G126" s="52">
        <v>8000</v>
      </c>
      <c r="H126" s="52" t="s">
        <v>1996</v>
      </c>
    </row>
    <row r="127" spans="1:9">
      <c r="A127">
        <v>126</v>
      </c>
      <c r="B127">
        <v>2</v>
      </c>
      <c r="C127" s="203">
        <v>501215783</v>
      </c>
      <c r="D127" s="202" t="s">
        <v>1998</v>
      </c>
      <c r="E127" s="202">
        <v>501215783</v>
      </c>
      <c r="F127" s="52">
        <v>15000</v>
      </c>
      <c r="G127" s="52">
        <v>8000</v>
      </c>
      <c r="H127" s="52" t="s">
        <v>1997</v>
      </c>
    </row>
    <row r="128" spans="1:9">
      <c r="A128">
        <v>127</v>
      </c>
      <c r="B128">
        <v>4</v>
      </c>
      <c r="C128" s="203" t="s">
        <v>2142</v>
      </c>
      <c r="D128" s="202" t="s">
        <v>2143</v>
      </c>
      <c r="E128" s="202" t="s">
        <v>2142</v>
      </c>
      <c r="F128" s="52">
        <v>1000000</v>
      </c>
    </row>
    <row r="129" spans="1:8">
      <c r="A129">
        <v>128</v>
      </c>
      <c r="B129">
        <v>14</v>
      </c>
      <c r="D129" s="202" t="s">
        <v>2004</v>
      </c>
      <c r="F129" s="52">
        <v>2000000</v>
      </c>
    </row>
    <row r="130" spans="1:8">
      <c r="A130">
        <v>129</v>
      </c>
      <c r="B130">
        <v>1</v>
      </c>
      <c r="C130" s="203" t="s">
        <v>2008</v>
      </c>
      <c r="D130" s="202" t="s">
        <v>1630</v>
      </c>
      <c r="E130" s="202" t="s">
        <v>2008</v>
      </c>
      <c r="F130" s="52">
        <v>1400000</v>
      </c>
    </row>
    <row r="131" spans="1:8">
      <c r="A131">
        <v>130</v>
      </c>
      <c r="B131">
        <v>13</v>
      </c>
      <c r="D131" s="202" t="s">
        <v>2011</v>
      </c>
      <c r="F131" s="52">
        <v>1200000</v>
      </c>
    </row>
    <row r="132" spans="1:8">
      <c r="A132">
        <v>131</v>
      </c>
      <c r="B132">
        <v>12</v>
      </c>
      <c r="C132" s="203" t="s">
        <v>2024</v>
      </c>
      <c r="D132" s="202" t="s">
        <v>2025</v>
      </c>
      <c r="E132" s="202" t="s">
        <v>2024</v>
      </c>
      <c r="F132" s="52">
        <v>1200000</v>
      </c>
      <c r="G132" s="52">
        <v>400000</v>
      </c>
      <c r="H132" s="52" t="s">
        <v>2026</v>
      </c>
    </row>
    <row r="133" spans="1:8">
      <c r="A133">
        <v>132</v>
      </c>
      <c r="B133">
        <v>12</v>
      </c>
      <c r="C133" s="203" t="s">
        <v>2022</v>
      </c>
      <c r="D133" s="202" t="s">
        <v>2023</v>
      </c>
      <c r="E133" s="202" t="s">
        <v>2022</v>
      </c>
      <c r="F133" s="52">
        <v>1000000</v>
      </c>
      <c r="G133" s="52">
        <v>380000</v>
      </c>
    </row>
    <row r="134" spans="1:8">
      <c r="A134">
        <v>133</v>
      </c>
      <c r="B134">
        <v>9</v>
      </c>
      <c r="C134" s="203">
        <v>415072909</v>
      </c>
      <c r="D134" s="202" t="s">
        <v>2663</v>
      </c>
      <c r="E134" s="202">
        <v>415072909</v>
      </c>
      <c r="F134" s="52">
        <v>380000</v>
      </c>
    </row>
    <row r="135" spans="1:8">
      <c r="A135">
        <v>134</v>
      </c>
      <c r="B135">
        <v>3</v>
      </c>
      <c r="C135" s="203" t="s">
        <v>2035</v>
      </c>
      <c r="D135" s="202" t="s">
        <v>2034</v>
      </c>
      <c r="E135" s="202" t="s">
        <v>2035</v>
      </c>
      <c r="F135" s="52">
        <v>250000</v>
      </c>
      <c r="G135" s="52">
        <v>120000</v>
      </c>
    </row>
    <row r="136" spans="1:8">
      <c r="A136">
        <v>135</v>
      </c>
      <c r="D136" s="202" t="s">
        <v>2038</v>
      </c>
      <c r="F136" s="52">
        <v>50000</v>
      </c>
    </row>
    <row r="137" spans="1:8">
      <c r="A137">
        <v>136</v>
      </c>
      <c r="B137">
        <v>4</v>
      </c>
      <c r="D137" s="202" t="s">
        <v>2044</v>
      </c>
      <c r="F137" s="52">
        <v>1600000</v>
      </c>
    </row>
    <row r="138" spans="1:8">
      <c r="A138">
        <v>137</v>
      </c>
      <c r="B138">
        <v>3</v>
      </c>
      <c r="D138" s="202" t="s">
        <v>2292</v>
      </c>
      <c r="F138" s="52">
        <v>600000</v>
      </c>
    </row>
    <row r="139" spans="1:8">
      <c r="A139">
        <v>138</v>
      </c>
      <c r="B139">
        <v>2</v>
      </c>
      <c r="C139" s="203">
        <v>7583332</v>
      </c>
      <c r="D139" s="202" t="s">
        <v>2069</v>
      </c>
      <c r="E139" s="202">
        <v>7583332</v>
      </c>
      <c r="F139" s="52">
        <v>450000</v>
      </c>
    </row>
    <row r="140" spans="1:8">
      <c r="A140">
        <v>139</v>
      </c>
      <c r="D140" s="202" t="s">
        <v>2071</v>
      </c>
      <c r="F140" s="52">
        <v>150000</v>
      </c>
    </row>
    <row r="141" spans="1:8">
      <c r="A141">
        <v>140</v>
      </c>
      <c r="B141">
        <v>1</v>
      </c>
      <c r="C141" s="203" t="s">
        <v>2078</v>
      </c>
      <c r="D141" s="202" t="s">
        <v>1243</v>
      </c>
      <c r="E141" s="202" t="s">
        <v>2078</v>
      </c>
      <c r="F141" s="52">
        <v>1700000</v>
      </c>
    </row>
    <row r="142" spans="1:8">
      <c r="A142">
        <v>141</v>
      </c>
      <c r="B142">
        <v>14</v>
      </c>
      <c r="D142" s="202" t="s">
        <v>2096</v>
      </c>
      <c r="F142" s="52">
        <v>2000000</v>
      </c>
    </row>
    <row r="143" spans="1:8">
      <c r="A143">
        <v>142</v>
      </c>
      <c r="B143">
        <v>14</v>
      </c>
      <c r="C143" s="203" t="s">
        <v>2108</v>
      </c>
      <c r="D143" s="202" t="s">
        <v>2109</v>
      </c>
      <c r="E143" s="202" t="s">
        <v>2108</v>
      </c>
      <c r="F143" s="52">
        <v>550000</v>
      </c>
    </row>
    <row r="144" spans="1:8">
      <c r="A144">
        <v>143</v>
      </c>
      <c r="D144" s="202" t="s">
        <v>2115</v>
      </c>
      <c r="F144" s="52">
        <v>84000</v>
      </c>
    </row>
    <row r="145" spans="1:7">
      <c r="A145">
        <v>144</v>
      </c>
      <c r="D145" s="202" t="s">
        <v>2118</v>
      </c>
      <c r="F145" s="52">
        <v>1000000</v>
      </c>
    </row>
    <row r="146" spans="1:7">
      <c r="A146">
        <v>145</v>
      </c>
      <c r="D146" s="202" t="s">
        <v>2123</v>
      </c>
      <c r="F146" s="52">
        <v>1200000</v>
      </c>
    </row>
    <row r="147" spans="1:7">
      <c r="A147">
        <v>146</v>
      </c>
      <c r="D147" s="202" t="s">
        <v>2129</v>
      </c>
      <c r="F147" s="52">
        <v>1000000</v>
      </c>
    </row>
    <row r="148" spans="1:7">
      <c r="A148">
        <v>147</v>
      </c>
      <c r="D148" s="202" t="s">
        <v>2135</v>
      </c>
      <c r="F148" s="52">
        <v>900000</v>
      </c>
    </row>
    <row r="149" spans="1:7">
      <c r="A149">
        <v>148</v>
      </c>
      <c r="B149">
        <v>8</v>
      </c>
      <c r="C149" s="203" t="s">
        <v>1996</v>
      </c>
      <c r="D149" s="202" t="s">
        <v>2237</v>
      </c>
      <c r="E149" s="202" t="s">
        <v>1996</v>
      </c>
      <c r="F149" s="52">
        <v>20000</v>
      </c>
      <c r="G149" s="52">
        <v>14500</v>
      </c>
    </row>
    <row r="150" spans="1:7">
      <c r="A150">
        <v>149</v>
      </c>
      <c r="B150">
        <v>8</v>
      </c>
      <c r="C150" s="203">
        <v>24347588724</v>
      </c>
      <c r="D150" s="202" t="s">
        <v>2150</v>
      </c>
      <c r="E150" s="202">
        <v>24347588724</v>
      </c>
      <c r="F150" s="52">
        <v>20000</v>
      </c>
      <c r="G150" s="52">
        <v>14500</v>
      </c>
    </row>
    <row r="151" spans="1:7">
      <c r="A151">
        <v>150</v>
      </c>
      <c r="B151">
        <v>14</v>
      </c>
      <c r="C151" s="203">
        <v>501220522</v>
      </c>
      <c r="D151" s="202" t="s">
        <v>2178</v>
      </c>
      <c r="E151" s="202">
        <v>501220522</v>
      </c>
      <c r="F151" s="52">
        <v>450000</v>
      </c>
    </row>
    <row r="152" spans="1:7">
      <c r="A152">
        <v>151</v>
      </c>
      <c r="D152" s="202" t="s">
        <v>2198</v>
      </c>
      <c r="F152" s="52">
        <v>1100000</v>
      </c>
    </row>
    <row r="153" spans="1:7">
      <c r="A153">
        <v>152</v>
      </c>
      <c r="B153">
        <v>13</v>
      </c>
      <c r="C153" s="203">
        <v>36050661</v>
      </c>
      <c r="D153" s="202" t="s">
        <v>2203</v>
      </c>
      <c r="E153" s="202">
        <v>36050661</v>
      </c>
      <c r="F153" s="52">
        <v>1200000</v>
      </c>
      <c r="G153" s="52">
        <v>440000</v>
      </c>
    </row>
    <row r="154" spans="1:7">
      <c r="A154">
        <v>153</v>
      </c>
      <c r="B154">
        <v>14</v>
      </c>
      <c r="C154" s="203" t="s">
        <v>2729</v>
      </c>
      <c r="D154" s="202" t="s">
        <v>2450</v>
      </c>
      <c r="E154" s="202" t="s">
        <v>2729</v>
      </c>
      <c r="F154" s="52">
        <v>65000</v>
      </c>
      <c r="G154" s="52">
        <v>35000</v>
      </c>
    </row>
    <row r="155" spans="1:7">
      <c r="A155">
        <v>154</v>
      </c>
      <c r="B155">
        <v>14</v>
      </c>
      <c r="C155" s="203">
        <v>6058008211</v>
      </c>
      <c r="D155" s="202" t="s">
        <v>2129</v>
      </c>
      <c r="E155" s="202">
        <v>6058008211</v>
      </c>
    </row>
    <row r="156" spans="1:7">
      <c r="A156">
        <v>155</v>
      </c>
      <c r="B156">
        <v>2</v>
      </c>
      <c r="D156" s="202" t="s">
        <v>2221</v>
      </c>
      <c r="F156" s="52">
        <v>200000</v>
      </c>
    </row>
    <row r="157" spans="1:7">
      <c r="A157">
        <v>156</v>
      </c>
      <c r="B157">
        <v>2</v>
      </c>
      <c r="D157" s="202" t="s">
        <v>2222</v>
      </c>
      <c r="F157" s="52">
        <v>250000</v>
      </c>
    </row>
    <row r="158" spans="1:7">
      <c r="A158">
        <v>157</v>
      </c>
      <c r="B158">
        <v>2</v>
      </c>
      <c r="D158" s="202" t="s">
        <v>2232</v>
      </c>
      <c r="F158" s="52">
        <v>1650000</v>
      </c>
    </row>
    <row r="159" spans="1:7">
      <c r="A159">
        <v>158</v>
      </c>
      <c r="B159">
        <v>14</v>
      </c>
      <c r="C159" s="203">
        <v>28120505</v>
      </c>
      <c r="D159" s="202" t="s">
        <v>2659</v>
      </c>
      <c r="E159" s="202">
        <v>28120505</v>
      </c>
      <c r="F159" s="52">
        <v>1550000</v>
      </c>
    </row>
    <row r="160" spans="1:7">
      <c r="A160">
        <v>159</v>
      </c>
      <c r="B160">
        <v>4</v>
      </c>
      <c r="D160" s="202" t="s">
        <v>2253</v>
      </c>
      <c r="F160" s="52">
        <v>990000</v>
      </c>
      <c r="G160" s="52">
        <v>940000</v>
      </c>
    </row>
    <row r="161" spans="1:8">
      <c r="A161">
        <v>160</v>
      </c>
      <c r="B161">
        <v>3</v>
      </c>
      <c r="D161" s="202" t="s">
        <v>2255</v>
      </c>
      <c r="F161" s="52">
        <v>1000000</v>
      </c>
    </row>
    <row r="162" spans="1:8">
      <c r="A162">
        <v>161</v>
      </c>
      <c r="B162">
        <v>2</v>
      </c>
      <c r="D162" s="202" t="s">
        <v>2257</v>
      </c>
      <c r="F162" s="52">
        <v>1200000</v>
      </c>
    </row>
    <row r="163" spans="1:8">
      <c r="A163">
        <v>162</v>
      </c>
      <c r="C163" s="203">
        <v>2295001282</v>
      </c>
      <c r="D163" s="202" t="s">
        <v>2663</v>
      </c>
      <c r="E163" s="202">
        <v>2295001282</v>
      </c>
      <c r="F163" s="52">
        <v>422000</v>
      </c>
    </row>
    <row r="164" spans="1:8">
      <c r="A164">
        <v>163</v>
      </c>
      <c r="D164" s="202" t="s">
        <v>2728</v>
      </c>
      <c r="F164" s="52">
        <v>500000</v>
      </c>
      <c r="G164" s="52">
        <v>250000</v>
      </c>
    </row>
    <row r="165" spans="1:8">
      <c r="A165">
        <v>164</v>
      </c>
      <c r="D165" s="202" t="s">
        <v>2331</v>
      </c>
      <c r="F165" s="52">
        <v>150000</v>
      </c>
    </row>
    <row r="166" spans="1:8">
      <c r="A166">
        <v>165</v>
      </c>
      <c r="B166">
        <v>6</v>
      </c>
      <c r="D166" s="202" t="s">
        <v>2342</v>
      </c>
      <c r="F166" s="52">
        <v>800000</v>
      </c>
    </row>
    <row r="167" spans="1:8">
      <c r="A167">
        <v>166</v>
      </c>
      <c r="D167" s="202" t="s">
        <v>2348</v>
      </c>
      <c r="F167" s="52">
        <v>900000</v>
      </c>
    </row>
    <row r="168" spans="1:8">
      <c r="A168">
        <v>167</v>
      </c>
      <c r="D168" s="202" t="s">
        <v>2359</v>
      </c>
      <c r="F168" s="52">
        <v>900000</v>
      </c>
      <c r="G168" s="52">
        <v>600000</v>
      </c>
    </row>
    <row r="169" spans="1:8">
      <c r="A169">
        <v>168</v>
      </c>
      <c r="B169">
        <v>14</v>
      </c>
      <c r="C169" s="203">
        <v>1068327224</v>
      </c>
      <c r="D169" s="202" t="s">
        <v>2378</v>
      </c>
      <c r="E169" s="202">
        <v>1068327224</v>
      </c>
      <c r="F169" s="52">
        <v>80000</v>
      </c>
      <c r="G169" s="52">
        <v>45000</v>
      </c>
    </row>
    <row r="170" spans="1:8">
      <c r="A170">
        <v>169</v>
      </c>
      <c r="C170" s="203">
        <v>1087327175</v>
      </c>
      <c r="D170" s="202" t="s">
        <v>2376</v>
      </c>
      <c r="E170" s="202">
        <v>1087327175</v>
      </c>
      <c r="F170" s="52">
        <v>90000</v>
      </c>
      <c r="G170" s="52">
        <v>65000</v>
      </c>
      <c r="H170" s="52" t="s">
        <v>2377</v>
      </c>
    </row>
    <row r="171" spans="1:8">
      <c r="A171">
        <v>170</v>
      </c>
      <c r="B171">
        <v>3</v>
      </c>
      <c r="C171" s="203" t="s">
        <v>2379</v>
      </c>
      <c r="D171" s="202" t="s">
        <v>2380</v>
      </c>
      <c r="E171" s="202" t="s">
        <v>2379</v>
      </c>
      <c r="F171" s="52">
        <v>350000</v>
      </c>
      <c r="G171" s="52">
        <v>155000</v>
      </c>
    </row>
    <row r="172" spans="1:8">
      <c r="A172">
        <v>171</v>
      </c>
      <c r="C172" s="203" t="s">
        <v>2611</v>
      </c>
      <c r="D172" s="202" t="s">
        <v>2612</v>
      </c>
      <c r="E172" s="202" t="s">
        <v>2611</v>
      </c>
      <c r="F172" s="52">
        <v>450000</v>
      </c>
      <c r="G172" s="52">
        <v>260000</v>
      </c>
    </row>
    <row r="173" spans="1:8">
      <c r="A173">
        <v>172</v>
      </c>
      <c r="C173" s="203">
        <v>4150862090</v>
      </c>
      <c r="D173" s="202" t="s">
        <v>2663</v>
      </c>
      <c r="E173" s="202">
        <v>4150862090</v>
      </c>
      <c r="F173" s="52">
        <v>445000</v>
      </c>
    </row>
    <row r="174" spans="1:8">
      <c r="A174">
        <v>173</v>
      </c>
      <c r="B174">
        <v>3</v>
      </c>
      <c r="D174" s="202" t="s">
        <v>2396</v>
      </c>
      <c r="F174" s="52">
        <v>1600000</v>
      </c>
    </row>
    <row r="175" spans="1:8">
      <c r="A175">
        <v>174</v>
      </c>
      <c r="D175" s="202" t="s">
        <v>2426</v>
      </c>
      <c r="F175" s="52">
        <v>1200000</v>
      </c>
    </row>
    <row r="176" spans="1:8">
      <c r="A176">
        <v>175</v>
      </c>
      <c r="D176" s="202" t="s">
        <v>2406</v>
      </c>
      <c r="F176" s="52">
        <v>650000</v>
      </c>
    </row>
    <row r="177" spans="1:7">
      <c r="A177">
        <v>176</v>
      </c>
      <c r="C177" s="203">
        <v>415089709</v>
      </c>
      <c r="D177" s="202" t="s">
        <v>2663</v>
      </c>
      <c r="E177" s="202">
        <v>415089709</v>
      </c>
      <c r="F177" s="52">
        <v>498000</v>
      </c>
    </row>
    <row r="178" spans="1:7">
      <c r="A178">
        <v>177</v>
      </c>
      <c r="B178">
        <v>1</v>
      </c>
      <c r="C178" s="203" t="s">
        <v>2435</v>
      </c>
      <c r="D178" s="202" t="s">
        <v>2436</v>
      </c>
      <c r="E178" s="202" t="s">
        <v>2435</v>
      </c>
      <c r="F178" s="52">
        <v>990000</v>
      </c>
      <c r="G178" s="52">
        <v>900000</v>
      </c>
    </row>
    <row r="179" spans="1:7">
      <c r="A179">
        <v>178</v>
      </c>
      <c r="B179">
        <v>14</v>
      </c>
      <c r="C179" s="203">
        <v>28120411</v>
      </c>
      <c r="D179" s="202" t="s">
        <v>2438</v>
      </c>
      <c r="E179" s="202">
        <v>28120411</v>
      </c>
      <c r="F179" s="52">
        <v>1500000</v>
      </c>
    </row>
    <row r="180" spans="1:7">
      <c r="A180">
        <v>179</v>
      </c>
      <c r="C180" s="203">
        <v>1087298437</v>
      </c>
      <c r="D180" s="202" t="s">
        <v>2448</v>
      </c>
      <c r="E180" s="202">
        <v>1087298437</v>
      </c>
      <c r="F180" s="52">
        <v>86000</v>
      </c>
      <c r="G180" s="52">
        <v>76000</v>
      </c>
    </row>
    <row r="181" spans="1:7">
      <c r="A181">
        <v>180</v>
      </c>
      <c r="D181" s="202" t="s">
        <v>2453</v>
      </c>
      <c r="F181" s="52">
        <v>150000</v>
      </c>
    </row>
    <row r="182" spans="1:7">
      <c r="A182">
        <v>181</v>
      </c>
      <c r="B182">
        <v>15</v>
      </c>
      <c r="C182" s="203">
        <v>24046895</v>
      </c>
      <c r="D182" s="202" t="s">
        <v>2457</v>
      </c>
      <c r="E182" s="202">
        <v>24046895</v>
      </c>
      <c r="F182" s="52">
        <v>120000</v>
      </c>
      <c r="G182" s="52">
        <v>55000</v>
      </c>
    </row>
    <row r="183" spans="1:7">
      <c r="A183">
        <v>182</v>
      </c>
      <c r="D183" s="202" t="s">
        <v>2520</v>
      </c>
      <c r="F183" s="52">
        <v>450000</v>
      </c>
    </row>
    <row r="184" spans="1:7">
      <c r="A184">
        <v>183</v>
      </c>
      <c r="D184" s="202" t="s">
        <v>2521</v>
      </c>
      <c r="F184" s="52">
        <v>600000</v>
      </c>
    </row>
    <row r="185" spans="1:7">
      <c r="A185">
        <v>184</v>
      </c>
      <c r="B185">
        <v>1</v>
      </c>
      <c r="C185" s="203" t="s">
        <v>2523</v>
      </c>
      <c r="D185" s="202" t="s">
        <v>2524</v>
      </c>
      <c r="E185" s="202" t="s">
        <v>2523</v>
      </c>
      <c r="F185" s="52">
        <v>850000</v>
      </c>
      <c r="G185" s="52">
        <v>520000</v>
      </c>
    </row>
    <row r="186" spans="1:7">
      <c r="A186">
        <v>185</v>
      </c>
      <c r="D186" s="202" t="s">
        <v>2528</v>
      </c>
      <c r="F186" s="52">
        <v>200000</v>
      </c>
    </row>
    <row r="187" spans="1:7">
      <c r="A187">
        <v>186</v>
      </c>
      <c r="B187">
        <v>1</v>
      </c>
      <c r="C187" s="203" t="s">
        <v>2541</v>
      </c>
      <c r="D187" s="202" t="s">
        <v>2504</v>
      </c>
      <c r="E187" s="202" t="s">
        <v>2541</v>
      </c>
      <c r="F187" s="52">
        <v>770000</v>
      </c>
    </row>
    <row r="188" spans="1:7">
      <c r="A188">
        <v>187</v>
      </c>
      <c r="B188">
        <v>3</v>
      </c>
      <c r="C188" s="203" t="s">
        <v>2548</v>
      </c>
      <c r="D188" s="202" t="s">
        <v>2549</v>
      </c>
      <c r="E188" s="202" t="s">
        <v>2548</v>
      </c>
      <c r="F188" s="52">
        <v>650000</v>
      </c>
      <c r="G188" s="52">
        <v>627000</v>
      </c>
    </row>
    <row r="189" spans="1:7">
      <c r="A189">
        <v>188</v>
      </c>
      <c r="B189">
        <v>3</v>
      </c>
      <c r="C189" s="203" t="s">
        <v>2550</v>
      </c>
      <c r="D189" s="202" t="s">
        <v>2551</v>
      </c>
      <c r="E189" s="202" t="s">
        <v>2550</v>
      </c>
      <c r="F189" s="52">
        <v>100000</v>
      </c>
      <c r="G189" s="52">
        <v>69000</v>
      </c>
    </row>
    <row r="190" spans="1:7">
      <c r="A190">
        <v>189</v>
      </c>
      <c r="D190" s="202" t="s">
        <v>2588</v>
      </c>
      <c r="F190" s="52">
        <v>850000</v>
      </c>
    </row>
    <row r="191" spans="1:7">
      <c r="A191">
        <v>190</v>
      </c>
      <c r="B191">
        <v>1</v>
      </c>
      <c r="D191" s="202" t="s">
        <v>2638</v>
      </c>
      <c r="F191" s="52">
        <v>500000</v>
      </c>
    </row>
    <row r="192" spans="1:7">
      <c r="A192">
        <v>191</v>
      </c>
      <c r="C192" s="203">
        <v>2463772400</v>
      </c>
      <c r="D192" s="202" t="s">
        <v>2654</v>
      </c>
      <c r="E192" s="202">
        <v>2463772400</v>
      </c>
      <c r="F192" s="52">
        <v>67500</v>
      </c>
    </row>
    <row r="193" spans="1:7">
      <c r="A193">
        <v>192</v>
      </c>
      <c r="C193" s="203">
        <v>2462500901</v>
      </c>
      <c r="D193" s="202" t="s">
        <v>2653</v>
      </c>
      <c r="E193" s="202">
        <v>2462500901</v>
      </c>
      <c r="F193" s="52">
        <v>1170000</v>
      </c>
    </row>
    <row r="194" spans="1:7">
      <c r="A194">
        <v>193</v>
      </c>
      <c r="B194">
        <v>3</v>
      </c>
      <c r="C194" s="203" t="s">
        <v>2709</v>
      </c>
      <c r="D194" s="202" t="s">
        <v>2710</v>
      </c>
      <c r="E194" s="202" t="s">
        <v>2709</v>
      </c>
      <c r="F194" s="52">
        <v>1000000</v>
      </c>
    </row>
    <row r="195" spans="1:7">
      <c r="A195">
        <v>194</v>
      </c>
      <c r="B195">
        <v>3</v>
      </c>
      <c r="C195" s="203" t="s">
        <v>2711</v>
      </c>
      <c r="D195" s="202" t="s">
        <v>2712</v>
      </c>
      <c r="E195" s="202" t="s">
        <v>2711</v>
      </c>
      <c r="F195" s="52">
        <v>1000000</v>
      </c>
    </row>
    <row r="196" spans="1:7">
      <c r="A196">
        <v>194</v>
      </c>
      <c r="B196">
        <v>12</v>
      </c>
      <c r="C196" s="203" t="s">
        <v>2771</v>
      </c>
      <c r="D196" s="202" t="s">
        <v>2772</v>
      </c>
      <c r="E196" s="202" t="s">
        <v>2771</v>
      </c>
      <c r="F196" s="52">
        <v>1500000</v>
      </c>
      <c r="G196" s="52">
        <v>1250000</v>
      </c>
    </row>
    <row r="197" spans="1:7">
      <c r="A197">
        <v>195</v>
      </c>
      <c r="B197">
        <v>2</v>
      </c>
      <c r="D197" s="202" t="s">
        <v>2780</v>
      </c>
      <c r="F197" s="52">
        <v>1100000</v>
      </c>
    </row>
    <row r="198" spans="1:7">
      <c r="A198">
        <v>196</v>
      </c>
      <c r="D198" s="202" t="s">
        <v>2810</v>
      </c>
      <c r="F198" s="52">
        <v>1700000</v>
      </c>
    </row>
  </sheetData>
  <dataConsolidate link="1"/>
  <phoneticPr fontId="2" type="noConversion"/>
  <pageMargins left="0.7" right="0.7" top="0.75" bottom="0.75" header="0.3" footer="0.3"/>
  <pageSetup paperSize="9" orientation="portrait"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83FFDD-E34F-4E2E-8170-4C07C6434298}">
  <sheetPr codeName="shtInventory"/>
  <dimension ref="A1:J125"/>
  <sheetViews>
    <sheetView zoomScaleNormal="100" workbookViewId="0">
      <pane ySplit="1" topLeftCell="A2" activePane="bottomLeft" state="frozen"/>
      <selection activeCell="N26" sqref="N26"/>
      <selection pane="bottomLeft" activeCell="N26" sqref="N26"/>
    </sheetView>
  </sheetViews>
  <sheetFormatPr defaultColWidth="9" defaultRowHeight="16.5"/>
  <cols>
    <col min="1" max="2" width="10.875" customWidth="1"/>
    <col min="3" max="3" width="12.5" customWidth="1"/>
    <col min="4" max="4" width="22" style="203" customWidth="1"/>
    <col min="5" max="5" width="26" style="202" bestFit="1" customWidth="1"/>
    <col min="6" max="6" width="14.375" style="202" customWidth="1"/>
    <col min="7" max="7" width="13.125" style="52" customWidth="1"/>
    <col min="8" max="8" width="10.875" customWidth="1"/>
    <col min="9" max="9" width="15.625" customWidth="1"/>
  </cols>
  <sheetData>
    <row r="1" spans="1:10" ht="17.25" thickBot="1">
      <c r="A1" s="31" t="s">
        <v>2</v>
      </c>
      <c r="B1" s="7" t="s">
        <v>11</v>
      </c>
      <c r="C1" s="7" t="s">
        <v>14</v>
      </c>
      <c r="D1" s="50" t="s">
        <v>1</v>
      </c>
      <c r="E1" s="31" t="s">
        <v>0</v>
      </c>
      <c r="F1" s="31" t="s">
        <v>49</v>
      </c>
      <c r="G1" s="51" t="s">
        <v>47</v>
      </c>
      <c r="H1" s="7" t="s">
        <v>55</v>
      </c>
      <c r="I1" s="7" t="s">
        <v>53</v>
      </c>
      <c r="J1" s="106">
        <v>125</v>
      </c>
    </row>
    <row r="2" spans="1:10">
      <c r="A2">
        <v>1</v>
      </c>
      <c r="C2" s="13">
        <v>45778</v>
      </c>
      <c r="D2" s="202" t="s">
        <v>1263</v>
      </c>
      <c r="E2" s="202" t="s">
        <v>1252</v>
      </c>
      <c r="F2" s="202" t="s">
        <v>1263</v>
      </c>
      <c r="G2" s="52">
        <v>1500000</v>
      </c>
      <c r="H2">
        <v>5</v>
      </c>
    </row>
    <row r="3" spans="1:10">
      <c r="A3">
        <v>2</v>
      </c>
      <c r="C3" s="13"/>
      <c r="D3" s="202"/>
      <c r="E3" s="202" t="s">
        <v>1658</v>
      </c>
      <c r="G3" s="52">
        <v>1000000</v>
      </c>
    </row>
    <row r="4" spans="1:10">
      <c r="A4">
        <v>3</v>
      </c>
      <c r="C4" s="13"/>
      <c r="D4" s="202"/>
      <c r="E4" s="202" t="s">
        <v>1168</v>
      </c>
      <c r="G4" s="52">
        <v>300000</v>
      </c>
    </row>
    <row r="5" spans="1:10">
      <c r="A5">
        <v>4</v>
      </c>
      <c r="C5" s="13"/>
      <c r="D5" s="202"/>
      <c r="E5" s="202" t="s">
        <v>1177</v>
      </c>
      <c r="G5" s="52">
        <v>700000</v>
      </c>
    </row>
    <row r="6" spans="1:10">
      <c r="A6">
        <v>5</v>
      </c>
      <c r="E6" s="202" t="s">
        <v>1293</v>
      </c>
      <c r="G6" s="52">
        <v>1000000</v>
      </c>
    </row>
    <row r="7" spans="1:10">
      <c r="A7">
        <v>6</v>
      </c>
      <c r="D7" s="202"/>
      <c r="E7" s="202" t="s">
        <v>1692</v>
      </c>
      <c r="G7" s="52">
        <v>198000</v>
      </c>
    </row>
    <row r="8" spans="1:10">
      <c r="A8">
        <v>7</v>
      </c>
      <c r="D8" s="202"/>
      <c r="E8" s="202" t="s">
        <v>1659</v>
      </c>
      <c r="G8" s="52">
        <v>12000</v>
      </c>
    </row>
    <row r="9" spans="1:10">
      <c r="A9">
        <v>8</v>
      </c>
      <c r="D9" s="202"/>
      <c r="E9" s="202" t="s">
        <v>1813</v>
      </c>
      <c r="G9" s="52">
        <v>650000</v>
      </c>
    </row>
    <row r="10" spans="1:10">
      <c r="A10">
        <v>9</v>
      </c>
      <c r="E10" s="202" t="s">
        <v>1176</v>
      </c>
      <c r="G10" s="52">
        <v>1000000</v>
      </c>
    </row>
    <row r="11" spans="1:10">
      <c r="A11">
        <v>10</v>
      </c>
      <c r="E11" s="202" t="s">
        <v>1693</v>
      </c>
      <c r="F11" s="202">
        <v>602000700</v>
      </c>
      <c r="G11" s="52">
        <v>350000</v>
      </c>
    </row>
    <row r="12" spans="1:10">
      <c r="A12">
        <v>11</v>
      </c>
      <c r="E12" s="202" t="s">
        <v>1694</v>
      </c>
      <c r="G12" s="52">
        <v>55000</v>
      </c>
    </row>
    <row r="13" spans="1:10">
      <c r="A13">
        <v>12</v>
      </c>
      <c r="E13" s="202" t="s">
        <v>1179</v>
      </c>
      <c r="G13" s="52">
        <v>600000</v>
      </c>
    </row>
    <row r="14" spans="1:10">
      <c r="A14">
        <v>13</v>
      </c>
      <c r="E14" s="202" t="s">
        <v>1180</v>
      </c>
      <c r="G14" s="52">
        <v>25000</v>
      </c>
    </row>
    <row r="15" spans="1:10">
      <c r="A15">
        <v>14</v>
      </c>
      <c r="E15" s="202" t="s">
        <v>1181</v>
      </c>
      <c r="G15" s="52">
        <v>800000</v>
      </c>
    </row>
    <row r="16" spans="1:10">
      <c r="A16">
        <v>15</v>
      </c>
      <c r="E16" s="202" t="s">
        <v>1695</v>
      </c>
      <c r="G16" s="52">
        <v>330000</v>
      </c>
    </row>
    <row r="17" spans="1:7">
      <c r="A17">
        <v>16</v>
      </c>
      <c r="E17" s="202" t="s">
        <v>1715</v>
      </c>
      <c r="G17" s="52">
        <v>1100000</v>
      </c>
    </row>
    <row r="18" spans="1:7">
      <c r="A18">
        <v>17</v>
      </c>
      <c r="E18" s="202" t="s">
        <v>1187</v>
      </c>
      <c r="G18" s="52">
        <v>1650000</v>
      </c>
    </row>
    <row r="19" spans="1:7">
      <c r="A19">
        <v>18</v>
      </c>
      <c r="E19" s="202" t="s">
        <v>1191</v>
      </c>
      <c r="G19" s="52">
        <v>1500000</v>
      </c>
    </row>
    <row r="20" spans="1:7">
      <c r="A20">
        <v>19</v>
      </c>
      <c r="E20" s="202" t="s">
        <v>1131</v>
      </c>
      <c r="G20" s="52">
        <v>198000</v>
      </c>
    </row>
    <row r="21" spans="1:7">
      <c r="A21">
        <v>20</v>
      </c>
      <c r="E21" s="202" t="s">
        <v>1199</v>
      </c>
      <c r="G21" s="52">
        <v>150000</v>
      </c>
    </row>
    <row r="22" spans="1:7">
      <c r="A22">
        <v>21</v>
      </c>
      <c r="E22" s="202" t="s">
        <v>1200</v>
      </c>
      <c r="G22" s="52">
        <v>100000</v>
      </c>
    </row>
    <row r="23" spans="1:7">
      <c r="A23">
        <v>22</v>
      </c>
      <c r="E23" s="202" t="s">
        <v>1712</v>
      </c>
      <c r="G23" s="52">
        <v>230000</v>
      </c>
    </row>
    <row r="24" spans="1:7">
      <c r="A24">
        <v>23</v>
      </c>
      <c r="E24" s="202" t="s">
        <v>1713</v>
      </c>
      <c r="G24" s="52">
        <v>600000</v>
      </c>
    </row>
    <row r="25" spans="1:7">
      <c r="A25">
        <v>24</v>
      </c>
      <c r="D25" s="203">
        <v>927769</v>
      </c>
      <c r="E25" s="202" t="s">
        <v>1698</v>
      </c>
      <c r="F25" s="202">
        <v>927769</v>
      </c>
      <c r="G25" s="52">
        <v>1000000</v>
      </c>
    </row>
    <row r="26" spans="1:7">
      <c r="A26">
        <v>25</v>
      </c>
      <c r="D26" s="203" t="s">
        <v>1236</v>
      </c>
      <c r="E26" s="202" t="s">
        <v>1698</v>
      </c>
      <c r="F26" s="202" t="s">
        <v>1236</v>
      </c>
      <c r="G26" s="52">
        <v>1000000</v>
      </c>
    </row>
    <row r="27" spans="1:7">
      <c r="A27">
        <v>26</v>
      </c>
      <c r="D27" s="203" t="s">
        <v>1237</v>
      </c>
      <c r="E27" s="202" t="s">
        <v>1698</v>
      </c>
      <c r="F27" s="202" t="s">
        <v>1237</v>
      </c>
      <c r="G27" s="52">
        <v>1000000</v>
      </c>
    </row>
    <row r="28" spans="1:7">
      <c r="A28">
        <v>27</v>
      </c>
      <c r="D28" s="203" t="s">
        <v>1238</v>
      </c>
      <c r="E28" s="202" t="s">
        <v>1700</v>
      </c>
      <c r="F28" s="202" t="s">
        <v>1238</v>
      </c>
      <c r="G28" s="52">
        <v>1400000</v>
      </c>
    </row>
    <row r="29" spans="1:7">
      <c r="A29">
        <v>28</v>
      </c>
      <c r="D29" s="203" t="s">
        <v>1239</v>
      </c>
      <c r="E29" s="202" t="s">
        <v>1702</v>
      </c>
      <c r="F29" s="202" t="s">
        <v>1239</v>
      </c>
      <c r="G29" s="52">
        <v>1500000</v>
      </c>
    </row>
    <row r="30" spans="1:7">
      <c r="A30">
        <v>29</v>
      </c>
      <c r="D30" s="203">
        <v>927156</v>
      </c>
      <c r="E30" s="202" t="s">
        <v>1703</v>
      </c>
      <c r="F30" s="202">
        <v>927156</v>
      </c>
      <c r="G30" s="52">
        <v>1500000</v>
      </c>
    </row>
    <row r="31" spans="1:7">
      <c r="A31">
        <v>30</v>
      </c>
      <c r="D31" s="202" t="s">
        <v>1263</v>
      </c>
      <c r="E31" s="202" t="s">
        <v>1261</v>
      </c>
      <c r="F31" s="202" t="s">
        <v>1263</v>
      </c>
      <c r="G31" s="52">
        <v>1400000</v>
      </c>
    </row>
    <row r="32" spans="1:7">
      <c r="A32">
        <v>31</v>
      </c>
      <c r="D32" s="203" t="s">
        <v>1242</v>
      </c>
      <c r="E32" s="202" t="s">
        <v>1243</v>
      </c>
      <c r="F32" s="202" t="s">
        <v>1242</v>
      </c>
      <c r="G32" s="52">
        <v>1200000</v>
      </c>
    </row>
    <row r="33" spans="1:7">
      <c r="A33">
        <v>32</v>
      </c>
      <c r="D33" s="203" t="s">
        <v>1244</v>
      </c>
      <c r="E33" s="202" t="s">
        <v>1243</v>
      </c>
      <c r="F33" s="202" t="s">
        <v>1244</v>
      </c>
      <c r="G33" s="52">
        <v>1200000</v>
      </c>
    </row>
    <row r="34" spans="1:7">
      <c r="A34">
        <v>33</v>
      </c>
      <c r="D34" s="203" t="s">
        <v>1832</v>
      </c>
      <c r="E34" s="202" t="s">
        <v>1833</v>
      </c>
      <c r="F34" s="202" t="s">
        <v>1832</v>
      </c>
      <c r="G34" s="52">
        <v>549000</v>
      </c>
    </row>
    <row r="35" spans="1:7">
      <c r="A35">
        <v>34</v>
      </c>
      <c r="D35" s="202" t="s">
        <v>1248</v>
      </c>
      <c r="E35" s="202" t="s">
        <v>1247</v>
      </c>
      <c r="F35" s="202" t="s">
        <v>1248</v>
      </c>
      <c r="G35" s="52">
        <v>1300000</v>
      </c>
    </row>
    <row r="36" spans="1:7">
      <c r="A36">
        <v>35</v>
      </c>
      <c r="D36" s="203" t="s">
        <v>1254</v>
      </c>
      <c r="E36" s="202" t="s">
        <v>1252</v>
      </c>
      <c r="F36" s="202" t="s">
        <v>1253</v>
      </c>
      <c r="G36" s="52">
        <v>1500000</v>
      </c>
    </row>
    <row r="37" spans="1:7">
      <c r="A37">
        <v>36</v>
      </c>
      <c r="D37" s="203" t="s">
        <v>1254</v>
      </c>
      <c r="E37" s="202" t="s">
        <v>1255</v>
      </c>
      <c r="F37" s="202" t="s">
        <v>1254</v>
      </c>
      <c r="G37" s="52">
        <v>1600000</v>
      </c>
    </row>
    <row r="38" spans="1:7">
      <c r="A38">
        <v>37</v>
      </c>
      <c r="D38" s="203" t="s">
        <v>1257</v>
      </c>
      <c r="E38" s="202" t="s">
        <v>1256</v>
      </c>
      <c r="F38" s="202" t="s">
        <v>1257</v>
      </c>
      <c r="G38" s="52">
        <v>2200000</v>
      </c>
    </row>
    <row r="39" spans="1:7">
      <c r="A39">
        <v>38</v>
      </c>
      <c r="D39" s="203" t="s">
        <v>1258</v>
      </c>
      <c r="E39" s="202" t="s">
        <v>1704</v>
      </c>
      <c r="F39" s="202" t="s">
        <v>1258</v>
      </c>
      <c r="G39" s="52">
        <v>1500000</v>
      </c>
    </row>
    <row r="40" spans="1:7">
      <c r="A40">
        <v>39</v>
      </c>
      <c r="D40" s="202" t="s">
        <v>1265</v>
      </c>
      <c r="E40" s="202" t="s">
        <v>1411</v>
      </c>
      <c r="F40" s="202" t="s">
        <v>1412</v>
      </c>
      <c r="G40" s="52">
        <v>1600000</v>
      </c>
    </row>
    <row r="41" spans="1:7">
      <c r="A41">
        <v>40</v>
      </c>
      <c r="D41" s="202" t="s">
        <v>1301</v>
      </c>
      <c r="E41" s="202" t="s">
        <v>1302</v>
      </c>
      <c r="F41" s="202" t="s">
        <v>1301</v>
      </c>
    </row>
    <row r="42" spans="1:7">
      <c r="A42">
        <v>41</v>
      </c>
      <c r="D42" s="203" t="s">
        <v>1741</v>
      </c>
      <c r="E42" s="202" t="s">
        <v>1742</v>
      </c>
      <c r="F42" s="202" t="s">
        <v>1741</v>
      </c>
      <c r="G42" s="52">
        <v>130000</v>
      </c>
    </row>
    <row r="43" spans="1:7">
      <c r="A43">
        <v>42</v>
      </c>
      <c r="D43" s="203" t="s">
        <v>1795</v>
      </c>
      <c r="E43" s="202" t="s">
        <v>1796</v>
      </c>
      <c r="F43" s="202" t="s">
        <v>1795</v>
      </c>
      <c r="G43" s="52">
        <v>50000</v>
      </c>
    </row>
    <row r="44" spans="1:7">
      <c r="A44">
        <v>43</v>
      </c>
      <c r="D44" s="203">
        <v>2703900</v>
      </c>
      <c r="E44" s="202" t="s">
        <v>1311</v>
      </c>
      <c r="F44" s="202">
        <v>2703900</v>
      </c>
      <c r="G44" s="52">
        <v>1600000</v>
      </c>
    </row>
    <row r="45" spans="1:7">
      <c r="A45">
        <v>44</v>
      </c>
      <c r="E45" s="202" t="s">
        <v>1426</v>
      </c>
      <c r="G45" s="52">
        <v>1000000</v>
      </c>
    </row>
    <row r="46" spans="1:7">
      <c r="A46">
        <v>45</v>
      </c>
      <c r="E46" s="202" t="s">
        <v>1516</v>
      </c>
      <c r="G46" s="52">
        <v>10000</v>
      </c>
    </row>
    <row r="47" spans="1:7">
      <c r="A47">
        <v>46</v>
      </c>
      <c r="E47" s="202" t="s">
        <v>1526</v>
      </c>
      <c r="G47" s="52">
        <v>140000</v>
      </c>
    </row>
    <row r="48" spans="1:7">
      <c r="A48">
        <v>47</v>
      </c>
      <c r="E48" s="202" t="s">
        <v>1532</v>
      </c>
      <c r="G48" s="52">
        <v>1600000</v>
      </c>
    </row>
    <row r="49" spans="1:7">
      <c r="A49">
        <v>48</v>
      </c>
      <c r="E49" s="202" t="s">
        <v>1536</v>
      </c>
      <c r="G49" s="52">
        <v>1600000</v>
      </c>
    </row>
    <row r="50" spans="1:7">
      <c r="A50">
        <v>49</v>
      </c>
      <c r="E50" s="202" t="s">
        <v>1538</v>
      </c>
      <c r="G50" s="52">
        <v>100000</v>
      </c>
    </row>
    <row r="51" spans="1:7">
      <c r="A51">
        <v>50</v>
      </c>
      <c r="E51" s="202" t="s">
        <v>1542</v>
      </c>
      <c r="G51" s="52">
        <v>350000</v>
      </c>
    </row>
    <row r="52" spans="1:7">
      <c r="A52">
        <v>51</v>
      </c>
      <c r="E52" s="202" t="s">
        <v>1549</v>
      </c>
      <c r="G52" s="52">
        <v>1600000</v>
      </c>
    </row>
    <row r="53" spans="1:7">
      <c r="A53">
        <v>52</v>
      </c>
      <c r="E53" s="202" t="s">
        <v>1552</v>
      </c>
      <c r="G53" s="52">
        <v>200000</v>
      </c>
    </row>
    <row r="54" spans="1:7">
      <c r="A54">
        <v>53</v>
      </c>
      <c r="E54" s="202" t="s">
        <v>1565</v>
      </c>
      <c r="G54" s="52">
        <v>20000</v>
      </c>
    </row>
    <row r="55" spans="1:7">
      <c r="A55">
        <v>54</v>
      </c>
      <c r="E55" s="202" t="s">
        <v>1570</v>
      </c>
      <c r="G55" s="52">
        <v>250000</v>
      </c>
    </row>
    <row r="56" spans="1:7">
      <c r="A56">
        <v>55</v>
      </c>
      <c r="E56" s="202">
        <v>2703900</v>
      </c>
      <c r="G56" s="52">
        <v>1600000</v>
      </c>
    </row>
    <row r="57" spans="1:7">
      <c r="A57">
        <v>56</v>
      </c>
      <c r="E57" s="202">
        <v>2703900</v>
      </c>
      <c r="G57" s="52">
        <v>1600000</v>
      </c>
    </row>
    <row r="58" spans="1:7">
      <c r="A58">
        <v>57</v>
      </c>
      <c r="E58" s="202" t="s">
        <v>1581</v>
      </c>
      <c r="G58" s="52">
        <v>450000</v>
      </c>
    </row>
    <row r="59" spans="1:7">
      <c r="A59">
        <v>58</v>
      </c>
      <c r="D59" s="203">
        <v>24152333903</v>
      </c>
      <c r="E59" s="202" t="s">
        <v>1896</v>
      </c>
      <c r="F59" s="202">
        <v>24152333903</v>
      </c>
      <c r="G59" s="52">
        <v>50000</v>
      </c>
    </row>
    <row r="60" spans="1:7">
      <c r="A60">
        <v>59</v>
      </c>
      <c r="E60" s="202" t="s">
        <v>1601</v>
      </c>
      <c r="G60" s="52">
        <v>350000</v>
      </c>
    </row>
    <row r="61" spans="1:7">
      <c r="A61">
        <v>60</v>
      </c>
      <c r="D61" s="203" t="s">
        <v>1705</v>
      </c>
      <c r="E61" s="202" t="s">
        <v>1706</v>
      </c>
      <c r="F61" s="202" t="s">
        <v>1705</v>
      </c>
    </row>
    <row r="62" spans="1:7">
      <c r="A62">
        <v>61</v>
      </c>
      <c r="D62" s="203" t="s">
        <v>1248</v>
      </c>
      <c r="E62" s="202" t="s">
        <v>1472</v>
      </c>
      <c r="F62" s="202" t="s">
        <v>1248</v>
      </c>
      <c r="G62" s="52">
        <v>1300000</v>
      </c>
    </row>
    <row r="63" spans="1:7">
      <c r="A63">
        <v>62</v>
      </c>
      <c r="E63" s="202" t="s">
        <v>1624</v>
      </c>
      <c r="G63" s="52">
        <v>30000</v>
      </c>
    </row>
    <row r="64" spans="1:7">
      <c r="A64">
        <v>63</v>
      </c>
      <c r="E64" s="202" t="s">
        <v>1707</v>
      </c>
      <c r="G64" s="52">
        <v>1100000</v>
      </c>
    </row>
    <row r="65" spans="1:7">
      <c r="A65">
        <v>64</v>
      </c>
      <c r="D65" s="203" t="s">
        <v>1709</v>
      </c>
      <c r="E65" s="202" t="s">
        <v>1411</v>
      </c>
      <c r="F65" s="202" t="s">
        <v>1709</v>
      </c>
      <c r="G65" s="52">
        <v>1100000</v>
      </c>
    </row>
    <row r="66" spans="1:7">
      <c r="A66">
        <v>65</v>
      </c>
      <c r="D66" s="203" t="s">
        <v>1710</v>
      </c>
      <c r="E66" s="202" t="s">
        <v>1711</v>
      </c>
      <c r="F66" s="202" t="s">
        <v>1710</v>
      </c>
      <c r="G66" s="52">
        <v>3500000</v>
      </c>
    </row>
    <row r="67" spans="1:7">
      <c r="A67">
        <v>66</v>
      </c>
      <c r="E67" s="202" t="s">
        <v>1636</v>
      </c>
      <c r="G67" s="52">
        <v>800000</v>
      </c>
    </row>
    <row r="68" spans="1:7">
      <c r="A68">
        <v>67</v>
      </c>
      <c r="D68" s="203">
        <v>415090409</v>
      </c>
      <c r="E68" s="202" t="s">
        <v>1845</v>
      </c>
      <c r="F68" s="202">
        <v>415090409</v>
      </c>
      <c r="G68" s="52">
        <v>510000</v>
      </c>
    </row>
    <row r="69" spans="1:7">
      <c r="A69">
        <v>68</v>
      </c>
      <c r="D69" s="203" t="s">
        <v>1677</v>
      </c>
      <c r="E69" s="202" t="s">
        <v>1678</v>
      </c>
      <c r="F69" s="202" t="s">
        <v>1677</v>
      </c>
      <c r="G69" s="52">
        <v>12000</v>
      </c>
    </row>
    <row r="70" spans="1:7">
      <c r="A70">
        <v>69</v>
      </c>
      <c r="E70" s="202" t="s">
        <v>1680</v>
      </c>
      <c r="G70" s="52">
        <v>27000</v>
      </c>
    </row>
    <row r="71" spans="1:7">
      <c r="A71">
        <v>70</v>
      </c>
      <c r="E71" s="202" t="s">
        <v>1688</v>
      </c>
      <c r="G71" s="52">
        <v>850000</v>
      </c>
    </row>
    <row r="72" spans="1:7">
      <c r="A72">
        <v>71</v>
      </c>
      <c r="D72" s="203">
        <v>50228</v>
      </c>
      <c r="E72" s="202" t="s">
        <v>1697</v>
      </c>
      <c r="F72" s="202">
        <v>50228</v>
      </c>
      <c r="G72" s="52">
        <v>110000</v>
      </c>
    </row>
    <row r="73" spans="1:7">
      <c r="A73">
        <v>72</v>
      </c>
      <c r="D73" s="203">
        <v>50229</v>
      </c>
      <c r="E73" s="202" t="s">
        <v>1697</v>
      </c>
      <c r="F73" s="202">
        <v>50229</v>
      </c>
      <c r="G73" s="52">
        <v>75000</v>
      </c>
    </row>
    <row r="74" spans="1:7">
      <c r="A74">
        <v>73</v>
      </c>
      <c r="E74" s="202" t="s">
        <v>1714</v>
      </c>
      <c r="G74" s="52">
        <v>150000</v>
      </c>
    </row>
    <row r="75" spans="1:7">
      <c r="A75">
        <v>74</v>
      </c>
      <c r="E75" s="202" t="s">
        <v>1714</v>
      </c>
      <c r="G75" s="52">
        <v>200000</v>
      </c>
    </row>
    <row r="76" spans="1:7">
      <c r="A76">
        <v>75</v>
      </c>
      <c r="E76" s="202" t="s">
        <v>1722</v>
      </c>
      <c r="G76" s="52">
        <v>250000</v>
      </c>
    </row>
    <row r="77" spans="1:7">
      <c r="A77">
        <v>76</v>
      </c>
      <c r="E77" s="202" t="s">
        <v>1729</v>
      </c>
      <c r="G77" s="52">
        <v>1850000</v>
      </c>
    </row>
    <row r="78" spans="1:7">
      <c r="A78">
        <v>77</v>
      </c>
      <c r="D78" s="203" t="s">
        <v>1731</v>
      </c>
      <c r="E78" s="202" t="s">
        <v>1732</v>
      </c>
      <c r="F78" s="202" t="s">
        <v>1731</v>
      </c>
      <c r="G78" s="52">
        <v>1500000</v>
      </c>
    </row>
    <row r="79" spans="1:7">
      <c r="A79">
        <v>78</v>
      </c>
      <c r="D79" s="203" t="s">
        <v>1743</v>
      </c>
      <c r="E79" s="202" t="s">
        <v>1744</v>
      </c>
      <c r="F79" s="202" t="s">
        <v>1743</v>
      </c>
      <c r="G79" s="52">
        <v>50000</v>
      </c>
    </row>
    <row r="80" spans="1:7">
      <c r="A80">
        <v>79</v>
      </c>
      <c r="D80" s="203">
        <v>28111601</v>
      </c>
      <c r="E80" s="202" t="s">
        <v>1842</v>
      </c>
      <c r="F80" s="202">
        <v>28111601</v>
      </c>
      <c r="G80" s="52">
        <v>220000</v>
      </c>
    </row>
    <row r="81" spans="1:7">
      <c r="A81">
        <v>80</v>
      </c>
      <c r="E81" s="202" t="s">
        <v>1844</v>
      </c>
      <c r="G81" s="52">
        <v>200000</v>
      </c>
    </row>
    <row r="82" spans="1:7">
      <c r="A82">
        <v>81</v>
      </c>
      <c r="E82" s="202" t="s">
        <v>1745</v>
      </c>
      <c r="G82" s="52">
        <v>130000</v>
      </c>
    </row>
    <row r="83" spans="1:7">
      <c r="A83">
        <v>82</v>
      </c>
      <c r="D83" s="203" t="s">
        <v>1760</v>
      </c>
      <c r="E83" s="202" t="s">
        <v>1776</v>
      </c>
      <c r="F83" s="202" t="s">
        <v>1760</v>
      </c>
      <c r="G83" s="52">
        <v>20000</v>
      </c>
    </row>
    <row r="84" spans="1:7">
      <c r="A84">
        <v>83</v>
      </c>
      <c r="E84" s="202" t="s">
        <v>1747</v>
      </c>
      <c r="G84" s="52">
        <v>20000</v>
      </c>
    </row>
    <row r="85" spans="1:7">
      <c r="A85">
        <v>84</v>
      </c>
      <c r="E85" s="202" t="s">
        <v>1754</v>
      </c>
      <c r="G85" s="52">
        <v>35000</v>
      </c>
    </row>
    <row r="86" spans="1:7">
      <c r="A86">
        <v>85</v>
      </c>
      <c r="E86" s="202" t="s">
        <v>1746</v>
      </c>
      <c r="G86" s="52">
        <v>10000</v>
      </c>
    </row>
    <row r="87" spans="1:7">
      <c r="A87">
        <v>86</v>
      </c>
      <c r="E87" s="202" t="s">
        <v>1748</v>
      </c>
      <c r="G87" s="52">
        <v>130000</v>
      </c>
    </row>
    <row r="88" spans="1:7">
      <c r="A88">
        <v>87</v>
      </c>
      <c r="E88" s="202" t="s">
        <v>1758</v>
      </c>
      <c r="G88" s="52">
        <v>280000</v>
      </c>
    </row>
    <row r="89" spans="1:7">
      <c r="A89">
        <v>88</v>
      </c>
      <c r="D89" s="203">
        <v>24137542885</v>
      </c>
      <c r="E89" s="202" t="s">
        <v>1768</v>
      </c>
      <c r="F89" s="202">
        <v>24137542885</v>
      </c>
    </row>
    <row r="90" spans="1:7">
      <c r="A90">
        <v>89</v>
      </c>
      <c r="D90" s="203">
        <v>24137519344</v>
      </c>
      <c r="E90" s="202" t="s">
        <v>1774</v>
      </c>
      <c r="F90" s="202">
        <v>24137519344</v>
      </c>
    </row>
    <row r="91" spans="1:7">
      <c r="A91">
        <v>90</v>
      </c>
      <c r="D91" s="203">
        <v>7252703114</v>
      </c>
      <c r="E91" s="202" t="s">
        <v>1771</v>
      </c>
      <c r="F91" s="202">
        <v>7252703114</v>
      </c>
      <c r="G91" s="52">
        <v>129000</v>
      </c>
    </row>
    <row r="92" spans="1:7">
      <c r="A92">
        <v>91</v>
      </c>
      <c r="D92" s="203" t="s">
        <v>1772</v>
      </c>
      <c r="E92" s="202" t="s">
        <v>1773</v>
      </c>
      <c r="F92" s="202" t="s">
        <v>1772</v>
      </c>
      <c r="G92" s="52">
        <v>50000</v>
      </c>
    </row>
    <row r="93" spans="1:7">
      <c r="A93">
        <v>92</v>
      </c>
      <c r="D93" s="203" t="s">
        <v>1783</v>
      </c>
      <c r="E93" s="202" t="s">
        <v>1784</v>
      </c>
      <c r="F93" s="202" t="s">
        <v>1783</v>
      </c>
      <c r="G93" s="52">
        <v>20000</v>
      </c>
    </row>
    <row r="94" spans="1:7">
      <c r="A94">
        <v>93</v>
      </c>
      <c r="D94" s="203">
        <v>2800802</v>
      </c>
      <c r="E94" s="202" t="s">
        <v>1791</v>
      </c>
      <c r="F94" s="202">
        <v>2800802</v>
      </c>
      <c r="G94" s="52">
        <v>150000</v>
      </c>
    </row>
    <row r="95" spans="1:7">
      <c r="A95">
        <v>94</v>
      </c>
      <c r="D95" s="203">
        <v>2800801</v>
      </c>
      <c r="E95" s="202" t="s">
        <v>1792</v>
      </c>
      <c r="F95" s="202">
        <v>2800801</v>
      </c>
      <c r="G95" s="52">
        <v>150000</v>
      </c>
    </row>
    <row r="96" spans="1:7">
      <c r="A96">
        <v>95</v>
      </c>
      <c r="D96" s="203" t="s">
        <v>1786</v>
      </c>
      <c r="E96" s="202" t="s">
        <v>1787</v>
      </c>
      <c r="F96" s="202" t="s">
        <v>1786</v>
      </c>
      <c r="G96" s="52">
        <v>250000</v>
      </c>
    </row>
    <row r="97" spans="1:7">
      <c r="A97">
        <v>96</v>
      </c>
      <c r="D97" s="203" t="s">
        <v>1788</v>
      </c>
      <c r="E97" s="202" t="s">
        <v>1789</v>
      </c>
      <c r="F97" s="202" t="s">
        <v>1788</v>
      </c>
      <c r="G97" s="52">
        <v>60000</v>
      </c>
    </row>
    <row r="98" spans="1:7">
      <c r="A98">
        <v>97</v>
      </c>
      <c r="E98" s="202" t="s">
        <v>1798</v>
      </c>
      <c r="G98" s="52">
        <v>200000</v>
      </c>
    </row>
    <row r="99" spans="1:7">
      <c r="A99">
        <v>98</v>
      </c>
      <c r="D99" s="203" t="s">
        <v>1800</v>
      </c>
      <c r="E99" s="202" t="s">
        <v>1801</v>
      </c>
      <c r="F99" s="202" t="s">
        <v>1800</v>
      </c>
      <c r="G99" s="52">
        <v>30000</v>
      </c>
    </row>
    <row r="100" spans="1:7">
      <c r="A100">
        <v>99</v>
      </c>
      <c r="D100" s="203" t="s">
        <v>1802</v>
      </c>
      <c r="E100" s="202" t="s">
        <v>1855</v>
      </c>
      <c r="F100" s="202" t="s">
        <v>1802</v>
      </c>
      <c r="G100" s="52">
        <v>10000</v>
      </c>
    </row>
    <row r="101" spans="1:7">
      <c r="A101">
        <v>100</v>
      </c>
      <c r="D101" s="203" t="s">
        <v>1857</v>
      </c>
      <c r="E101" s="202" t="s">
        <v>1858</v>
      </c>
      <c r="F101" s="202" t="s">
        <v>1857</v>
      </c>
      <c r="G101" s="52">
        <v>10000</v>
      </c>
    </row>
    <row r="102" spans="1:7">
      <c r="A102">
        <v>101</v>
      </c>
      <c r="D102" s="203" t="s">
        <v>1803</v>
      </c>
      <c r="E102" s="202" t="s">
        <v>1804</v>
      </c>
      <c r="F102" s="202" t="s">
        <v>1803</v>
      </c>
      <c r="G102" s="52">
        <v>20000</v>
      </c>
    </row>
    <row r="103" spans="1:7">
      <c r="A103">
        <v>102</v>
      </c>
      <c r="D103" s="203">
        <v>2850701</v>
      </c>
      <c r="E103" s="202" t="s">
        <v>1805</v>
      </c>
      <c r="F103" s="202">
        <v>2850701</v>
      </c>
      <c r="G103" s="52">
        <v>400000</v>
      </c>
    </row>
    <row r="104" spans="1:7">
      <c r="A104">
        <v>103</v>
      </c>
      <c r="D104" s="203">
        <v>2810701</v>
      </c>
      <c r="E104" s="202" t="s">
        <v>1806</v>
      </c>
      <c r="F104" s="202">
        <v>2810701</v>
      </c>
      <c r="G104" s="52">
        <v>250000</v>
      </c>
    </row>
    <row r="105" spans="1:7">
      <c r="A105">
        <v>104</v>
      </c>
      <c r="D105" s="203">
        <v>2830701</v>
      </c>
      <c r="E105" s="202" t="s">
        <v>1807</v>
      </c>
      <c r="F105" s="202">
        <v>2830701</v>
      </c>
      <c r="G105" s="52">
        <v>160000</v>
      </c>
    </row>
    <row r="106" spans="1:7">
      <c r="A106">
        <v>105</v>
      </c>
      <c r="D106" s="203">
        <v>2830701</v>
      </c>
      <c r="E106" s="202" t="s">
        <v>1807</v>
      </c>
      <c r="F106" s="202">
        <v>2830701</v>
      </c>
      <c r="G106" s="52">
        <v>360000</v>
      </c>
    </row>
    <row r="107" spans="1:7">
      <c r="A107">
        <v>106</v>
      </c>
      <c r="D107" s="203">
        <v>2801701</v>
      </c>
      <c r="E107" s="202" t="s">
        <v>1810</v>
      </c>
      <c r="F107" s="202">
        <v>2801701</v>
      </c>
      <c r="G107" s="52">
        <v>15000</v>
      </c>
    </row>
    <row r="108" spans="1:7">
      <c r="A108">
        <v>107</v>
      </c>
      <c r="D108" s="203">
        <v>2801702</v>
      </c>
      <c r="E108" s="202" t="s">
        <v>1810</v>
      </c>
      <c r="F108" s="202">
        <v>2801702</v>
      </c>
      <c r="G108" s="52">
        <v>15000</v>
      </c>
    </row>
    <row r="109" spans="1:7">
      <c r="A109">
        <v>108</v>
      </c>
      <c r="D109" s="203" t="s">
        <v>1825</v>
      </c>
      <c r="E109" s="202" t="s">
        <v>1826</v>
      </c>
      <c r="F109" s="202" t="s">
        <v>1825</v>
      </c>
      <c r="G109" s="52">
        <v>50000</v>
      </c>
    </row>
    <row r="110" spans="1:7">
      <c r="A110">
        <v>109</v>
      </c>
      <c r="E110" s="202" t="s">
        <v>1814</v>
      </c>
      <c r="G110" s="52">
        <v>1550000</v>
      </c>
    </row>
    <row r="111" spans="1:7">
      <c r="A111">
        <v>110</v>
      </c>
      <c r="D111" s="203" t="s">
        <v>1822</v>
      </c>
      <c r="E111" s="202" t="s">
        <v>1241</v>
      </c>
      <c r="F111" s="202" t="s">
        <v>1822</v>
      </c>
      <c r="G111" s="52">
        <v>1200000</v>
      </c>
    </row>
    <row r="112" spans="1:7">
      <c r="A112">
        <v>111</v>
      </c>
      <c r="D112" s="203">
        <v>24347544930</v>
      </c>
      <c r="E112" s="202" t="s">
        <v>1830</v>
      </c>
      <c r="F112" s="202">
        <v>24347544930</v>
      </c>
      <c r="G112" s="52">
        <v>250000</v>
      </c>
    </row>
    <row r="113" spans="1:8">
      <c r="A113">
        <v>112</v>
      </c>
      <c r="D113" s="203">
        <v>501220641</v>
      </c>
      <c r="E113" s="202" t="s">
        <v>1831</v>
      </c>
      <c r="F113" s="202">
        <v>501220641</v>
      </c>
      <c r="G113" s="52">
        <v>300000</v>
      </c>
    </row>
    <row r="114" spans="1:8">
      <c r="A114">
        <v>113</v>
      </c>
      <c r="D114" s="203" t="s">
        <v>1836</v>
      </c>
      <c r="E114" s="202" t="s">
        <v>1837</v>
      </c>
      <c r="F114" s="202" t="s">
        <v>1836</v>
      </c>
      <c r="G114" s="52">
        <v>25000</v>
      </c>
    </row>
    <row r="115" spans="1:8">
      <c r="A115">
        <v>114</v>
      </c>
      <c r="D115" s="203" t="s">
        <v>1839</v>
      </c>
      <c r="E115" s="202" t="s">
        <v>1837</v>
      </c>
      <c r="F115" s="202" t="s">
        <v>1839</v>
      </c>
      <c r="G115" s="52">
        <v>65000</v>
      </c>
    </row>
    <row r="116" spans="1:8">
      <c r="A116">
        <v>115</v>
      </c>
      <c r="D116" s="203" t="s">
        <v>1841</v>
      </c>
      <c r="E116" s="202" t="s">
        <v>1607</v>
      </c>
      <c r="F116" s="202" t="s">
        <v>1841</v>
      </c>
      <c r="G116" s="52">
        <v>1400000</v>
      </c>
    </row>
    <row r="117" spans="1:8">
      <c r="A117">
        <v>116</v>
      </c>
      <c r="D117" s="203">
        <v>1068298046</v>
      </c>
      <c r="E117" s="202" t="s">
        <v>1894</v>
      </c>
      <c r="F117" s="202">
        <v>1068298046</v>
      </c>
      <c r="G117" s="52">
        <v>450000</v>
      </c>
    </row>
    <row r="118" spans="1:8">
      <c r="A118">
        <v>117</v>
      </c>
      <c r="D118" s="203">
        <v>1087298388</v>
      </c>
      <c r="E118" s="202" t="s">
        <v>1893</v>
      </c>
      <c r="F118" s="202">
        <v>1087298388</v>
      </c>
    </row>
    <row r="119" spans="1:8">
      <c r="A119">
        <v>118</v>
      </c>
      <c r="D119" s="203">
        <v>1068298044</v>
      </c>
      <c r="E119" s="202" t="s">
        <v>1894</v>
      </c>
      <c r="F119" s="202">
        <v>1068298044</v>
      </c>
      <c r="G119" s="52">
        <v>400000</v>
      </c>
    </row>
    <row r="120" spans="1:8">
      <c r="A120">
        <v>119</v>
      </c>
      <c r="D120" s="203">
        <v>24152333907</v>
      </c>
      <c r="E120" s="202" t="s">
        <v>1595</v>
      </c>
      <c r="F120" s="202">
        <v>24152333907</v>
      </c>
      <c r="G120" s="52">
        <v>50000</v>
      </c>
    </row>
    <row r="121" spans="1:8">
      <c r="A121">
        <v>120</v>
      </c>
      <c r="D121" s="203">
        <v>6058008122</v>
      </c>
      <c r="E121" s="202" t="s">
        <v>1909</v>
      </c>
      <c r="F121" s="202">
        <v>6058008122</v>
      </c>
      <c r="G121" s="52">
        <v>2500000</v>
      </c>
    </row>
    <row r="122" spans="1:8">
      <c r="A122">
        <v>121</v>
      </c>
      <c r="D122" s="202" t="s">
        <v>1263</v>
      </c>
      <c r="E122" s="202" t="s">
        <v>1261</v>
      </c>
      <c r="F122" s="202" t="s">
        <v>1263</v>
      </c>
      <c r="G122" s="52">
        <v>1400000</v>
      </c>
      <c r="H122">
        <v>4</v>
      </c>
    </row>
    <row r="123" spans="1:8">
      <c r="A123">
        <v>122</v>
      </c>
      <c r="D123" s="202" t="s">
        <v>1919</v>
      </c>
      <c r="E123" s="202" t="s">
        <v>1261</v>
      </c>
      <c r="F123" s="202" t="s">
        <v>1919</v>
      </c>
      <c r="G123" s="52">
        <v>1200000</v>
      </c>
      <c r="H123">
        <v>8</v>
      </c>
    </row>
    <row r="124" spans="1:8">
      <c r="A124">
        <v>123</v>
      </c>
      <c r="C124" s="13">
        <v>45762</v>
      </c>
      <c r="D124" s="202" t="s">
        <v>1265</v>
      </c>
      <c r="E124" s="202" t="s">
        <v>1411</v>
      </c>
      <c r="F124" s="202" t="s">
        <v>1412</v>
      </c>
      <c r="G124" s="52">
        <v>1600000</v>
      </c>
      <c r="H124">
        <v>3</v>
      </c>
    </row>
    <row r="125" spans="1:8">
      <c r="A125">
        <v>124</v>
      </c>
      <c r="C125" s="13">
        <v>45771</v>
      </c>
      <c r="D125" s="203" t="s">
        <v>1705</v>
      </c>
      <c r="E125" s="202" t="s">
        <v>2055</v>
      </c>
      <c r="F125" s="203" t="s">
        <v>1705</v>
      </c>
      <c r="H125">
        <v>4</v>
      </c>
    </row>
  </sheetData>
  <autoFilter ref="A1:I1" xr:uid="{BA83FFDD-E34F-4E2E-8170-4C07C6434298}"/>
  <dataConsolidate/>
  <phoneticPr fontId="2" type="noConversion"/>
  <pageMargins left="0.7" right="0.7" top="0.75" bottom="0.75" header="0.3" footer="0.3"/>
  <pageSetup paperSize="9" orientation="portrait" horizontalDpi="300" verticalDpi="300"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F40BBCB-5B24-4BF5-B56F-60B62E6CE607}">
  <sheetPr codeName="Sheet6"/>
  <dimension ref="A1:J1"/>
  <sheetViews>
    <sheetView workbookViewId="0">
      <selection activeCell="H18" sqref="H18"/>
    </sheetView>
  </sheetViews>
  <sheetFormatPr defaultRowHeight="16.5"/>
  <sheetData>
    <row r="1" spans="1:10" ht="17.25" thickBot="1">
      <c r="A1" s="7" t="s">
        <v>2</v>
      </c>
      <c r="B1" s="7" t="s">
        <v>15</v>
      </c>
      <c r="C1" s="7" t="s">
        <v>14</v>
      </c>
      <c r="D1" s="58" t="s">
        <v>1</v>
      </c>
      <c r="E1" s="7" t="s">
        <v>0</v>
      </c>
      <c r="F1" s="31" t="s">
        <v>52</v>
      </c>
      <c r="G1" s="7" t="s">
        <v>48</v>
      </c>
      <c r="H1" s="7" t="s">
        <v>57</v>
      </c>
      <c r="I1" s="7" t="s">
        <v>4</v>
      </c>
      <c r="J1" s="8">
        <v>57</v>
      </c>
    </row>
  </sheetData>
  <phoneticPr fontId="2" type="noConversion"/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636FEF-B8E5-428E-BFAF-64A69E32C5FB}">
  <sheetPr codeName="shtDelivery"/>
  <dimension ref="A1:A6"/>
  <sheetViews>
    <sheetView workbookViewId="0">
      <selection activeCell="E13" sqref="E13"/>
    </sheetView>
  </sheetViews>
  <sheetFormatPr defaultRowHeight="16.5"/>
  <cols>
    <col min="1" max="1" width="14.125" customWidth="1"/>
  </cols>
  <sheetData>
    <row r="1" spans="1:1">
      <c r="A1" t="s">
        <v>26</v>
      </c>
    </row>
    <row r="2" spans="1:1">
      <c r="A2" t="s">
        <v>29</v>
      </c>
    </row>
    <row r="3" spans="1:1">
      <c r="A3" t="s">
        <v>36</v>
      </c>
    </row>
    <row r="4" spans="1:1">
      <c r="A4" t="s">
        <v>37</v>
      </c>
    </row>
    <row r="5" spans="1:1">
      <c r="A5" t="s">
        <v>38</v>
      </c>
    </row>
    <row r="6" spans="1:1">
      <c r="A6" t="s">
        <v>39</v>
      </c>
    </row>
  </sheetData>
  <phoneticPr fontId="2" type="noConversion"/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99EF44-A120-4DFE-9124-8F03BB685940}">
  <sheetPr codeName="shtLevel"/>
  <dimension ref="A1:A5"/>
  <sheetViews>
    <sheetView workbookViewId="0">
      <selection activeCell="A6" sqref="A6"/>
    </sheetView>
  </sheetViews>
  <sheetFormatPr defaultRowHeight="16.5"/>
  <sheetData>
    <row r="1" spans="1:1">
      <c r="A1" t="s">
        <v>46</v>
      </c>
    </row>
    <row r="2" spans="1:1">
      <c r="A2" t="s">
        <v>43</v>
      </c>
    </row>
    <row r="3" spans="1:1">
      <c r="A3" t="s">
        <v>44</v>
      </c>
    </row>
    <row r="4" spans="1:1">
      <c r="A4" t="s">
        <v>45</v>
      </c>
    </row>
    <row r="5" spans="1:1">
      <c r="A5" t="s">
        <v>2852</v>
      </c>
    </row>
  </sheetData>
  <phoneticPr fontId="2" type="noConversion"/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365BBB-E211-490D-A1AC-31AC47E277F8}">
  <sheetPr codeName="shtCategory"/>
  <dimension ref="A1:C14"/>
  <sheetViews>
    <sheetView zoomScaleNormal="100" workbookViewId="0">
      <selection activeCell="B5" sqref="B5"/>
    </sheetView>
  </sheetViews>
  <sheetFormatPr defaultRowHeight="16.5"/>
  <cols>
    <col min="2" max="2" width="12.375" customWidth="1"/>
  </cols>
  <sheetData>
    <row r="1" spans="1:3" ht="17.25" thickBot="1">
      <c r="A1" s="7" t="s">
        <v>2</v>
      </c>
      <c r="B1" s="7" t="s">
        <v>48</v>
      </c>
      <c r="C1" s="8">
        <v>16</v>
      </c>
    </row>
    <row r="2" spans="1:3">
      <c r="A2">
        <v>1</v>
      </c>
      <c r="B2" t="s">
        <v>32</v>
      </c>
    </row>
    <row r="3" spans="1:3">
      <c r="A3">
        <v>2</v>
      </c>
      <c r="B3" t="s">
        <v>1134</v>
      </c>
    </row>
    <row r="4" spans="1:3">
      <c r="A4">
        <v>3</v>
      </c>
      <c r="B4" t="s">
        <v>1135</v>
      </c>
    </row>
    <row r="5" spans="1:3">
      <c r="A5">
        <v>4</v>
      </c>
      <c r="B5" t="s">
        <v>1799</v>
      </c>
    </row>
    <row r="6" spans="1:3">
      <c r="A6">
        <v>5</v>
      </c>
      <c r="B6" t="s">
        <v>1136</v>
      </c>
    </row>
    <row r="7" spans="1:3">
      <c r="A7">
        <v>6</v>
      </c>
      <c r="B7" t="s">
        <v>1137</v>
      </c>
    </row>
    <row r="8" spans="1:3">
      <c r="A8">
        <v>7</v>
      </c>
      <c r="B8" t="s">
        <v>1169</v>
      </c>
    </row>
    <row r="9" spans="1:3">
      <c r="A9">
        <v>8</v>
      </c>
      <c r="B9" t="s">
        <v>1170</v>
      </c>
    </row>
    <row r="10" spans="1:3">
      <c r="A10">
        <v>9</v>
      </c>
      <c r="B10" t="s">
        <v>1178</v>
      </c>
    </row>
    <row r="11" spans="1:3">
      <c r="A11">
        <v>12</v>
      </c>
      <c r="B11" t="s">
        <v>1835</v>
      </c>
    </row>
    <row r="12" spans="1:3">
      <c r="A12">
        <v>13</v>
      </c>
      <c r="B12" t="s">
        <v>1847</v>
      </c>
    </row>
    <row r="13" spans="1:3">
      <c r="A13">
        <v>14</v>
      </c>
      <c r="B13" t="s">
        <v>2003</v>
      </c>
    </row>
    <row r="14" spans="1:3">
      <c r="A14">
        <v>15</v>
      </c>
      <c r="B14" t="s">
        <v>2456</v>
      </c>
    </row>
  </sheetData>
  <phoneticPr fontId="2" type="noConversion"/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724A30-9653-4CB8-BDC6-38F0B92CD8E7}">
  <sheetPr codeName="shtUnit"/>
  <dimension ref="A1:A7"/>
  <sheetViews>
    <sheetView workbookViewId="0">
      <selection activeCell="E13" sqref="E13"/>
    </sheetView>
  </sheetViews>
  <sheetFormatPr defaultRowHeight="16.5"/>
  <sheetData>
    <row r="1" spans="1:1" ht="17.25" thickBot="1">
      <c r="A1" s="7" t="s">
        <v>3</v>
      </c>
    </row>
    <row r="2" spans="1:1">
      <c r="A2" t="s">
        <v>5</v>
      </c>
    </row>
    <row r="3" spans="1:1">
      <c r="A3" t="s">
        <v>17</v>
      </c>
    </row>
    <row r="4" spans="1:1">
      <c r="A4" t="s">
        <v>6</v>
      </c>
    </row>
    <row r="5" spans="1:1">
      <c r="A5" t="s">
        <v>7</v>
      </c>
    </row>
    <row r="6" spans="1:1">
      <c r="A6" t="s">
        <v>18</v>
      </c>
    </row>
    <row r="7" spans="1:1">
      <c r="A7" t="s">
        <v>19</v>
      </c>
    </row>
  </sheetData>
  <phoneticPr fontId="2" type="noConversion"/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968FAFC-E9C1-43B8-864E-6F0EA53B3176}">
  <sheetPr codeName="Sheet2"/>
  <dimension ref="A1:E2"/>
  <sheetViews>
    <sheetView workbookViewId="0">
      <selection activeCell="E13" sqref="E13"/>
    </sheetView>
  </sheetViews>
  <sheetFormatPr defaultRowHeight="16.5"/>
  <cols>
    <col min="2" max="3" width="15.375" customWidth="1"/>
    <col min="4" max="5" width="18" customWidth="1"/>
  </cols>
  <sheetData>
    <row r="1" spans="1:5">
      <c r="A1" t="s">
        <v>2</v>
      </c>
      <c r="B1" t="s">
        <v>20</v>
      </c>
      <c r="C1" t="s">
        <v>21</v>
      </c>
      <c r="D1" t="s">
        <v>22</v>
      </c>
      <c r="E1" t="s">
        <v>23</v>
      </c>
    </row>
    <row r="2" spans="1:5">
      <c r="B2">
        <v>4</v>
      </c>
      <c r="C2">
        <v>1</v>
      </c>
      <c r="D2">
        <v>1</v>
      </c>
      <c r="E2">
        <v>1</v>
      </c>
    </row>
  </sheetData>
  <phoneticPr fontId="2" type="noConversion"/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29D077-3DC4-44E5-B107-8C839218164E}">
  <sheetPr codeName="Sheet1"/>
  <dimension ref="A1:C306"/>
  <sheetViews>
    <sheetView workbookViewId="0">
      <selection activeCell="C1" sqref="C1"/>
    </sheetView>
  </sheetViews>
  <sheetFormatPr defaultRowHeight="16.5"/>
  <sheetData>
    <row r="1" spans="1:3" ht="17.25" thickBot="1">
      <c r="A1" t="s">
        <v>963</v>
      </c>
      <c r="B1" t="s">
        <v>10</v>
      </c>
      <c r="C1" t="s">
        <v>9</v>
      </c>
    </row>
    <row r="2" spans="1:3" ht="54.75" thickBot="1">
      <c r="A2" s="39" t="s">
        <v>98</v>
      </c>
      <c r="B2" s="39" t="s">
        <v>99</v>
      </c>
      <c r="C2" s="40" t="s">
        <v>100</v>
      </c>
    </row>
    <row r="3" spans="1:3" ht="54.75" thickBot="1">
      <c r="A3" s="41" t="s">
        <v>101</v>
      </c>
      <c r="B3" s="42" t="s">
        <v>102</v>
      </c>
      <c r="C3" s="43" t="s">
        <v>103</v>
      </c>
    </row>
    <row r="4" spans="1:3" ht="54.75" thickBot="1">
      <c r="A4" s="39" t="s">
        <v>104</v>
      </c>
      <c r="B4" s="39" t="s">
        <v>105</v>
      </c>
      <c r="C4" s="40" t="s">
        <v>106</v>
      </c>
    </row>
    <row r="5" spans="1:3" ht="54.75" thickBot="1">
      <c r="A5" s="41" t="s">
        <v>107</v>
      </c>
      <c r="B5" s="42" t="s">
        <v>108</v>
      </c>
      <c r="C5" s="43" t="s">
        <v>109</v>
      </c>
    </row>
    <row r="6" spans="1:3" ht="54.75" thickBot="1">
      <c r="A6" s="41" t="s">
        <v>110</v>
      </c>
      <c r="B6" s="39" t="s">
        <v>111</v>
      </c>
      <c r="C6" s="40" t="s">
        <v>112</v>
      </c>
    </row>
    <row r="7" spans="1:3" ht="54.75" thickBot="1">
      <c r="A7" s="41" t="s">
        <v>113</v>
      </c>
      <c r="B7" s="42" t="s">
        <v>114</v>
      </c>
      <c r="C7" s="43" t="s">
        <v>115</v>
      </c>
    </row>
    <row r="8" spans="1:3" ht="54.75" thickBot="1">
      <c r="A8" s="41" t="s">
        <v>116</v>
      </c>
      <c r="B8" s="39" t="s">
        <v>117</v>
      </c>
      <c r="C8" s="40" t="s">
        <v>118</v>
      </c>
    </row>
    <row r="9" spans="1:3" ht="68.25" thickBot="1">
      <c r="A9" s="41" t="s">
        <v>119</v>
      </c>
      <c r="B9" s="42" t="s">
        <v>120</v>
      </c>
      <c r="C9" s="43" t="s">
        <v>121</v>
      </c>
    </row>
    <row r="10" spans="1:3" ht="54.75" thickBot="1">
      <c r="A10" s="41" t="s">
        <v>104</v>
      </c>
      <c r="B10" s="39" t="s">
        <v>105</v>
      </c>
      <c r="C10" s="40" t="s">
        <v>106</v>
      </c>
    </row>
    <row r="11" spans="1:3" ht="54.75" thickBot="1">
      <c r="A11" s="41" t="s">
        <v>122</v>
      </c>
      <c r="B11" s="42" t="s">
        <v>123</v>
      </c>
      <c r="C11" s="43" t="s">
        <v>124</v>
      </c>
    </row>
    <row r="12" spans="1:3" ht="81.75" thickBot="1">
      <c r="A12" s="41" t="s">
        <v>125</v>
      </c>
      <c r="B12" s="39" t="s">
        <v>126</v>
      </c>
      <c r="C12" s="40" t="s">
        <v>127</v>
      </c>
    </row>
    <row r="13" spans="1:3" ht="68.25" thickBot="1">
      <c r="A13" s="41" t="s">
        <v>128</v>
      </c>
      <c r="B13" s="42" t="s">
        <v>129</v>
      </c>
      <c r="C13" s="43" t="s">
        <v>130</v>
      </c>
    </row>
    <row r="14" spans="1:3" ht="54.75" thickBot="1">
      <c r="A14" s="41" t="s">
        <v>131</v>
      </c>
      <c r="B14" s="39" t="s">
        <v>132</v>
      </c>
      <c r="C14" s="40" t="s">
        <v>133</v>
      </c>
    </row>
    <row r="15" spans="1:3" ht="54.75" thickBot="1">
      <c r="A15" s="41" t="s">
        <v>134</v>
      </c>
      <c r="B15" s="42" t="s">
        <v>135</v>
      </c>
      <c r="C15" s="43" t="s">
        <v>136</v>
      </c>
    </row>
    <row r="16" spans="1:3" ht="68.25" thickBot="1">
      <c r="A16" s="41" t="s">
        <v>137</v>
      </c>
      <c r="B16" s="39" t="s">
        <v>138</v>
      </c>
      <c r="C16" s="40" t="s">
        <v>139</v>
      </c>
    </row>
    <row r="17" spans="1:3" ht="54.75" thickBot="1">
      <c r="A17" s="41" t="s">
        <v>140</v>
      </c>
      <c r="B17" s="42" t="s">
        <v>141</v>
      </c>
      <c r="C17" s="43" t="s">
        <v>142</v>
      </c>
    </row>
    <row r="18" spans="1:3" ht="41.25" thickBot="1">
      <c r="A18" s="39" t="s">
        <v>143</v>
      </c>
      <c r="B18" s="39" t="s">
        <v>144</v>
      </c>
      <c r="C18" s="40" t="s">
        <v>145</v>
      </c>
    </row>
    <row r="19" spans="1:3" ht="41.25" thickBot="1">
      <c r="A19" s="41" t="s">
        <v>146</v>
      </c>
      <c r="B19" s="42" t="s">
        <v>147</v>
      </c>
      <c r="C19" s="43" t="s">
        <v>148</v>
      </c>
    </row>
    <row r="20" spans="1:3" ht="41.25" thickBot="1">
      <c r="A20" s="39" t="s">
        <v>149</v>
      </c>
      <c r="B20" s="39" t="s">
        <v>150</v>
      </c>
      <c r="C20" s="40" t="s">
        <v>151</v>
      </c>
    </row>
    <row r="21" spans="1:3" ht="41.25" thickBot="1">
      <c r="A21" s="41" t="s">
        <v>152</v>
      </c>
      <c r="B21" s="42" t="s">
        <v>153</v>
      </c>
      <c r="C21" s="43" t="s">
        <v>154</v>
      </c>
    </row>
    <row r="22" spans="1:3" ht="41.25" thickBot="1">
      <c r="A22" s="41" t="s">
        <v>155</v>
      </c>
      <c r="B22" s="39" t="s">
        <v>156</v>
      </c>
      <c r="C22" s="40" t="s">
        <v>157</v>
      </c>
    </row>
    <row r="23" spans="1:3" ht="41.25" thickBot="1">
      <c r="A23" s="42" t="s">
        <v>158</v>
      </c>
      <c r="B23" s="42" t="s">
        <v>159</v>
      </c>
      <c r="C23" s="43" t="s">
        <v>160</v>
      </c>
    </row>
    <row r="24" spans="1:3" ht="41.25" thickBot="1">
      <c r="A24" s="41" t="s">
        <v>161</v>
      </c>
      <c r="B24" s="39" t="s">
        <v>162</v>
      </c>
      <c r="C24" s="40" t="s">
        <v>163</v>
      </c>
    </row>
    <row r="25" spans="1:3" ht="41.25" thickBot="1">
      <c r="A25" s="41" t="s">
        <v>164</v>
      </c>
      <c r="B25" s="42" t="s">
        <v>165</v>
      </c>
      <c r="C25" s="43" t="s">
        <v>166</v>
      </c>
    </row>
    <row r="26" spans="1:3" ht="54.75" thickBot="1">
      <c r="A26" s="41" t="s">
        <v>167</v>
      </c>
      <c r="B26" s="39" t="s">
        <v>168</v>
      </c>
      <c r="C26" s="40" t="s">
        <v>169</v>
      </c>
    </row>
    <row r="27" spans="1:3" ht="41.25" thickBot="1">
      <c r="A27" s="41" t="s">
        <v>170</v>
      </c>
      <c r="B27" s="42" t="s">
        <v>171</v>
      </c>
      <c r="C27" s="43" t="s">
        <v>172</v>
      </c>
    </row>
    <row r="28" spans="1:3" ht="54.75" thickBot="1">
      <c r="A28" s="41" t="s">
        <v>173</v>
      </c>
      <c r="B28" s="39" t="s">
        <v>174</v>
      </c>
      <c r="C28" s="40" t="s">
        <v>175</v>
      </c>
    </row>
    <row r="29" spans="1:3" ht="54.75" thickBot="1">
      <c r="A29" s="41" t="s">
        <v>176</v>
      </c>
      <c r="B29" s="42" t="s">
        <v>177</v>
      </c>
      <c r="C29" s="43" t="s">
        <v>178</v>
      </c>
    </row>
    <row r="30" spans="1:3" ht="54.75" thickBot="1">
      <c r="A30" s="41" t="s">
        <v>179</v>
      </c>
      <c r="B30" s="39" t="s">
        <v>180</v>
      </c>
      <c r="C30" s="40" t="s">
        <v>181</v>
      </c>
    </row>
    <row r="31" spans="1:3" ht="54.75" thickBot="1">
      <c r="A31" s="41" t="s">
        <v>182</v>
      </c>
      <c r="B31" s="42" t="s">
        <v>183</v>
      </c>
      <c r="C31" s="43" t="s">
        <v>184</v>
      </c>
    </row>
    <row r="32" spans="1:3" ht="54.75" thickBot="1">
      <c r="A32" s="41" t="s">
        <v>185</v>
      </c>
      <c r="B32" s="39" t="s">
        <v>186</v>
      </c>
      <c r="C32" s="40" t="s">
        <v>187</v>
      </c>
    </row>
    <row r="33" spans="1:3" ht="41.25" thickBot="1">
      <c r="A33" s="41" t="s">
        <v>188</v>
      </c>
      <c r="B33" s="42" t="s">
        <v>189</v>
      </c>
      <c r="C33" s="43" t="s">
        <v>190</v>
      </c>
    </row>
    <row r="34" spans="1:3" ht="41.25" thickBot="1">
      <c r="A34" s="41" t="s">
        <v>191</v>
      </c>
      <c r="B34" s="39" t="s">
        <v>192</v>
      </c>
      <c r="C34" s="40" t="s">
        <v>193</v>
      </c>
    </row>
    <row r="35" spans="1:3" ht="54.75" thickBot="1">
      <c r="A35" s="41" t="s">
        <v>194</v>
      </c>
      <c r="B35" s="42" t="s">
        <v>195</v>
      </c>
      <c r="C35" s="43" t="s">
        <v>196</v>
      </c>
    </row>
    <row r="36" spans="1:3" ht="54.75" thickBot="1">
      <c r="A36" s="41" t="s">
        <v>197</v>
      </c>
      <c r="B36" s="39" t="s">
        <v>198</v>
      </c>
      <c r="C36" s="40" t="s">
        <v>199</v>
      </c>
    </row>
    <row r="37" spans="1:3" ht="54.75" thickBot="1">
      <c r="A37" s="41" t="s">
        <v>200</v>
      </c>
      <c r="B37" s="42" t="s">
        <v>201</v>
      </c>
      <c r="C37" s="43" t="s">
        <v>202</v>
      </c>
    </row>
    <row r="38" spans="1:3" ht="54.75" thickBot="1">
      <c r="A38" s="41" t="s">
        <v>203</v>
      </c>
      <c r="B38" s="39" t="s">
        <v>204</v>
      </c>
      <c r="C38" s="40" t="s">
        <v>205</v>
      </c>
    </row>
    <row r="39" spans="1:3" ht="54.75" thickBot="1">
      <c r="A39" s="41" t="s">
        <v>206</v>
      </c>
      <c r="B39" s="42" t="s">
        <v>207</v>
      </c>
      <c r="C39" s="43" t="s">
        <v>208</v>
      </c>
    </row>
    <row r="40" spans="1:3" ht="54.75" thickBot="1">
      <c r="A40" s="41" t="s">
        <v>203</v>
      </c>
      <c r="B40" s="39" t="s">
        <v>209</v>
      </c>
      <c r="C40" s="40" t="s">
        <v>205</v>
      </c>
    </row>
    <row r="41" spans="1:3" ht="41.25" thickBot="1">
      <c r="A41" s="41" t="s">
        <v>210</v>
      </c>
      <c r="B41" s="42" t="s">
        <v>211</v>
      </c>
      <c r="C41" s="43" t="s">
        <v>212</v>
      </c>
    </row>
    <row r="42" spans="1:3" ht="54.75" thickBot="1">
      <c r="A42" s="39" t="s">
        <v>213</v>
      </c>
      <c r="B42" s="39" t="s">
        <v>214</v>
      </c>
      <c r="C42" s="40" t="s">
        <v>215</v>
      </c>
    </row>
    <row r="43" spans="1:3" ht="54.75" thickBot="1">
      <c r="A43" s="41" t="s">
        <v>216</v>
      </c>
      <c r="B43" s="42" t="s">
        <v>217</v>
      </c>
      <c r="C43" s="43" t="s">
        <v>218</v>
      </c>
    </row>
    <row r="44" spans="1:3" ht="54.75" thickBot="1">
      <c r="A44" s="41" t="s">
        <v>219</v>
      </c>
      <c r="B44" s="39" t="s">
        <v>220</v>
      </c>
      <c r="C44" s="40" t="s">
        <v>221</v>
      </c>
    </row>
    <row r="45" spans="1:3" ht="41.25" thickBot="1">
      <c r="A45" s="42" t="s">
        <v>222</v>
      </c>
      <c r="B45" s="42" t="s">
        <v>223</v>
      </c>
      <c r="C45" s="43" t="s">
        <v>224</v>
      </c>
    </row>
    <row r="46" spans="1:3" ht="41.25" thickBot="1">
      <c r="A46" s="41" t="s">
        <v>225</v>
      </c>
      <c r="B46" s="39" t="s">
        <v>226</v>
      </c>
      <c r="C46" s="40" t="s">
        <v>227</v>
      </c>
    </row>
    <row r="47" spans="1:3" ht="41.25" thickBot="1">
      <c r="A47" s="41" t="s">
        <v>228</v>
      </c>
      <c r="B47" s="42" t="s">
        <v>229</v>
      </c>
      <c r="C47" s="43" t="s">
        <v>230</v>
      </c>
    </row>
    <row r="48" spans="1:3" ht="41.25" thickBot="1">
      <c r="A48" s="41" t="s">
        <v>231</v>
      </c>
      <c r="B48" s="39" t="s">
        <v>232</v>
      </c>
      <c r="C48" s="40" t="s">
        <v>233</v>
      </c>
    </row>
    <row r="49" spans="1:3" ht="41.25" thickBot="1">
      <c r="A49" s="41" t="s">
        <v>234</v>
      </c>
      <c r="B49" s="42" t="s">
        <v>235</v>
      </c>
      <c r="C49" s="43" t="s">
        <v>236</v>
      </c>
    </row>
    <row r="50" spans="1:3" ht="54.75" thickBot="1">
      <c r="A50" s="39" t="s">
        <v>237</v>
      </c>
      <c r="B50" s="39" t="s">
        <v>238</v>
      </c>
      <c r="C50" s="40" t="s">
        <v>239</v>
      </c>
    </row>
    <row r="51" spans="1:3" ht="41.25" thickBot="1">
      <c r="A51" s="41" t="s">
        <v>240</v>
      </c>
      <c r="B51" s="42" t="s">
        <v>241</v>
      </c>
      <c r="C51" s="43" t="s">
        <v>242</v>
      </c>
    </row>
    <row r="52" spans="1:3" ht="68.25" thickBot="1">
      <c r="A52" s="41" t="s">
        <v>243</v>
      </c>
      <c r="B52" s="39" t="s">
        <v>244</v>
      </c>
      <c r="C52" s="40" t="s">
        <v>245</v>
      </c>
    </row>
    <row r="53" spans="1:3" ht="41.25" thickBot="1">
      <c r="A53" s="41" t="s">
        <v>246</v>
      </c>
      <c r="B53" s="42" t="s">
        <v>247</v>
      </c>
      <c r="C53" s="43" t="s">
        <v>248</v>
      </c>
    </row>
    <row r="54" spans="1:3" ht="54.75" thickBot="1">
      <c r="A54" s="41" t="s">
        <v>249</v>
      </c>
      <c r="B54" s="39" t="s">
        <v>250</v>
      </c>
      <c r="C54" s="40" t="s">
        <v>251</v>
      </c>
    </row>
    <row r="55" spans="1:3" ht="54.75" thickBot="1">
      <c r="A55" s="41" t="s">
        <v>252</v>
      </c>
      <c r="B55" s="42" t="s">
        <v>253</v>
      </c>
      <c r="C55" s="43" t="s">
        <v>254</v>
      </c>
    </row>
    <row r="56" spans="1:3" ht="54.75" thickBot="1">
      <c r="A56" s="41" t="s">
        <v>255</v>
      </c>
      <c r="B56" s="39" t="s">
        <v>256</v>
      </c>
      <c r="C56" s="40" t="s">
        <v>257</v>
      </c>
    </row>
    <row r="57" spans="1:3" ht="54.75" thickBot="1">
      <c r="A57" s="41" t="s">
        <v>258</v>
      </c>
      <c r="B57" s="42" t="s">
        <v>259</v>
      </c>
      <c r="C57" s="43" t="s">
        <v>260</v>
      </c>
    </row>
    <row r="58" spans="1:3" ht="54.75" thickBot="1">
      <c r="A58" s="41" t="s">
        <v>261</v>
      </c>
      <c r="B58" s="39" t="s">
        <v>262</v>
      </c>
      <c r="C58" s="40" t="s">
        <v>263</v>
      </c>
    </row>
    <row r="59" spans="1:3" ht="54.75" thickBot="1">
      <c r="A59" s="41" t="s">
        <v>264</v>
      </c>
      <c r="B59" s="42" t="s">
        <v>265</v>
      </c>
      <c r="C59" s="43" t="s">
        <v>266</v>
      </c>
    </row>
    <row r="60" spans="1:3" ht="54.75" thickBot="1">
      <c r="A60" s="41" t="s">
        <v>267</v>
      </c>
      <c r="B60" s="39" t="s">
        <v>268</v>
      </c>
      <c r="C60" s="40" t="s">
        <v>269</v>
      </c>
    </row>
    <row r="61" spans="1:3" ht="68.25" thickBot="1">
      <c r="A61" s="41" t="s">
        <v>270</v>
      </c>
      <c r="B61" s="42" t="s">
        <v>271</v>
      </c>
      <c r="C61" s="43" t="s">
        <v>272</v>
      </c>
    </row>
    <row r="62" spans="1:3" ht="68.25" thickBot="1">
      <c r="A62" s="41" t="s">
        <v>273</v>
      </c>
      <c r="B62" s="39" t="s">
        <v>274</v>
      </c>
      <c r="C62" s="40" t="s">
        <v>275</v>
      </c>
    </row>
    <row r="63" spans="1:3" ht="68.25" thickBot="1">
      <c r="A63" s="41" t="s">
        <v>276</v>
      </c>
      <c r="B63" s="42" t="s">
        <v>277</v>
      </c>
      <c r="C63" s="43" t="s">
        <v>278</v>
      </c>
    </row>
    <row r="64" spans="1:3" ht="54.75" thickBot="1">
      <c r="A64" s="41" t="s">
        <v>279</v>
      </c>
      <c r="B64" s="39" t="s">
        <v>280</v>
      </c>
      <c r="C64" s="40" t="s">
        <v>281</v>
      </c>
    </row>
    <row r="65" spans="1:3" ht="54.75" thickBot="1">
      <c r="A65" s="41" t="s">
        <v>282</v>
      </c>
      <c r="B65" s="42" t="s">
        <v>283</v>
      </c>
      <c r="C65" s="43" t="s">
        <v>284</v>
      </c>
    </row>
    <row r="66" spans="1:3" ht="68.25" thickBot="1">
      <c r="A66" s="41" t="s">
        <v>285</v>
      </c>
      <c r="B66" s="39" t="s">
        <v>286</v>
      </c>
      <c r="C66" s="40" t="s">
        <v>287</v>
      </c>
    </row>
    <row r="67" spans="1:3" ht="54.75" thickBot="1">
      <c r="A67" s="41" t="s">
        <v>288</v>
      </c>
      <c r="B67" s="42" t="s">
        <v>289</v>
      </c>
      <c r="C67" s="43" t="s">
        <v>290</v>
      </c>
    </row>
    <row r="68" spans="1:3" ht="68.25" thickBot="1">
      <c r="A68" s="41" t="s">
        <v>291</v>
      </c>
      <c r="B68" s="39" t="s">
        <v>292</v>
      </c>
      <c r="C68" s="40" t="s">
        <v>293</v>
      </c>
    </row>
    <row r="69" spans="1:3" ht="54.75" thickBot="1">
      <c r="A69" s="41" t="s">
        <v>294</v>
      </c>
      <c r="B69" s="42" t="s">
        <v>295</v>
      </c>
      <c r="C69" s="43" t="s">
        <v>296</v>
      </c>
    </row>
    <row r="70" spans="1:3" ht="54.75" thickBot="1">
      <c r="A70" s="41" t="s">
        <v>297</v>
      </c>
      <c r="B70" s="39" t="s">
        <v>298</v>
      </c>
      <c r="C70" s="40" t="s">
        <v>299</v>
      </c>
    </row>
    <row r="71" spans="1:3" ht="54.75" thickBot="1">
      <c r="A71" s="41" t="s">
        <v>300</v>
      </c>
      <c r="B71" s="42" t="s">
        <v>301</v>
      </c>
      <c r="C71" s="43" t="s">
        <v>302</v>
      </c>
    </row>
    <row r="72" spans="1:3" ht="54.75" thickBot="1">
      <c r="A72" s="41" t="s">
        <v>303</v>
      </c>
      <c r="B72" s="39" t="s">
        <v>304</v>
      </c>
      <c r="C72" s="40" t="s">
        <v>305</v>
      </c>
    </row>
    <row r="73" spans="1:3" ht="54.75" thickBot="1">
      <c r="A73" s="41" t="s">
        <v>306</v>
      </c>
      <c r="B73" s="42" t="s">
        <v>307</v>
      </c>
      <c r="C73" s="43" t="s">
        <v>308</v>
      </c>
    </row>
    <row r="74" spans="1:3" ht="54.75" thickBot="1">
      <c r="A74" s="41" t="s">
        <v>309</v>
      </c>
      <c r="B74" s="39" t="s">
        <v>310</v>
      </c>
      <c r="C74" s="40" t="s">
        <v>311</v>
      </c>
    </row>
    <row r="75" spans="1:3" ht="54.75" thickBot="1">
      <c r="A75" s="41" t="s">
        <v>312</v>
      </c>
      <c r="B75" s="42" t="s">
        <v>313</v>
      </c>
      <c r="C75" s="43" t="s">
        <v>314</v>
      </c>
    </row>
    <row r="76" spans="1:3" ht="54.75" thickBot="1">
      <c r="A76" s="41" t="s">
        <v>315</v>
      </c>
      <c r="B76" s="39" t="s">
        <v>316</v>
      </c>
      <c r="C76" s="40" t="s">
        <v>317</v>
      </c>
    </row>
    <row r="77" spans="1:3" ht="54.75" thickBot="1">
      <c r="A77" s="41" t="s">
        <v>318</v>
      </c>
      <c r="B77" s="42" t="s">
        <v>319</v>
      </c>
      <c r="C77" s="43" t="s">
        <v>320</v>
      </c>
    </row>
    <row r="78" spans="1:3" ht="68.25" thickBot="1">
      <c r="A78" s="41" t="s">
        <v>309</v>
      </c>
      <c r="B78" s="39" t="s">
        <v>321</v>
      </c>
      <c r="C78" s="40" t="s">
        <v>311</v>
      </c>
    </row>
    <row r="79" spans="1:3" ht="54.75" thickBot="1">
      <c r="A79" s="42" t="s">
        <v>322</v>
      </c>
      <c r="B79" s="42" t="s">
        <v>323</v>
      </c>
      <c r="C79" s="43" t="s">
        <v>324</v>
      </c>
    </row>
    <row r="80" spans="1:3" ht="54.75" thickBot="1">
      <c r="A80" s="41" t="s">
        <v>325</v>
      </c>
      <c r="B80" s="39" t="s">
        <v>326</v>
      </c>
      <c r="C80" s="40" t="s">
        <v>327</v>
      </c>
    </row>
    <row r="81" spans="1:3" ht="54.75" thickBot="1">
      <c r="A81" s="41" t="s">
        <v>325</v>
      </c>
      <c r="B81" s="42" t="s">
        <v>326</v>
      </c>
      <c r="C81" s="43" t="s">
        <v>327</v>
      </c>
    </row>
    <row r="82" spans="1:3" ht="54.75" thickBot="1">
      <c r="A82" s="41" t="s">
        <v>328</v>
      </c>
      <c r="B82" s="39" t="s">
        <v>329</v>
      </c>
      <c r="C82" s="40" t="s">
        <v>330</v>
      </c>
    </row>
    <row r="83" spans="1:3" ht="68.25" thickBot="1">
      <c r="A83" s="41" t="s">
        <v>331</v>
      </c>
      <c r="B83" s="42" t="s">
        <v>332</v>
      </c>
      <c r="C83" s="43" t="s">
        <v>333</v>
      </c>
    </row>
    <row r="84" spans="1:3" ht="54.75" thickBot="1">
      <c r="A84" s="41" t="s">
        <v>334</v>
      </c>
      <c r="B84" s="39" t="s">
        <v>335</v>
      </c>
      <c r="C84" s="40" t="s">
        <v>336</v>
      </c>
    </row>
    <row r="85" spans="1:3" ht="68.25" thickBot="1">
      <c r="A85" s="41" t="s">
        <v>337</v>
      </c>
      <c r="B85" s="42" t="s">
        <v>338</v>
      </c>
      <c r="C85" s="43" t="s">
        <v>339</v>
      </c>
    </row>
    <row r="86" spans="1:3" ht="81.75" thickBot="1">
      <c r="A86" s="41" t="s">
        <v>340</v>
      </c>
      <c r="B86" s="39" t="s">
        <v>341</v>
      </c>
      <c r="C86" s="40" t="s">
        <v>342</v>
      </c>
    </row>
    <row r="87" spans="1:3" ht="81.75" thickBot="1">
      <c r="A87" s="41" t="s">
        <v>343</v>
      </c>
      <c r="B87" s="42" t="s">
        <v>344</v>
      </c>
      <c r="C87" s="43" t="s">
        <v>345</v>
      </c>
    </row>
    <row r="88" spans="1:3" ht="68.25" thickBot="1">
      <c r="A88" s="41" t="s">
        <v>346</v>
      </c>
      <c r="B88" s="39" t="s">
        <v>347</v>
      </c>
      <c r="C88" s="40" t="s">
        <v>348</v>
      </c>
    </row>
    <row r="89" spans="1:3" ht="68.25" thickBot="1">
      <c r="A89" s="41" t="s">
        <v>349</v>
      </c>
      <c r="B89" s="42" t="s">
        <v>350</v>
      </c>
      <c r="C89" s="43" t="s">
        <v>351</v>
      </c>
    </row>
    <row r="90" spans="1:3" ht="68.25" thickBot="1">
      <c r="A90" s="41" t="s">
        <v>352</v>
      </c>
      <c r="B90" s="39" t="s">
        <v>353</v>
      </c>
      <c r="C90" s="40" t="s">
        <v>354</v>
      </c>
    </row>
    <row r="91" spans="1:3" ht="68.25" thickBot="1">
      <c r="A91" s="41" t="s">
        <v>355</v>
      </c>
      <c r="B91" s="42" t="s">
        <v>356</v>
      </c>
      <c r="C91" s="43" t="s">
        <v>357</v>
      </c>
    </row>
    <row r="92" spans="1:3" ht="54.75" thickBot="1">
      <c r="A92" s="41" t="s">
        <v>358</v>
      </c>
      <c r="B92" s="39" t="s">
        <v>359</v>
      </c>
      <c r="C92" s="40" t="s">
        <v>360</v>
      </c>
    </row>
    <row r="93" spans="1:3" ht="68.25" thickBot="1">
      <c r="A93" s="41" t="s">
        <v>361</v>
      </c>
      <c r="B93" s="42" t="s">
        <v>362</v>
      </c>
      <c r="C93" s="43" t="s">
        <v>363</v>
      </c>
    </row>
    <row r="94" spans="1:3" ht="41.25" thickBot="1">
      <c r="A94" s="41" t="s">
        <v>364</v>
      </c>
      <c r="B94" s="39" t="s">
        <v>365</v>
      </c>
      <c r="C94" s="40" t="s">
        <v>366</v>
      </c>
    </row>
    <row r="95" spans="1:3" ht="68.25" thickBot="1">
      <c r="A95" s="41" t="s">
        <v>328</v>
      </c>
      <c r="B95" s="42" t="s">
        <v>367</v>
      </c>
      <c r="C95" s="43" t="s">
        <v>330</v>
      </c>
    </row>
    <row r="96" spans="1:3" ht="68.25" thickBot="1">
      <c r="A96" s="41" t="s">
        <v>368</v>
      </c>
      <c r="B96" s="39" t="s">
        <v>369</v>
      </c>
      <c r="C96" s="40" t="s">
        <v>370</v>
      </c>
    </row>
    <row r="97" spans="1:3" ht="41.25" thickBot="1">
      <c r="A97" s="42" t="s">
        <v>371</v>
      </c>
      <c r="B97" s="42" t="s">
        <v>372</v>
      </c>
      <c r="C97" s="43" t="s">
        <v>373</v>
      </c>
    </row>
    <row r="98" spans="1:3" ht="41.25" thickBot="1">
      <c r="A98" s="39" t="s">
        <v>374</v>
      </c>
      <c r="B98" s="39" t="s">
        <v>375</v>
      </c>
      <c r="C98" s="40" t="s">
        <v>376</v>
      </c>
    </row>
    <row r="99" spans="1:3" ht="41.25" thickBot="1">
      <c r="A99" s="41" t="s">
        <v>377</v>
      </c>
      <c r="B99" s="42" t="s">
        <v>378</v>
      </c>
      <c r="C99" s="43" t="s">
        <v>379</v>
      </c>
    </row>
    <row r="100" spans="1:3" ht="54.75" thickBot="1">
      <c r="A100" s="41" t="s">
        <v>380</v>
      </c>
      <c r="B100" s="39" t="s">
        <v>381</v>
      </c>
      <c r="C100" s="40" t="s">
        <v>382</v>
      </c>
    </row>
    <row r="101" spans="1:3" ht="41.25" thickBot="1">
      <c r="A101" s="41" t="s">
        <v>383</v>
      </c>
      <c r="B101" s="42" t="s">
        <v>384</v>
      </c>
      <c r="C101" s="43" t="s">
        <v>385</v>
      </c>
    </row>
    <row r="102" spans="1:3" ht="54.75" thickBot="1">
      <c r="A102" s="41" t="s">
        <v>386</v>
      </c>
      <c r="B102" s="39" t="s">
        <v>387</v>
      </c>
      <c r="C102" s="40" t="s">
        <v>388</v>
      </c>
    </row>
    <row r="103" spans="1:3" ht="54.75" thickBot="1">
      <c r="A103" s="41" t="s">
        <v>389</v>
      </c>
      <c r="B103" s="42" t="s">
        <v>390</v>
      </c>
      <c r="C103" s="43" t="s">
        <v>391</v>
      </c>
    </row>
    <row r="104" spans="1:3" ht="54.75" thickBot="1">
      <c r="A104" s="41" t="s">
        <v>392</v>
      </c>
      <c r="B104" s="39" t="s">
        <v>393</v>
      </c>
      <c r="C104" s="40" t="s">
        <v>394</v>
      </c>
    </row>
    <row r="105" spans="1:3" ht="54.75" thickBot="1">
      <c r="A105" s="41" t="s">
        <v>395</v>
      </c>
      <c r="B105" s="42" t="s">
        <v>396</v>
      </c>
      <c r="C105" s="43" t="s">
        <v>397</v>
      </c>
    </row>
    <row r="106" spans="1:3" ht="54.75" thickBot="1">
      <c r="A106" s="39" t="s">
        <v>398</v>
      </c>
      <c r="B106" s="39" t="s">
        <v>399</v>
      </c>
      <c r="C106" s="40" t="s">
        <v>400</v>
      </c>
    </row>
    <row r="107" spans="1:3" ht="54.75" thickBot="1">
      <c r="A107" s="41" t="s">
        <v>401</v>
      </c>
      <c r="B107" s="42" t="s">
        <v>402</v>
      </c>
      <c r="C107" s="43" t="s">
        <v>403</v>
      </c>
    </row>
    <row r="108" spans="1:3" ht="54.75" thickBot="1">
      <c r="A108" s="41" t="s">
        <v>404</v>
      </c>
      <c r="B108" s="39" t="s">
        <v>405</v>
      </c>
      <c r="C108" s="40" t="s">
        <v>406</v>
      </c>
    </row>
    <row r="109" spans="1:3" ht="54.75" thickBot="1">
      <c r="A109" s="41" t="s">
        <v>407</v>
      </c>
      <c r="B109" s="42" t="s">
        <v>405</v>
      </c>
      <c r="C109" s="43" t="s">
        <v>408</v>
      </c>
    </row>
    <row r="110" spans="1:3" ht="54.75" thickBot="1">
      <c r="A110" s="41" t="s">
        <v>409</v>
      </c>
      <c r="B110" s="39" t="s">
        <v>410</v>
      </c>
      <c r="C110" s="40" t="s">
        <v>406</v>
      </c>
    </row>
    <row r="111" spans="1:3" ht="54.75" thickBot="1">
      <c r="A111" s="41" t="s">
        <v>411</v>
      </c>
      <c r="B111" s="42" t="s">
        <v>410</v>
      </c>
      <c r="C111" s="43" t="s">
        <v>412</v>
      </c>
    </row>
    <row r="112" spans="1:3" ht="54.75" thickBot="1">
      <c r="A112" s="41" t="s">
        <v>413</v>
      </c>
      <c r="B112" s="39" t="s">
        <v>410</v>
      </c>
      <c r="C112" s="40" t="s">
        <v>400</v>
      </c>
    </row>
    <row r="113" spans="1:3" ht="54.75" thickBot="1">
      <c r="A113" s="41" t="s">
        <v>414</v>
      </c>
      <c r="B113" s="42" t="s">
        <v>410</v>
      </c>
      <c r="C113" s="43" t="s">
        <v>406</v>
      </c>
    </row>
    <row r="114" spans="1:3" ht="54.75" thickBot="1">
      <c r="A114" s="41" t="s">
        <v>415</v>
      </c>
      <c r="B114" s="39" t="s">
        <v>416</v>
      </c>
      <c r="C114" s="40" t="s">
        <v>417</v>
      </c>
    </row>
    <row r="115" spans="1:3" ht="68.25" thickBot="1">
      <c r="A115" s="41" t="s">
        <v>418</v>
      </c>
      <c r="B115" s="42" t="s">
        <v>419</v>
      </c>
      <c r="C115" s="43" t="s">
        <v>420</v>
      </c>
    </row>
    <row r="116" spans="1:3" ht="54.75" thickBot="1">
      <c r="A116" s="41" t="s">
        <v>398</v>
      </c>
      <c r="B116" s="39" t="s">
        <v>399</v>
      </c>
      <c r="C116" s="40" t="s">
        <v>400</v>
      </c>
    </row>
    <row r="117" spans="1:3" ht="54.75" thickBot="1">
      <c r="A117" s="41" t="s">
        <v>401</v>
      </c>
      <c r="B117" s="42" t="s">
        <v>402</v>
      </c>
      <c r="C117" s="43" t="s">
        <v>403</v>
      </c>
    </row>
    <row r="118" spans="1:3" ht="54.75" thickBot="1">
      <c r="A118" s="39" t="s">
        <v>421</v>
      </c>
      <c r="B118" s="39" t="s">
        <v>422</v>
      </c>
      <c r="C118" s="40" t="s">
        <v>423</v>
      </c>
    </row>
    <row r="119" spans="1:3" ht="54.75" thickBot="1">
      <c r="A119" s="41" t="s">
        <v>424</v>
      </c>
      <c r="B119" s="42" t="s">
        <v>425</v>
      </c>
      <c r="C119" s="43" t="s">
        <v>426</v>
      </c>
    </row>
    <row r="120" spans="1:3" ht="54.75" thickBot="1">
      <c r="A120" s="41" t="s">
        <v>427</v>
      </c>
      <c r="B120" s="39" t="s">
        <v>428</v>
      </c>
      <c r="C120" s="40" t="s">
        <v>429</v>
      </c>
    </row>
    <row r="121" spans="1:3" ht="68.25" thickBot="1">
      <c r="A121" s="41" t="s">
        <v>430</v>
      </c>
      <c r="B121" s="42" t="s">
        <v>431</v>
      </c>
      <c r="C121" s="43" t="s">
        <v>432</v>
      </c>
    </row>
    <row r="122" spans="1:3" ht="54.75" thickBot="1">
      <c r="A122" s="41" t="s">
        <v>433</v>
      </c>
      <c r="B122" s="39" t="s">
        <v>434</v>
      </c>
      <c r="C122" s="40" t="s">
        <v>435</v>
      </c>
    </row>
    <row r="123" spans="1:3" ht="68.25" thickBot="1">
      <c r="A123" s="41" t="s">
        <v>436</v>
      </c>
      <c r="B123" s="42" t="s">
        <v>437</v>
      </c>
      <c r="C123" s="43" t="s">
        <v>438</v>
      </c>
    </row>
    <row r="124" spans="1:3" ht="54.75" thickBot="1">
      <c r="A124" s="39" t="s">
        <v>439</v>
      </c>
      <c r="B124" s="39" t="s">
        <v>440</v>
      </c>
      <c r="C124" s="40" t="s">
        <v>441</v>
      </c>
    </row>
    <row r="125" spans="1:3" ht="41.25" thickBot="1">
      <c r="A125" s="41" t="s">
        <v>442</v>
      </c>
      <c r="B125" s="42" t="s">
        <v>443</v>
      </c>
      <c r="C125" s="43" t="s">
        <v>444</v>
      </c>
    </row>
    <row r="126" spans="1:3" ht="41.25" thickBot="1">
      <c r="A126" s="41" t="s">
        <v>445</v>
      </c>
      <c r="B126" s="39" t="s">
        <v>446</v>
      </c>
      <c r="C126" s="40" t="s">
        <v>447</v>
      </c>
    </row>
    <row r="127" spans="1:3" ht="54.75" thickBot="1">
      <c r="A127" s="41" t="s">
        <v>448</v>
      </c>
      <c r="B127" s="42" t="s">
        <v>449</v>
      </c>
      <c r="C127" s="43" t="s">
        <v>450</v>
      </c>
    </row>
    <row r="128" spans="1:3" ht="68.25" thickBot="1">
      <c r="A128" s="41" t="s">
        <v>451</v>
      </c>
      <c r="B128" s="39" t="s">
        <v>452</v>
      </c>
      <c r="C128" s="40" t="s">
        <v>453</v>
      </c>
    </row>
    <row r="129" spans="1:3" ht="41.25" thickBot="1">
      <c r="A129" s="41" t="s">
        <v>454</v>
      </c>
      <c r="B129" s="42" t="s">
        <v>455</v>
      </c>
      <c r="C129" s="43" t="s">
        <v>456</v>
      </c>
    </row>
    <row r="130" spans="1:3" ht="68.25" thickBot="1">
      <c r="A130" s="41" t="s">
        <v>457</v>
      </c>
      <c r="B130" s="39" t="s">
        <v>458</v>
      </c>
      <c r="C130" s="40" t="s">
        <v>459</v>
      </c>
    </row>
    <row r="131" spans="1:3" ht="41.25" thickBot="1">
      <c r="A131" s="41" t="s">
        <v>460</v>
      </c>
      <c r="B131" s="42" t="s">
        <v>461</v>
      </c>
      <c r="C131" s="43" t="s">
        <v>462</v>
      </c>
    </row>
    <row r="132" spans="1:3" ht="68.25" thickBot="1">
      <c r="A132" s="41" t="s">
        <v>463</v>
      </c>
      <c r="B132" s="39" t="s">
        <v>464</v>
      </c>
      <c r="C132" s="40" t="s">
        <v>465</v>
      </c>
    </row>
    <row r="133" spans="1:3" ht="54.75" thickBot="1">
      <c r="A133" s="41" t="s">
        <v>466</v>
      </c>
      <c r="B133" s="42" t="s">
        <v>467</v>
      </c>
      <c r="C133" s="43" t="s">
        <v>468</v>
      </c>
    </row>
    <row r="134" spans="1:3" ht="54.75" thickBot="1">
      <c r="A134" s="41" t="s">
        <v>469</v>
      </c>
      <c r="B134" s="39" t="s">
        <v>470</v>
      </c>
      <c r="C134" s="40" t="s">
        <v>471</v>
      </c>
    </row>
    <row r="135" spans="1:3" ht="68.25" thickBot="1">
      <c r="A135" s="41" t="s">
        <v>472</v>
      </c>
      <c r="B135" s="42" t="s">
        <v>473</v>
      </c>
      <c r="C135" s="43" t="s">
        <v>474</v>
      </c>
    </row>
    <row r="136" spans="1:3" ht="54.75" thickBot="1">
      <c r="A136" s="41" t="s">
        <v>475</v>
      </c>
      <c r="B136" s="39" t="s">
        <v>476</v>
      </c>
      <c r="C136" s="40" t="s">
        <v>477</v>
      </c>
    </row>
    <row r="137" spans="1:3" ht="68.25" thickBot="1">
      <c r="A137" s="41" t="s">
        <v>478</v>
      </c>
      <c r="B137" s="42" t="s">
        <v>479</v>
      </c>
      <c r="C137" s="43" t="s">
        <v>480</v>
      </c>
    </row>
    <row r="138" spans="1:3" ht="54.75" thickBot="1">
      <c r="A138" s="39" t="s">
        <v>481</v>
      </c>
      <c r="B138" s="39" t="s">
        <v>482</v>
      </c>
      <c r="C138" s="40" t="s">
        <v>483</v>
      </c>
    </row>
    <row r="139" spans="1:3" ht="54.75" thickBot="1">
      <c r="A139" s="41" t="s">
        <v>484</v>
      </c>
      <c r="B139" s="42" t="s">
        <v>485</v>
      </c>
      <c r="C139" s="43" t="s">
        <v>486</v>
      </c>
    </row>
    <row r="140" spans="1:3" ht="54.75" thickBot="1">
      <c r="A140" s="41" t="s">
        <v>487</v>
      </c>
      <c r="B140" s="39" t="s">
        <v>488</v>
      </c>
      <c r="C140" s="40" t="s">
        <v>489</v>
      </c>
    </row>
    <row r="141" spans="1:3" ht="81.75" thickBot="1">
      <c r="A141" s="41" t="s">
        <v>490</v>
      </c>
      <c r="B141" s="42" t="s">
        <v>491</v>
      </c>
      <c r="C141" s="43" t="s">
        <v>492</v>
      </c>
    </row>
    <row r="142" spans="1:3" ht="54.75" thickBot="1">
      <c r="A142" s="41" t="s">
        <v>493</v>
      </c>
      <c r="B142" s="39" t="s">
        <v>494</v>
      </c>
      <c r="C142" s="40" t="s">
        <v>495</v>
      </c>
    </row>
    <row r="143" spans="1:3" ht="81.75" thickBot="1">
      <c r="A143" s="41" t="s">
        <v>496</v>
      </c>
      <c r="B143" s="42" t="s">
        <v>497</v>
      </c>
      <c r="C143" s="43" t="s">
        <v>498</v>
      </c>
    </row>
    <row r="144" spans="1:3" ht="68.25" thickBot="1">
      <c r="A144" s="41" t="s">
        <v>499</v>
      </c>
      <c r="B144" s="39" t="s">
        <v>500</v>
      </c>
      <c r="C144" s="40" t="s">
        <v>501</v>
      </c>
    </row>
    <row r="145" spans="1:3" ht="68.25" thickBot="1">
      <c r="A145" s="41" t="s">
        <v>502</v>
      </c>
      <c r="B145" s="42" t="s">
        <v>500</v>
      </c>
      <c r="C145" s="43" t="s">
        <v>501</v>
      </c>
    </row>
    <row r="146" spans="1:3" ht="81.75" thickBot="1">
      <c r="A146" s="41" t="s">
        <v>503</v>
      </c>
      <c r="B146" s="39" t="s">
        <v>504</v>
      </c>
      <c r="C146" s="40" t="s">
        <v>505</v>
      </c>
    </row>
    <row r="147" spans="1:3" ht="68.25" thickBot="1">
      <c r="A147" s="41" t="s">
        <v>506</v>
      </c>
      <c r="B147" s="42" t="s">
        <v>507</v>
      </c>
      <c r="C147" s="43" t="s">
        <v>508</v>
      </c>
    </row>
    <row r="148" spans="1:3" ht="68.25" thickBot="1">
      <c r="A148" s="41" t="s">
        <v>509</v>
      </c>
      <c r="B148" s="39" t="s">
        <v>510</v>
      </c>
      <c r="C148" s="40" t="s">
        <v>511</v>
      </c>
    </row>
    <row r="149" spans="1:3" ht="81.75" thickBot="1">
      <c r="A149" s="41" t="s">
        <v>481</v>
      </c>
      <c r="B149" s="42" t="s">
        <v>512</v>
      </c>
      <c r="C149" s="43" t="s">
        <v>483</v>
      </c>
    </row>
    <row r="150" spans="1:3" ht="95.25" thickBot="1">
      <c r="A150" s="41" t="s">
        <v>513</v>
      </c>
      <c r="B150" s="39" t="s">
        <v>514</v>
      </c>
      <c r="C150" s="40" t="s">
        <v>515</v>
      </c>
    </row>
    <row r="151" spans="1:3" ht="108.75" thickBot="1">
      <c r="A151" s="41" t="s">
        <v>516</v>
      </c>
      <c r="B151" s="42" t="s">
        <v>517</v>
      </c>
      <c r="C151" s="43" t="s">
        <v>518</v>
      </c>
    </row>
    <row r="152" spans="1:3" ht="54.75" thickBot="1">
      <c r="A152" s="41" t="s">
        <v>519</v>
      </c>
      <c r="B152" s="39" t="s">
        <v>520</v>
      </c>
      <c r="C152" s="40" t="s">
        <v>521</v>
      </c>
    </row>
    <row r="153" spans="1:3" ht="54.75" thickBot="1">
      <c r="A153" s="41" t="s">
        <v>522</v>
      </c>
      <c r="B153" s="42" t="s">
        <v>523</v>
      </c>
      <c r="C153" s="43" t="s">
        <v>524</v>
      </c>
    </row>
    <row r="154" spans="1:3" ht="54.75" thickBot="1">
      <c r="A154" s="41" t="s">
        <v>525</v>
      </c>
      <c r="B154" s="39" t="s">
        <v>526</v>
      </c>
      <c r="C154" s="40" t="s">
        <v>527</v>
      </c>
    </row>
    <row r="155" spans="1:3" ht="54.75" thickBot="1">
      <c r="A155" s="41" t="s">
        <v>528</v>
      </c>
      <c r="B155" s="42" t="s">
        <v>529</v>
      </c>
      <c r="C155" s="43" t="s">
        <v>530</v>
      </c>
    </row>
    <row r="156" spans="1:3" ht="68.25" thickBot="1">
      <c r="A156" s="39" t="s">
        <v>531</v>
      </c>
      <c r="B156" s="39" t="s">
        <v>532</v>
      </c>
      <c r="C156" s="40" t="s">
        <v>533</v>
      </c>
    </row>
    <row r="157" spans="1:3" ht="54.75" thickBot="1">
      <c r="A157" s="41" t="s">
        <v>534</v>
      </c>
      <c r="B157" s="42" t="s">
        <v>535</v>
      </c>
      <c r="C157" s="43" t="s">
        <v>536</v>
      </c>
    </row>
    <row r="158" spans="1:3" ht="54.75" thickBot="1">
      <c r="A158" s="41" t="s">
        <v>525</v>
      </c>
      <c r="B158" s="39" t="s">
        <v>526</v>
      </c>
      <c r="C158" s="40" t="s">
        <v>527</v>
      </c>
    </row>
    <row r="159" spans="1:3" ht="68.25" thickBot="1">
      <c r="A159" s="41" t="s">
        <v>537</v>
      </c>
      <c r="B159" s="42" t="s">
        <v>538</v>
      </c>
      <c r="C159" s="43" t="s">
        <v>539</v>
      </c>
    </row>
    <row r="160" spans="1:3" ht="54.75" thickBot="1">
      <c r="A160" s="41" t="s">
        <v>540</v>
      </c>
      <c r="B160" s="39" t="s">
        <v>541</v>
      </c>
      <c r="C160" s="40" t="s">
        <v>542</v>
      </c>
    </row>
    <row r="161" spans="1:3" ht="54.75" thickBot="1">
      <c r="A161" s="41" t="s">
        <v>543</v>
      </c>
      <c r="B161" s="42" t="s">
        <v>544</v>
      </c>
      <c r="C161" s="43" t="s">
        <v>545</v>
      </c>
    </row>
    <row r="162" spans="1:3" ht="54.75" thickBot="1">
      <c r="A162" s="41" t="s">
        <v>546</v>
      </c>
      <c r="B162" s="39" t="s">
        <v>547</v>
      </c>
      <c r="C162" s="40" t="s">
        <v>548</v>
      </c>
    </row>
    <row r="163" spans="1:3" ht="54.75" thickBot="1">
      <c r="A163" s="41" t="s">
        <v>549</v>
      </c>
      <c r="B163" s="42" t="s">
        <v>550</v>
      </c>
      <c r="C163" s="43" t="s">
        <v>551</v>
      </c>
    </row>
    <row r="164" spans="1:3" ht="54.75" thickBot="1">
      <c r="A164" s="41" t="s">
        <v>528</v>
      </c>
      <c r="B164" s="39" t="s">
        <v>529</v>
      </c>
      <c r="C164" s="40" t="s">
        <v>530</v>
      </c>
    </row>
    <row r="165" spans="1:3" ht="41.25" thickBot="1">
      <c r="A165" s="41" t="s">
        <v>552</v>
      </c>
      <c r="B165" s="42" t="s">
        <v>553</v>
      </c>
      <c r="C165" s="43" t="s">
        <v>554</v>
      </c>
    </row>
    <row r="166" spans="1:3" ht="54.75" thickBot="1">
      <c r="A166" s="39" t="s">
        <v>555</v>
      </c>
      <c r="B166" s="39" t="s">
        <v>556</v>
      </c>
      <c r="C166" s="40" t="s">
        <v>557</v>
      </c>
    </row>
    <row r="167" spans="1:3" ht="68.25" thickBot="1">
      <c r="A167" s="41" t="s">
        <v>558</v>
      </c>
      <c r="B167" s="42" t="s">
        <v>559</v>
      </c>
      <c r="C167" s="43" t="s">
        <v>560</v>
      </c>
    </row>
    <row r="168" spans="1:3" ht="68.25" thickBot="1">
      <c r="A168" s="41" t="s">
        <v>561</v>
      </c>
      <c r="B168" s="39" t="s">
        <v>562</v>
      </c>
      <c r="C168" s="40" t="s">
        <v>563</v>
      </c>
    </row>
    <row r="169" spans="1:3" ht="54.75" thickBot="1">
      <c r="A169" s="41" t="s">
        <v>564</v>
      </c>
      <c r="B169" s="42" t="s">
        <v>565</v>
      </c>
      <c r="C169" s="43" t="s">
        <v>566</v>
      </c>
    </row>
    <row r="170" spans="1:3" ht="54.75" thickBot="1">
      <c r="A170" s="41" t="s">
        <v>567</v>
      </c>
      <c r="B170" s="39" t="s">
        <v>568</v>
      </c>
      <c r="C170" s="40" t="s">
        <v>569</v>
      </c>
    </row>
    <row r="171" spans="1:3" ht="54.75" thickBot="1">
      <c r="A171" s="42" t="s">
        <v>570</v>
      </c>
      <c r="B171" s="42" t="s">
        <v>571</v>
      </c>
      <c r="C171" s="43" t="s">
        <v>572</v>
      </c>
    </row>
    <row r="172" spans="1:3" ht="81.75" thickBot="1">
      <c r="A172" s="41" t="s">
        <v>573</v>
      </c>
      <c r="B172" s="39" t="s">
        <v>574</v>
      </c>
      <c r="C172" s="40" t="s">
        <v>575</v>
      </c>
    </row>
    <row r="173" spans="1:3" ht="54.75" thickBot="1">
      <c r="A173" s="41" t="s">
        <v>576</v>
      </c>
      <c r="B173" s="42" t="s">
        <v>577</v>
      </c>
      <c r="C173" s="43" t="s">
        <v>578</v>
      </c>
    </row>
    <row r="174" spans="1:3" ht="54.75" thickBot="1">
      <c r="A174" s="41" t="s">
        <v>579</v>
      </c>
      <c r="B174" s="39" t="s">
        <v>580</v>
      </c>
      <c r="C174" s="40" t="s">
        <v>581</v>
      </c>
    </row>
    <row r="175" spans="1:3" ht="54.75" thickBot="1">
      <c r="A175" s="41" t="s">
        <v>582</v>
      </c>
      <c r="B175" s="42" t="s">
        <v>583</v>
      </c>
      <c r="C175" s="43" t="s">
        <v>584</v>
      </c>
    </row>
    <row r="176" spans="1:3" ht="54.75" thickBot="1">
      <c r="A176" s="41" t="s">
        <v>585</v>
      </c>
      <c r="B176" s="39" t="s">
        <v>586</v>
      </c>
      <c r="C176" s="40" t="s">
        <v>587</v>
      </c>
    </row>
    <row r="177" spans="1:3" ht="41.25" thickBot="1">
      <c r="A177" s="41" t="s">
        <v>588</v>
      </c>
      <c r="B177" s="42" t="s">
        <v>589</v>
      </c>
      <c r="C177" s="43" t="s">
        <v>590</v>
      </c>
    </row>
    <row r="178" spans="1:3" ht="54.75" thickBot="1">
      <c r="A178" s="41" t="s">
        <v>591</v>
      </c>
      <c r="B178" s="39" t="s">
        <v>592</v>
      </c>
      <c r="C178" s="40" t="s">
        <v>593</v>
      </c>
    </row>
    <row r="179" spans="1:3" ht="54.75" thickBot="1">
      <c r="A179" s="41" t="s">
        <v>594</v>
      </c>
      <c r="B179" s="42" t="s">
        <v>595</v>
      </c>
      <c r="C179" s="43" t="s">
        <v>596</v>
      </c>
    </row>
    <row r="180" spans="1:3" ht="54.75" thickBot="1">
      <c r="A180" s="41" t="s">
        <v>597</v>
      </c>
      <c r="B180" s="39" t="s">
        <v>598</v>
      </c>
      <c r="C180" s="40" t="s">
        <v>599</v>
      </c>
    </row>
    <row r="181" spans="1:3" ht="41.25" thickBot="1">
      <c r="A181" s="41" t="s">
        <v>588</v>
      </c>
      <c r="B181" s="42" t="s">
        <v>600</v>
      </c>
      <c r="C181" s="43" t="s">
        <v>590</v>
      </c>
    </row>
    <row r="182" spans="1:3" ht="54.75" thickBot="1">
      <c r="A182" s="39" t="s">
        <v>601</v>
      </c>
      <c r="B182" s="39" t="s">
        <v>602</v>
      </c>
      <c r="C182" s="40" t="s">
        <v>603</v>
      </c>
    </row>
    <row r="183" spans="1:3" ht="54.75" thickBot="1">
      <c r="A183" s="41" t="s">
        <v>604</v>
      </c>
      <c r="B183" s="42" t="s">
        <v>605</v>
      </c>
      <c r="C183" s="43" t="s">
        <v>606</v>
      </c>
    </row>
    <row r="184" spans="1:3" ht="41.25" thickBot="1">
      <c r="A184" s="39" t="s">
        <v>607</v>
      </c>
      <c r="B184" s="39" t="s">
        <v>608</v>
      </c>
      <c r="C184" s="40" t="s">
        <v>609</v>
      </c>
    </row>
    <row r="185" spans="1:3" ht="54.75" thickBot="1">
      <c r="A185" s="41" t="s">
        <v>610</v>
      </c>
      <c r="B185" s="42" t="s">
        <v>611</v>
      </c>
      <c r="C185" s="43" t="s">
        <v>612</v>
      </c>
    </row>
    <row r="186" spans="1:3" ht="54.75" thickBot="1">
      <c r="A186" s="41" t="s">
        <v>613</v>
      </c>
      <c r="B186" s="39" t="s">
        <v>614</v>
      </c>
      <c r="C186" s="40" t="s">
        <v>615</v>
      </c>
    </row>
    <row r="187" spans="1:3" ht="54.75" thickBot="1">
      <c r="A187" s="42" t="s">
        <v>616</v>
      </c>
      <c r="B187" s="42" t="s">
        <v>617</v>
      </c>
      <c r="C187" s="43" t="s">
        <v>618</v>
      </c>
    </row>
    <row r="188" spans="1:3" ht="54.75" thickBot="1">
      <c r="A188" s="39" t="s">
        <v>619</v>
      </c>
      <c r="B188" s="39" t="s">
        <v>620</v>
      </c>
      <c r="C188" s="40" t="s">
        <v>621</v>
      </c>
    </row>
    <row r="189" spans="1:3" ht="41.25" thickBot="1">
      <c r="A189" s="41" t="s">
        <v>622</v>
      </c>
      <c r="B189" s="42" t="s">
        <v>623</v>
      </c>
      <c r="C189" s="43" t="s">
        <v>624</v>
      </c>
    </row>
    <row r="190" spans="1:3" ht="54.75" thickBot="1">
      <c r="A190" s="39" t="s">
        <v>625</v>
      </c>
      <c r="B190" s="39" t="s">
        <v>626</v>
      </c>
      <c r="C190" s="40" t="s">
        <v>627</v>
      </c>
    </row>
    <row r="191" spans="1:3" ht="54.75" thickBot="1">
      <c r="A191" s="41" t="s">
        <v>628</v>
      </c>
      <c r="B191" s="42" t="s">
        <v>629</v>
      </c>
      <c r="C191" s="43" t="s">
        <v>630</v>
      </c>
    </row>
    <row r="192" spans="1:3" ht="68.25" thickBot="1">
      <c r="A192" s="41" t="s">
        <v>631</v>
      </c>
      <c r="B192" s="39" t="s">
        <v>632</v>
      </c>
      <c r="C192" s="40" t="s">
        <v>633</v>
      </c>
    </row>
    <row r="193" spans="1:3" ht="68.25" thickBot="1">
      <c r="A193" s="41" t="s">
        <v>634</v>
      </c>
      <c r="B193" s="42" t="s">
        <v>635</v>
      </c>
      <c r="C193" s="43" t="s">
        <v>636</v>
      </c>
    </row>
    <row r="194" spans="1:3" ht="68.25" thickBot="1">
      <c r="A194" s="41" t="s">
        <v>637</v>
      </c>
      <c r="B194" s="39" t="s">
        <v>638</v>
      </c>
      <c r="C194" s="40" t="s">
        <v>639</v>
      </c>
    </row>
    <row r="195" spans="1:3" ht="54.75" thickBot="1">
      <c r="A195" s="41" t="s">
        <v>640</v>
      </c>
      <c r="B195" s="42" t="s">
        <v>641</v>
      </c>
      <c r="C195" s="43" t="s">
        <v>642</v>
      </c>
    </row>
    <row r="196" spans="1:3" ht="54.75" thickBot="1">
      <c r="A196" s="41" t="s">
        <v>643</v>
      </c>
      <c r="B196" s="39" t="s">
        <v>644</v>
      </c>
      <c r="C196" s="40" t="s">
        <v>645</v>
      </c>
    </row>
    <row r="197" spans="1:3" ht="68.25" thickBot="1">
      <c r="A197" s="41" t="s">
        <v>646</v>
      </c>
      <c r="B197" s="42" t="s">
        <v>647</v>
      </c>
      <c r="C197" s="43" t="s">
        <v>648</v>
      </c>
    </row>
    <row r="198" spans="1:3" ht="68.25" thickBot="1">
      <c r="A198" s="41" t="s">
        <v>649</v>
      </c>
      <c r="B198" s="39" t="s">
        <v>650</v>
      </c>
      <c r="C198" s="40" t="s">
        <v>651</v>
      </c>
    </row>
    <row r="199" spans="1:3" ht="68.25" thickBot="1">
      <c r="A199" s="41" t="s">
        <v>652</v>
      </c>
      <c r="B199" s="42" t="s">
        <v>653</v>
      </c>
      <c r="C199" s="43" t="s">
        <v>654</v>
      </c>
    </row>
    <row r="200" spans="1:3" ht="68.25" thickBot="1">
      <c r="A200" s="41" t="s">
        <v>655</v>
      </c>
      <c r="B200" s="39" t="s">
        <v>656</v>
      </c>
      <c r="C200" s="40" t="s">
        <v>657</v>
      </c>
    </row>
    <row r="201" spans="1:3" ht="41.25" thickBot="1">
      <c r="A201" s="42" t="s">
        <v>658</v>
      </c>
      <c r="B201" s="42" t="s">
        <v>659</v>
      </c>
      <c r="C201" s="43" t="s">
        <v>660</v>
      </c>
    </row>
    <row r="202" spans="1:3" ht="41.25" thickBot="1">
      <c r="A202" s="41" t="s">
        <v>661</v>
      </c>
      <c r="B202" s="39" t="s">
        <v>662</v>
      </c>
      <c r="C202" s="40" t="s">
        <v>663</v>
      </c>
    </row>
    <row r="203" spans="1:3" ht="54.75" thickBot="1">
      <c r="A203" s="42" t="s">
        <v>664</v>
      </c>
      <c r="B203" s="42" t="s">
        <v>665</v>
      </c>
      <c r="C203" s="43" t="s">
        <v>666</v>
      </c>
    </row>
    <row r="204" spans="1:3" ht="54.75" thickBot="1">
      <c r="A204" s="41" t="s">
        <v>667</v>
      </c>
      <c r="B204" s="39" t="s">
        <v>668</v>
      </c>
      <c r="C204" s="40" t="s">
        <v>669</v>
      </c>
    </row>
    <row r="205" spans="1:3" ht="41.25" thickBot="1">
      <c r="A205" s="41" t="s">
        <v>670</v>
      </c>
      <c r="B205" s="42" t="s">
        <v>671</v>
      </c>
      <c r="C205" s="43" t="s">
        <v>672</v>
      </c>
    </row>
    <row r="206" spans="1:3" ht="41.25" thickBot="1">
      <c r="A206" s="41" t="s">
        <v>673</v>
      </c>
      <c r="B206" s="39" t="s">
        <v>674</v>
      </c>
      <c r="C206" s="40" t="s">
        <v>675</v>
      </c>
    </row>
    <row r="207" spans="1:3" ht="54.75" thickBot="1">
      <c r="A207" s="42" t="s">
        <v>676</v>
      </c>
      <c r="B207" s="42" t="s">
        <v>677</v>
      </c>
      <c r="C207" s="43" t="s">
        <v>678</v>
      </c>
    </row>
    <row r="208" spans="1:3" ht="54.75" thickBot="1">
      <c r="A208" s="41" t="s">
        <v>679</v>
      </c>
      <c r="B208" s="39" t="s">
        <v>680</v>
      </c>
      <c r="C208" s="40" t="s">
        <v>681</v>
      </c>
    </row>
    <row r="209" spans="1:3" ht="54.75" thickBot="1">
      <c r="A209" s="41" t="s">
        <v>682</v>
      </c>
      <c r="B209" s="42" t="s">
        <v>683</v>
      </c>
      <c r="C209" s="43" t="s">
        <v>684</v>
      </c>
    </row>
    <row r="210" spans="1:3" ht="68.25" thickBot="1">
      <c r="A210" s="41" t="s">
        <v>685</v>
      </c>
      <c r="B210" s="39" t="s">
        <v>686</v>
      </c>
      <c r="C210" s="40" t="s">
        <v>687</v>
      </c>
    </row>
    <row r="211" spans="1:3" ht="54.75" thickBot="1">
      <c r="A211" s="42" t="s">
        <v>688</v>
      </c>
      <c r="B211" s="42" t="s">
        <v>689</v>
      </c>
      <c r="C211" s="43" t="s">
        <v>690</v>
      </c>
    </row>
    <row r="212" spans="1:3" ht="54.75" thickBot="1">
      <c r="A212" s="41" t="s">
        <v>691</v>
      </c>
      <c r="B212" s="39" t="s">
        <v>692</v>
      </c>
      <c r="C212" s="40" t="s">
        <v>693</v>
      </c>
    </row>
    <row r="213" spans="1:3" ht="54.75" thickBot="1">
      <c r="A213" s="41" t="s">
        <v>688</v>
      </c>
      <c r="B213" s="42" t="s">
        <v>694</v>
      </c>
      <c r="C213" s="43" t="s">
        <v>690</v>
      </c>
    </row>
    <row r="214" spans="1:3" ht="54.75" thickBot="1">
      <c r="A214" s="41" t="s">
        <v>695</v>
      </c>
      <c r="B214" s="39" t="s">
        <v>696</v>
      </c>
      <c r="C214" s="40" t="s">
        <v>697</v>
      </c>
    </row>
    <row r="215" spans="1:3" ht="41.25" thickBot="1">
      <c r="A215" s="41" t="s">
        <v>698</v>
      </c>
      <c r="B215" s="42" t="s">
        <v>699</v>
      </c>
      <c r="C215" s="43" t="s">
        <v>700</v>
      </c>
    </row>
    <row r="216" spans="1:3" ht="54.75" thickBot="1">
      <c r="A216" s="41" t="s">
        <v>701</v>
      </c>
      <c r="B216" s="39" t="s">
        <v>702</v>
      </c>
      <c r="C216" s="40" t="s">
        <v>703</v>
      </c>
    </row>
    <row r="217" spans="1:3" ht="54.75" thickBot="1">
      <c r="A217" s="41" t="s">
        <v>704</v>
      </c>
      <c r="B217" s="42" t="s">
        <v>705</v>
      </c>
      <c r="C217" s="43" t="s">
        <v>706</v>
      </c>
    </row>
    <row r="218" spans="1:3" ht="54.75" thickBot="1">
      <c r="A218" s="41" t="s">
        <v>707</v>
      </c>
      <c r="B218" s="39" t="s">
        <v>708</v>
      </c>
      <c r="C218" s="40" t="s">
        <v>709</v>
      </c>
    </row>
    <row r="219" spans="1:3" ht="41.25" thickBot="1">
      <c r="A219" s="41" t="s">
        <v>710</v>
      </c>
      <c r="B219" s="42" t="s">
        <v>711</v>
      </c>
      <c r="C219" s="43" t="s">
        <v>712</v>
      </c>
    </row>
    <row r="220" spans="1:3" ht="41.25" thickBot="1">
      <c r="A220" s="41" t="s">
        <v>713</v>
      </c>
      <c r="B220" s="39" t="s">
        <v>714</v>
      </c>
      <c r="C220" s="40" t="s">
        <v>715</v>
      </c>
    </row>
    <row r="221" spans="1:3" ht="54.75" thickBot="1">
      <c r="A221" s="41" t="s">
        <v>716</v>
      </c>
      <c r="B221" s="42" t="s">
        <v>717</v>
      </c>
      <c r="C221" s="43" t="s">
        <v>718</v>
      </c>
    </row>
    <row r="222" spans="1:3" ht="54.75" thickBot="1">
      <c r="A222" s="41" t="s">
        <v>719</v>
      </c>
      <c r="B222" s="39" t="s">
        <v>720</v>
      </c>
      <c r="C222" s="40" t="s">
        <v>721</v>
      </c>
    </row>
    <row r="223" spans="1:3" ht="54.75" thickBot="1">
      <c r="A223" s="41" t="s">
        <v>722</v>
      </c>
      <c r="B223" s="42" t="s">
        <v>723</v>
      </c>
      <c r="C223" s="43" t="s">
        <v>724</v>
      </c>
    </row>
    <row r="224" spans="1:3" ht="54.75" thickBot="1">
      <c r="A224" s="41" t="s">
        <v>725</v>
      </c>
      <c r="B224" s="39" t="s">
        <v>726</v>
      </c>
      <c r="C224" s="40" t="s">
        <v>727</v>
      </c>
    </row>
    <row r="225" spans="1:3" ht="54.75" thickBot="1">
      <c r="A225" s="41" t="s">
        <v>728</v>
      </c>
      <c r="B225" s="42" t="s">
        <v>729</v>
      </c>
      <c r="C225" s="43" t="s">
        <v>730</v>
      </c>
    </row>
    <row r="226" spans="1:3" ht="54.75" thickBot="1">
      <c r="A226" s="41" t="s">
        <v>731</v>
      </c>
      <c r="B226" s="39" t="s">
        <v>732</v>
      </c>
      <c r="C226" s="40" t="s">
        <v>733</v>
      </c>
    </row>
    <row r="227" spans="1:3" ht="54.75" thickBot="1">
      <c r="A227" s="41" t="s">
        <v>734</v>
      </c>
      <c r="B227" s="42" t="s">
        <v>735</v>
      </c>
      <c r="C227" s="43" t="s">
        <v>736</v>
      </c>
    </row>
    <row r="228" spans="1:3" ht="54.75" thickBot="1">
      <c r="A228" s="41" t="s">
        <v>737</v>
      </c>
      <c r="B228" s="39" t="s">
        <v>738</v>
      </c>
      <c r="C228" s="40" t="s">
        <v>739</v>
      </c>
    </row>
    <row r="229" spans="1:3" ht="41.25" thickBot="1">
      <c r="A229" s="42" t="s">
        <v>740</v>
      </c>
      <c r="B229" s="42" t="s">
        <v>741</v>
      </c>
      <c r="C229" s="43" t="s">
        <v>742</v>
      </c>
    </row>
    <row r="230" spans="1:3" ht="41.25" thickBot="1">
      <c r="A230" s="41" t="s">
        <v>743</v>
      </c>
      <c r="B230" s="39" t="s">
        <v>744</v>
      </c>
      <c r="C230" s="40" t="s">
        <v>745</v>
      </c>
    </row>
    <row r="231" spans="1:3" ht="54.75" thickBot="1">
      <c r="A231" s="41" t="s">
        <v>746</v>
      </c>
      <c r="B231" s="42" t="s">
        <v>747</v>
      </c>
      <c r="C231" s="43" t="s">
        <v>748</v>
      </c>
    </row>
    <row r="232" spans="1:3" ht="54.75" thickBot="1">
      <c r="A232" s="41" t="s">
        <v>749</v>
      </c>
      <c r="B232" s="39" t="s">
        <v>750</v>
      </c>
      <c r="C232" s="40" t="s">
        <v>751</v>
      </c>
    </row>
    <row r="233" spans="1:3" ht="54.75" thickBot="1">
      <c r="A233" s="41" t="s">
        <v>752</v>
      </c>
      <c r="B233" s="42" t="s">
        <v>753</v>
      </c>
      <c r="C233" s="43" t="s">
        <v>754</v>
      </c>
    </row>
    <row r="234" spans="1:3" ht="54.75" thickBot="1">
      <c r="A234" s="41" t="s">
        <v>755</v>
      </c>
      <c r="B234" s="39" t="s">
        <v>756</v>
      </c>
      <c r="C234" s="40" t="s">
        <v>757</v>
      </c>
    </row>
    <row r="235" spans="1:3" ht="41.25" thickBot="1">
      <c r="A235" s="41" t="s">
        <v>758</v>
      </c>
      <c r="B235" s="42" t="s">
        <v>759</v>
      </c>
      <c r="C235" s="43" t="s">
        <v>760</v>
      </c>
    </row>
    <row r="236" spans="1:3" ht="54.75" thickBot="1">
      <c r="A236" s="41" t="s">
        <v>761</v>
      </c>
      <c r="B236" s="39" t="s">
        <v>762</v>
      </c>
      <c r="C236" s="40" t="s">
        <v>763</v>
      </c>
    </row>
    <row r="237" spans="1:3" ht="54.75" thickBot="1">
      <c r="A237" s="41" t="s">
        <v>764</v>
      </c>
      <c r="B237" s="42" t="s">
        <v>765</v>
      </c>
      <c r="C237" s="43" t="s">
        <v>766</v>
      </c>
    </row>
    <row r="238" spans="1:3" ht="54.75" thickBot="1">
      <c r="A238" s="41" t="s">
        <v>767</v>
      </c>
      <c r="B238" s="39" t="s">
        <v>768</v>
      </c>
      <c r="C238" s="40" t="s">
        <v>769</v>
      </c>
    </row>
    <row r="239" spans="1:3" ht="41.25" thickBot="1">
      <c r="A239" s="41" t="s">
        <v>743</v>
      </c>
      <c r="B239" s="42" t="s">
        <v>770</v>
      </c>
      <c r="C239" s="43" t="s">
        <v>745</v>
      </c>
    </row>
    <row r="240" spans="1:3" ht="54.75" thickBot="1">
      <c r="A240" s="41" t="s">
        <v>771</v>
      </c>
      <c r="B240" s="39" t="s">
        <v>772</v>
      </c>
      <c r="C240" s="40" t="s">
        <v>773</v>
      </c>
    </row>
    <row r="241" spans="1:3" ht="54.75" thickBot="1">
      <c r="A241" s="41" t="s">
        <v>774</v>
      </c>
      <c r="B241" s="42" t="s">
        <v>775</v>
      </c>
      <c r="C241" s="43" t="s">
        <v>776</v>
      </c>
    </row>
    <row r="242" spans="1:3" ht="54.75" thickBot="1">
      <c r="A242" s="41" t="s">
        <v>777</v>
      </c>
      <c r="B242" s="39" t="s">
        <v>778</v>
      </c>
      <c r="C242" s="40" t="s">
        <v>779</v>
      </c>
    </row>
    <row r="243" spans="1:3" ht="54.75" thickBot="1">
      <c r="A243" s="41" t="s">
        <v>780</v>
      </c>
      <c r="B243" s="42" t="s">
        <v>781</v>
      </c>
      <c r="C243" s="43" t="s">
        <v>782</v>
      </c>
    </row>
    <row r="244" spans="1:3" ht="54.75" thickBot="1">
      <c r="A244" s="41" t="s">
        <v>783</v>
      </c>
      <c r="B244" s="39" t="s">
        <v>784</v>
      </c>
      <c r="C244" s="40" t="s">
        <v>785</v>
      </c>
    </row>
    <row r="245" spans="1:3" ht="54.75" thickBot="1">
      <c r="A245" s="41" t="s">
        <v>746</v>
      </c>
      <c r="B245" s="42" t="s">
        <v>747</v>
      </c>
      <c r="C245" s="43" t="s">
        <v>748</v>
      </c>
    </row>
    <row r="246" spans="1:3" ht="54.75" thickBot="1">
      <c r="A246" s="41" t="s">
        <v>749</v>
      </c>
      <c r="B246" s="39" t="s">
        <v>750</v>
      </c>
      <c r="C246" s="40" t="s">
        <v>751</v>
      </c>
    </row>
    <row r="247" spans="1:3" ht="54.75" thickBot="1">
      <c r="A247" s="42" t="s">
        <v>786</v>
      </c>
      <c r="B247" s="42" t="s">
        <v>787</v>
      </c>
      <c r="C247" s="43" t="s">
        <v>666</v>
      </c>
    </row>
    <row r="248" spans="1:3" ht="54.75" thickBot="1">
      <c r="A248" s="41" t="s">
        <v>788</v>
      </c>
      <c r="B248" s="39" t="s">
        <v>789</v>
      </c>
      <c r="C248" s="40" t="s">
        <v>790</v>
      </c>
    </row>
    <row r="249" spans="1:3" ht="54.75" thickBot="1">
      <c r="A249" s="41" t="s">
        <v>791</v>
      </c>
      <c r="B249" s="42" t="s">
        <v>792</v>
      </c>
      <c r="C249" s="43" t="s">
        <v>793</v>
      </c>
    </row>
    <row r="250" spans="1:3" ht="68.25" thickBot="1">
      <c r="A250" s="41" t="s">
        <v>794</v>
      </c>
      <c r="B250" s="39" t="s">
        <v>795</v>
      </c>
      <c r="C250" s="40" t="s">
        <v>796</v>
      </c>
    </row>
    <row r="251" spans="1:3" ht="54.75" thickBot="1">
      <c r="A251" s="41" t="s">
        <v>797</v>
      </c>
      <c r="B251" s="42" t="s">
        <v>798</v>
      </c>
      <c r="C251" s="43" t="s">
        <v>799</v>
      </c>
    </row>
    <row r="252" spans="1:3" ht="54.75" thickBot="1">
      <c r="A252" s="41" t="s">
        <v>800</v>
      </c>
      <c r="B252" s="39" t="s">
        <v>801</v>
      </c>
      <c r="C252" s="40" t="s">
        <v>802</v>
      </c>
    </row>
    <row r="253" spans="1:3" ht="54.75" thickBot="1">
      <c r="A253" s="41" t="s">
        <v>803</v>
      </c>
      <c r="B253" s="42" t="s">
        <v>804</v>
      </c>
      <c r="C253" s="43" t="s">
        <v>805</v>
      </c>
    </row>
    <row r="254" spans="1:3" ht="54.75" thickBot="1">
      <c r="A254" s="41" t="s">
        <v>806</v>
      </c>
      <c r="B254" s="39" t="s">
        <v>807</v>
      </c>
      <c r="C254" s="40" t="s">
        <v>808</v>
      </c>
    </row>
    <row r="255" spans="1:3" ht="54.75" thickBot="1">
      <c r="A255" s="41" t="s">
        <v>809</v>
      </c>
      <c r="B255" s="42" t="s">
        <v>810</v>
      </c>
      <c r="C255" s="43" t="s">
        <v>811</v>
      </c>
    </row>
    <row r="256" spans="1:3" ht="41.25" thickBot="1">
      <c r="A256" s="41" t="s">
        <v>812</v>
      </c>
      <c r="B256" s="39" t="s">
        <v>813</v>
      </c>
      <c r="C256" s="40" t="s">
        <v>814</v>
      </c>
    </row>
    <row r="257" spans="1:3" ht="54.75" thickBot="1">
      <c r="A257" s="41" t="s">
        <v>815</v>
      </c>
      <c r="B257" s="42" t="s">
        <v>816</v>
      </c>
      <c r="C257" s="43" t="s">
        <v>817</v>
      </c>
    </row>
    <row r="258" spans="1:3" ht="41.25" thickBot="1">
      <c r="A258" s="39" t="s">
        <v>818</v>
      </c>
      <c r="B258" s="39" t="s">
        <v>819</v>
      </c>
      <c r="C258" s="40" t="s">
        <v>820</v>
      </c>
    </row>
    <row r="259" spans="1:3" ht="41.25" thickBot="1">
      <c r="A259" s="41" t="s">
        <v>821</v>
      </c>
      <c r="B259" s="42" t="s">
        <v>822</v>
      </c>
      <c r="C259" s="43" t="s">
        <v>823</v>
      </c>
    </row>
    <row r="260" spans="1:3" ht="54.75" thickBot="1">
      <c r="A260" s="41" t="s">
        <v>824</v>
      </c>
      <c r="B260" s="39" t="s">
        <v>825</v>
      </c>
      <c r="C260" s="40" t="s">
        <v>826</v>
      </c>
    </row>
    <row r="261" spans="1:3" ht="41.25" thickBot="1">
      <c r="A261" s="41" t="s">
        <v>827</v>
      </c>
      <c r="B261" s="42" t="s">
        <v>828</v>
      </c>
      <c r="C261" s="43" t="s">
        <v>829</v>
      </c>
    </row>
    <row r="262" spans="1:3" ht="41.25" thickBot="1">
      <c r="A262" s="41" t="s">
        <v>830</v>
      </c>
      <c r="B262" s="39" t="s">
        <v>831</v>
      </c>
      <c r="C262" s="40" t="s">
        <v>832</v>
      </c>
    </row>
    <row r="263" spans="1:3" ht="41.25" thickBot="1">
      <c r="A263" s="41" t="s">
        <v>833</v>
      </c>
      <c r="B263" s="42" t="s">
        <v>834</v>
      </c>
      <c r="C263" s="43" t="s">
        <v>835</v>
      </c>
    </row>
    <row r="264" spans="1:3" ht="41.25" thickBot="1">
      <c r="A264" s="39" t="s">
        <v>836</v>
      </c>
      <c r="B264" s="39" t="s">
        <v>837</v>
      </c>
      <c r="C264" s="40" t="s">
        <v>838</v>
      </c>
    </row>
    <row r="265" spans="1:3" ht="54.75" thickBot="1">
      <c r="A265" s="41" t="s">
        <v>839</v>
      </c>
      <c r="B265" s="42" t="s">
        <v>840</v>
      </c>
      <c r="C265" s="43" t="s">
        <v>841</v>
      </c>
    </row>
    <row r="266" spans="1:3" ht="41.25" thickBot="1">
      <c r="A266" s="41" t="s">
        <v>842</v>
      </c>
      <c r="B266" s="39" t="s">
        <v>843</v>
      </c>
      <c r="C266" s="40" t="s">
        <v>844</v>
      </c>
    </row>
    <row r="267" spans="1:3" ht="54.75" thickBot="1">
      <c r="A267" s="41" t="s">
        <v>845</v>
      </c>
      <c r="B267" s="42" t="s">
        <v>846</v>
      </c>
      <c r="C267" s="43" t="s">
        <v>847</v>
      </c>
    </row>
    <row r="268" spans="1:3" ht="54.75" thickBot="1">
      <c r="A268" s="41" t="s">
        <v>848</v>
      </c>
      <c r="B268" s="39" t="s">
        <v>849</v>
      </c>
      <c r="C268" s="40" t="s">
        <v>850</v>
      </c>
    </row>
    <row r="269" spans="1:3" ht="54.75" thickBot="1">
      <c r="A269" s="41" t="s">
        <v>851</v>
      </c>
      <c r="B269" s="42" t="s">
        <v>852</v>
      </c>
      <c r="C269" s="43" t="s">
        <v>853</v>
      </c>
    </row>
    <row r="270" spans="1:3" ht="68.25" thickBot="1">
      <c r="A270" s="41" t="s">
        <v>854</v>
      </c>
      <c r="B270" s="39" t="s">
        <v>855</v>
      </c>
      <c r="C270" s="40" t="s">
        <v>856</v>
      </c>
    </row>
    <row r="271" spans="1:3" ht="54.75" thickBot="1">
      <c r="A271" s="41" t="s">
        <v>857</v>
      </c>
      <c r="B271" s="42" t="s">
        <v>858</v>
      </c>
      <c r="C271" s="43" t="s">
        <v>859</v>
      </c>
    </row>
    <row r="272" spans="1:3" ht="54.75" thickBot="1">
      <c r="A272" s="41" t="s">
        <v>860</v>
      </c>
      <c r="B272" s="39" t="s">
        <v>861</v>
      </c>
      <c r="C272" s="40" t="s">
        <v>862</v>
      </c>
    </row>
    <row r="273" spans="1:3" ht="54.75" thickBot="1">
      <c r="A273" s="41" t="s">
        <v>863</v>
      </c>
      <c r="B273" s="42" t="s">
        <v>864</v>
      </c>
      <c r="C273" s="43" t="s">
        <v>865</v>
      </c>
    </row>
    <row r="274" spans="1:3" ht="54.75" thickBot="1">
      <c r="A274" s="41" t="s">
        <v>866</v>
      </c>
      <c r="B274" s="39" t="s">
        <v>867</v>
      </c>
      <c r="C274" s="40" t="s">
        <v>868</v>
      </c>
    </row>
    <row r="275" spans="1:3" ht="54.75" thickBot="1">
      <c r="A275" s="41" t="s">
        <v>869</v>
      </c>
      <c r="B275" s="42" t="s">
        <v>870</v>
      </c>
      <c r="C275" s="43" t="s">
        <v>871</v>
      </c>
    </row>
    <row r="276" spans="1:3" ht="54.75" thickBot="1">
      <c r="A276" s="41" t="s">
        <v>872</v>
      </c>
      <c r="B276" s="39" t="s">
        <v>873</v>
      </c>
      <c r="C276" s="40" t="s">
        <v>874</v>
      </c>
    </row>
    <row r="277" spans="1:3" ht="54.75" thickBot="1">
      <c r="A277" s="41" t="s">
        <v>839</v>
      </c>
      <c r="B277" s="42" t="s">
        <v>875</v>
      </c>
      <c r="C277" s="43" t="s">
        <v>841</v>
      </c>
    </row>
    <row r="278" spans="1:3" ht="41.25" thickBot="1">
      <c r="A278" s="41" t="s">
        <v>876</v>
      </c>
      <c r="B278" s="39" t="s">
        <v>877</v>
      </c>
      <c r="C278" s="40" t="s">
        <v>878</v>
      </c>
    </row>
    <row r="279" spans="1:3" ht="54.75" thickBot="1">
      <c r="A279" s="41" t="s">
        <v>879</v>
      </c>
      <c r="B279" s="42" t="s">
        <v>880</v>
      </c>
      <c r="C279" s="43" t="s">
        <v>881</v>
      </c>
    </row>
    <row r="280" spans="1:3" ht="54.75" thickBot="1">
      <c r="A280" s="41" t="s">
        <v>882</v>
      </c>
      <c r="B280" s="39" t="s">
        <v>883</v>
      </c>
      <c r="C280" s="40" t="s">
        <v>884</v>
      </c>
    </row>
    <row r="281" spans="1:3" ht="68.25" thickBot="1">
      <c r="A281" s="41" t="s">
        <v>885</v>
      </c>
      <c r="B281" s="42" t="s">
        <v>886</v>
      </c>
      <c r="C281" s="43" t="s">
        <v>887</v>
      </c>
    </row>
    <row r="282" spans="1:3" ht="54.75" thickBot="1">
      <c r="A282" s="41" t="s">
        <v>888</v>
      </c>
      <c r="B282" s="39" t="s">
        <v>889</v>
      </c>
      <c r="C282" s="40" t="s">
        <v>890</v>
      </c>
    </row>
    <row r="283" spans="1:3" ht="68.25" thickBot="1">
      <c r="A283" s="41" t="s">
        <v>891</v>
      </c>
      <c r="B283" s="42" t="s">
        <v>892</v>
      </c>
      <c r="C283" s="43" t="s">
        <v>893</v>
      </c>
    </row>
    <row r="284" spans="1:3" ht="41.25" thickBot="1">
      <c r="A284" s="41" t="s">
        <v>894</v>
      </c>
      <c r="B284" s="39" t="s">
        <v>895</v>
      </c>
      <c r="C284" s="40" t="s">
        <v>896</v>
      </c>
    </row>
    <row r="285" spans="1:3" ht="54.75" thickBot="1">
      <c r="A285" s="41" t="s">
        <v>897</v>
      </c>
      <c r="B285" s="42" t="s">
        <v>898</v>
      </c>
      <c r="C285" s="43" t="s">
        <v>899</v>
      </c>
    </row>
    <row r="286" spans="1:3" ht="54.75" thickBot="1">
      <c r="A286" s="41" t="s">
        <v>900</v>
      </c>
      <c r="B286" s="39" t="s">
        <v>901</v>
      </c>
      <c r="C286" s="40" t="s">
        <v>902</v>
      </c>
    </row>
    <row r="287" spans="1:3" ht="54.75" thickBot="1">
      <c r="A287" s="41" t="s">
        <v>903</v>
      </c>
      <c r="B287" s="42" t="s">
        <v>904</v>
      </c>
      <c r="C287" s="43" t="s">
        <v>905</v>
      </c>
    </row>
    <row r="288" spans="1:3" ht="54.75" thickBot="1">
      <c r="A288" s="41" t="s">
        <v>906</v>
      </c>
      <c r="B288" s="39" t="s">
        <v>907</v>
      </c>
      <c r="C288" s="40" t="s">
        <v>908</v>
      </c>
    </row>
    <row r="289" spans="1:3" ht="54.75" thickBot="1">
      <c r="A289" s="41" t="s">
        <v>909</v>
      </c>
      <c r="B289" s="42" t="s">
        <v>910</v>
      </c>
      <c r="C289" s="43" t="s">
        <v>911</v>
      </c>
    </row>
    <row r="290" spans="1:3" ht="54.75" thickBot="1">
      <c r="A290" s="41" t="s">
        <v>912</v>
      </c>
      <c r="B290" s="39" t="s">
        <v>913</v>
      </c>
      <c r="C290" s="40" t="s">
        <v>914</v>
      </c>
    </row>
    <row r="291" spans="1:3" ht="54.75" thickBot="1">
      <c r="A291" s="41" t="s">
        <v>915</v>
      </c>
      <c r="B291" s="42" t="s">
        <v>916</v>
      </c>
      <c r="C291" s="43" t="s">
        <v>917</v>
      </c>
    </row>
    <row r="292" spans="1:3" ht="54.75" thickBot="1">
      <c r="A292" s="41" t="s">
        <v>918</v>
      </c>
      <c r="B292" s="39" t="s">
        <v>919</v>
      </c>
      <c r="C292" s="40" t="s">
        <v>920</v>
      </c>
    </row>
    <row r="293" spans="1:3" ht="54.75" thickBot="1">
      <c r="A293" s="41" t="s">
        <v>921</v>
      </c>
      <c r="B293" s="42" t="s">
        <v>922</v>
      </c>
      <c r="C293" s="43" t="s">
        <v>923</v>
      </c>
    </row>
    <row r="294" spans="1:3" ht="54.75" thickBot="1">
      <c r="A294" s="41" t="s">
        <v>924</v>
      </c>
      <c r="B294" s="39" t="s">
        <v>925</v>
      </c>
      <c r="C294" s="40" t="s">
        <v>926</v>
      </c>
    </row>
    <row r="295" spans="1:3" ht="54.75" thickBot="1">
      <c r="A295" s="41" t="s">
        <v>927</v>
      </c>
      <c r="B295" s="42" t="s">
        <v>928</v>
      </c>
      <c r="C295" s="43" t="s">
        <v>929</v>
      </c>
    </row>
    <row r="296" spans="1:3" ht="54.75" thickBot="1">
      <c r="A296" s="41" t="s">
        <v>930</v>
      </c>
      <c r="B296" s="39" t="s">
        <v>931</v>
      </c>
      <c r="C296" s="40" t="s">
        <v>932</v>
      </c>
    </row>
    <row r="297" spans="1:3" ht="68.25" thickBot="1">
      <c r="A297" s="41" t="s">
        <v>933</v>
      </c>
      <c r="B297" s="42" t="s">
        <v>934</v>
      </c>
      <c r="C297" s="43" t="s">
        <v>935</v>
      </c>
    </row>
    <row r="298" spans="1:3" ht="54.75" thickBot="1">
      <c r="A298" s="41" t="s">
        <v>936</v>
      </c>
      <c r="B298" s="39" t="s">
        <v>937</v>
      </c>
      <c r="C298" s="40" t="s">
        <v>938</v>
      </c>
    </row>
    <row r="299" spans="1:3" ht="54.75" thickBot="1">
      <c r="A299" s="41" t="s">
        <v>939</v>
      </c>
      <c r="B299" s="42" t="s">
        <v>940</v>
      </c>
      <c r="C299" s="43" t="s">
        <v>941</v>
      </c>
    </row>
    <row r="300" spans="1:3" ht="68.25" thickBot="1">
      <c r="A300" s="41" t="s">
        <v>942</v>
      </c>
      <c r="B300" s="39" t="s">
        <v>943</v>
      </c>
      <c r="C300" s="40" t="s">
        <v>944</v>
      </c>
    </row>
    <row r="301" spans="1:3" ht="68.25" thickBot="1">
      <c r="A301" s="41" t="s">
        <v>945</v>
      </c>
      <c r="B301" s="42" t="s">
        <v>946</v>
      </c>
      <c r="C301" s="43" t="s">
        <v>947</v>
      </c>
    </row>
    <row r="302" spans="1:3" ht="68.25" thickBot="1">
      <c r="A302" s="41" t="s">
        <v>948</v>
      </c>
      <c r="B302" s="39" t="s">
        <v>949</v>
      </c>
      <c r="C302" s="40" t="s">
        <v>950</v>
      </c>
    </row>
    <row r="303" spans="1:3" ht="54.75" thickBot="1">
      <c r="A303" s="41" t="s">
        <v>951</v>
      </c>
      <c r="B303" s="42" t="s">
        <v>952</v>
      </c>
      <c r="C303" s="43" t="s">
        <v>953</v>
      </c>
    </row>
    <row r="304" spans="1:3" ht="68.25" thickBot="1">
      <c r="A304" s="41" t="s">
        <v>954</v>
      </c>
      <c r="B304" s="39" t="s">
        <v>955</v>
      </c>
      <c r="C304" s="40" t="s">
        <v>956</v>
      </c>
    </row>
    <row r="305" spans="1:3" ht="54.75" thickBot="1">
      <c r="A305" s="41" t="s">
        <v>957</v>
      </c>
      <c r="B305" s="42" t="s">
        <v>958</v>
      </c>
      <c r="C305" s="43" t="s">
        <v>959</v>
      </c>
    </row>
    <row r="306" spans="1:3" ht="54.75" thickBot="1">
      <c r="A306" s="44" t="s">
        <v>960</v>
      </c>
      <c r="B306" s="45" t="s">
        <v>961</v>
      </c>
      <c r="C306" s="46" t="s">
        <v>962</v>
      </c>
    </row>
  </sheetData>
  <phoneticPr fontId="2" type="noConversion"/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D1CC2E-40E9-4252-8B79-4E9FFF9A2A59}">
  <sheetPr codeName="Sheet7"/>
  <dimension ref="B3"/>
  <sheetViews>
    <sheetView workbookViewId="0">
      <selection activeCell="B3" sqref="B3"/>
    </sheetView>
  </sheetViews>
  <sheetFormatPr defaultColWidth="8.75" defaultRowHeight="16.5"/>
  <cols>
    <col min="1" max="1" width="8.75" style="60"/>
    <col min="2" max="2" width="56.375" style="60" bestFit="1" customWidth="1"/>
    <col min="3" max="16384" width="8.75" style="60"/>
  </cols>
  <sheetData>
    <row r="3" spans="2:2" ht="90">
      <c r="B3" s="59">
        <v>12345</v>
      </c>
    </row>
  </sheetData>
  <phoneticPr fontId="2" type="noConversion"/>
  <pageMargins left="0.7" right="0.7" top="0.75" bottom="0.75" header="0.3" footer="0.3"/>
  <pageSetup paperSize="9" orientation="portrait" r:id="rId1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3CE9D1-F9A4-4661-AA6B-CBED19281987}">
  <sheetPr codeName="shtHistory"/>
  <dimension ref="A1:B6"/>
  <sheetViews>
    <sheetView workbookViewId="0">
      <selection activeCell="E13" sqref="E13"/>
    </sheetView>
  </sheetViews>
  <sheetFormatPr defaultRowHeight="16.5"/>
  <cols>
    <col min="1" max="1" width="16.625" bestFit="1" customWidth="1"/>
  </cols>
  <sheetData>
    <row r="1" spans="1:2">
      <c r="A1" t="s">
        <v>1132</v>
      </c>
      <c r="B1" t="s">
        <v>1133</v>
      </c>
    </row>
    <row r="2" spans="1:2">
      <c r="A2" s="48">
        <v>45722.801747685182</v>
      </c>
      <c r="B2" t="s">
        <v>1130</v>
      </c>
    </row>
    <row r="3" spans="1:2">
      <c r="A3" s="48">
        <v>45723.400613425925</v>
      </c>
      <c r="B3" t="s">
        <v>1130</v>
      </c>
    </row>
    <row r="4" spans="1:2">
      <c r="A4" s="48">
        <v>45723.658148148148</v>
      </c>
      <c r="B4" t="s">
        <v>1138</v>
      </c>
    </row>
    <row r="5" spans="1:2">
      <c r="A5" s="48">
        <v>45723.662939814814</v>
      </c>
      <c r="B5" t="s">
        <v>1139</v>
      </c>
    </row>
    <row r="6" spans="1:2">
      <c r="A6" s="48">
        <v>45723.943518518521</v>
      </c>
      <c r="B6" t="s">
        <v>1140</v>
      </c>
    </row>
  </sheetData>
  <phoneticPr fontId="2" type="noConversion"/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0EE6CD-27FB-4351-BACA-EE8CC1EBC950}">
  <sheetPr codeName="shtMain"/>
  <dimension ref="A1:T28"/>
  <sheetViews>
    <sheetView showGridLines="0" zoomScaleNormal="100" workbookViewId="0">
      <pane xSplit="7" ySplit="4" topLeftCell="H5" activePane="bottomRight" state="frozen"/>
      <selection activeCell="E13" sqref="E13"/>
      <selection pane="topRight" activeCell="E13" sqref="E13"/>
      <selection pane="bottomLeft" activeCell="E13" sqref="E13"/>
      <selection pane="bottomRight" activeCell="K9" sqref="K9"/>
    </sheetView>
  </sheetViews>
  <sheetFormatPr defaultColWidth="8.75" defaultRowHeight="18" customHeight="1"/>
  <cols>
    <col min="1" max="1" width="3.25" style="1" customWidth="1"/>
    <col min="2" max="2" width="12.125" style="4" customWidth="1"/>
    <col min="3" max="3" width="18.375" style="3" customWidth="1"/>
    <col min="4" max="4" width="3.125" style="2" customWidth="1"/>
    <col min="5" max="7" width="9.875" style="17" customWidth="1"/>
    <col min="8" max="8" width="6.125" style="22" customWidth="1"/>
    <col min="9" max="9" width="11.375" style="17" customWidth="1"/>
    <col min="10" max="10" width="17.375" style="53" customWidth="1"/>
    <col min="11" max="11" width="13.375" style="17" customWidth="1"/>
    <col min="12" max="12" width="10.875" style="17" customWidth="1"/>
    <col min="13" max="17" width="9.75" style="25" customWidth="1"/>
    <col min="18" max="18" width="20.625" style="19" customWidth="1"/>
    <col min="19" max="19" width="8.75" style="1" customWidth="1"/>
    <col min="20" max="20" width="8.75" style="1" hidden="1" customWidth="1"/>
    <col min="21" max="21" width="8.75" style="1" customWidth="1"/>
    <col min="22" max="16384" width="8.75" style="1"/>
  </cols>
  <sheetData>
    <row r="1" spans="1:19" ht="18" customHeight="1">
      <c r="A1" s="9"/>
      <c r="B1" s="10"/>
      <c r="C1" s="11"/>
      <c r="E1" s="16"/>
      <c r="F1" s="16"/>
      <c r="G1" s="16"/>
      <c r="H1" s="20"/>
      <c r="I1" s="16"/>
      <c r="J1" s="56"/>
      <c r="K1" s="16"/>
      <c r="L1" s="16"/>
      <c r="M1" s="23"/>
      <c r="N1" s="23"/>
      <c r="O1" s="23"/>
      <c r="P1" s="23"/>
      <c r="Q1" s="23"/>
      <c r="R1" s="16"/>
      <c r="S1" s="2"/>
    </row>
    <row r="2" spans="1:19" ht="25.5" customHeight="1">
      <c r="E2" s="16"/>
      <c r="F2" s="16"/>
      <c r="G2" s="16"/>
      <c r="H2" s="20"/>
      <c r="I2" s="16"/>
      <c r="J2" s="56"/>
      <c r="K2" s="16"/>
      <c r="L2" s="16"/>
      <c r="M2" s="23"/>
      <c r="N2" s="23"/>
      <c r="O2" s="23"/>
      <c r="P2" s="23"/>
      <c r="Q2" s="23"/>
      <c r="R2" s="16"/>
      <c r="S2" s="2"/>
    </row>
    <row r="3" spans="1:19" ht="30.6" customHeight="1">
      <c r="E3" s="16"/>
      <c r="F3" s="16"/>
      <c r="G3" s="16"/>
      <c r="H3" s="20"/>
      <c r="I3" s="16"/>
      <c r="J3" s="56"/>
      <c r="K3" s="16"/>
      <c r="L3" s="16"/>
      <c r="M3" s="23"/>
      <c r="N3" s="23"/>
      <c r="O3" s="23"/>
      <c r="P3" s="23"/>
      <c r="Q3" s="23"/>
      <c r="R3" s="16"/>
      <c r="S3" s="2"/>
    </row>
    <row r="4" spans="1:19" ht="18" customHeight="1">
      <c r="B4" s="501" t="s">
        <v>12</v>
      </c>
      <c r="C4" s="502"/>
      <c r="E4" s="5" t="s">
        <v>15</v>
      </c>
      <c r="F4" s="5" t="s">
        <v>11</v>
      </c>
      <c r="G4" s="5" t="s">
        <v>56</v>
      </c>
      <c r="H4" s="21" t="s">
        <v>13</v>
      </c>
      <c r="I4" s="5" t="s">
        <v>14</v>
      </c>
      <c r="J4" s="57" t="s">
        <v>1</v>
      </c>
      <c r="K4" s="5" t="s">
        <v>0</v>
      </c>
      <c r="L4" s="5" t="s">
        <v>49</v>
      </c>
      <c r="M4" s="24" t="s">
        <v>48</v>
      </c>
      <c r="N4" s="24" t="s">
        <v>47</v>
      </c>
      <c r="O4" s="24" t="s">
        <v>16</v>
      </c>
      <c r="P4" s="24" t="s">
        <v>51</v>
      </c>
      <c r="Q4" s="24" t="s">
        <v>57</v>
      </c>
      <c r="R4" s="5" t="s">
        <v>4</v>
      </c>
      <c r="S4" s="2"/>
    </row>
    <row r="5" spans="1:19" ht="18" customHeight="1">
      <c r="A5" s="26"/>
      <c r="B5" s="32" t="s">
        <v>14</v>
      </c>
      <c r="C5" s="237">
        <v>45771</v>
      </c>
      <c r="G5" s="19"/>
      <c r="H5" s="19"/>
      <c r="I5" s="67"/>
      <c r="J5" s="68"/>
      <c r="K5" s="19"/>
      <c r="L5" s="19"/>
      <c r="M5" s="19"/>
      <c r="N5" s="19"/>
      <c r="O5" s="19"/>
      <c r="P5" s="19"/>
      <c r="Q5" s="19"/>
    </row>
    <row r="6" spans="1:19" ht="18" customHeight="1">
      <c r="A6" s="26"/>
      <c r="B6" s="32" t="s">
        <v>1</v>
      </c>
      <c r="C6" s="33" t="s">
        <v>1142</v>
      </c>
      <c r="G6" s="19"/>
      <c r="H6" s="19"/>
      <c r="I6" s="67"/>
      <c r="J6" s="68"/>
      <c r="K6" s="19"/>
      <c r="L6" s="19"/>
      <c r="M6" s="19"/>
      <c r="N6" s="19"/>
      <c r="O6" s="19"/>
      <c r="P6" s="19"/>
      <c r="Q6" s="19"/>
    </row>
    <row r="7" spans="1:19" ht="18" customHeight="1">
      <c r="A7" s="26">
        <v>39</v>
      </c>
      <c r="B7" s="32" t="s">
        <v>0</v>
      </c>
      <c r="C7" s="55" t="s">
        <v>1143</v>
      </c>
      <c r="G7" s="19"/>
      <c r="H7" s="19"/>
      <c r="I7" s="67"/>
      <c r="J7" s="68"/>
      <c r="K7" s="19"/>
      <c r="L7" s="19"/>
      <c r="M7" s="19"/>
      <c r="N7" s="19"/>
      <c r="O7" s="19"/>
      <c r="P7" s="19"/>
      <c r="Q7" s="19"/>
    </row>
    <row r="8" spans="1:19" ht="18" customHeight="1">
      <c r="A8" s="26"/>
      <c r="B8" s="32" t="s">
        <v>50</v>
      </c>
      <c r="C8" s="34" t="s">
        <v>1144</v>
      </c>
      <c r="G8" s="19"/>
      <c r="H8" s="19"/>
      <c r="I8" s="67"/>
      <c r="J8" s="68"/>
      <c r="K8" s="19"/>
      <c r="L8" s="19"/>
      <c r="M8" s="19"/>
      <c r="N8" s="19"/>
      <c r="O8" s="19"/>
      <c r="P8" s="19"/>
      <c r="Q8" s="19"/>
    </row>
    <row r="9" spans="1:19" ht="18" customHeight="1">
      <c r="A9" s="26"/>
      <c r="B9" s="32"/>
      <c r="C9" s="34"/>
      <c r="G9" s="19"/>
      <c r="H9" s="19"/>
      <c r="I9" s="19"/>
      <c r="J9" s="68"/>
      <c r="K9" s="19"/>
      <c r="L9" s="19"/>
      <c r="M9" s="19"/>
      <c r="N9" s="19"/>
      <c r="O9" s="19"/>
      <c r="P9" s="19"/>
      <c r="Q9" s="19"/>
    </row>
    <row r="10" spans="1:19" ht="18" customHeight="1">
      <c r="A10" s="26"/>
      <c r="B10" s="32"/>
      <c r="C10" s="35"/>
      <c r="G10" s="19"/>
      <c r="H10" s="19"/>
      <c r="I10" s="19"/>
      <c r="J10" s="68"/>
      <c r="K10" s="19"/>
      <c r="L10" s="19"/>
      <c r="M10" s="19"/>
      <c r="N10" s="19"/>
      <c r="O10" s="19"/>
      <c r="P10" s="19"/>
      <c r="Q10" s="19"/>
    </row>
    <row r="11" spans="1:19" ht="18" customHeight="1">
      <c r="A11" s="26"/>
      <c r="B11" s="32"/>
      <c r="C11" s="36"/>
      <c r="G11" s="19"/>
      <c r="H11" s="19"/>
      <c r="I11" s="19"/>
      <c r="J11" s="68"/>
      <c r="K11" s="19"/>
      <c r="L11" s="19"/>
      <c r="M11" s="19"/>
      <c r="N11" s="19"/>
      <c r="O11" s="19"/>
      <c r="P11" s="19"/>
      <c r="Q11" s="19"/>
    </row>
    <row r="12" spans="1:19" ht="18" customHeight="1">
      <c r="B12" s="32"/>
      <c r="C12" s="36"/>
      <c r="G12" s="19"/>
      <c r="H12" s="19"/>
      <c r="I12" s="19"/>
      <c r="J12" s="68"/>
      <c r="K12" s="19"/>
      <c r="L12" s="19"/>
      <c r="M12" s="19"/>
      <c r="N12" s="19"/>
      <c r="O12" s="19"/>
      <c r="P12" s="19"/>
      <c r="Q12" s="19"/>
    </row>
    <row r="13" spans="1:19" ht="18" customHeight="1">
      <c r="B13" s="32"/>
      <c r="C13" s="36"/>
      <c r="G13" s="19"/>
      <c r="H13" s="19"/>
      <c r="I13" s="19"/>
      <c r="J13" s="68"/>
      <c r="K13" s="19"/>
      <c r="L13" s="19"/>
      <c r="M13" s="19"/>
      <c r="N13" s="19"/>
      <c r="O13" s="19"/>
      <c r="P13" s="19"/>
      <c r="Q13" s="19"/>
    </row>
    <row r="14" spans="1:19" s="12" customFormat="1" ht="18" customHeight="1">
      <c r="A14" s="14"/>
      <c r="D14" s="15"/>
      <c r="E14" s="17"/>
      <c r="F14" s="17"/>
      <c r="G14" s="19"/>
      <c r="H14" s="19"/>
      <c r="I14" s="19"/>
      <c r="J14" s="68"/>
      <c r="K14" s="19"/>
      <c r="L14" s="19"/>
      <c r="M14" s="19"/>
      <c r="N14" s="19"/>
      <c r="O14" s="19"/>
      <c r="P14" s="19"/>
      <c r="Q14" s="19"/>
      <c r="R14" s="19"/>
    </row>
    <row r="15" spans="1:19" s="12" customFormat="1" ht="18" customHeight="1">
      <c r="A15" s="14"/>
      <c r="D15" s="15"/>
      <c r="E15" s="17"/>
      <c r="F15" s="17"/>
      <c r="G15" s="19"/>
      <c r="H15" s="19"/>
      <c r="I15" s="19"/>
      <c r="J15" s="68"/>
      <c r="K15" s="19"/>
      <c r="L15" s="19"/>
      <c r="M15" s="19"/>
      <c r="N15" s="19"/>
      <c r="O15" s="19"/>
      <c r="P15" s="19"/>
      <c r="Q15" s="19"/>
      <c r="R15" s="19"/>
    </row>
    <row r="16" spans="1:19" s="12" customFormat="1" ht="18" customHeight="1">
      <c r="A16" s="14"/>
      <c r="D16" s="15"/>
      <c r="E16" s="17"/>
      <c r="F16" s="17"/>
      <c r="G16" s="17"/>
      <c r="H16" s="22"/>
      <c r="I16" s="18"/>
      <c r="J16" s="53"/>
      <c r="K16" s="17"/>
      <c r="L16" s="17"/>
      <c r="M16" s="25"/>
      <c r="N16" s="25"/>
      <c r="O16" s="25"/>
      <c r="P16" s="25"/>
      <c r="Q16" s="25"/>
      <c r="R16" s="19"/>
    </row>
    <row r="17" spans="1:18" s="12" customFormat="1" ht="18" customHeight="1">
      <c r="A17" s="14"/>
      <c r="D17" s="15"/>
      <c r="E17" s="17"/>
      <c r="F17" s="17"/>
      <c r="G17" s="17"/>
      <c r="H17" s="22"/>
      <c r="I17" s="18"/>
      <c r="J17" s="53"/>
      <c r="K17" s="17"/>
      <c r="L17" s="17"/>
      <c r="M17" s="25"/>
      <c r="N17" s="25"/>
      <c r="O17" s="25"/>
      <c r="P17" s="25"/>
      <c r="Q17" s="25"/>
      <c r="R17" s="19"/>
    </row>
    <row r="18" spans="1:18" s="12" customFormat="1" ht="18" customHeight="1">
      <c r="A18" s="14"/>
      <c r="D18" s="15"/>
      <c r="E18" s="17"/>
      <c r="F18" s="17"/>
      <c r="G18" s="17"/>
      <c r="H18" s="22"/>
      <c r="I18" s="18"/>
      <c r="J18" s="53"/>
      <c r="K18" s="17"/>
      <c r="L18" s="17"/>
      <c r="M18" s="25"/>
      <c r="N18" s="25"/>
      <c r="O18" s="25"/>
      <c r="P18" s="25"/>
      <c r="Q18" s="25"/>
      <c r="R18" s="19"/>
    </row>
    <row r="19" spans="1:18" s="12" customFormat="1" ht="18" customHeight="1">
      <c r="A19" s="14"/>
      <c r="D19" s="15"/>
      <c r="E19" s="17"/>
      <c r="F19" s="17"/>
      <c r="G19" s="17"/>
      <c r="H19" s="22"/>
      <c r="I19" s="18"/>
      <c r="J19" s="53"/>
      <c r="K19" s="17"/>
      <c r="L19" s="17"/>
      <c r="M19" s="25"/>
      <c r="N19" s="25"/>
      <c r="O19" s="25"/>
      <c r="P19" s="25"/>
      <c r="Q19" s="25"/>
      <c r="R19" s="19"/>
    </row>
    <row r="20" spans="1:18" s="12" customFormat="1" ht="18" hidden="1" customHeight="1">
      <c r="A20" s="14"/>
      <c r="D20" s="15"/>
      <c r="E20" s="17"/>
      <c r="F20" s="17"/>
      <c r="G20" s="17"/>
      <c r="H20" s="22"/>
      <c r="I20" s="18"/>
      <c r="J20" s="53"/>
      <c r="K20" s="17"/>
      <c r="L20" s="17"/>
      <c r="M20" s="25"/>
      <c r="N20" s="25"/>
      <c r="O20" s="25"/>
      <c r="P20" s="25"/>
      <c r="Q20" s="25"/>
      <c r="R20" s="19"/>
    </row>
    <row r="21" spans="1:18" ht="18" hidden="1" customHeight="1">
      <c r="B21" s="29"/>
      <c r="C21" s="30"/>
      <c r="D21" s="6"/>
      <c r="I21" s="18"/>
    </row>
    <row r="22" spans="1:18" ht="18" hidden="1" customHeight="1">
      <c r="B22" s="27"/>
      <c r="C22" s="28"/>
      <c r="D22" s="6"/>
      <c r="I22" s="18"/>
    </row>
    <row r="23" spans="1:18" ht="18" hidden="1" customHeight="1">
      <c r="B23" s="27"/>
      <c r="C23" s="28"/>
      <c r="D23" s="6"/>
    </row>
    <row r="24" spans="1:18" ht="18" hidden="1" customHeight="1">
      <c r="B24" s="27"/>
      <c r="C24" s="28"/>
      <c r="D24" s="6"/>
    </row>
    <row r="25" spans="1:18" ht="18" hidden="1" customHeight="1">
      <c r="B25" s="27"/>
      <c r="C25" s="28"/>
    </row>
    <row r="26" spans="1:18" ht="18" hidden="1" customHeight="1">
      <c r="B26" s="27"/>
      <c r="C26" s="28"/>
    </row>
    <row r="27" spans="1:18" ht="18" hidden="1" customHeight="1"/>
    <row r="28" spans="1:18" ht="18" hidden="1" customHeight="1"/>
  </sheetData>
  <mergeCells count="1">
    <mergeCell ref="B4:C4"/>
  </mergeCells>
  <phoneticPr fontId="2" type="noConversion"/>
  <pageMargins left="0.7" right="0.7" top="0.75" bottom="0.75" header="0.3" footer="0.3"/>
  <pageSetup paperSize="9" orientation="portrait" horizontalDpi="4294967293" verticalDpi="0" r:id="rId1"/>
  <drawing r:id="rId2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CCF176-0C35-4B90-8F0C-241819F59EE4}">
  <sheetPr codeName="Sheet11"/>
  <dimension ref="A1:T20"/>
  <sheetViews>
    <sheetView workbookViewId="0">
      <selection activeCell="T15" sqref="T15"/>
    </sheetView>
  </sheetViews>
  <sheetFormatPr defaultRowHeight="16.5"/>
  <cols>
    <col min="1" max="1" width="4" bestFit="1" customWidth="1"/>
    <col min="2" max="2" width="11.875" bestFit="1" customWidth="1"/>
    <col min="3" max="3" width="4" bestFit="1" customWidth="1"/>
    <col min="4" max="4" width="13.125" bestFit="1" customWidth="1"/>
    <col min="5" max="5" width="3.5" bestFit="1" customWidth="1"/>
    <col min="7" max="7" width="3.5" bestFit="1" customWidth="1"/>
    <col min="8" max="8" width="11.5" bestFit="1" customWidth="1"/>
    <col min="9" max="9" width="3.5" bestFit="1" customWidth="1"/>
    <col min="10" max="10" width="9.5" bestFit="1" customWidth="1"/>
    <col min="11" max="11" width="3.25" customWidth="1"/>
    <col min="12" max="12" width="10.5" bestFit="1" customWidth="1"/>
    <col min="13" max="13" width="3.5" bestFit="1" customWidth="1"/>
    <col min="14" max="14" width="9.5" bestFit="1" customWidth="1"/>
    <col min="15" max="15" width="3.75" customWidth="1"/>
    <col min="17" max="17" width="3.25" customWidth="1"/>
    <col min="18" max="19" width="9.5" bestFit="1" customWidth="1"/>
  </cols>
  <sheetData>
    <row r="1" spans="1:20">
      <c r="A1" t="s">
        <v>1481</v>
      </c>
      <c r="B1" t="s">
        <v>48</v>
      </c>
      <c r="C1" t="s">
        <v>1481</v>
      </c>
      <c r="D1" t="s">
        <v>1446</v>
      </c>
      <c r="F1" t="s">
        <v>1448</v>
      </c>
      <c r="H1" t="s">
        <v>1449</v>
      </c>
      <c r="L1" t="s">
        <v>1456</v>
      </c>
      <c r="N1" t="s">
        <v>1460</v>
      </c>
      <c r="P1" t="s">
        <v>1766</v>
      </c>
      <c r="R1" t="s">
        <v>1765</v>
      </c>
    </row>
    <row r="2" spans="1:20">
      <c r="A2">
        <v>1</v>
      </c>
      <c r="B2" t="s">
        <v>32</v>
      </c>
      <c r="C2">
        <v>1</v>
      </c>
      <c r="D2" t="s">
        <v>1448</v>
      </c>
      <c r="E2">
        <v>1</v>
      </c>
      <c r="F2" t="s">
        <v>1463</v>
      </c>
      <c r="G2">
        <v>1</v>
      </c>
      <c r="H2" t="s">
        <v>1472</v>
      </c>
      <c r="I2">
        <v>1</v>
      </c>
      <c r="J2" t="s">
        <v>1219</v>
      </c>
      <c r="K2">
        <v>1</v>
      </c>
      <c r="L2" t="s">
        <v>1476</v>
      </c>
      <c r="M2">
        <v>1</v>
      </c>
      <c r="N2" t="s">
        <v>1479</v>
      </c>
      <c r="O2">
        <v>1</v>
      </c>
      <c r="Q2">
        <v>1</v>
      </c>
    </row>
    <row r="3" spans="1:20">
      <c r="A3">
        <v>2</v>
      </c>
      <c r="B3" t="s">
        <v>1135</v>
      </c>
      <c r="C3">
        <v>2</v>
      </c>
      <c r="D3" t="s">
        <v>1449</v>
      </c>
      <c r="E3">
        <v>2</v>
      </c>
      <c r="F3" t="s">
        <v>1464</v>
      </c>
      <c r="G3">
        <v>2</v>
      </c>
      <c r="H3" t="s">
        <v>1261</v>
      </c>
      <c r="I3">
        <v>2</v>
      </c>
      <c r="J3" t="s">
        <v>1220</v>
      </c>
      <c r="K3">
        <v>2</v>
      </c>
      <c r="L3" t="s">
        <v>1477</v>
      </c>
      <c r="M3">
        <v>2</v>
      </c>
      <c r="N3" t="s">
        <v>1480</v>
      </c>
      <c r="O3">
        <v>2</v>
      </c>
      <c r="Q3">
        <v>2</v>
      </c>
    </row>
    <row r="4" spans="1:20">
      <c r="A4">
        <v>3</v>
      </c>
      <c r="B4" t="s">
        <v>1134</v>
      </c>
      <c r="C4">
        <v>3</v>
      </c>
      <c r="D4" t="s">
        <v>1450</v>
      </c>
      <c r="E4">
        <v>3</v>
      </c>
      <c r="F4" t="s">
        <v>1465</v>
      </c>
      <c r="G4">
        <v>3</v>
      </c>
      <c r="H4" t="s">
        <v>1411</v>
      </c>
      <c r="I4">
        <v>3</v>
      </c>
      <c r="J4" t="s">
        <v>1473</v>
      </c>
      <c r="M4">
        <v>3</v>
      </c>
      <c r="N4" t="s">
        <v>1478</v>
      </c>
      <c r="O4">
        <v>3</v>
      </c>
      <c r="Q4">
        <v>3</v>
      </c>
    </row>
    <row r="5" spans="1:20">
      <c r="A5">
        <v>4</v>
      </c>
      <c r="B5" t="s">
        <v>1799</v>
      </c>
      <c r="C5">
        <v>4</v>
      </c>
      <c r="D5" t="s">
        <v>1451</v>
      </c>
      <c r="E5">
        <v>4</v>
      </c>
      <c r="F5" t="s">
        <v>1466</v>
      </c>
      <c r="I5">
        <v>4</v>
      </c>
      <c r="J5" t="s">
        <v>1475</v>
      </c>
    </row>
    <row r="6" spans="1:20">
      <c r="A6">
        <v>5</v>
      </c>
      <c r="B6" t="s">
        <v>1447</v>
      </c>
      <c r="C6">
        <v>5</v>
      </c>
      <c r="D6" t="s">
        <v>1452</v>
      </c>
      <c r="E6">
        <v>5</v>
      </c>
      <c r="F6" t="s">
        <v>1467</v>
      </c>
      <c r="I6">
        <v>5</v>
      </c>
      <c r="J6" t="s">
        <v>1221</v>
      </c>
    </row>
    <row r="7" spans="1:20">
      <c r="A7">
        <v>6</v>
      </c>
      <c r="B7" t="s">
        <v>1849</v>
      </c>
      <c r="C7">
        <v>6</v>
      </c>
      <c r="D7" t="s">
        <v>1453</v>
      </c>
      <c r="E7">
        <v>6</v>
      </c>
      <c r="F7" t="s">
        <v>1468</v>
      </c>
      <c r="I7">
        <v>6</v>
      </c>
      <c r="J7" t="s">
        <v>1222</v>
      </c>
    </row>
    <row r="8" spans="1:20">
      <c r="A8">
        <v>7</v>
      </c>
      <c r="B8" t="s">
        <v>1850</v>
      </c>
      <c r="C8">
        <v>7</v>
      </c>
      <c r="D8" t="s">
        <v>1455</v>
      </c>
      <c r="E8">
        <v>7</v>
      </c>
      <c r="F8" t="s">
        <v>1469</v>
      </c>
      <c r="I8">
        <v>7</v>
      </c>
      <c r="J8" t="s">
        <v>1223</v>
      </c>
    </row>
    <row r="9" spans="1:20">
      <c r="A9">
        <v>8</v>
      </c>
      <c r="B9" t="s">
        <v>1851</v>
      </c>
      <c r="C9">
        <v>8</v>
      </c>
      <c r="D9" t="s">
        <v>1456</v>
      </c>
      <c r="E9">
        <v>8</v>
      </c>
      <c r="F9" t="s">
        <v>1436</v>
      </c>
      <c r="I9">
        <v>8</v>
      </c>
      <c r="J9" t="s">
        <v>1224</v>
      </c>
    </row>
    <row r="10" spans="1:20">
      <c r="A10">
        <v>9</v>
      </c>
      <c r="B10" t="s">
        <v>1852</v>
      </c>
      <c r="C10">
        <v>9</v>
      </c>
      <c r="D10" t="s">
        <v>1457</v>
      </c>
      <c r="E10">
        <v>9</v>
      </c>
      <c r="F10" t="s">
        <v>1470</v>
      </c>
      <c r="I10">
        <v>9</v>
      </c>
      <c r="J10" t="s">
        <v>1474</v>
      </c>
    </row>
    <row r="11" spans="1:20">
      <c r="A11">
        <v>10</v>
      </c>
      <c r="B11" t="s">
        <v>1853</v>
      </c>
      <c r="C11">
        <v>10</v>
      </c>
      <c r="D11" t="s">
        <v>1458</v>
      </c>
      <c r="E11">
        <v>10</v>
      </c>
      <c r="F11" t="s">
        <v>1471</v>
      </c>
      <c r="I11">
        <v>10</v>
      </c>
      <c r="J11" t="s">
        <v>2000</v>
      </c>
    </row>
    <row r="12" spans="1:20">
      <c r="A12">
        <v>11</v>
      </c>
      <c r="B12" t="s">
        <v>1854</v>
      </c>
      <c r="C12">
        <v>11</v>
      </c>
      <c r="D12" t="s">
        <v>1459</v>
      </c>
      <c r="I12">
        <v>11</v>
      </c>
      <c r="J12" t="s">
        <v>2437</v>
      </c>
    </row>
    <row r="13" spans="1:20">
      <c r="A13">
        <v>12</v>
      </c>
      <c r="B13" t="s">
        <v>1999</v>
      </c>
      <c r="C13">
        <v>12</v>
      </c>
      <c r="D13" t="s">
        <v>1460</v>
      </c>
      <c r="I13">
        <v>12</v>
      </c>
      <c r="J13" t="s">
        <v>2583</v>
      </c>
    </row>
    <row r="14" spans="1:20">
      <c r="B14" t="s">
        <v>2250</v>
      </c>
      <c r="C14">
        <v>13</v>
      </c>
      <c r="D14" t="s">
        <v>1461</v>
      </c>
      <c r="I14">
        <v>13</v>
      </c>
      <c r="J14" t="s">
        <v>2801</v>
      </c>
    </row>
    <row r="15" spans="1:20">
      <c r="C15">
        <v>14</v>
      </c>
      <c r="D15" t="s">
        <v>1462</v>
      </c>
      <c r="T15">
        <v>28122</v>
      </c>
    </row>
    <row r="16" spans="1:20">
      <c r="C16">
        <v>15</v>
      </c>
      <c r="D16" t="s">
        <v>1765</v>
      </c>
    </row>
    <row r="17" spans="3:4">
      <c r="C17">
        <v>16</v>
      </c>
      <c r="D17" t="s">
        <v>1767</v>
      </c>
    </row>
    <row r="18" spans="3:4">
      <c r="C18">
        <v>17</v>
      </c>
      <c r="D18" t="s">
        <v>1809</v>
      </c>
    </row>
    <row r="19" spans="3:4">
      <c r="C19">
        <v>18</v>
      </c>
      <c r="D19" t="s">
        <v>1824</v>
      </c>
    </row>
    <row r="20" spans="3:4">
      <c r="C20">
        <v>19</v>
      </c>
      <c r="D20" t="s">
        <v>2009</v>
      </c>
    </row>
  </sheetData>
  <phoneticPr fontId="2" type="noConversion"/>
  <pageMargins left="0.7" right="0.7" top="0.75" bottom="0.75" header="0.3" footer="0.3"/>
  <pageSetup paperSize="258" orientation="landscape" horizontalDpi="203" verticalDpi="203" r:id="rId1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FA871F-2798-4BFA-9EE6-B1323EB8DBF2}">
  <sheetPr codeName="Sheet4"/>
  <dimension ref="A1:I27"/>
  <sheetViews>
    <sheetView view="pageLayout" zoomScaleNormal="100" workbookViewId="0">
      <selection activeCell="N26" sqref="N26"/>
    </sheetView>
  </sheetViews>
  <sheetFormatPr defaultRowHeight="16.5"/>
  <cols>
    <col min="5" max="5" width="9" customWidth="1"/>
    <col min="6" max="6" width="13.25" customWidth="1"/>
  </cols>
  <sheetData>
    <row r="1" spans="1:9" ht="28.35" customHeight="1">
      <c r="A1" s="242"/>
      <c r="B1" s="243"/>
      <c r="C1" s="243"/>
      <c r="D1" s="243"/>
      <c r="E1" s="243"/>
      <c r="F1" s="242"/>
      <c r="G1" s="242"/>
      <c r="H1" s="242"/>
      <c r="I1" s="242"/>
    </row>
    <row r="2" spans="1:9" ht="28.35" customHeight="1">
      <c r="A2" s="244" t="s">
        <v>2525</v>
      </c>
      <c r="B2" s="243"/>
      <c r="C2" s="243"/>
      <c r="D2" s="243"/>
      <c r="E2" s="243"/>
      <c r="F2" s="242"/>
      <c r="G2" s="242"/>
      <c r="H2" s="242"/>
      <c r="I2" s="242"/>
    </row>
    <row r="3" spans="1:9" ht="28.35" customHeight="1">
      <c r="A3" s="245" t="s">
        <v>2526</v>
      </c>
      <c r="B3" s="243"/>
      <c r="C3" s="243"/>
      <c r="D3" s="243"/>
      <c r="E3" s="243"/>
      <c r="F3" s="242"/>
      <c r="G3" s="242"/>
      <c r="H3" s="242"/>
      <c r="I3" s="242"/>
    </row>
    <row r="4" spans="1:9" ht="28.35" customHeight="1">
      <c r="A4" s="245" t="s">
        <v>2527</v>
      </c>
      <c r="B4" s="243"/>
      <c r="C4" s="243"/>
      <c r="D4" s="243"/>
      <c r="E4" s="243"/>
      <c r="F4" s="242"/>
      <c r="G4" s="242"/>
      <c r="H4" s="242"/>
      <c r="I4" s="242"/>
    </row>
    <row r="5" spans="1:9" ht="28.35" customHeight="1">
      <c r="A5" s="242"/>
      <c r="B5" s="242"/>
      <c r="C5" s="242"/>
      <c r="D5" s="242"/>
      <c r="E5" s="242"/>
      <c r="F5" s="242"/>
      <c r="G5" s="242"/>
      <c r="H5" s="242"/>
      <c r="I5" s="242"/>
    </row>
    <row r="6" spans="1:9" ht="28.35" customHeight="1">
      <c r="A6" s="242"/>
      <c r="B6" s="242"/>
      <c r="C6" s="242"/>
      <c r="D6" s="242"/>
      <c r="E6" s="242"/>
      <c r="F6" s="242"/>
      <c r="G6" s="242"/>
      <c r="H6" s="242"/>
      <c r="I6" s="242"/>
    </row>
    <row r="7" spans="1:9" ht="28.35" customHeight="1">
      <c r="A7" s="242"/>
      <c r="B7" s="242"/>
      <c r="C7" s="242"/>
      <c r="D7" s="242"/>
      <c r="E7" s="242"/>
      <c r="F7" s="242"/>
      <c r="G7" s="242"/>
      <c r="H7" s="242"/>
      <c r="I7" s="242"/>
    </row>
    <row r="8" spans="1:9" ht="28.35" customHeight="1">
      <c r="A8" s="242"/>
      <c r="B8" s="242"/>
      <c r="C8" s="242"/>
      <c r="D8" s="242"/>
      <c r="E8" s="242"/>
      <c r="F8" s="242"/>
      <c r="G8" s="242"/>
      <c r="H8" s="242"/>
      <c r="I8" s="242"/>
    </row>
    <row r="9" spans="1:9" ht="28.35" customHeight="1">
      <c r="B9" s="243"/>
      <c r="C9" s="243"/>
      <c r="D9" s="243"/>
      <c r="E9" s="243"/>
      <c r="F9" s="243"/>
      <c r="G9" s="243"/>
    </row>
    <row r="10" spans="1:9" ht="28.35" customHeight="1"/>
    <row r="11" spans="1:9" ht="28.35" customHeight="1"/>
    <row r="12" spans="1:9" ht="28.35" customHeight="1"/>
    <row r="13" spans="1:9" ht="28.35" customHeight="1"/>
    <row r="14" spans="1:9" ht="28.35" customHeight="1"/>
    <row r="15" spans="1:9" ht="28.35" customHeight="1"/>
    <row r="16" spans="1:9" ht="28.35" customHeight="1"/>
    <row r="17" ht="28.35" customHeight="1"/>
    <row r="18" ht="28.35" customHeight="1"/>
    <row r="19" ht="28.35" customHeight="1"/>
    <row r="20" ht="28.35" customHeight="1"/>
    <row r="21" ht="28.35" customHeight="1"/>
    <row r="22" ht="28.35" customHeight="1"/>
    <row r="23" ht="28.35" customHeight="1"/>
    <row r="24" ht="28.35" customHeight="1"/>
    <row r="25" ht="28.35" customHeight="1"/>
    <row r="26" ht="28.35" customHeight="1"/>
    <row r="27" ht="28.35" customHeight="1"/>
  </sheetData>
  <phoneticPr fontId="2" type="noConversion"/>
  <pageMargins left="0" right="0" top="0" bottom="0" header="0" footer="0"/>
  <pageSetup paperSize="257" orientation="landscape" horizontalDpi="203" verticalDpi="203" r:id="rId1"/>
  <drawing r:id="rId2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E756CE-429A-48C1-A850-C77CA7AF2DAC}">
  <sheetPr codeName="shtDiary"/>
  <dimension ref="A1:F16"/>
  <sheetViews>
    <sheetView workbookViewId="0">
      <selection activeCell="D16" sqref="D16"/>
    </sheetView>
  </sheetViews>
  <sheetFormatPr defaultRowHeight="16.5"/>
  <cols>
    <col min="1" max="1" width="3.375" style="113" bestFit="1" customWidth="1"/>
    <col min="2" max="2" width="18" style="109" customWidth="1"/>
    <col min="3" max="3" width="13.25" style="109" customWidth="1"/>
    <col min="4" max="4" width="104.125" style="109" customWidth="1"/>
    <col min="5" max="5" width="46.5" style="114" customWidth="1"/>
  </cols>
  <sheetData>
    <row r="1" spans="1:6" s="47" customFormat="1" ht="17.25" thickBot="1">
      <c r="A1" s="115" t="s">
        <v>2</v>
      </c>
      <c r="B1" s="116" t="s">
        <v>14</v>
      </c>
      <c r="C1" s="116" t="s">
        <v>1288</v>
      </c>
      <c r="D1" s="116" t="s">
        <v>1289</v>
      </c>
      <c r="E1" s="117" t="s">
        <v>4</v>
      </c>
      <c r="F1" s="47">
        <v>1</v>
      </c>
    </row>
    <row r="2" spans="1:6" ht="33">
      <c r="A2" s="111"/>
      <c r="B2" s="110">
        <v>45737</v>
      </c>
      <c r="C2" s="109" t="s">
        <v>1299</v>
      </c>
      <c r="D2" s="119" t="s">
        <v>1298</v>
      </c>
      <c r="E2" s="112"/>
    </row>
    <row r="3" spans="1:6" ht="49.5">
      <c r="B3" s="108">
        <v>45737</v>
      </c>
      <c r="C3" s="109" t="s">
        <v>1290</v>
      </c>
      <c r="D3" s="118" t="s">
        <v>1305</v>
      </c>
    </row>
    <row r="4" spans="1:6" ht="33">
      <c r="B4" s="108">
        <v>45737</v>
      </c>
      <c r="C4" s="109" t="s">
        <v>1291</v>
      </c>
      <c r="D4" s="118" t="s">
        <v>1295</v>
      </c>
    </row>
    <row r="5" spans="1:6">
      <c r="B5" s="108">
        <v>45737</v>
      </c>
      <c r="C5" s="109" t="s">
        <v>1292</v>
      </c>
      <c r="D5" s="109" t="s">
        <v>1294</v>
      </c>
    </row>
    <row r="6" spans="1:6">
      <c r="B6" s="108">
        <v>45737</v>
      </c>
      <c r="C6" s="109" t="s">
        <v>1292</v>
      </c>
      <c r="D6" s="109" t="s">
        <v>1297</v>
      </c>
    </row>
    <row r="7" spans="1:6">
      <c r="B7" s="108">
        <v>45737</v>
      </c>
      <c r="C7" s="109" t="s">
        <v>1292</v>
      </c>
      <c r="D7" s="109" t="s">
        <v>1296</v>
      </c>
    </row>
    <row r="8" spans="1:6">
      <c r="B8" s="108"/>
      <c r="D8" s="109" t="s">
        <v>1300</v>
      </c>
    </row>
    <row r="9" spans="1:6">
      <c r="D9" s="109" t="s">
        <v>1306</v>
      </c>
    </row>
    <row r="10" spans="1:6">
      <c r="D10" s="109" t="s">
        <v>1307</v>
      </c>
    </row>
    <row r="11" spans="1:6" ht="33">
      <c r="B11" s="108">
        <v>45740</v>
      </c>
      <c r="C11" s="109" t="s">
        <v>1312</v>
      </c>
      <c r="D11" s="118" t="s">
        <v>1416</v>
      </c>
    </row>
    <row r="12" spans="1:6">
      <c r="B12" s="108">
        <v>45740</v>
      </c>
      <c r="C12" s="109" t="s">
        <v>1417</v>
      </c>
      <c r="D12" s="109" t="s">
        <v>1415</v>
      </c>
    </row>
    <row r="13" spans="1:6">
      <c r="C13" s="109" t="s">
        <v>1427</v>
      </c>
      <c r="D13" s="109" t="s">
        <v>1428</v>
      </c>
    </row>
    <row r="14" spans="1:6">
      <c r="C14" s="109" t="s">
        <v>1430</v>
      </c>
      <c r="D14" s="109" t="s">
        <v>1431</v>
      </c>
    </row>
    <row r="15" spans="1:6">
      <c r="B15" s="108">
        <v>45742</v>
      </c>
      <c r="C15" s="109" t="s">
        <v>1432</v>
      </c>
      <c r="D15" s="109" t="s">
        <v>1433</v>
      </c>
    </row>
    <row r="16" spans="1:6">
      <c r="B16" s="108">
        <v>45742</v>
      </c>
      <c r="C16" s="109" t="s">
        <v>1434</v>
      </c>
      <c r="D16" s="109" t="s">
        <v>1435</v>
      </c>
    </row>
  </sheetData>
  <phoneticPr fontId="2" type="noConversion"/>
  <pageMargins left="0.7" right="0.7" top="0.75" bottom="0.75" header="0.3" footer="0.3"/>
  <pageSetup paperSize="256" orientation="portrait" horizontalDpi="203" verticalDpi="203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23</vt:i4>
      </vt:variant>
      <vt:variant>
        <vt:lpstr>이름 지정된 범위</vt:lpstr>
      </vt:variant>
      <vt:variant>
        <vt:i4>2</vt:i4>
      </vt:variant>
    </vt:vector>
  </HeadingPairs>
  <TitlesOfParts>
    <vt:vector size="25" baseType="lpstr">
      <vt:lpstr>Home</vt:lpstr>
      <vt:lpstr>경비처리</vt:lpstr>
      <vt:lpstr>거래명세서</vt:lpstr>
      <vt:lpstr>주문data</vt:lpstr>
      <vt:lpstr>주문</vt:lpstr>
      <vt:lpstr>Login</vt:lpstr>
      <vt:lpstr>주문_리스트</vt:lpstr>
      <vt:lpstr>BTS_매출관리</vt:lpstr>
      <vt:lpstr>FastGarage</vt:lpstr>
      <vt:lpstr>FastGarage_매출관리</vt:lpstr>
      <vt:lpstr>식비구분</vt:lpstr>
      <vt:lpstr>거래명세서_NEW</vt:lpstr>
      <vt:lpstr>거래내역서</vt:lpstr>
      <vt:lpstr>거래처</vt:lpstr>
      <vt:lpstr>매출</vt:lpstr>
      <vt:lpstr>제품</vt:lpstr>
      <vt:lpstr>재고</vt:lpstr>
      <vt:lpstr>구분</vt:lpstr>
      <vt:lpstr>제품구분</vt:lpstr>
      <vt:lpstr>재고관리</vt:lpstr>
      <vt:lpstr>Sheet6</vt:lpstr>
      <vt:lpstr>Sheet7</vt:lpstr>
      <vt:lpstr>업무일지</vt:lpstr>
      <vt:lpstr>거래명세서!Print_Area</vt:lpstr>
      <vt:lpstr>거래명세서_NEW!Print_Area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Oppadu</dc:creator>
  <cp:lastModifiedBy>BTS 메인</cp:lastModifiedBy>
  <cp:lastPrinted>2025-06-09T09:10:08Z</cp:lastPrinted>
  <dcterms:created xsi:type="dcterms:W3CDTF">2020-10-02T11:51:16Z</dcterms:created>
  <dcterms:modified xsi:type="dcterms:W3CDTF">2025-06-26T09:36:58Z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13cf3b48-d4b1-493e-abd4-ff8e1a1a2402</vt:lpwstr>
  </property>
</Properties>
</file>