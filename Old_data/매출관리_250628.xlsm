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52A186F6-ACE2-4BD3-B95B-1303BECE9814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41" i="4"/>
  <c r="I38" i="4"/>
  <c r="I3" i="4"/>
  <c r="I120" i="4"/>
  <c r="I46" i="4"/>
  <c r="C25" i="53"/>
  <c r="T25" i="53"/>
  <c r="S24" i="53"/>
  <c r="A5" i="55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<sst xmlns="http://schemas.openxmlformats.org/spreadsheetml/2006/main" count="6814" uniqueCount="2884">
  <si>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</si>
  <si>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</si>
  <si>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</si>
  <si>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</si>
  <si>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</si>
  <si>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</si>
  <si>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</si>
  <si>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</si>
  <si>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</si>
  <si>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</si>
  <si>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</si>
  <si>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</si>
  <si>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</si>
  <si>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</si>
  <si>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</si>
  <si>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</si>
  <si>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</si>
  <si>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</si>
  <si>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</si>
  <si>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</si>
  <si>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</si>
  <si>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</si>
  <si>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</si>
  <si>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</si>
  <si>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</si>
  <si>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</si>
  <si>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</si>
  <si>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</si>
  <si>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</si>
  <si>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</si>
  <si>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</si>
  <si>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</si>
  <si>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</si>
  <si>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</si>
  <si>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</si>
  <si>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</si>
  <si>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</si>
  <si>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</si>
  <si>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</si>
  <si>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</si>
  <si>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</si>
  <si>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</si>
  <si>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</si>
  <si>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</si>
  <si>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</si>
  <si>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</si>
  <si>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</si>
  <si>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</si>
  <si>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</si>
  <si>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</si>
  <si>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</si>
  <si>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</si>
  <si>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</si>
  <si>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</si>
  <si>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</si>
  <si>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</si>
  <si>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</si>
  <si>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</si>
  <si>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</si>
  <si>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</si>
  <si>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</si>
  <si>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</si>
  <si>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</si>
  <si>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</si>
  <si>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</si>
  <si>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</si>
  <si>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</si>
  <si>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</si>
  <si>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</si>
  <si>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</si>
  <si>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</si>
  <si>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</si>
  <si>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</si>
  <si>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</si>
  <si>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</si>
  <si>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</si>
  <si>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</si>
  <si>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</si>
  <si>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</si>
  <si>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</si>
  <si>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</si>
  <si>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</si>
  <si>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</si>
  <si>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</si>
  <si>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</si>
  <si>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</si>
  <si>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</si>
  <si>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</si>
  <si>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</si>
  <si>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</si>
  <si>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</si>
  <si>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</si>
  <si>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</si>
  <si>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</si>
  <si>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</si>
  <si>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</si>
  <si>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</si>
  <si>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</si>
  <si>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</si>
  <si>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</si>
  <si>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</si>
  <si>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</si>
  <si>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</si>
  <si>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</si>
  <si>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</si>
  <si>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</si>
  <si>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</si>
  <si>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</si>
  <si>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</si>
  <si>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</si>
  <si>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</si>
  <si>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</si>
  <si>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</si>
  <si>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</si>
  <si>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</si>
  <si>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</si>
  <si>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</si>
  <si>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</si>
  <si>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</si>
  <si>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</si>
  <si>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</si>
  <si>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</si>
  <si>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</si>
  <si>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</si>
  <si>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</si>
  <si>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</si>
  <si>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</si>
  <si>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</si>
  <si>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</si>
  <si>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</si>
  <si>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</si>
  <si>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</si>
  <si>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</si>
  <si>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</si>
  <si>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</si>
  <si>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</si>
  <si>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</si>
  <si>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</si>
  <si>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</si>
  <si>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</si>
  <si>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</si>
  <si>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</si>
  <si>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</si>
  <si>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</si>
  <si>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</si>
  <si>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</si>
  <si>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</si>
  <si>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</si>
  <si>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</si>
  <si>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</si>
  <si>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</si>
  <si>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</si>
  <si>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</si>
  <si>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</si>
  <si>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</si>
  <si>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</si>
  <si>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</si>
  <si>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</si>
  <si>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</si>
  <si>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</si>
  <si>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</si>
  <si>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</si>
  <si>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</si>
  <si>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</si>
  <si>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</si>
  <si>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</si>
  <si>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</si>
  <si>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</si>
  <si>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</si>
  <si>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</si>
  <si>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</si>
  <si>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</si>
  <si>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</si>
  <si>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</si>
  <si>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</si>
  <si>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</si>
  <si>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</si>
  <si>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</si>
  <si>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</si>
  <si>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</si>
  <si>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</si>
  <si>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</si>
  <si>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</si>
  <si>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</si>
  <si>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</si>
  <si>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</si>
  <si>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</si>
  <si>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</si>
  <si>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</si>
  <si>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</si>
  <si>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</si>
  <si>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</si>
  <si>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</si>
  <si>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</si>
  <si>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</si>
  <si>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</si>
  <si>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</si>
  <si>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</si>
  <si>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</si>
  <si>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</si>
  <si>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</si>
  <si>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</si>
  <si>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</si>
  <si>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</si>
  <si>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</si>
  <si>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</si>
  <si>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</si>
  <si>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</si>
  <si>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</si>
  <si>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</si>
  <si>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</si>
  <si>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</si>
  <si>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</si>
  <si>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</si>
  <si>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</si>
  <si>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</si>
  <si>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</si>
  <si>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</si>
  <si>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</si>
  <si>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</si>
  <si>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</si>
  <si>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</si>
  <si>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</si>
  <si>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</si>
  <si>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</si>
  <si>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</si>
  <si>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</si>
  <si>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</si>
  <si>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</si>
  <si>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</si>
  <si>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</si>
  <si>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</si>
  <si>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</si>
  <si>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</si>
  <si>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</si>
  <si>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</si>
  <si>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</si>
  <si>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</si>
  <si>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</si>
  <si>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</si>
  <si>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</si>
  <si>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</si>
  <si>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</si>
  <si>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</si>
  <si>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</si>
  <si>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</si>
  <si>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</si>
  <si>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</si>
  <si>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</si>
  <si>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</si>
  <si>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</si>
  <si>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</si>
  <si>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</si>
  <si>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</si>
  <si>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</si>
  <si>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</si>
  <si>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</si>
  <si>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</si>
  <si>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</si>
  <si>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</si>
  <si>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</si>
  <si>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</si>
  <si>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</si>
  <si>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</si>
  <si>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</si>
  <si>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</si>
  <si>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</si>
  <si>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</si>
  <si>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</si>
  <si>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</si>
  <si>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</si>
  <si>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</si>
  <si>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</si>
  <si>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</si>
  <si>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</si>
  <si>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</si>
  <si>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</si>
  <si>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</si>
  <si>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</si>
  <si>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</si>
  <si>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</si>
  <si>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</si>
  <si>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</si>
  <si>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</si>
  <si>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</si>
  <si>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</si>
  <si>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</si>
  <si>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</si>
  <si>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</si>
  <si>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</si>
  <si>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</si>
  <si>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</si>
  <si>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</si>
  <si>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</si>
  <si>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</si>
  <si>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</si>
  <si>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</si>
  <si>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</si>
  <si>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</si>
  <si>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</si>
  <si>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</si>
  <si>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</si>
  <si>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</si>
  <si>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</si>
  <si>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</si>
  <si>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</si>
  <si>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</si>
  <si>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</si>
  <si>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</si>
  <si>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</si>
  <si>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</si>
  <si>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</si>
  <si>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</si>
  <si>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</si>
  <si>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</si>
  <si>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</si>
  <si>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</si>
  <si>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</si>
  <si>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</si>
  <si>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</si>
  <si>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</si>
  <si>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</si>
  <si>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</si>
  <si>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</si>
  <si>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</si>
  <si>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</si>
  <si>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</si>
  <si>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</si>
  <si>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</si>
  <si>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</si>
  <si>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</si>
  <si>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</si>
  <si>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</si>
  <si>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</si>
  <si>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</si>
  <si>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</si>
  <si>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</si>
  <si>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</si>
  <si>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</si>
  <si>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</si>
  <si>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</si>
  <si>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</si>
  <si>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</si>
  <si>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</si>
  <si>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</si>
  <si>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</si>
  <si>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</si>
  <si>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</si>
  <si>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</si>
  <si>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</si>
  <si>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</si>
  <si>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</si>
  <si>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</si>
  <si>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</si>
  <si>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</si>
  <si>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</si>
  <si>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</si>
  <si>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</si>
  <si>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</si>
  <si>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</si>
  <si>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</si>
  <si>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</si>
  <si>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</si>
  <si>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</si>
  <si>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</si>
  <si>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</si>
  <si>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</si>
  <si>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</si>
  <si>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</si>
  <si>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</si>
  <si>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</si>
  <si>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</si>
  <si>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</si>
  <si>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</si>
  <si>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</si>
  <si>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</si>
  <si>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</si>
  <si>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</si>
  <si>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</si>
  <si>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</si>
  <si>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</si>
  <si>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</si>
  <si>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</si>
  <si>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</si>
  <si>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</si>
  <si>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</si>
  <si>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</si>
  <si>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</si>
  <si>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</si>
  <si>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</si>
  <si>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</si>
  <si>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</si>
  <si>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</si>
  <si>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</si>
  <si>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</si>
  <si>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</si>
  <si>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</si>
  <si>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</si>
  <si>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</si>
  <si>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</si>
  <si>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</si>
  <si>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</si>
  <si>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</si>
  <si>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</si>
  <si>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</si>
  <si>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</si>
  <si>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</si>
  <si>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</si>
  <si>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</si>
  <si>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</si>
  <si>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</si>
  <si>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</si>
  <si>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</si>
  <si>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</si>
  <si>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</si>
  <si>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</si>
  <si>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</si>
  <si>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</si>
  <si>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</si>
  <si>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</si>
  <si>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</si>
  <si>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</si>
  <si>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</si>
  <si>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</si>
  <si>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</si>
  <si>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</si>
  <si>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</si>
  <si>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</si>
  <si>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</si>
  <si>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</si>
  <si>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</si>
  <si>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</si>
  <si>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</si>
  <si>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</si>
  <si>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</si>
  <si>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</si>
  <si>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</si>
  <si>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</si>
  <si>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</si>
  <si>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</si>
  <si>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</si>
  <si>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</si>
  <si>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</si>
  <si>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</si>
  <si>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</si>
  <si>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</si>
  <si>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</si>
  <si>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</si>
  <si>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</si>
  <si>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</si>
  <si>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</si>
  <si>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</si>
  <si>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</si>
  <si>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</si>
  <si>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</si>
  <si>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</si>
  <si>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</si>
  <si>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</si>
  <si>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</si>
  <si>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</si>
  <si>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</si>
  <si>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</si>
  <si>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</si>
  <si>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</si>
  <si>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</si>
  <si>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</si>
  <si>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</si>
  <si>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</si>
  <si>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</si>
  <si>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</si>
  <si>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</si>
  <si>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</si>
  <si>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</si>
  <si>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</si>
  <si>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</si>
  <si>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</si>
  <si>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</si>
  <si>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</si>
  <si>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</si>
  <si>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</si>
  <si>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</si>
  <si>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</si>
  <si>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</si>
  <si>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</si>
  <si>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</si>
  <si>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</si>
  <si>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</si>
  <si>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</si>
  <si>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</si>
  <si>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</si>
  <si>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</si>
  <si>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</si>
  <si>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</si>
  <si>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</si>
  <si>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</si>
  <si>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</si>
  <si>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</si>
  <si>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</si>
  <si>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</si>
  <si>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</si>
  <si>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</si>
  <si>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</si>
  <si>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</si>
  <si>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</si>
  <si>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</si>
  <si>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</si>
  <si>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</si>
  <si>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</si>
  <si>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</si>
  <si>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</si>
  <si>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</si>
  <si>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</si>
  <si>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</si>
  <si>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</si>
  <si>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</si>
  <si>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</si>
  <si>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</si>
  <si>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</si>
  <si>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</si>
  <si>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</si>
  <si>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</si>
  <si>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</si>
  <si>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</si>
  <si>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</si>
  <si>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</si>
  <si>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</si>
  <si>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</si>
  <si>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</si>
  <si>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</si>
  <si>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</si>
  <si>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</si>
  <si>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</si>
  <si>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</si>
  <si>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</si>
  <si>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</si>
  <si>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</si>
  <si>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</si>
  <si>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</si>
  <si>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</si>
  <si>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</si>
  <si>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</si>
  <si>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</si>
  <si>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</si>
  <si>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</si>
  <si>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</si>
  <si>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</si>
  <si>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</si>
  <si>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</si>
  <si>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</si>
  <si>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</si>
  <si>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</si>
  <si>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</si>
  <si>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</si>
  <si>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</si>
  <si>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</si>
  <si>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</si>
  <si>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</si>
  <si>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</si>
  <si>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</si>
  <si>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</si>
  <si>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</si>
  <si>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</si>
  <si>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</si>
  <si>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</si>
  <si>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</si>
  <si>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</si>
  <si>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</si>
  <si>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</si>
  <si>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</si>
  <si>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</si>
  <si>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</si>
  <si>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</si>
  <si>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</si>
  <si>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</si>
  <si>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</si>
  <si>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</si>
  <si>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</si>
  <si>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</si>
  <si>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</si>
  <si>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</si>
  <si>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</si>
  <si>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</si>
  <si>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</si>
  <si>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</si>
  <si>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</si>
  <si>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</si>
  <si>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</si>
  <si>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</si>
  <si>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</si>
  <si>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</si>
  <si>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</si>
  <si>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</si>
  <si>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</si>
  <si>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</si>
  <si>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</si>
  <si>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</si>
  <si>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</si>
  <si>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</si>
  <si>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</si>
  <si>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</si>
  <si>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</si>
  <si>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</si>
  <si>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</si>
  <si>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</si>
  <si>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</si>
  <si>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</si>
  <si>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</si>
  <si>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</si>
  <si>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</si>
  <si>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</si>
  <si>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</si>
  <si>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</si>
  <si>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</si>
  <si>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</si>
  <si>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</si>
  <si>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</si>
  <si>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</si>
  <si>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</si>
  <si>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</si>
  <si>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</si>
  <si>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</si>
  <si>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</si>
  <si>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</si>
  <si>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</si>
  <si>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</si>
  <si>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</si>
  <si>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</si>
  <si>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</si>
  <si>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</si>
  <si>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</si>
  <si>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</si>
  <si>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</si>
  <si>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</si>
  <si>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</si>
  <si>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</si>
  <si>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</si>
  <si>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</si>
  <si>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</si>
  <si>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</si>
  <si>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</si>
  <si>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</si>
  <si>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</si>
  <si>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</si>
  <si>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</si>
  <si>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</si>
  <si>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</si>
  <si>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</si>
  <si>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</si>
  <si>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</si>
  <si>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</si>
  <si>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</si>
  <si>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</si>
  <si>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</si>
  <si>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</si>
  <si>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</si>
  <si>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</si>
  <si>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</si>
  <si>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</si>
  <si>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</si>
  <si>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</si>
  <si>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</si>
  <si>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</si>
  <si>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</si>
  <si>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</si>
  <si>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</si>
  <si>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</si>
  <si>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</si>
  <si>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</si>
  <si>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</si>
  <si>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</si>
  <si>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</si>
  <si>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</si>
  <si>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</si>
  <si>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</si>
  <si>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</si>
  <si>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</si>
  <si>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</si>
  <si>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</si>
  <si>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</si>
  <si>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</si>
  <si>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</si>
  <si>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</si>
  <si>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</si>
  <si>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</si>
  <si>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</si>
  <si>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</si>
  <si>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</si>
  <si>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</si>
  <si>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</si>
  <si>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</si>
  <si>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</si>
  <si>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</si>
  <si>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</si>
  <si>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</si>
  <si>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</si>
  <si>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</si>
  <si>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</si>
  <si>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</si>
  <si>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</si>
  <si>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</si>
  <si>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</si>
  <si>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</si>
  <si>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</si>
  <si>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</si>
  <si>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</si>
  <si>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</si>
  <si>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</si>
  <si>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</si>
  <si>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</si>
  <si>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</si>
  <si>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</si>
  <si>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</si>
  <si>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</si>
  <si>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</si>
  <si>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</si>
  <si>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</si>
  <si>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</si>
  <si>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</si>
  <si>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</si>
  <si>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</si>
  <si>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</si>
  <si>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</si>
  <si>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</si>
  <si>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</si>
  <si>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</si>
  <si>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</si>
  <si>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</si>
  <si>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</si>
  <si>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</si>
  <si>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</si>
  <si>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</si>
  <si>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</si>
  <si>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</si>
  <si>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</si>
  <si>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</si>
  <si>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</si>
  <si>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</si>
  <si>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</si>
  <si>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</si>
  <si>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</si>
  <si>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</si>
  <si>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</si>
  <si>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</si>
  <si>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</si>
  <si>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</si>
  <si>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</si>
  <si>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</si>
  <si>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</si>
  <si>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</si>
  <si>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</si>
  <si>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</si>
  <si>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</si>
  <si>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</si>
  <si>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</si>
  <si>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</si>
  <si>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</si>
  <si>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</si>
  <si>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</si>
  <si>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</si>
  <si>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</si>
  <si>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</si>
  <si>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</si>
  <si>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</si>
  <si>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</si>
  <si>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</si>
  <si>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</si>
  <si>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</si>
  <si>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</si>
  <si>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</si>
  <si>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</si>
  <si>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</si>
  <si>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</si>
  <si>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</si>
  <si>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</si>
  <si>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</si>
  <si>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</si>
  <si>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</si>
  <si>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</si>
  <si>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</si>
  <si>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</si>
  <si>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</si>
  <si>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</si>
  <si>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</si>
  <si>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</si>
  <si>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</si>
  <si>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</si>
  <si>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</si>
  <si>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</si>
  <si>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</si>
  <si>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</si>
  <si>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</si>
  <si>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</si>
  <si>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</si>
  <si>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</si>
  <si>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</si>
  <si>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</si>
  <si>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</si>
  <si>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</si>
  <si>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</si>
  <si>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</si>
  <si>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</si>
  <si>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</si>
  <si>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</si>
  <si>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</si>
  <si>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</si>
  <si>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</si>
  <si>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</si>
  <si>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</si>
  <si>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</si>
  <si>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</si>
  <si>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</si>
  <si>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</si>
  <si>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</si>
  <si>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</si>
  <si>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</si>
  <si>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</si>
  <si>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</si>
  <si>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</si>
  <si>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</si>
  <si>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</si>
  <si>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</si>
  <si>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</si>
  <si>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</si>
  <si>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</si>
  <si>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</si>
  <si>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</si>
  <si>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</si>
  <si>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</si>
  <si>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</si>
  <si>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</si>
  <si>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</si>
  <si>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</si>
  <si>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</si>
  <si>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</si>
  <si>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</si>
  <si>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</si>
  <si>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</si>
  <si>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</si>
  <si>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</si>
  <si>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</si>
  <si>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</si>
  <si>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</si>
  <si>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</si>
  <si>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</si>
  <si>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</si>
  <si>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</si>
  <si>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</si>
  <si>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</si>
  <si>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</si>
  <si>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</si>
  <si>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</si>
  <si>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</si>
  <si>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</si>
  <si>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</si>
  <si>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</si>
  <si>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</si>
  <si>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</si>
  <si>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</si>
  <si>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</si>
  <si>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</si>
  <si>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</si>
  <si>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</si>
  <si>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</si>
  <si>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</si>
  <si>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</si>
  <si>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</si>
  <si>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</si>
  <si>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</si>
  <si>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</si>
  <si>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</si>
  <si>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</si>
  <si>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</si>
  <si>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</si>
  <si>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</si>
  <si>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</si>
  <si>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</si>
  <si>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</si>
  <si>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</si>
  <si>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</si>
  <si>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</si>
  <si>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</si>
  <si>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</si>
  <si>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</si>
  <si>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</si>
  <si>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</si>
  <si>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</si>
  <si>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</si>
  <si>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</si>
  <si>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</si>
  <si>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</si>
  <si>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</si>
  <si>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</si>
  <si>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</si>
  <si>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</si>
  <si>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</si>
  <si>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</si>
  <si>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</si>
  <si>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</si>
  <si>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</si>
  <si>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</si>
  <si>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</si>
  <si>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</si>
  <si>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</si>
  <si>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</si>
  <si>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</si>
  <si>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</si>
  <si>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</si>
  <si>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</si>
  <si>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</si>
  <si>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</si>
  <si>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</si>
  <si>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</si>
  <si>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</si>
  <si>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</si>
  <si>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</si>
  <si>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</si>
  <si>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</si>
  <si>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</si>
  <si>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</si>
  <si>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</si>
  <si>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</si>
  <si>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</si>
  <si>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</si>
  <si>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</si>
  <si>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</si>
  <si>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</si>
  <si>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</si>
  <si>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</si>
  <si>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</si>
  <si>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</si>
  <si>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</si>
  <si>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</si>
  <si>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</si>
  <si>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</si>
  <si>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</si>
  <si>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</si>
  <si>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</si>
  <si>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</si>
  <si>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</si>
  <si>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</si>
  <si>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</si>
  <si>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</si>
  <si>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</si>
  <si>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</si>
  <si>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</si>
  <si>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</si>
  <si>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</si>
  <si>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</si>
  <si>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</si>
  <si>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</si>
  <si>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</si>
  <si>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</si>
  <si>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</si>
  <si>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</si>
  <si>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</si>
  <si>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</si>
  <si>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</si>
  <si>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</si>
  <si>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</si>
  <si>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</si>
  <si>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</si>
  <si>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</si>
  <si>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</si>
  <si>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</si>
  <si>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</si>
  <si>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</si>
  <si>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</si>
  <si>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</si>
  <si>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</si>
  <si>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</si>
  <si>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</si>
  <si>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</si>
  <si>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</si>
  <si>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</si>
  <si>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</si>
  <si>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</si>
  <si>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</si>
  <si>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</si>
  <si>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</si>
  <si>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</si>
  <si>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</si>
  <si>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</si>
  <si>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</si>
  <si>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</si>
  <si>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</si>
  <si>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</si>
  <si>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</si>
  <si>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</si>
  <si>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</si>
  <si>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</si>
  <si>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</si>
  <si>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</si>
  <si>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</si>
  <si>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</si>
  <si>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</si>
  <si>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</si>
  <si>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</si>
  <si>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</si>
  <si>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</si>
  <si>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</si>
  <si>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</si>
  <si>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</si>
  <si>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</si>
  <si>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</si>
  <si>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</si>
  <si>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</si>
  <si>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</si>
  <si>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</si>
  <si>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</si>
  <si>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</si>
  <si>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</si>
  <si>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</si>
  <si>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</si>
  <si>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</si>
  <si>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</si>
  <si>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</si>
  <si>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</si>
  <si>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</si>
  <si>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</si>
  <si>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</si>
  <si>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</si>
  <si>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</si>
  <si>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</si>
  <si>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</si>
  <si>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</si>
  <si>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</si>
  <si>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</si>
  <si>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</si>
  <si>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</si>
  <si>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</si>
  <si>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</si>
  <si>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</si>
  <si>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</si>
  <si>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</si>
  <si>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</si>
  <si>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</si>
  <si>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</si>
  <si>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</si>
  <si>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</si>
  <si>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</si>
  <si>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</si>
  <si>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</si>
  <si>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</si>
  <si>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</si>
  <si>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</si>
  <si>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</si>
  <si>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</si>
  <si>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</si>
  <si>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</si>
  <si>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</si>
  <si>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</si>
  <si>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</si>
  <si>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</si>
  <si>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</si>
  <si>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</si>
  <si>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</si>
  <si>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</si>
  <si>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</si>
  <si>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</si>
  <si>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</si>
  <si>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</si>
  <si>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</si>
  <si>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</si>
  <si>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</si>
  <si>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</si>
  <si>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</si>
  <si>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</si>
  <si>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</si>
  <si>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</si>
  <si>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</si>
  <si>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</si>
  <si>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</si>
  <si>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</si>
  <si>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</si>
  <si>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</si>
  <si>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</si>
  <si>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</si>
  <si>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</si>
  <si>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</si>
  <si>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</si>
  <si>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</si>
  <si>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</si>
  <si>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</si>
  <si>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</si>
  <si>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</si>
  <si>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</si>
  <si>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</si>
  <si>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</si>
  <si>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</si>
  <si>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</si>
  <si>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</si>
  <si>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</si>
  <si>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</si>
  <si>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</si>
  <si>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</si>
  <si>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</si>
  <si>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</si>
  <si>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</si>
  <si>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</si>
  <si>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</si>
  <si>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</si>
  <si>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</si>
  <si>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</si>
  <si>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</si>
  <si>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</si>
  <si>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</si>
  <si>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</si>
  <si>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</si>
  <si>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</si>
  <si>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</si>
  <si>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</si>
  <si>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</si>
  <si>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</si>
  <si>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</si>
  <si>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</si>
  <si>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</si>
  <si>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</si>
  <si>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</si>
  <si>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</si>
  <si>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</si>
  <si>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</si>
  <si>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</si>
  <si>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</si>
  <si>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</si>
  <si>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</si>
  <si>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</si>
  <si>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</si>
  <si>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</si>
  <si>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</si>
  <si>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</si>
  <si>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</si>
  <si>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</si>
  <si>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</si>
  <si>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</si>
  <si>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</si>
  <si>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</si>
  <si>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</si>
  <si>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</si>
  <si>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</si>
  <si>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</si>
  <si>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</si>
  <si>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</si>
  <si>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</si>
  <si>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</si>
  <si>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</si>
  <si>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</si>
  <si>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</si>
  <si>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</si>
  <si>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</si>
  <si>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</si>
  <si>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</si>
  <si>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</si>
  <si>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</si>
  <si>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</si>
  <si>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</si>
  <si>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</si>
  <si>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</si>
  <si>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</si>
  <si>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</si>
  <si>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</si>
  <si>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</si>
  <si>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</si>
  <si>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</si>
  <si>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</si>
  <si>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</si>
  <si>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</si>
  <si>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</si>
  <si>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</si>
  <si>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</si>
  <si>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</si>
  <si>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</si>
  <si>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</si>
  <si>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</si>
  <si>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</si>
  <si>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</si>
  <si>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</si>
  <si>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</si>
  <si>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</si>
  <si>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</si>
  <si>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</si>
  <si>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</si>
  <si>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</si>
  <si>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</si>
  <si>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</si>
  <si>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</si>
  <si>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</si>
  <si>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</si>
  <si>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</si>
  <si>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</si>
  <si>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</si>
  <si>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</si>
  <si>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</si>
  <si>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</si>
  <si>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</si>
  <si>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</si>
  <si>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</si>
  <si>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</si>
  <si>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</si>
  <si>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</si>
  <si>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</si>
  <si>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</si>
  <si>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</si>
  <si>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</si>
  <si>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</si>
  <si>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</si>
  <si>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</si>
  <si>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</si>
  <si>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</si>
  <si>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</si>
  <si>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</si>
  <si>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</si>
  <si>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</si>
  <si>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</si>
  <si>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</si>
  <si>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</si>
  <si>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</si>
  <si>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</si>
  <si>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</si>
  <si>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</si>
  <si>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</si>
  <si>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</si>
  <si>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</si>
  <si>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</si>
  <si>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</si>
  <si>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</si>
  <si>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</si>
  <si>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</si>
  <si>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</si>
  <si>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</si>
  <si>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</si>
  <si>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</si>
  <si>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</si>
  <si>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</si>
  <si>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</si>
  <si>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</si>
  <si>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</si>
  <si>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</si>
  <si>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</si>
  <si>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</si>
  <si>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</si>
  <si>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</si>
  <si>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</si>
  <si>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</si>
  <si>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</si>
  <si>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</si>
  <si>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</si>
  <si>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</si>
  <si>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</si>
  <si>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</si>
  <si>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</si>
  <si>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</si>
  <si>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</si>
  <si>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</si>
  <si>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</si>
  <si>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</si>
  <si>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</si>
  <si>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</si>
  <si>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</si>
  <si>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</si>
  <si>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</si>
  <si>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</si>
  <si>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</si>
  <si>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</si>
  <si>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</si>
  <si>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</si>
  <si>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</si>
  <si>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</si>
  <si>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</si>
  <si>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</si>
  <si>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</si>
  <si>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</si>
  <si>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</si>
  <si>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</si>
  <si>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</si>
  <si>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</si>
  <si>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</si>
  <si>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</si>
  <si>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</si>
  <si>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</si>
  <si>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</si>
  <si>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</si>
  <si>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</si>
  <si>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</si>
  <si>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</si>
  <si>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</si>
  <si>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</si>
  <si>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</si>
  <si>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</si>
  <si>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</si>
  <si>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</si>
  <si>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</si>
  <si>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</si>
  <si>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</si>
  <si>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</si>
  <si>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</si>
  <si>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</si>
  <si>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</si>
  <si>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</si>
  <si>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</si>
  <si>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</si>
  <si>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</si>
  <si>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</si>
  <si>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</si>
  <si>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</si>
  <si>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</si>
  <si>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</si>
  <si>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</si>
  <si>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</si>
  <si>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</si>
  <si>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</si>
  <si>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</si>
  <si>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</si>
  <si>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</si>
  <si>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</si>
  <si>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</si>
  <si>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</si>
  <si>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</si>
  <si>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</si>
  <si>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</si>
  <si>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</si>
  <si>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</si>
  <si>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</si>
  <si>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</si>
  <si>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</si>
  <si>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</si>
  <si>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</si>
  <si>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</si>
  <si>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</si>
  <si>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</si>
  <si>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</si>
  <si>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</si>
  <si>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</si>
  <si>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</si>
  <si>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</si>
  <si>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</si>
  <si>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</si>
  <si>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</si>
  <si>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</si>
  <si>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</si>
  <si>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</si>
  <si>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</si>
  <si>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</si>
  <si>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</si>
  <si>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</si>
  <si>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</si>
  <si>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</si>
  <si>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</si>
  <si>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</si>
  <si>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</si>
  <si>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</si>
  <si>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</si>
  <si>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</si>
  <si>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</si>
  <si>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</si>
  <si>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</si>
  <si>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</si>
  <si>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</si>
  <si>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</si>
  <si>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</si>
  <si>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</si>
  <si>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</si>
  <si>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</si>
  <si>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</si>
  <si>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</si>
  <si>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</si>
  <si>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</si>
  <si>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</si>
  <si>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</si>
  <si>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</si>
  <si>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</si>
  <si>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</si>
  <si>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</si>
  <si>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</si>
  <si>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</si>
  <si>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</si>
  <si>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</si>
  <si>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</si>
  <si>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</si>
  <si>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</si>
  <si>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</si>
  <si>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</si>
  <si>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</si>
  <si>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</si>
  <si>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</si>
  <si>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</si>
  <si>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</si>
  <si>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</si>
  <si>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</si>
  <si>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</si>
  <si>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</si>
  <si>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</si>
  <si>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</si>
  <si>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</si>
  <si>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</si>
  <si>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</si>
  <si>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</si>
  <si>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</si>
  <si>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</si>
  <si>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</si>
  <si>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</si>
  <si>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</si>
  <si>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</si>
  <si>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</si>
  <si>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</si>
  <si>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</si>
  <si>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</si>
  <si>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</si>
  <si>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</si>
  <si>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</si>
  <si>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</si>
  <si>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</si>
  <si>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</si>
  <si>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</si>
  <si>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</si>
  <si>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</si>
  <si>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</si>
  <si>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</si>
  <si>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</si>
  <si>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</si>
  <si>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</si>
  <si>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</si>
  <si>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</si>
  <si>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</si>
  <si>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</si>
  <si>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</si>
  <si>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</si>
  <si>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</si>
  <si>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</si>
  <si>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</si>
  <si>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</si>
  <si>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</si>
  <si>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</si>
  <si>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</si>
  <si>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</si>
  <si>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</si>
  <si>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</si>
  <si>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</si>
  <si>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</si>
  <si>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</si>
  <si>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</si>
  <si>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</si>
  <si>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</si>
  <si>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</si>
  <si>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</si>
  <si>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</si>
  <si>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</si>
  <si>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</si>
  <si>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</si>
  <si>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</si>
  <si>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</si>
  <si>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</si>
  <si>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</si>
  <si>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</si>
  <si>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</si>
  <si>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</si>
  <si>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</si>
  <si>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</si>
  <si>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</si>
  <si>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</si>
  <si>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</si>
  <si>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</si>
  <si>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</si>
  <si>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</si>
  <si>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</si>
  <si>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</si>
  <si>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</si>
  <si>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</si>
  <si>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</si>
  <si>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</si>
  <si>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</si>
  <si>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</si>
  <si>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</si>
  <si>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</si>
  <si>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</si>
  <si>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</si>
  <si>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</si>
  <si>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</si>
  <si>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</si>
  <si>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</si>
  <si>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</si>
  <si>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</si>
  <si>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</si>
  <si>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</si>
  <si>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</si>
  <si>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</si>
  <si>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</si>
  <si>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</si>
  <si>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</si>
  <si>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</si>
  <si>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</si>
  <si>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</si>
  <si>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</si>
  <si>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</si>
  <si>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</si>
  <si>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</si>
  <si>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</si>
  <si>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</si>
  <si>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</si>
  <si>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</si>
  <si>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</si>
  <si>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</si>
  <si>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</si>
  <si>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</si>
  <si>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</si>
  <si>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</si>
  <si>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</si>
  <si>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</si>
  <si>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</si>
  <si>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</si>
  <si>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</si>
  <si>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</si>
  <si>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</si>
  <si>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</si>
  <si>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</si>
  <si>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</si>
  <si>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</si>
  <si>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</si>
  <si>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</si>
  <si>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</si>
  <si>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</si>
  <si>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</si>
  <si>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</si>
  <si>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</si>
  <si>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</si>
  <si>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</si>
  <si>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</si>
  <si>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</si>
  <si>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</si>
  <si>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</si>
  <si>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</si>
  <si>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</si>
  <si>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</si>
  <si>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</si>
  <si>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</si>
  <si>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</si>
  <si>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</si>
  <si>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</si>
  <si>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</si>
  <si>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</si>
  <si>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</si>
  <si>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</si>
  <si>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</si>
  <si>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</si>
  <si>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</si>
  <si>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</si>
  <si>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</si>
  <si>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</si>
  <si>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</si>
  <si>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</si>
  <si>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</si>
  <si>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</si>
  <si>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</si>
  <si>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</si>
  <si>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</si>
  <si>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</si>
  <si>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</si>
  <si>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</si>
  <si>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</si>
  <si>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</si>
  <si>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</si>
  <si>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</si>
  <si>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</si>
  <si>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</si>
  <si>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</si>
  <si>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</si>
  <si>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</si>
  <si>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</si>
  <si>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</si>
  <si>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</si>
  <si>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</si>
  <si>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</si>
  <si>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</si>
  <si>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</si>
  <si>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</si>
  <si>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</si>
  <si>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</si>
  <si>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</si>
  <si>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</si>
  <si>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</si>
  <si>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</si>
  <si>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</si>
  <si>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</si>
  <si>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</si>
  <si>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</si>
  <si>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</si>
  <si>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</si>
  <si>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</si>
  <si>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</si>
  <si>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</si>
  <si>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</si>
  <si>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</si>
  <si>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</si>
  <si>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</si>
  <si>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</si>
  <si>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</si>
  <si>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</si>
  <si>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</si>
  <si>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</si>
  <si>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</si>
  <si>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</si>
  <si>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</si>
  <si>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</si>
  <si>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</si>
  <si>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</si>
  <si>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</si>
  <si>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</si>
  <si>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</si>
  <si>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</si>
  <si>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</si>
  <si>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</si>
  <si>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</si>
  <si>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</si>
  <si>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</si>
  <si>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</si>
  <si>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</si>
  <si>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</si>
  <si>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</si>
  <si>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</si>
  <si>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</si>
  <si>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</si>
  <si>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</si>
  <si>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</si>
  <si>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</si>
  <si>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</si>
  <si>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</si>
  <si>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</si>
  <si>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</si>
  <si>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</si>
  <si>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</si>
  <si>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</si>
  <si>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</si>
  <si>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</si>
  <si>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</si>
  <si>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</si>
  <si>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</si>
  <si>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</si>
  <si>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</si>
  <si>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</si>
  <si>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</si>
  <si>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</si>
  <si>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</si>
  <si>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</si>
  <si>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</si>
  <si>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</si>
  <si>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</si>
  <si>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</si>
  <si>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</si>
  <si>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</si>
  <si>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</si>
  <si>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</si>
  <si>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</si>
  <si>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</si>
  <si>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</si>
  <si>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</si>
  <si>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</si>
  <si>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</si>
  <si>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</si>
  <si>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</si>
  <si>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</si>
  <si>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</si>
  <si>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</si>
  <si>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</si>
  <si>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</si>
  <si>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</si>
  <si>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</si>
  <si>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</si>
  <si>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</si>
  <si>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</si>
  <si>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</si>
  <si>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</si>
  <si>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</si>
  <si>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</si>
  <si>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</si>
  <si>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</si>
  <si>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</si>
  <si>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</si>
  <si>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</si>
  <si>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</si>
  <si>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</si>
  <si>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</si>
  <si>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</si>
  <si>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</si>
  <si>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</si>
  <si>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</si>
  <si>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</si>
  <si>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</si>
  <si>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</si>
  <si>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</si>
  <si>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</si>
  <si>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</si>
  <si>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</si>
  <si>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</si>
  <si>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</si>
  <si>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</si>
  <si>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</si>
  <si>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</si>
  <si>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</si>
  <si>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</si>
  <si>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</si>
  <si>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</si>
  <si>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</si>
  <si>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</si>
  <si>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</si>
  <si>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</si>
  <si>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</si>
  <si>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</si>
  <si>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</si>
  <si>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</si>
  <si>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</si>
  <si>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</si>
  <si>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</si>
  <si>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</si>
  <si>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</si>
  <si>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</si>
  <si>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</si>
  <si>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</si>
  <si>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</si>
  <si>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</si>
  <si>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</si>
  <si>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</si>
  <si>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</si>
  <si>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</si>
  <si>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</si>
  <si>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</si>
  <si>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</si>
  <si>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</si>
  <si>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</si>
  <si>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</si>
  <si>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</si>
  <si>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</si>
  <si>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</si>
  <si>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</si>
  <si>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</si>
  <si>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</si>
  <si>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</si>
  <si>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</si>
  <si>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</si>
  <si>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</si>
  <si>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</si>
  <si>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</si>
  <si>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</si>
  <si>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</si>
  <si>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</si>
  <si>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</si>
  <si>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</si>
  <si>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</si>
  <si>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</si>
  <si>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</si>
  <si>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</si>
  <si>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</si>
  <si>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</si>
  <si>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</si>
  <si>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</si>
  <si>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</si>
  <si>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</si>
  <si>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</si>
  <si>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</si>
  <si>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</si>
  <si>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</si>
  <si>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</si>
  <si>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</si>
  <si>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</si>
  <si>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</si>
  <si>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</si>
  <si>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</si>
  <si>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</si>
  <si>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</si>
  <si>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</si>
  <si>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</si>
  <si>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</si>
  <si>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</si>
  <si>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</si>
  <si>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</si>
  <si>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</si>
  <si>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</si>
  <si>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</si>
  <si>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</si>
  <si>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</si>
  <si>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</si>
  <si>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</si>
  <si>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</si>
  <si>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</si>
  <si>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</si>
  <si>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</si>
  <si>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</si>
  <si>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</si>
  <si>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</si>
  <si>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</si>
  <si>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</si>
  <si>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</si>
  <si>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</si>
  <si>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</si>
  <si>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</si>
  <si>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</si>
  <si>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</si>
  <si>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</si>
  <si>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</si>
  <si>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</si>
  <si>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</si>
  <si>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</si>
  <si>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</si>
  <si>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</si>
  <si>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</si>
  <si>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</si>
  <si>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</si>
  <si>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</si>
  <si>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</si>
  <si>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</si>
  <si>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</si>
  <si>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</si>
  <si>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</si>
  <si>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</si>
  <si>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</si>
  <si>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</si>
  <si>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</si>
  <si>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</si>
  <si>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</si>
  <si>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</si>
  <si>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</si>
  <si>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</si>
  <si>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</si>
  <si>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</si>
  <si>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</si>
  <si>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</si>
  <si>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</si>
  <si>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</si>
  <si>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</si>
  <si>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</si>
  <si>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</si>
  <si>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</si>
  <si>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</si>
  <si>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</si>
  <si>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</si>
  <si>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</si>
  <si>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</si>
  <si>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</si>
  <si>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</si>
  <si>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</si>
  <si>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</si>
  <si>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</si>
  <si>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</si>
  <si>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</si>
  <si>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</si>
  <si>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</si>
  <si>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</si>
  <si>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</si>
  <si>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</si>
  <si>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</si>
  <si>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</si>
  <si>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</si>
  <si>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</si>
  <si>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</si>
  <si>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</si>
  <si>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</si>
  <si>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</si>
  <si>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</si>
  <si>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</si>
  <si>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</si>
  <si>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</si>
  <si>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</si>
  <si>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</si>
  <si>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</si>
  <si>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</si>
  <si>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</si>
  <si>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</si>
  <si>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</si>
  <si>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</si>
  <si>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</si>
  <si>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</si>
  <si>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</si>
  <si>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</si>
  <si>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</si>
  <si>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</si>
  <si>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</si>
  <si>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</si>
  <si>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</si>
  <si>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</si>
  <si>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</si>
  <si>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</si>
  <si>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</si>
  <si>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</si>
  <si>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</si>
  <si>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</si>
  <si>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</si>
  <si>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</si>
  <si>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</si>
  <si>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</si>
  <si>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</si>
  <si>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</si>
  <si>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</si>
  <si>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</si>
  <si>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</si>
  <si>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</si>
  <si>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</si>
  <si>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</si>
  <si>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</si>
  <si>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</si>
  <si>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</si>
  <si>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</si>
  <si>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</si>
  <si>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</si>
  <si>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</si>
  <si>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</si>
  <si>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</si>
  <si>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</si>
  <si>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</si>
  <si>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</si>
  <si>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</si>
  <si>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</si>
  <si>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</si>
  <si>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</si>
  <si>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</si>
  <si>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</si>
  <si>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</si>
  <si>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</si>
  <si>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</si>
  <si>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</si>
  <si>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</si>
  <si>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</si>
  <si>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</si>
  <si>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</si>
  <si>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</si>
  <si>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</si>
  <si>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</si>
  <si>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</si>
  <si>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</si>
  <si>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</si>
  <si>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</si>
  <si>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</si>
  <si>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</si>
  <si>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</si>
  <si>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</si>
  <si>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</si>
  <si>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</si>
  <si>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</si>
  <si>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</si>
  <si>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</si>
  <si>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</si>
  <si>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</si>
  <si>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</si>
  <si>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</si>
  <si>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</si>
  <si>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</si>
  <si>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</si>
  <si>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</si>
  <si>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</si>
  <si>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</si>
  <si>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</si>
  <si>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</si>
  <si>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</si>
  <si>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</si>
  <si>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</si>
  <si>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</si>
  <si>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</si>
  <si>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</si>
  <si>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</si>
  <si>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</si>
  <si>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</si>
  <si>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</si>
  <si>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</si>
  <si>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</si>
  <si>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</si>
  <si>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</si>
  <si>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</si>
  <si>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</si>
  <si>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</si>
  <si>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</si>
  <si>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</si>
  <si>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</si>
  <si>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</si>
  <si>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</si>
  <si>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</si>
  <si>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</si>
  <si>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</si>
  <si>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</si>
  <si>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</si>
  <si>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</si>
  <si>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</si>
  <si>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</si>
  <si>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</si>
  <si>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</si>
  <si>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</si>
  <si>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</si>
  <si>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</si>
  <si>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</si>
  <si>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</si>
  <si>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</si>
  <si>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</si>
  <si>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</si>
  <si>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</si>
  <si>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</si>
  <si>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</si>
  <si>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</si>
  <si>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</si>
  <si>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</si>
  <si>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</si>
  <si>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</si>
  <si>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</si>
  <si>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</si>
  <si>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</si>
  <si>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</si>
  <si>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</si>
  <si>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</si>
  <si>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</si>
  <si>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</si>
  <si>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</si>
  <si>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</si>
  <si>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</si>
  <si>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</si>
  <si>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</si>
  <si>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</si>
  <si>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</si>
  <si>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</si>
  <si>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</si>
  <si>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</si>
  <si>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</si>
  <si>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</si>
  <si>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</si>
  <si>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</si>
  <si>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</si>
  <si>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</si>
  <si>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</si>
  <si>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</si>
  <si>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</si>
  <si>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</si>
  <si>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</si>
  <si>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</si>
  <si>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</si>
  <si>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</si>
  <si>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</si>
  <si>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</si>
  <si>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</si>
  <si>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</si>
  <si>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</si>
  <si>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</si>
  <si>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</si>
  <si>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</si>
  <si>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</si>
  <si>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</si>
  <si>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</si>
  <si>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</si>
  <si>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</si>
  <si>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</si>
  <si>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</si>
  <si>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</si>
  <si>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</si>
  <si>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</si>
  <si>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</si>
  <si>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</si>
  <si>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</si>
  <si>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</si>
  <si>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</si>
  <si>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</si>
  <si>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</si>
  <si>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</si>
  <si>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</si>
  <si>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</si>
  <si>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</si>
  <si>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</si>
  <si>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</si>
  <si>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</si>
  <si>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</si>
  <si>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</si>
  <si>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</si>
  <si>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</si>
  <si>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</si>
  <si>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</si>
  <si>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</si>
  <si>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</si>
  <si>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</si>
  <si>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</si>
  <si>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</si>
  <si>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</si>
  <si>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</si>
  <si>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</si>
  <si>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</si>
  <si>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</si>
  <si>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</si>
  <si>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</si>
  <si>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</si>
  <si>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</si>
  <si>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</si>
  <si>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</si>
  <si>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</si>
  <si>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</si>
  <si>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</si>
  <si>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</si>
  <si>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</si>
  <si>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</si>
  <si>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</si>
  <si>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</si>
  <si>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</si>
  <si>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</si>
  <si>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</si>
  <si>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</si>
  <si>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</si>
  <si>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</si>
  <si>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</si>
  <si>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</si>
  <si>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</si>
  <si>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</si>
  <si>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</si>
  <si>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</si>
  <si>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</si>
  <si>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</si>
  <si>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</si>
  <si>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</si>
  <si>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</si>
  <si>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</si>
  <si>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</si>
  <si>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</si>
  <si>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</si>
  <si>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</si>
  <si>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</si>
  <si>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</si>
  <si>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</si>
  <si>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</si>
  <si>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</si>
  <si>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</si>
  <si>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</si>
  <si>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</si>
  <si>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</si>
  <si>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</si>
  <si>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</si>
  <si>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</si>
  <si>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</si>
  <si>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</si>
  <si>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</si>
  <si>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</si>
  <si>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</si>
  <si>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</si>
  <si>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</si>
  <si>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</si>
  <si>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</si>
  <si>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</si>
  <si>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</si>
  <si>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</si>
  <si>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</si>
  <si>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</si>
  <si>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</si>
  <si>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</si>
  <si>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</si>
  <si>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</si>
  <si>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</si>
  <si>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</si>
  <si>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</si>
  <si>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</si>
  <si>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</si>
  <si>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</si>
  <si>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</si>
  <si>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</si>
  <si>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</si>
  <si>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</si>
  <si>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</si>
  <si>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</si>
  <si>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</si>
  <si>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</si>
  <si>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</si>
  <si>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</si>
  <si>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</si>
  <si>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</si>
  <si>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</si>
  <si>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</si>
  <si>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</si>
  <si>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</si>
  <si>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</si>
  <si>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</si>
  <si>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</si>
  <si>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</si>
  <si>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</si>
  <si>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</si>
  <si>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</si>
  <si>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</si>
  <si>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</si>
  <si>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</si>
  <si>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</si>
  <si>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</si>
  <si>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</si>
  <si>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</si>
  <si>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</si>
  <si>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</si>
  <si>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</si>
  <si>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</si>
  <si>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</si>
  <si>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</si>
  <si>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</si>
  <si>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</si>
  <si>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</si>
  <si>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</si>
  <si>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</si>
  <si>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</si>
  <si>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</si>
  <si>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</si>
  <si>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</si>
  <si>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</si>
  <si>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</si>
  <si>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</si>
  <si>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</si>
  <si>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</si>
  <si>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</si>
  <si>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</si>
  <si>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</si>
  <si>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</si>
  <si>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</si>
  <si>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</si>
  <si>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</si>
  <si>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</si>
  <si>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</si>
  <si>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</si>
  <si>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</si>
  <si>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</si>
  <si>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</si>
  <si>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</si>
  <si>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</si>
  <si>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</si>
  <si>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</si>
  <si>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</si>
  <si>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</si>
  <si>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</si>
  <si>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</si>
  <si>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</si>
  <si>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</si>
  <si>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</si>
  <si>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</si>
  <si>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</si>
  <si>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</si>
  <si>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</si>
  <si>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</si>
  <si>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</si>
  <si>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</si>
  <si>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</si>
  <si>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</si>
  <si>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</si>
  <si>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</si>
  <si>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</si>
  <si>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</si>
  <si>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</si>
  <si>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</si>
  <si>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</si>
  <si>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</si>
  <si>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</si>
  <si>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</si>
  <si>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</si>
  <si>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</si>
  <si>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</si>
  <si>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</si>
  <si>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</si>
  <si>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</si>
  <si>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</si>
  <si>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</si>
  <si>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</si>
  <si>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</si>
  <si>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</si>
  <si>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</si>
  <si>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</si>
  <si>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</si>
  <si>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</si>
  <si>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</si>
  <si>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</si>
  <si>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</si>
  <si>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</si>
  <si>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</si>
  <si>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</si>
  <si>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</si>
  <si>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</si>
  <si>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</si>
  <si>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</si>
  <si>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</si>
  <si>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</si>
  <si>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</si>
  <si>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</si>
  <si>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</si>
  <si>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</si>
  <si>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</si>
  <si>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</si>
  <si>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</si>
  <si>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</si>
  <si>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</si>
  <si>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</si>
  <si>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</si>
  <si>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</si>
  <si>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</si>
  <si>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</si>
  <si>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</si>
  <si>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</si>
  <si>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</si>
  <si>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</si>
  <si>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</si>
  <si>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</si>
  <si>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</si>
  <si>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</si>
  <si>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</si>
  <si>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</si>
  <si>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</si>
  <si>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</si>
  <si>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</si>
  <si>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</si>
  <si>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</si>
  <si>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</si>
  <si>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</si>
  <si>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</si>
  <si>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</si>
  <si>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</si>
  <si>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</si>
  <si>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</si>
  <si>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</si>
  <si>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</si>
  <si>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</si>
  <si>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</si>
  <si>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</si>
  <si>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</si>
  <si>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</si>
  <si>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</si>
  <si>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</si>
  <si>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</si>
  <si>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</si>
  <si>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</si>
  <si>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</si>
  <si>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</si>
  <si>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</si>
  <si>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</si>
  <si>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</si>
  <si>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</si>
  <si>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</si>
  <si>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</si>
  <si>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</si>
  <si>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</si>
  <si>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</si>
  <si>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</si>
  <si>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</si>
  <si>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</si>
  <si>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</si>
  <si>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</si>
  <si>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</si>
  <si>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</si>
  <si>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</si>
  <si>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</si>
  <si>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</si>
  <si>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</si>
  <si>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</si>
  <si>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</si>
  <si>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</si>
  <si>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</si>
  <si>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</si>
  <si>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</si>
  <si>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</si>
  <si>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</si>
  <si>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</si>
  <si>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</si>
  <si>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</si>
  <si>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</si>
  <si>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</si>
  <si>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</si>
  <si>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</si>
  <si>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</si>
  <si>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</si>
  <si>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</si>
  <si>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</si>
  <si>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</si>
  <si>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</si>
  <si>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</si>
  <si>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</si>
  <si>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</si>
  <si>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</si>
  <si>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</si>
  <si>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</si>
  <si>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</si>
  <si>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</si>
  <si>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</si>
  <si>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</si>
  <si>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</si>
  <si>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</si>
  <si>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</si>
  <si>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</si>
  <si>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</si>
  <si>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</si>
  <si>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</si>
  <si>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</si>
  <si>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</si>
  <si>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</si>
  <si>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</si>
  <si>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</si>
  <si>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</si>
  <si>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</si>
  <si>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</si>
  <si>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</si>
  <si>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</si>
  <si>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</si>
  <si>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</si>
  <si>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</si>
  <si>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</si>
  <si>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</si>
  <si>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</si>
  <si>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</si>
  <si>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</si>
  <si>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</si>
  <si>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</si>
  <si>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</si>
  <si>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</si>
  <si>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</si>
  <si>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</si>
  <si>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</si>
  <si>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</si>
  <si>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</si>
  <si>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</si>
  <si>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</si>
  <si>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</si>
  <si>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</si>
  <si>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</si>
  <si>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</si>
  <si>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</si>
  <si>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</si>
  <si>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</si>
  <si>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</si>
  <si>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</si>
  <si>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</si>
  <si>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</si>
  <si>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</si>
  <si>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</si>
  <si>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</si>
  <si>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</si>
  <si>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</si>
  <si>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</si>
  <si>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</si>
  <si>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</si>
  <si>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</si>
  <si>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</si>
  <si>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</si>
  <si>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</si>
  <si>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</si>
  <si>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</si>
  <si>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</si>
  <si>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</si>
  <si>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</si>
  <si>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</si>
  <si>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</si>
  <si>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</si>
  <si>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</si>
  <si>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</si>
  <si>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</si>
  <si>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</si>
  <si>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</si>
  <si>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</si>
  <si>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</si>
  <si>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</si>
  <si>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</si>
  <si>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</si>
  <si>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</si>
  <si>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</si>
  <si>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</si>
  <si>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</si>
  <si>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</si>
  <si>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</si>
  <si>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</si>
  <si>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</si>
  <si>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</si>
  <si>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</si>
  <si>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</si>
  <si>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</si>
  <si>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</si>
  <si>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</si>
  <si>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</si>
  <si>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</si>
  <si>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</si>
  <si>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</si>
  <si>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</si>
  <si>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</si>
  <si>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</si>
  <si>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</si>
  <si>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</si>
  <si>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</si>
  <si>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</si>
  <si>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</si>
  <si>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</si>
  <si>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</si>
  <si>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</si>
  <si>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</si>
  <si>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</si>
  <si>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</si>
  <si>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</si>
  <si>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</si>
  <si>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</si>
  <si>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</si>
  <si>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</si>
  <si>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</si>
  <si>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</si>
  <si>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</si>
  <si>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</si>
  <si>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</si>
  <si>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</si>
  <si>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</si>
  <si>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</si>
  <si>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</si>
  <si>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</si>
  <si>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</si>
  <si>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</si>
  <si>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</si>
  <si>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</si>
  <si>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</si>
  <si>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</si>
  <si>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</si>
  <si>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</si>
  <si>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</si>
  <si>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</si>
  <si>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</si>
  <si>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</si>
  <si>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</si>
  <si>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</si>
  <si>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</si>
  <si>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</si>
  <si>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</si>
  <si>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</si>
  <si>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</si>
  <si>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</si>
  <si>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</si>
  <si>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</si>
  <si>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</si>
  <si>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</si>
  <si>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</si>
  <si>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</si>
  <si>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</si>
  <si>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</si>
  <si>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</si>
  <si>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</si>
  <si>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</si>
  <si>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</si>
  <si>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</si>
  <si>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</si>
  <si>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</si>
  <si>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</si>
  <si>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</si>
  <si>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</si>
  <si>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</si>
  <si>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</si>
  <si>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</si>
  <si>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</si>
  <si>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</si>
  <si>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</si>
  <si>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</si>
  <si>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</si>
  <si>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</si>
  <si>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</si>
  <si>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</si>
  <si>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</si>
  <si>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</si>
  <si>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</si>
  <si>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</si>
  <si>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</si>
  <si>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</si>
  <si>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</si>
  <si>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</si>
  <si>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</si>
  <si>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</si>
  <si>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</si>
  <si>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</si>
  <si>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</si>
  <si>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</si>
  <si>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</si>
  <si>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</si>
  <si>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</si>
  <si>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</si>
  <si>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</si>
  <si>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</si>
  <si>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</si>
  <si>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</si>
  <si>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</si>
  <si>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</si>
  <si>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</si>
  <si>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</si>
  <si>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</si>
  <si>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</si>
  <si>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</si>
  <si>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</si>
  <si>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</si>
  <si>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</si>
  <si>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</si>
  <si>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</si>
  <si>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</si>
  <si>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</si>
  <si>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</si>
  <si>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</si>
  <si>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</si>
  <si>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</si>
  <si>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</si>
  <si>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</si>
  <si>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</si>
  <si>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</si>
  <si>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</si>
  <si>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</si>
  <si>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</si>
  <si>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</si>
  <si>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</si>
  <si>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</si>
  <si>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</si>
  <si>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</si>
  <si>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</si>
  <si>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</si>
  <si>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</si>
  <si>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</si>
  <si>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</si>
  <si>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</si>
  <si>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</si>
  <si>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</si>
  <si>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</si>
  <si>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</si>
  <si>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</si>
  <si>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</si>
  <si>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</si>
  <si>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</si>
  <si>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</si>
  <si>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</si>
  <si>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</si>
  <si>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</si>
  <si>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</si>
  <si>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</si>
  <si>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</si>
  <si>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</si>
  <si>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</si>
  <si>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</si>
  <si>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</si>
  <si>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</si>
  <si>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</si>
  <si>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</si>
  <si>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</si>
  <si>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</si>
  <si>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</si>
  <si>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</si>
  <si>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</si>
  <si>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</si>
  <si>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</si>
  <si>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</si>
  <si>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</si>
  <si>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</si>
  <si>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</si>
  <si>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</si>
  <si>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</si>
  <si>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</si>
  <si>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</si>
  <si>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</si>
  <si>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</si>
  <si>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</si>
  <si>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</si>
  <si>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</si>
  <si>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</si>
  <si>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</si>
  <si>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</si>
  <si>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</si>
  <si>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</si>
  <si>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</si>
  <si>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</si>
  <si>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</si>
  <si>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</si>
  <si>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</si>
  <si>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</si>
  <si>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</si>
  <si>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</si>
  <si>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</si>
  <si>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</si>
  <si>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</si>
  <si>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</si>
  <si>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</si>
  <si>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</si>
  <si>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</si>
  <si>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</si>
  <si>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</si>
  <si>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</si>
  <si>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</si>
  <si>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</si>
  <si>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</si>
  <si>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</si>
  <si>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</si>
  <si>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</si>
  <si>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</si>
  <si>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</si>
  <si>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</si>
  <si>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</si>
  <si>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</si>
  <si>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</si>
  <si>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</si>
  <si>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</si>
  <si>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</si>
  <si>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</si>
  <si>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</si>
  <si>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</si>
  <si>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</si>
  <si>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</si>
  <si>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</si>
  <si>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</si>
  <si>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</si>
  <si>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</si>
  <si>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</si>
  <si>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</si>
  <si>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</si>
  <si>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</si>
  <si>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</si>
  <si>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</si>
  <si>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</si>
  <si>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</si>
  <si>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</si>
  <si>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</si>
  <si>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</si>
  <si>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</si>
  <si>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</si>
  <si>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</si>
  <si>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</si>
  <si>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</si>
  <si>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</si>
  <si>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</si>
  <si>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</si>
  <si>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</si>
  <si>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</si>
  <si>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</si>
  <si>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</si>
  <si>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</si>
  <si>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</si>
  <si>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</si>
  <si>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</si>
  <si>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</si>
  <si>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</si>
  <si>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</si>
  <si>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</si>
  <si>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</si>
  <si>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</si>
  <si>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</si>
  <si>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</si>
  <si>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</si>
  <si>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</si>
  <si>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</si>
  <si>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</si>
  <si>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</si>
  <si>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</si>
  <si>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</si>
  <si>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</si>
  <si>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</si>
  <si>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</si>
  <si>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</si>
  <si>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</si>
  <si>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</si>
  <si>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o</t>
    <phoneticPr fontId="2" type="noConversion"/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</si>
  <si>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</si>
  <si>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</si>
  <si>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</si>
  <si>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</si>
  <si>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</si>
  <si>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</si>
  <si>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</si>
  <si>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</si>
  <si>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</si>
  <si>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</si>
  <si>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</si>
  <si>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</si>
  <si>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</si>
  <si>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</si>
  <si>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</si>
  <si>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</si>
  <si>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</si>
  <si>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</si>
  <si>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</si>
  <si>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o</t>
    <phoneticPr fontId="2" type="noConversion"/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</si>
  <si>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</si>
  <si>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</si>
  <si>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</si>
  <si>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</si>
  <si>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</si>
  <si>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</si>
  <si>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</si>
  <si>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</si>
  <si>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</si>
  <si>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한국오토(일산)_반품</t>
  </si>
  <si>
    <t>0B5_TCU_Rebuild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</si>
  <si>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</si>
  <si>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</si>
  <si>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</si>
  <si>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</si>
  <si>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</si>
  <si>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</si>
  <si>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</si>
  <si>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</si>
  <si>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</si>
  <si>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</si>
  <si>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</si>
  <si>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</si>
  <si>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</si>
  <si>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</si>
  <si>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</si>
  <si>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</si>
  <si>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</si>
  <si>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</si>
  <si>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</si>
  <si>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</si>
  <si>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</si>
  <si>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</si>
  <si>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</si>
  <si>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</si>
  <si>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</si>
  <si>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</si>
  <si>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</si>
  <si>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</si>
  <si>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</si>
  <si>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</si>
  <si>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</si>
  <si>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</si>
  <si>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</si>
  <si>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</si>
  <si>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</si>
  <si>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</si>
  <si>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</si>
  <si>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</si>
  <si>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</si>
  <si>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</si>
  <si>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</si>
  <si>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</si>
  <si>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</si>
  <si>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</si>
  <si>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</si>
  <si>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</si>
  <si>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</si>
  <si>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</si>
  <si>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o</t>
    <phoneticPr fontId="2" type="noConversion"/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</si>
  <si>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</si>
  <si>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</si>
  <si>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</si>
  <si>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</si>
  <si>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</si>
  <si>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</si>
  <si>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</si>
  <si>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</si>
  <si>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</si>
  <si>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</si>
  <si>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</si>
  <si>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</si>
  <si>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</si>
  <si>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</si>
  <si>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</si>
  <si>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</si>
  <si>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</si>
  <si>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</si>
  <si>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</si>
  <si>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</si>
  <si>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</si>
  <si>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</si>
  <si>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</si>
  <si>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</si>
  <si>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</si>
  <si>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</si>
  <si>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</si>
  <si>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</si>
  <si>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</si>
  <si>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</si>
  <si>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</si>
  <si>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</si>
  <si>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</si>
  <si>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</si>
  <si>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ZF_8HP45_Solenoid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</si>
  <si>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</si>
  <si>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</si>
  <si>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</si>
  <si>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</si>
  <si>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</si>
  <si>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</si>
  <si>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</si>
  <si>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</si>
  <si>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</si>
  <si>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</si>
  <si>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</si>
  <si>
    <t>0B5_DISC(DME_Clone)</t>
    <phoneticPr fontId="2" type="noConversion"/>
  </si>
  <si>
    <t>1087298388-1</t>
  </si>
  <si>
    <t>8HP45_Solenoid</t>
  </si>
  <si>
    <t>시골밥상</t>
  </si>
  <si>
    <t>2025-06-27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</si>
  <si>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</si>
  <si>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</si>
  <si>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</si>
  <si>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</si>
  <si>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</si>
  <si>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</si>
  <si>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</si>
  <si>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Without programming_x000D_
Clone 진행하세요_x000D_
Basic Setting 하지마세요_x000D_
CHF 11S 유압오일 사용</t>
    <phoneticPr fontId="2" type="noConversion"/>
  </si>
  <si>
    <t>진영오토(남양주)_250627_172018.xlsx</t>
  </si>
  <si>
    <t>진영오토(남양주)_250627_172018.xlsx</t>
    <phoneticPr fontId="2" type="noConversion"/>
  </si>
  <si>
    <t>현진미션(남대구)</t>
    <phoneticPr fontId="2" type="noConversion"/>
  </si>
  <si>
    <t>8HP45_Mechatronics</t>
    <phoneticPr fontId="2" type="noConversion"/>
  </si>
  <si>
    <t>246_Double_Clutch(Schaeffler)</t>
  </si>
  <si>
    <t>246_Double_Clutch(Schaeffler)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</si>
</sst>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2488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2488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2488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08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108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2267</v>
      </c>
      <c r="D41" t="s">
        <v>2089</v>
      </c>
      <c r="E41">
        <v>7000</v>
      </c>
      <c r="F41" t="s">
        <v>2268</v>
      </c>
    </row>
    <row r="42" spans="1:6">
      <c r="A42">
        <v>41</v>
      </c>
      <c r="B42" s="13">
        <v>45790</v>
      </c>
      <c r="C42" t="s">
        <v>2265</v>
      </c>
      <c r="D42" t="s">
        <v>1859</v>
      </c>
      <c r="E42">
        <v>14000</v>
      </c>
      <c r="F42" t="s">
        <v>2266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2269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2270</v>
      </c>
    </row>
    <row r="45" spans="1:6">
      <c r="A45">
        <v>44</v>
      </c>
      <c r="B45" s="13">
        <v>45791</v>
      </c>
      <c r="C45" t="s">
        <v>2273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2264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2269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2306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2334</v>
      </c>
      <c r="D50" t="s">
        <v>1859</v>
      </c>
      <c r="E50">
        <v>8000</v>
      </c>
      <c r="F50" t="s">
        <v>2335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2273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2349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2409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2410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2438</v>
      </c>
      <c r="D65" t="s">
        <v>1859</v>
      </c>
      <c r="E65">
        <v>6000</v>
      </c>
      <c r="F65" t="s">
        <v>2270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2532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2532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2270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2578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2579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2580</v>
      </c>
    </row>
    <row r="75" spans="1:6">
      <c r="A75">
        <v>74</v>
      </c>
      <c r="B75" s="13">
        <v>45818</v>
      </c>
      <c r="C75" t="s">
        <v>2349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2334</v>
      </c>
      <c r="D76" t="s">
        <v>1687</v>
      </c>
      <c r="E76">
        <v>10000</v>
      </c>
      <c r="F76" t="s">
        <v>2581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2265</v>
      </c>
      <c r="D78" t="s">
        <v>1859</v>
      </c>
      <c r="E78">
        <v>6000</v>
      </c>
      <c r="F78" t="s">
        <v>2615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2533</v>
      </c>
    </row>
    <row r="81" spans="1:6">
      <c r="A81">
        <v>80</v>
      </c>
      <c r="B81" s="13">
        <v>45824</v>
      </c>
      <c r="C81" t="s">
        <v>2273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2650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2657</v>
      </c>
    </row>
    <row r="85" spans="1:6">
      <c r="A85">
        <v>84</v>
      </c>
      <c r="B85" s="13">
        <v>45825</v>
      </c>
      <c r="C85" t="s">
        <v>2334</v>
      </c>
      <c r="D85" t="s">
        <v>1687</v>
      </c>
      <c r="E85">
        <v>9000</v>
      </c>
      <c r="F85" t="s">
        <v>2657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2533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2533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2706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2580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2719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2737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2757</v>
      </c>
    </row>
    <row r="95" spans="1:6">
      <c r="A95">
        <v>94</v>
      </c>
      <c r="B95" s="13">
        <v>45829</v>
      </c>
      <c r="C95" t="s">
        <v>2273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2640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2640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2785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2801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2805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2805</v>
      </c>
    </row>
    <row r="106" spans="1:6">
      <c r="A106">
        <v>105</v>
      </c>
      <c r="B106" s="13">
        <v>45833</v>
      </c>
      <c r="C106" t="s">
        <v>2821</v>
      </c>
      <c r="D106" t="s">
        <v>2822</v>
      </c>
      <c r="E106">
        <v>24800</v>
      </c>
      <c r="F106" t="s">
        <v>2823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2868</v>
      </c>
      <c r="D108" t="s">
        <v>2086</v>
      </c>
      <c r="E108">
        <v>22000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4"/>
      <c r="B1" s="315"/>
      <c r="C1" s="315"/>
      <c r="D1" s="315"/>
      <c r="E1" s="315"/>
      <c r="F1" s="315"/>
      <c r="G1" s="315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16" t="s">
        <v>1235</v>
      </c>
      <c r="R1" s="316"/>
      <c r="S1" s="317"/>
      <c r="T1" s="317"/>
      <c r="U1" s="318"/>
    </row>
    <row r="2" spans="1:21">
      <c r="A2" s="294" t="s">
        <v>71</v>
      </c>
      <c r="B2" s="295"/>
      <c r="C2" s="296" t="s">
        <v>2323</v>
      </c>
      <c r="D2" s="297"/>
      <c r="E2" s="297"/>
      <c r="F2" s="297"/>
      <c r="G2" s="298"/>
      <c r="H2" s="296" t="s">
        <v>82</v>
      </c>
      <c r="I2" s="297"/>
      <c r="J2" s="297"/>
      <c r="K2" s="297"/>
      <c r="L2" s="297"/>
      <c r="M2" s="297"/>
      <c r="N2" s="297"/>
      <c r="O2" s="298"/>
      <c r="P2" s="299" t="s">
        <v>69</v>
      </c>
      <c r="Q2" s="300"/>
      <c r="R2" s="300"/>
      <c r="S2" s="295"/>
      <c r="T2" s="301">
        <v>45835</v>
      </c>
      <c r="U2" s="302"/>
    </row>
    <row r="3" spans="1:21" ht="24" customHeight="1">
      <c r="A3" s="369" t="s">
        <v>1203</v>
      </c>
      <c r="B3" s="37" t="s">
        <v>65</v>
      </c>
      <c r="C3" s="372" t="s">
        <v>1386</v>
      </c>
      <c r="D3" s="373"/>
      <c r="E3" s="373"/>
      <c r="F3" s="373"/>
      <c r="G3" s="373"/>
      <c r="H3" s="373"/>
      <c r="I3" s="373"/>
      <c r="J3" s="374"/>
      <c r="K3" s="375" t="s">
        <v>1204</v>
      </c>
      <c r="L3" s="37" t="s">
        <v>65</v>
      </c>
      <c r="M3" s="378" t="s">
        <v>971</v>
      </c>
      <c r="N3" s="379"/>
      <c r="O3" s="379"/>
      <c r="P3" s="379"/>
      <c r="Q3" s="379"/>
      <c r="R3" s="379"/>
      <c r="S3" s="379"/>
      <c r="T3" s="379"/>
      <c r="U3" s="380"/>
    </row>
    <row r="4" spans="1:21" ht="24.95" customHeight="1">
      <c r="A4" s="370"/>
      <c r="B4" s="37" t="s">
        <v>67</v>
      </c>
      <c r="C4" s="381"/>
      <c r="D4" s="382"/>
      <c r="E4" s="382"/>
      <c r="F4" s="382"/>
      <c r="G4" s="382"/>
      <c r="H4" s="382"/>
      <c r="I4" s="382"/>
      <c r="J4" s="383"/>
      <c r="K4" s="376"/>
      <c r="L4" s="37" t="s">
        <v>67</v>
      </c>
      <c r="M4" s="384" t="s">
        <v>969</v>
      </c>
      <c r="N4" s="385"/>
      <c r="O4" s="385"/>
      <c r="P4" s="385"/>
      <c r="Q4" s="385"/>
      <c r="R4" s="386"/>
      <c r="S4" s="38" t="s">
        <v>68</v>
      </c>
      <c r="T4" s="384" t="s">
        <v>79</v>
      </c>
      <c r="U4" s="387"/>
    </row>
    <row r="5" spans="1:21" ht="15.75" customHeight="1">
      <c r="A5" s="370"/>
      <c r="B5" s="38" t="s">
        <v>10</v>
      </c>
      <c r="C5" s="384" t="s">
        <v>1209</v>
      </c>
      <c r="D5" s="385"/>
      <c r="E5" s="385"/>
      <c r="F5" s="385"/>
      <c r="G5" s="385"/>
      <c r="H5" s="385"/>
      <c r="I5" s="385"/>
      <c r="J5" s="386"/>
      <c r="K5" s="376"/>
      <c r="L5" s="38" t="s">
        <v>10</v>
      </c>
      <c r="M5" s="384" t="s">
        <v>80</v>
      </c>
      <c r="N5" s="385"/>
      <c r="O5" s="385"/>
      <c r="P5" s="385"/>
      <c r="Q5" s="385"/>
      <c r="R5" s="385"/>
      <c r="S5" s="385"/>
      <c r="T5" s="385"/>
      <c r="U5" s="387"/>
    </row>
    <row r="6" spans="1:21" ht="15.75" customHeight="1">
      <c r="A6" s="371"/>
      <c r="B6" s="38" t="s">
        <v>81</v>
      </c>
      <c r="C6" s="384" t="s">
        <v>1208</v>
      </c>
      <c r="D6" s="385"/>
      <c r="E6" s="385"/>
      <c r="F6" s="385"/>
      <c r="G6" s="385"/>
      <c r="H6" s="385"/>
      <c r="I6" s="385"/>
      <c r="J6" s="386"/>
      <c r="K6" s="377"/>
      <c r="L6" s="38" t="s">
        <v>81</v>
      </c>
      <c r="M6" s="384" t="s">
        <v>72</v>
      </c>
      <c r="N6" s="385"/>
      <c r="O6" s="385"/>
      <c r="P6" s="385"/>
      <c r="Q6" s="385"/>
      <c r="R6" s="386"/>
      <c r="S6" s="38" t="s">
        <v>26</v>
      </c>
      <c r="T6" s="384" t="s">
        <v>984</v>
      </c>
      <c r="U6" s="387"/>
    </row>
    <row r="7" spans="1:21" ht="15.75" customHeight="1">
      <c r="A7" s="303" t="s">
        <v>76</v>
      </c>
      <c r="B7" s="304"/>
      <c r="C7" s="304"/>
      <c r="D7" s="304"/>
      <c r="E7" s="366"/>
      <c r="F7" s="367" t="s">
        <v>49</v>
      </c>
      <c r="G7" s="304"/>
      <c r="H7" s="304"/>
      <c r="I7" s="366"/>
      <c r="J7" s="367" t="s">
        <v>47</v>
      </c>
      <c r="K7" s="304"/>
      <c r="L7" s="304"/>
      <c r="M7" s="304"/>
      <c r="N7" s="366"/>
      <c r="O7" s="304" t="s">
        <v>55</v>
      </c>
      <c r="P7" s="366"/>
      <c r="Q7" s="367" t="s">
        <v>75</v>
      </c>
      <c r="R7" s="304"/>
      <c r="S7" s="366"/>
      <c r="T7" s="367" t="s">
        <v>74</v>
      </c>
      <c r="U7" s="368"/>
    </row>
    <row r="8" spans="1:21" ht="15" customHeight="1">
      <c r="A8" s="410" t="s">
        <v>2862</v>
      </c>
      <c r="B8" s="411"/>
      <c r="C8" s="411"/>
      <c r="D8" s="411"/>
      <c r="E8" s="412"/>
      <c r="F8" s="413">
        <v>2820403</v>
      </c>
      <c r="G8" s="411"/>
      <c r="H8" s="411"/>
      <c r="I8" s="412"/>
      <c r="J8" s="419">
        <v>1500000</v>
      </c>
      <c r="K8" s="419"/>
      <c r="L8" s="419"/>
      <c r="M8" s="419"/>
      <c r="N8" s="419"/>
      <c r="O8" s="420">
        <v>1</v>
      </c>
      <c r="P8" s="420"/>
      <c r="Q8" s="414"/>
      <c r="R8" s="415"/>
      <c r="S8" s="416"/>
      <c r="T8" s="417">
        <v>1500000</v>
      </c>
      <c r="U8" s="418"/>
    </row>
    <row r="9" spans="1:21" ht="15" customHeight="1">
      <c r="A9" s="399"/>
      <c r="B9" s="400"/>
      <c r="C9" s="400"/>
      <c r="D9" s="400"/>
      <c r="E9" s="401"/>
      <c r="F9" s="402"/>
      <c r="G9" s="400"/>
      <c r="H9" s="400"/>
      <c r="I9" s="401"/>
      <c r="J9" s="408"/>
      <c r="K9" s="408"/>
      <c r="L9" s="408"/>
      <c r="M9" s="408"/>
      <c r="N9" s="408"/>
      <c r="O9" s="409"/>
      <c r="P9" s="409"/>
      <c r="Q9" s="403"/>
      <c r="R9" s="404"/>
      <c r="S9" s="405"/>
      <c r="T9" s="406"/>
      <c r="U9" s="407"/>
    </row>
    <row r="10" spans="1:21" ht="15" customHeight="1">
      <c r="A10" s="399"/>
      <c r="B10" s="400"/>
      <c r="C10" s="400"/>
      <c r="D10" s="400"/>
      <c r="E10" s="401"/>
      <c r="F10" s="402"/>
      <c r="G10" s="400"/>
      <c r="H10" s="400"/>
      <c r="I10" s="401"/>
      <c r="J10" s="408"/>
      <c r="K10" s="408"/>
      <c r="L10" s="408"/>
      <c r="M10" s="408"/>
      <c r="N10" s="408"/>
      <c r="O10" s="409"/>
      <c r="P10" s="409"/>
      <c r="Q10" s="403"/>
      <c r="R10" s="404"/>
      <c r="S10" s="405"/>
      <c r="T10" s="406"/>
      <c r="U10" s="407"/>
    </row>
    <row r="11" spans="1:21" ht="15" customHeight="1">
      <c r="A11" s="399"/>
      <c r="B11" s="400"/>
      <c r="C11" s="400"/>
      <c r="D11" s="400"/>
      <c r="E11" s="401"/>
      <c r="F11" s="402"/>
      <c r="G11" s="400"/>
      <c r="H11" s="400"/>
      <c r="I11" s="401"/>
      <c r="J11" s="408"/>
      <c r="K11" s="408"/>
      <c r="L11" s="408"/>
      <c r="M11" s="408"/>
      <c r="N11" s="408"/>
      <c r="O11" s="409"/>
      <c r="P11" s="409"/>
      <c r="Q11" s="403"/>
      <c r="R11" s="404"/>
      <c r="S11" s="405"/>
      <c r="T11" s="406"/>
      <c r="U11" s="407"/>
    </row>
    <row r="12" spans="1:21" ht="15" customHeight="1">
      <c r="A12" s="399"/>
      <c r="B12" s="400"/>
      <c r="C12" s="400"/>
      <c r="D12" s="400"/>
      <c r="E12" s="401"/>
      <c r="F12" s="402"/>
      <c r="G12" s="400"/>
      <c r="H12" s="400"/>
      <c r="I12" s="401"/>
      <c r="J12" s="408"/>
      <c r="K12" s="408"/>
      <c r="L12" s="408"/>
      <c r="M12" s="408"/>
      <c r="N12" s="408"/>
      <c r="O12" s="409"/>
      <c r="P12" s="409"/>
      <c r="Q12" s="403"/>
      <c r="R12" s="404"/>
      <c r="S12" s="405"/>
      <c r="T12" s="406"/>
      <c r="U12" s="407"/>
    </row>
    <row r="13" spans="1:21" ht="15" customHeight="1">
      <c r="A13" s="399"/>
      <c r="B13" s="400"/>
      <c r="C13" s="400"/>
      <c r="D13" s="400"/>
      <c r="E13" s="401"/>
      <c r="F13" s="402"/>
      <c r="G13" s="400"/>
      <c r="H13" s="400"/>
      <c r="I13" s="401"/>
      <c r="J13" s="408"/>
      <c r="K13" s="408"/>
      <c r="L13" s="408"/>
      <c r="M13" s="408"/>
      <c r="N13" s="408"/>
      <c r="O13" s="409"/>
      <c r="P13" s="409"/>
      <c r="Q13" s="403"/>
      <c r="R13" s="404"/>
      <c r="S13" s="405"/>
      <c r="T13" s="406"/>
      <c r="U13" s="407"/>
    </row>
    <row r="14" spans="1:21" ht="15" customHeight="1">
      <c r="A14" s="399"/>
      <c r="B14" s="400"/>
      <c r="C14" s="400"/>
      <c r="D14" s="400"/>
      <c r="E14" s="401"/>
      <c r="F14" s="402"/>
      <c r="G14" s="400"/>
      <c r="H14" s="400"/>
      <c r="I14" s="401"/>
      <c r="J14" s="408"/>
      <c r="K14" s="408"/>
      <c r="L14" s="408"/>
      <c r="M14" s="408"/>
      <c r="N14" s="408"/>
      <c r="O14" s="409"/>
      <c r="P14" s="409"/>
      <c r="Q14" s="403"/>
      <c r="R14" s="404"/>
      <c r="S14" s="405"/>
      <c r="T14" s="406"/>
      <c r="U14" s="407"/>
    </row>
    <row r="15" spans="1:21" ht="15" customHeight="1" thickBot="1">
      <c r="A15" s="388"/>
      <c r="B15" s="389"/>
      <c r="C15" s="389"/>
      <c r="D15" s="389"/>
      <c r="E15" s="390"/>
      <c r="F15" s="391"/>
      <c r="G15" s="389"/>
      <c r="H15" s="389"/>
      <c r="I15" s="390"/>
      <c r="J15" s="397"/>
      <c r="K15" s="397"/>
      <c r="L15" s="397"/>
      <c r="M15" s="397"/>
      <c r="N15" s="397"/>
      <c r="O15" s="398"/>
      <c r="P15" s="398"/>
      <c r="Q15" s="392"/>
      <c r="R15" s="393"/>
      <c r="S15" s="394"/>
      <c r="T15" s="395"/>
      <c r="U15" s="396"/>
    </row>
    <row r="16" spans="1:21" ht="15" customHeight="1" thickTop="1">
      <c r="A16" s="319" t="s">
        <v>2424</v>
      </c>
      <c r="B16" s="320"/>
      <c r="C16" s="320"/>
      <c r="D16" s="320"/>
      <c r="E16" s="321"/>
      <c r="F16" s="328" t="s">
        <v>2877</v>
      </c>
      <c r="G16" s="329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29"/>
      <c r="S16" s="329"/>
      <c r="T16" s="329"/>
      <c r="U16" s="330"/>
    </row>
    <row r="17" spans="1:21" ht="15" customHeight="1">
      <c r="A17" s="322"/>
      <c r="B17" s="323"/>
      <c r="C17" s="323"/>
      <c r="D17" s="323"/>
      <c r="E17" s="324"/>
      <c r="F17" s="331"/>
      <c r="G17" s="332"/>
      <c r="H17" s="332"/>
      <c r="I17" s="332"/>
      <c r="J17" s="332"/>
      <c r="K17" s="332"/>
      <c r="L17" s="332"/>
      <c r="M17" s="332"/>
      <c r="N17" s="332"/>
      <c r="O17" s="332"/>
      <c r="P17" s="332"/>
      <c r="Q17" s="332"/>
      <c r="R17" s="332"/>
      <c r="S17" s="332"/>
      <c r="T17" s="332"/>
      <c r="U17" s="333"/>
    </row>
    <row r="18" spans="1:21" ht="15" customHeight="1">
      <c r="A18" s="322"/>
      <c r="B18" s="323"/>
      <c r="C18" s="323"/>
      <c r="D18" s="323"/>
      <c r="E18" s="324"/>
      <c r="F18" s="331"/>
      <c r="G18" s="332"/>
      <c r="H18" s="332"/>
      <c r="I18" s="332"/>
      <c r="J18" s="332"/>
      <c r="K18" s="332"/>
      <c r="L18" s="332"/>
      <c r="M18" s="332"/>
      <c r="N18" s="332"/>
      <c r="O18" s="332"/>
      <c r="P18" s="332"/>
      <c r="Q18" s="332"/>
      <c r="R18" s="332"/>
      <c r="S18" s="332"/>
      <c r="T18" s="332"/>
      <c r="U18" s="333"/>
    </row>
    <row r="19" spans="1:21" ht="15" customHeight="1">
      <c r="A19" s="325"/>
      <c r="B19" s="326"/>
      <c r="C19" s="326"/>
      <c r="D19" s="326"/>
      <c r="E19" s="327"/>
      <c r="F19" s="334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336"/>
    </row>
    <row r="20" spans="1:21">
      <c r="A20" s="303" t="s">
        <v>87</v>
      </c>
      <c r="B20" s="304"/>
      <c r="C20" s="304"/>
      <c r="D20" s="304"/>
      <c r="E20" s="304"/>
      <c r="F20" s="305">
        <v>0</v>
      </c>
      <c r="G20" s="305"/>
      <c r="H20" s="305"/>
      <c r="I20" s="306"/>
      <c r="J20" s="342">
        <f>SUM(J8:N19)</f>
        <v>1500000</v>
      </c>
      <c r="K20" s="343"/>
      <c r="L20" s="343"/>
      <c r="M20" s="343"/>
      <c r="N20" s="344"/>
      <c r="O20" s="307">
        <f>SUM(O8:P19)</f>
        <v>1</v>
      </c>
      <c r="P20" s="307"/>
      <c r="Q20" s="345">
        <f>SUM(Q8:S19)</f>
        <v>0</v>
      </c>
      <c r="R20" s="305"/>
      <c r="S20" s="306"/>
      <c r="T20" s="305">
        <f>SUM(T8:U15)</f>
        <v>1500000</v>
      </c>
      <c r="U20" s="346"/>
    </row>
    <row r="21" spans="1:21" ht="17.25" thickBot="1">
      <c r="A21" s="308" t="s">
        <v>97</v>
      </c>
      <c r="B21" s="309"/>
      <c r="C21" s="309"/>
      <c r="D21" s="309"/>
      <c r="E21" s="309"/>
      <c r="F21" s="310">
        <f>F20+T20+Q20</f>
        <v>1500000</v>
      </c>
      <c r="G21" s="310"/>
      <c r="H21" s="310"/>
      <c r="I21" s="311"/>
      <c r="J21" s="312" t="s">
        <v>972</v>
      </c>
      <c r="K21" s="309"/>
      <c r="L21" s="313" t="str">
        <f>T4</f>
        <v>장효주</v>
      </c>
      <c r="M21" s="313"/>
      <c r="N21" s="313"/>
      <c r="O21" s="312" t="s">
        <v>70</v>
      </c>
      <c r="P21" s="309"/>
      <c r="Q21" s="313" t="str">
        <f>C3</f>
        <v>진영오토(남양주)</v>
      </c>
      <c r="R21" s="313"/>
      <c r="S21" s="313"/>
      <c r="T21" s="313"/>
      <c r="U21" s="365"/>
    </row>
    <row r="22" spans="1:21" ht="9" customHeight="1">
      <c r="A22" s="292" t="s">
        <v>2879</v>
      </c>
      <c r="B22" s="292"/>
      <c r="C22" s="292"/>
      <c r="D22" s="292"/>
      <c r="E22" s="29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</row>
    <row r="23" spans="1:21" ht="11.25" customHeight="1" thickBot="1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>
      <c r="A24" s="314"/>
      <c r="B24" s="315"/>
      <c r="C24" s="315"/>
      <c r="D24" s="315"/>
      <c r="E24" s="315"/>
      <c r="F24" s="315"/>
      <c r="G24" s="315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16" t="s">
        <v>1235</v>
      </c>
      <c r="R24" s="316"/>
      <c r="S24" s="317">
        <f>S1</f>
        <v>0</v>
      </c>
      <c r="T24" s="317"/>
      <c r="U24" s="318"/>
    </row>
    <row r="25" spans="1:21">
      <c r="A25" s="294" t="s">
        <v>71</v>
      </c>
      <c r="B25" s="295"/>
      <c r="C25" s="296" t="str">
        <f>C2</f>
        <v>카카오뱅크 3333181865047</v>
      </c>
      <c r="D25" s="297"/>
      <c r="E25" s="297"/>
      <c r="F25" s="297"/>
      <c r="G25" s="298"/>
      <c r="H25" s="296" t="s">
        <v>82</v>
      </c>
      <c r="I25" s="297"/>
      <c r="J25" s="297"/>
      <c r="K25" s="297"/>
      <c r="L25" s="297"/>
      <c r="M25" s="297"/>
      <c r="N25" s="297"/>
      <c r="O25" s="298"/>
      <c r="P25" s="299" t="s">
        <v>69</v>
      </c>
      <c r="Q25" s="300"/>
      <c r="R25" s="300"/>
      <c r="S25" s="295"/>
      <c r="T25" s="301">
        <f>T2</f>
        <v>45835</v>
      </c>
      <c r="U25" s="302"/>
    </row>
    <row r="26" spans="1:21" ht="27" customHeight="1">
      <c r="A26" s="369" t="s">
        <v>1203</v>
      </c>
      <c r="B26" s="37" t="s">
        <v>65</v>
      </c>
      <c r="C26" s="372" t="str">
        <f>C3</f>
        <v>진영오토(남양주)</v>
      </c>
      <c r="D26" s="373"/>
      <c r="E26" s="373"/>
      <c r="F26" s="373"/>
      <c r="G26" s="373"/>
      <c r="H26" s="373"/>
      <c r="I26" s="373"/>
      <c r="J26" s="374"/>
      <c r="K26" s="375" t="s">
        <v>1204</v>
      </c>
      <c r="L26" s="37" t="s">
        <v>65</v>
      </c>
      <c r="M26" s="378" t="s">
        <v>971</v>
      </c>
      <c r="N26" s="379"/>
      <c r="O26" s="379"/>
      <c r="P26" s="379"/>
      <c r="Q26" s="379"/>
      <c r="R26" s="379"/>
      <c r="S26" s="379"/>
      <c r="T26" s="379"/>
      <c r="U26" s="380"/>
    </row>
    <row r="27" spans="1:21" ht="24.95" customHeight="1">
      <c r="A27" s="370"/>
      <c r="B27" s="37" t="s">
        <v>67</v>
      </c>
      <c r="C27" s="381">
        <f>C4</f>
        <v>0</v>
      </c>
      <c r="D27" s="382"/>
      <c r="E27" s="382"/>
      <c r="F27" s="382"/>
      <c r="G27" s="382"/>
      <c r="H27" s="382"/>
      <c r="I27" s="382"/>
      <c r="J27" s="383"/>
      <c r="K27" s="376"/>
      <c r="L27" s="37" t="s">
        <v>67</v>
      </c>
      <c r="M27" s="384" t="s">
        <v>969</v>
      </c>
      <c r="N27" s="385"/>
      <c r="O27" s="385"/>
      <c r="P27" s="385"/>
      <c r="Q27" s="385"/>
      <c r="R27" s="386"/>
      <c r="S27" s="38" t="s">
        <v>68</v>
      </c>
      <c r="T27" s="384" t="s">
        <v>79</v>
      </c>
      <c r="U27" s="387"/>
    </row>
    <row r="28" spans="1:21" ht="15.75" customHeight="1">
      <c r="A28" s="370"/>
      <c r="B28" s="38" t="s">
        <v>10</v>
      </c>
      <c r="C28" s="384" t="str">
        <f>C5</f>
        <v>남양주시 진접읍 경북대로 451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">
        <v>80</v>
      </c>
      <c r="N28" s="385"/>
      <c r="O28" s="385"/>
      <c r="P28" s="385"/>
      <c r="Q28" s="385"/>
      <c r="R28" s="385"/>
      <c r="S28" s="385"/>
      <c r="T28" s="385"/>
      <c r="U28" s="387"/>
    </row>
    <row r="29" spans="1:21" ht="15.75" customHeight="1">
      <c r="A29" s="371"/>
      <c r="B29" s="38" t="s">
        <v>81</v>
      </c>
      <c r="C29" s="384" t="str">
        <f>C6</f>
        <v>010-7460-3253</v>
      </c>
      <c r="D29" s="385"/>
      <c r="E29" s="385"/>
      <c r="F29" s="385"/>
      <c r="G29" s="385"/>
      <c r="H29" s="385"/>
      <c r="I29" s="385"/>
      <c r="J29" s="386"/>
      <c r="K29" s="377"/>
      <c r="L29" s="38" t="s">
        <v>81</v>
      </c>
      <c r="M29" s="384" t="s">
        <v>72</v>
      </c>
      <c r="N29" s="385"/>
      <c r="O29" s="385"/>
      <c r="P29" s="385"/>
      <c r="Q29" s="385"/>
      <c r="R29" s="386"/>
      <c r="S29" s="38" t="s">
        <v>26</v>
      </c>
      <c r="T29" s="384" t="str">
        <f>T6</f>
        <v>대신(화물)</v>
      </c>
      <c r="U29" s="387"/>
    </row>
    <row r="30" spans="1:21" ht="15.75" customHeight="1">
      <c r="A30" s="303" t="s">
        <v>76</v>
      </c>
      <c r="B30" s="304"/>
      <c r="C30" s="304"/>
      <c r="D30" s="304"/>
      <c r="E30" s="366"/>
      <c r="F30" s="367" t="s">
        <v>49</v>
      </c>
      <c r="G30" s="304"/>
      <c r="H30" s="304"/>
      <c r="I30" s="366"/>
      <c r="J30" s="367" t="s">
        <v>47</v>
      </c>
      <c r="K30" s="304"/>
      <c r="L30" s="304"/>
      <c r="M30" s="304"/>
      <c r="N30" s="366"/>
      <c r="O30" s="304" t="s">
        <v>55</v>
      </c>
      <c r="P30" s="366"/>
      <c r="Q30" s="367" t="s">
        <v>75</v>
      </c>
      <c r="R30" s="304"/>
      <c r="S30" s="366"/>
      <c r="T30" s="367" t="s">
        <v>74</v>
      </c>
      <c r="U30" s="368"/>
    </row>
    <row r="31" spans="1:21" ht="15" customHeight="1">
      <c r="A31" s="359" t="str">
        <f>A8</f>
        <v>0AM_Mechatronics</v>
      </c>
      <c r="B31" s="360"/>
      <c r="C31" s="360"/>
      <c r="D31" s="360"/>
      <c r="E31" s="360"/>
      <c r="F31" s="360">
        <f>F8</f>
        <v>2820403</v>
      </c>
      <c r="G31" s="360"/>
      <c r="H31" s="360"/>
      <c r="I31" s="360"/>
      <c r="J31" s="364">
        <f>J8</f>
        <v>1500000</v>
      </c>
      <c r="K31" s="364"/>
      <c r="L31" s="364"/>
      <c r="M31" s="364"/>
      <c r="N31" s="364"/>
      <c r="O31" s="364">
        <f>O8</f>
        <v>1</v>
      </c>
      <c r="P31" s="364"/>
      <c r="Q31" s="361">
        <f>Q8</f>
        <v>0</v>
      </c>
      <c r="R31" s="361"/>
      <c r="S31" s="361"/>
      <c r="T31" s="362">
        <f>T8</f>
        <v>1500000</v>
      </c>
      <c r="U31" s="363"/>
    </row>
    <row r="32" spans="1:21" ht="15" customHeight="1">
      <c r="A32" s="352">
        <f t="shared" ref="A32:A38" si="0">A9</f>
        <v>0</v>
      </c>
      <c r="B32" s="353"/>
      <c r="C32" s="353"/>
      <c r="D32" s="353"/>
      <c r="E32" s="353"/>
      <c r="F32" s="353">
        <f t="shared" ref="F32:F38" si="1">F9</f>
        <v>0</v>
      </c>
      <c r="G32" s="353"/>
      <c r="H32" s="353"/>
      <c r="I32" s="353"/>
      <c r="J32" s="357">
        <f t="shared" ref="J32:J38" si="2">J9</f>
        <v>0</v>
      </c>
      <c r="K32" s="357"/>
      <c r="L32" s="357"/>
      <c r="M32" s="357"/>
      <c r="N32" s="357"/>
      <c r="O32" s="357">
        <f t="shared" ref="O32:O38" si="3">O9</f>
        <v>0</v>
      </c>
      <c r="P32" s="357"/>
      <c r="Q32" s="354">
        <f t="shared" ref="Q32:Q38" si="4">Q9</f>
        <v>0</v>
      </c>
      <c r="R32" s="354"/>
      <c r="S32" s="354"/>
      <c r="T32" s="355">
        <f t="shared" ref="T32:T38" si="5">T9</f>
        <v>0</v>
      </c>
      <c r="U32" s="356"/>
    </row>
    <row r="33" spans="1:21" ht="15" customHeight="1">
      <c r="A33" s="352">
        <f t="shared" si="0"/>
        <v>0</v>
      </c>
      <c r="B33" s="353"/>
      <c r="C33" s="353"/>
      <c r="D33" s="353"/>
      <c r="E33" s="353"/>
      <c r="F33" s="353">
        <f t="shared" si="1"/>
        <v>0</v>
      </c>
      <c r="G33" s="353"/>
      <c r="H33" s="353"/>
      <c r="I33" s="353"/>
      <c r="J33" s="357">
        <f t="shared" si="2"/>
        <v>0</v>
      </c>
      <c r="K33" s="357"/>
      <c r="L33" s="357"/>
      <c r="M33" s="357"/>
      <c r="N33" s="357"/>
      <c r="O33" s="357">
        <f t="shared" si="3"/>
        <v>0</v>
      </c>
      <c r="P33" s="357"/>
      <c r="Q33" s="354">
        <f t="shared" si="4"/>
        <v>0</v>
      </c>
      <c r="R33" s="354"/>
      <c r="S33" s="354"/>
      <c r="T33" s="355">
        <f t="shared" si="5"/>
        <v>0</v>
      </c>
      <c r="U33" s="356"/>
    </row>
    <row r="34" spans="1:21" ht="15" customHeight="1">
      <c r="A34" s="352">
        <f t="shared" si="0"/>
        <v>0</v>
      </c>
      <c r="B34" s="353"/>
      <c r="C34" s="353"/>
      <c r="D34" s="353"/>
      <c r="E34" s="353"/>
      <c r="F34" s="353">
        <f t="shared" si="1"/>
        <v>0</v>
      </c>
      <c r="G34" s="353"/>
      <c r="H34" s="353"/>
      <c r="I34" s="353"/>
      <c r="J34" s="357">
        <f t="shared" si="2"/>
        <v>0</v>
      </c>
      <c r="K34" s="357"/>
      <c r="L34" s="357"/>
      <c r="M34" s="357"/>
      <c r="N34" s="357"/>
      <c r="O34" s="357">
        <f t="shared" si="3"/>
        <v>0</v>
      </c>
      <c r="P34" s="357"/>
      <c r="Q34" s="354">
        <f t="shared" si="4"/>
        <v>0</v>
      </c>
      <c r="R34" s="354"/>
      <c r="S34" s="354"/>
      <c r="T34" s="355">
        <f t="shared" si="5"/>
        <v>0</v>
      </c>
      <c r="U34" s="356"/>
    </row>
    <row r="35" spans="1:21" ht="15" customHeight="1">
      <c r="A35" s="352">
        <f t="shared" si="0"/>
        <v>0</v>
      </c>
      <c r="B35" s="353"/>
      <c r="C35" s="353"/>
      <c r="D35" s="353"/>
      <c r="E35" s="353"/>
      <c r="F35" s="353">
        <f t="shared" si="1"/>
        <v>0</v>
      </c>
      <c r="G35" s="353"/>
      <c r="H35" s="353"/>
      <c r="I35" s="353"/>
      <c r="J35" s="357">
        <f t="shared" si="2"/>
        <v>0</v>
      </c>
      <c r="K35" s="357"/>
      <c r="L35" s="357"/>
      <c r="M35" s="357"/>
      <c r="N35" s="357"/>
      <c r="O35" s="357">
        <f t="shared" si="3"/>
        <v>0</v>
      </c>
      <c r="P35" s="357"/>
      <c r="Q35" s="354">
        <f t="shared" si="4"/>
        <v>0</v>
      </c>
      <c r="R35" s="354"/>
      <c r="S35" s="354"/>
      <c r="T35" s="355">
        <f t="shared" si="5"/>
        <v>0</v>
      </c>
      <c r="U35" s="356"/>
    </row>
    <row r="36" spans="1:21" ht="15" customHeight="1">
      <c r="A36" s="352">
        <f t="shared" si="0"/>
        <v>0</v>
      </c>
      <c r="B36" s="353"/>
      <c r="C36" s="353"/>
      <c r="D36" s="353"/>
      <c r="E36" s="353"/>
      <c r="F36" s="353">
        <f t="shared" si="1"/>
        <v>0</v>
      </c>
      <c r="G36" s="353"/>
      <c r="H36" s="353"/>
      <c r="I36" s="353"/>
      <c r="J36" s="357">
        <f t="shared" si="2"/>
        <v>0</v>
      </c>
      <c r="K36" s="357"/>
      <c r="L36" s="357"/>
      <c r="M36" s="357"/>
      <c r="N36" s="357"/>
      <c r="O36" s="357">
        <f t="shared" si="3"/>
        <v>0</v>
      </c>
      <c r="P36" s="357"/>
      <c r="Q36" s="354">
        <f t="shared" si="4"/>
        <v>0</v>
      </c>
      <c r="R36" s="354"/>
      <c r="S36" s="354"/>
      <c r="T36" s="355">
        <f t="shared" si="5"/>
        <v>0</v>
      </c>
      <c r="U36" s="356"/>
    </row>
    <row r="37" spans="1:21" ht="15" customHeight="1">
      <c r="A37" s="352">
        <f t="shared" si="0"/>
        <v>0</v>
      </c>
      <c r="B37" s="353"/>
      <c r="C37" s="353"/>
      <c r="D37" s="353"/>
      <c r="E37" s="353"/>
      <c r="F37" s="353">
        <f t="shared" si="1"/>
        <v>0</v>
      </c>
      <c r="G37" s="353"/>
      <c r="H37" s="353"/>
      <c r="I37" s="353"/>
      <c r="J37" s="357">
        <f t="shared" si="2"/>
        <v>0</v>
      </c>
      <c r="K37" s="357"/>
      <c r="L37" s="357"/>
      <c r="M37" s="357"/>
      <c r="N37" s="357"/>
      <c r="O37" s="357">
        <f t="shared" si="3"/>
        <v>0</v>
      </c>
      <c r="P37" s="357"/>
      <c r="Q37" s="354">
        <f t="shared" si="4"/>
        <v>0</v>
      </c>
      <c r="R37" s="354"/>
      <c r="S37" s="354"/>
      <c r="T37" s="355">
        <f t="shared" si="5"/>
        <v>0</v>
      </c>
      <c r="U37" s="356"/>
    </row>
    <row r="38" spans="1:21" ht="15" customHeight="1" thickBot="1">
      <c r="A38" s="347">
        <f t="shared" si="0"/>
        <v>0</v>
      </c>
      <c r="B38" s="348"/>
      <c r="C38" s="348"/>
      <c r="D38" s="348"/>
      <c r="E38" s="348"/>
      <c r="F38" s="348">
        <f t="shared" si="1"/>
        <v>0</v>
      </c>
      <c r="G38" s="348"/>
      <c r="H38" s="348"/>
      <c r="I38" s="348"/>
      <c r="J38" s="358">
        <f t="shared" si="2"/>
        <v>0</v>
      </c>
      <c r="K38" s="358"/>
      <c r="L38" s="358"/>
      <c r="M38" s="358"/>
      <c r="N38" s="358"/>
      <c r="O38" s="358">
        <f t="shared" si="3"/>
        <v>0</v>
      </c>
      <c r="P38" s="358"/>
      <c r="Q38" s="349">
        <f t="shared" si="4"/>
        <v>0</v>
      </c>
      <c r="R38" s="349"/>
      <c r="S38" s="349"/>
      <c r="T38" s="350">
        <f t="shared" si="5"/>
        <v>0</v>
      </c>
      <c r="U38" s="351"/>
    </row>
    <row r="39" spans="1:21" ht="15" customHeight="1" thickTop="1">
      <c r="A39" s="319" t="s">
        <v>2424</v>
      </c>
      <c r="B39" s="320"/>
      <c r="C39" s="320"/>
      <c r="D39" s="320"/>
      <c r="E39" s="321"/>
      <c r="F39" s="328" t="str">
        <f>F16</f>
        <v>Without programming_x000D_
Clone 진행하세요_x000D_
Basic Setting 하지마세요_x000D_
CHF 11S 유압오일 사용</v>
      </c>
      <c r="G39" s="329"/>
      <c r="H39" s="329"/>
      <c r="I39" s="329"/>
      <c r="J39" s="329"/>
      <c r="K39" s="329"/>
      <c r="L39" s="329"/>
      <c r="M39" s="329"/>
      <c r="N39" s="329"/>
      <c r="O39" s="329"/>
      <c r="P39" s="329"/>
      <c r="Q39" s="329"/>
      <c r="R39" s="329"/>
      <c r="S39" s="329"/>
      <c r="T39" s="329"/>
      <c r="U39" s="330"/>
    </row>
    <row r="40" spans="1:21" ht="15" customHeight="1">
      <c r="A40" s="322"/>
      <c r="B40" s="323"/>
      <c r="C40" s="323"/>
      <c r="D40" s="323"/>
      <c r="E40" s="324"/>
      <c r="F40" s="331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3"/>
    </row>
    <row r="41" spans="1:21" ht="15" customHeight="1">
      <c r="A41" s="322"/>
      <c r="B41" s="323"/>
      <c r="C41" s="323"/>
      <c r="D41" s="323"/>
      <c r="E41" s="324"/>
      <c r="F41" s="331"/>
      <c r="G41" s="332"/>
      <c r="H41" s="332"/>
      <c r="I41" s="332"/>
      <c r="J41" s="332"/>
      <c r="K41" s="332"/>
      <c r="L41" s="332"/>
      <c r="M41" s="332"/>
      <c r="N41" s="332"/>
      <c r="O41" s="332"/>
      <c r="P41" s="332"/>
      <c r="Q41" s="332"/>
      <c r="R41" s="332"/>
      <c r="S41" s="332"/>
      <c r="T41" s="332"/>
      <c r="U41" s="333"/>
    </row>
    <row r="42" spans="1:21" ht="15" customHeight="1">
      <c r="A42" s="325"/>
      <c r="B42" s="326"/>
      <c r="C42" s="326"/>
      <c r="D42" s="326"/>
      <c r="E42" s="327"/>
      <c r="F42" s="334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6"/>
    </row>
    <row r="43" spans="1:21">
      <c r="A43" s="303" t="s">
        <v>87</v>
      </c>
      <c r="B43" s="304"/>
      <c r="C43" s="304"/>
      <c r="D43" s="304"/>
      <c r="E43" s="304"/>
      <c r="F43" s="305">
        <f>F20</f>
        <v>0</v>
      </c>
      <c r="G43" s="305"/>
      <c r="H43" s="305"/>
      <c r="I43" s="306"/>
      <c r="J43" s="342">
        <f>J20</f>
        <v>1500000</v>
      </c>
      <c r="K43" s="343"/>
      <c r="L43" s="343"/>
      <c r="M43" s="343"/>
      <c r="N43" s="344"/>
      <c r="O43" s="307">
        <f>O20</f>
        <v>1</v>
      </c>
      <c r="P43" s="307"/>
      <c r="Q43" s="345">
        <f>Q20</f>
        <v>0</v>
      </c>
      <c r="R43" s="305"/>
      <c r="S43" s="305"/>
      <c r="T43" s="305">
        <f>T20</f>
        <v>1500000</v>
      </c>
      <c r="U43" s="346"/>
    </row>
    <row r="44" spans="1:21" ht="17.25" thickBot="1">
      <c r="A44" s="308" t="s">
        <v>97</v>
      </c>
      <c r="B44" s="309"/>
      <c r="C44" s="309"/>
      <c r="D44" s="309"/>
      <c r="E44" s="309"/>
      <c r="F44" s="310">
        <f>F21</f>
        <v>1500000</v>
      </c>
      <c r="G44" s="310"/>
      <c r="H44" s="310"/>
      <c r="I44" s="311"/>
      <c r="J44" s="312" t="s">
        <v>972</v>
      </c>
      <c r="K44" s="309"/>
      <c r="L44" s="337" t="str">
        <f>T27</f>
        <v>장효주</v>
      </c>
      <c r="M44" s="337"/>
      <c r="N44" s="337"/>
      <c r="O44" s="312" t="s">
        <v>70</v>
      </c>
      <c r="P44" s="338"/>
      <c r="Q44" s="339" t="str">
        <f>Q21</f>
        <v>진영오토(남양주)</v>
      </c>
      <c r="R44" s="340"/>
      <c r="S44" s="340"/>
      <c r="T44" s="340"/>
      <c r="U44" s="34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2429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2869</v>
      </c>
      <c r="C2" s="47" t="s">
        <v>1519</v>
      </c>
      <c r="D2">
        <v>2820403</v>
      </c>
      <c r="E2" t="s">
        <v>2295</v>
      </c>
      <c r="F2">
        <v>2820403</v>
      </c>
      <c r="G2">
        <v>1500000</v>
      </c>
      <c r="H2">
        <v>1</v>
      </c>
      <c r="I2" s="238"/>
      <c r="J2" s="238">
        <v>1500000</v>
      </c>
      <c r="K2" s="291"/>
    </row>
    <row r="3" spans="1:11">
      <c r="I3" s="238"/>
      <c r="J3" s="238"/>
    </row>
    <row r="4" spans="1:11">
      <c r="J4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1" t="s">
        <v>54</v>
      </c>
      <c r="C4" s="422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2422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2419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2420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3" t="s">
        <v>94</v>
      </c>
      <c r="C28" s="424"/>
      <c r="D28" s="424"/>
      <c r="E28" s="425"/>
      <c r="F28" s="424"/>
      <c r="G28" s="424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29" t="s">
        <v>1604</v>
      </c>
      <c r="F6" s="429"/>
      <c r="G6" s="429"/>
      <c r="H6" s="429"/>
      <c r="I6" s="429"/>
      <c r="J6" s="429"/>
      <c r="K6" s="429"/>
    </row>
    <row r="7" spans="5:11"/>
    <row r="8" spans="5:11"/>
    <row r="9" spans="5:11">
      <c r="G9" s="426"/>
      <c r="H9" s="426"/>
      <c r="I9" s="426"/>
      <c r="J9" s="426"/>
    </row>
    <row r="10" spans="5:11" ht="33" customHeight="1">
      <c r="F10" s="129"/>
      <c r="G10" s="427"/>
      <c r="H10" s="428"/>
      <c r="I10" s="428"/>
      <c r="J10" s="428"/>
    </row>
    <row r="11" spans="5:11"/>
    <row r="12" spans="5:11" ht="32.25" customHeight="1">
      <c r="F12" s="130"/>
      <c r="G12" s="427" t="s">
        <v>1605</v>
      </c>
      <c r="H12" s="428"/>
      <c r="I12" s="428"/>
      <c r="J12" s="42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770"/>
  <sheetViews>
    <sheetView tabSelected="1" workbookViewId="0">
      <pane xSplit="1" ySplit="1" topLeftCell="B834" activePane="bottomRight" state="frozen"/>
      <selection activeCell="N26" sqref="N26"/>
      <selection pane="topRight" activeCell="N26" sqref="N26"/>
      <selection pane="bottomLeft" activeCell="N26" sqref="N26"/>
      <selection pane="bottomRight" activeCell="H850" sqref="H850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customWidth="1"/>
    <col min="5" max="5" width="26.375" style="284" bestFit="1" customWidth="1"/>
    <col min="6" max="6" width="15.25" style="284" bestFit="1" customWidth="1"/>
    <col min="7" max="7" width="10" style="279" bestFit="1" customWidth="1"/>
    <col min="8" max="8" width="9.5" style="284" customWidth="1"/>
    <col min="9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770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2236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2664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2664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2664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2664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2664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2664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2664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3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3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3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3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3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3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3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3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3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3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3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2664</v>
      </c>
      <c r="F315" s="284">
        <v>415072909</v>
      </c>
      <c r="G315" s="279">
        <v>378000</v>
      </c>
      <c r="H315" s="284">
        <v>1</v>
      </c>
      <c r="K315" s="279">
        <v>378000</v>
      </c>
      <c r="M315" t="s">
        <v>2508</v>
      </c>
    </row>
    <row r="316" spans="1:13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  <c r="M316" t="s">
        <v>2508</v>
      </c>
    </row>
    <row r="317" spans="1:13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3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3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  <c r="M319" t="s">
        <v>2508</v>
      </c>
    </row>
    <row r="320" spans="1:13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  <c r="M320" t="s">
        <v>2508</v>
      </c>
    </row>
    <row r="321" spans="1:13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  <c r="M321" t="s">
        <v>2508</v>
      </c>
    </row>
    <row r="322" spans="1:13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  <c r="M322" t="s">
        <v>2508</v>
      </c>
    </row>
    <row r="323" spans="1:13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  <c r="M323" t="s">
        <v>2508</v>
      </c>
    </row>
    <row r="324" spans="1:13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  <c r="M324" t="s">
        <v>2508</v>
      </c>
    </row>
    <row r="325" spans="1:13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  <c r="M325" t="s">
        <v>2508</v>
      </c>
    </row>
    <row r="326" spans="1:13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3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  <c r="M327" t="s">
        <v>2508</v>
      </c>
    </row>
    <row r="328" spans="1:13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  <c r="M328" t="s">
        <v>2508</v>
      </c>
    </row>
    <row r="329" spans="1:13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  <c r="M329" t="s">
        <v>2508</v>
      </c>
    </row>
    <row r="330" spans="1:13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  <c r="M330" t="s">
        <v>2508</v>
      </c>
    </row>
    <row r="331" spans="1:13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3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3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3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3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  <c r="M335" t="s">
        <v>2508</v>
      </c>
    </row>
    <row r="336" spans="1:13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  <c r="M336" t="s">
        <v>2508</v>
      </c>
    </row>
    <row r="337" spans="1:13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  <c r="M337" t="s">
        <v>2508</v>
      </c>
    </row>
    <row r="338" spans="1:13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  <c r="M338" t="s">
        <v>2508</v>
      </c>
    </row>
    <row r="339" spans="1:13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  <c r="M339" t="s">
        <v>2508</v>
      </c>
    </row>
    <row r="340" spans="1:13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  <c r="M340" t="s">
        <v>2508</v>
      </c>
    </row>
    <row r="341" spans="1:13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  <c r="M341" t="s">
        <v>2508</v>
      </c>
    </row>
    <row r="342" spans="1:13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3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3">
      <c r="A344" s="287">
        <v>343</v>
      </c>
      <c r="B344" s="277">
        <v>45785</v>
      </c>
      <c r="C344" s="284" t="s">
        <v>2310</v>
      </c>
      <c r="E344" s="284" t="s">
        <v>2311</v>
      </c>
      <c r="G344" s="279">
        <v>1000000</v>
      </c>
      <c r="H344" s="284">
        <v>1</v>
      </c>
      <c r="K344" s="279">
        <v>1000000</v>
      </c>
      <c r="M344" t="s">
        <v>2508</v>
      </c>
    </row>
    <row r="345" spans="1:13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  <c r="M345" t="s">
        <v>2508</v>
      </c>
    </row>
    <row r="346" spans="1:13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3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3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3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3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3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  <c r="M351" t="s">
        <v>2508</v>
      </c>
    </row>
    <row r="352" spans="1:13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  <c r="M352" t="s">
        <v>2508</v>
      </c>
    </row>
    <row r="353" spans="1:13">
      <c r="A353" s="287">
        <v>352</v>
      </c>
      <c r="B353" s="277">
        <v>45786</v>
      </c>
      <c r="C353" s="284" t="s">
        <v>2448</v>
      </c>
      <c r="E353" s="284" t="s">
        <v>2449</v>
      </c>
      <c r="G353" s="279">
        <v>50000</v>
      </c>
      <c r="H353" s="284">
        <v>1</v>
      </c>
      <c r="I353" s="280">
        <v>35000</v>
      </c>
      <c r="K353" s="279">
        <v>50000</v>
      </c>
      <c r="M353" t="s">
        <v>2508</v>
      </c>
    </row>
    <row r="354" spans="1:13">
      <c r="A354" s="287">
        <v>353</v>
      </c>
      <c r="B354" s="277">
        <v>45786</v>
      </c>
      <c r="C354" s="284" t="s">
        <v>2448</v>
      </c>
      <c r="D354" s="278" t="s">
        <v>2450</v>
      </c>
      <c r="E354" s="284" t="s">
        <v>2451</v>
      </c>
      <c r="F354" s="284" t="s">
        <v>2450</v>
      </c>
      <c r="G354" s="279">
        <v>550000</v>
      </c>
      <c r="H354" s="284">
        <v>1</v>
      </c>
      <c r="K354" s="279">
        <v>550000</v>
      </c>
      <c r="M354" t="s">
        <v>2508</v>
      </c>
    </row>
    <row r="355" spans="1:13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3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3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3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3">
      <c r="A359" s="287">
        <v>358</v>
      </c>
      <c r="B359" s="277">
        <v>45789</v>
      </c>
      <c r="C359" s="284" t="s">
        <v>2413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  <c r="M359" t="s">
        <v>2508</v>
      </c>
    </row>
    <row r="360" spans="1:13">
      <c r="A360" s="287">
        <v>359</v>
      </c>
      <c r="B360" s="277">
        <v>45789</v>
      </c>
      <c r="C360" s="284" t="s">
        <v>2413</v>
      </c>
      <c r="E360" s="284" t="s">
        <v>1161</v>
      </c>
      <c r="L360" s="279">
        <v>-715000</v>
      </c>
    </row>
    <row r="361" spans="1:13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  <c r="M361" t="s">
        <v>2508</v>
      </c>
    </row>
    <row r="362" spans="1:13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  <c r="M362" t="s">
        <v>2508</v>
      </c>
    </row>
    <row r="363" spans="1:13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  <c r="M363" t="s">
        <v>2508</v>
      </c>
    </row>
    <row r="364" spans="1:13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  <c r="M364" t="s">
        <v>2508</v>
      </c>
    </row>
    <row r="365" spans="1:13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  <c r="M365" t="s">
        <v>2508</v>
      </c>
    </row>
    <row r="366" spans="1:13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  <c r="M366" t="s">
        <v>2508</v>
      </c>
    </row>
    <row r="367" spans="1:13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  <c r="M367" t="s">
        <v>2508</v>
      </c>
    </row>
    <row r="368" spans="1:13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  <c r="M368" t="s">
        <v>2508</v>
      </c>
    </row>
    <row r="369" spans="1:13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3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3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  <c r="M371" t="s">
        <v>2508</v>
      </c>
    </row>
    <row r="372" spans="1:13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  <c r="M372" t="s">
        <v>2508</v>
      </c>
    </row>
    <row r="373" spans="1:13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  <c r="M373" t="s">
        <v>2508</v>
      </c>
    </row>
    <row r="374" spans="1:13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  <c r="M374" t="s">
        <v>2508</v>
      </c>
    </row>
    <row r="375" spans="1:13">
      <c r="A375" s="287">
        <v>374</v>
      </c>
      <c r="B375" s="277">
        <v>45790</v>
      </c>
      <c r="C375" s="284" t="s">
        <v>2259</v>
      </c>
      <c r="D375" s="278" t="s">
        <v>2260</v>
      </c>
      <c r="E375" s="284" t="s">
        <v>2261</v>
      </c>
      <c r="F375" s="284" t="s">
        <v>2260</v>
      </c>
      <c r="G375" s="279">
        <v>200000</v>
      </c>
      <c r="H375" s="284">
        <v>1</v>
      </c>
      <c r="K375" s="279">
        <v>200000</v>
      </c>
      <c r="M375" t="s">
        <v>2508</v>
      </c>
    </row>
    <row r="376" spans="1:13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  <c r="M376" t="s">
        <v>2508</v>
      </c>
    </row>
    <row r="377" spans="1:13">
      <c r="A377" s="287">
        <v>376</v>
      </c>
      <c r="B377" s="277">
        <v>45790</v>
      </c>
      <c r="C377" s="284" t="s">
        <v>2242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  <c r="M377" t="s">
        <v>2508</v>
      </c>
    </row>
    <row r="378" spans="1:13">
      <c r="A378" s="287">
        <v>377</v>
      </c>
      <c r="B378" s="277">
        <v>45790</v>
      </c>
      <c r="C378" s="284" t="s">
        <v>2246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  <c r="M378" t="s">
        <v>2508</v>
      </c>
    </row>
    <row r="379" spans="1:13">
      <c r="A379" s="287">
        <v>378</v>
      </c>
      <c r="B379" s="277">
        <v>45790</v>
      </c>
      <c r="C379" s="284" t="s">
        <v>1445</v>
      </c>
      <c r="E379" s="284" t="s">
        <v>2249</v>
      </c>
      <c r="G379" s="279">
        <v>1550000</v>
      </c>
      <c r="H379" s="284">
        <v>1</v>
      </c>
      <c r="K379" s="279">
        <v>1550000</v>
      </c>
      <c r="M379" t="s">
        <v>2508</v>
      </c>
    </row>
    <row r="380" spans="1:13">
      <c r="A380" s="287">
        <v>379</v>
      </c>
      <c r="B380" s="277">
        <v>45790</v>
      </c>
      <c r="C380" s="284" t="s">
        <v>1351</v>
      </c>
      <c r="E380" s="284" t="s">
        <v>2252</v>
      </c>
      <c r="G380" s="279">
        <v>990000</v>
      </c>
      <c r="H380" s="284">
        <v>1</v>
      </c>
      <c r="I380" s="280">
        <v>940000</v>
      </c>
      <c r="K380" s="279">
        <v>990000</v>
      </c>
      <c r="M380" t="s">
        <v>2508</v>
      </c>
    </row>
    <row r="381" spans="1:13">
      <c r="A381" s="287">
        <v>380</v>
      </c>
      <c r="B381" s="277">
        <v>45790</v>
      </c>
      <c r="C381" s="284" t="s">
        <v>2242</v>
      </c>
      <c r="E381" s="284" t="s">
        <v>1161</v>
      </c>
      <c r="L381" s="279">
        <v>-129000</v>
      </c>
    </row>
    <row r="382" spans="1:13">
      <c r="A382" s="287">
        <v>381</v>
      </c>
      <c r="B382" s="277">
        <v>45790</v>
      </c>
      <c r="C382" s="284" t="s">
        <v>1734</v>
      </c>
      <c r="E382" s="284" t="s">
        <v>2255</v>
      </c>
      <c r="G382" s="279">
        <v>1000000</v>
      </c>
      <c r="H382" s="284">
        <v>1</v>
      </c>
      <c r="J382" s="280">
        <v>100000</v>
      </c>
      <c r="K382" s="279">
        <v>1100000</v>
      </c>
      <c r="M382" t="s">
        <v>2508</v>
      </c>
    </row>
    <row r="383" spans="1:13">
      <c r="A383" s="287">
        <v>382</v>
      </c>
      <c r="B383" s="277">
        <v>45790</v>
      </c>
      <c r="C383" s="284" t="s">
        <v>1424</v>
      </c>
      <c r="E383" s="284" t="s">
        <v>2257</v>
      </c>
      <c r="G383" s="279">
        <v>1200000</v>
      </c>
      <c r="H383" s="284">
        <v>1</v>
      </c>
      <c r="K383" s="279">
        <v>1200000</v>
      </c>
      <c r="M383" t="s">
        <v>2508</v>
      </c>
    </row>
    <row r="384" spans="1:13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3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3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  <c r="M386" t="s">
        <v>2508</v>
      </c>
    </row>
    <row r="387" spans="1:13">
      <c r="A387" s="287">
        <v>386</v>
      </c>
      <c r="B387" s="277">
        <v>45791</v>
      </c>
      <c r="C387" s="284" t="s">
        <v>1790</v>
      </c>
      <c r="E387" s="284" t="s">
        <v>2262</v>
      </c>
      <c r="G387" s="279">
        <v>150000</v>
      </c>
      <c r="H387" s="284">
        <v>1</v>
      </c>
      <c r="K387" s="279">
        <v>150000</v>
      </c>
      <c r="M387" t="s">
        <v>2508</v>
      </c>
    </row>
    <row r="388" spans="1:13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3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3">
      <c r="A390" s="287">
        <v>389</v>
      </c>
      <c r="B390" s="277">
        <v>45791</v>
      </c>
      <c r="C390" s="284" t="s">
        <v>2269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  <c r="M390" t="s">
        <v>2508</v>
      </c>
    </row>
    <row r="391" spans="1:13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2664</v>
      </c>
      <c r="F391" s="284">
        <v>2295001282</v>
      </c>
      <c r="G391" s="279">
        <v>422000</v>
      </c>
      <c r="H391" s="284">
        <v>1</v>
      </c>
      <c r="K391" s="279">
        <v>422000</v>
      </c>
      <c r="M391" t="s">
        <v>2508</v>
      </c>
    </row>
    <row r="392" spans="1:13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  <c r="M392" t="s">
        <v>2508</v>
      </c>
    </row>
    <row r="393" spans="1:13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  <c r="M393" t="s">
        <v>2508</v>
      </c>
    </row>
    <row r="394" spans="1:13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3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2285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3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2278</v>
      </c>
      <c r="F396" s="284" t="s">
        <v>1239</v>
      </c>
      <c r="G396" s="279">
        <v>1500000</v>
      </c>
      <c r="H396" s="284">
        <v>1</v>
      </c>
      <c r="K396" s="279">
        <v>1500000</v>
      </c>
      <c r="M396" t="s">
        <v>2508</v>
      </c>
    </row>
    <row r="397" spans="1:13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2279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  <c r="M397" t="s">
        <v>2508</v>
      </c>
    </row>
    <row r="398" spans="1:13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3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  <c r="M399" t="s">
        <v>2508</v>
      </c>
    </row>
    <row r="400" spans="1:13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3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2288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  <c r="M401" t="s">
        <v>2508</v>
      </c>
    </row>
    <row r="402" spans="1:13">
      <c r="A402" s="287">
        <v>401</v>
      </c>
      <c r="B402" s="277">
        <v>45792</v>
      </c>
      <c r="C402" s="284" t="s">
        <v>2315</v>
      </c>
      <c r="E402" s="284" t="s">
        <v>2313</v>
      </c>
      <c r="G402" s="279">
        <v>500000</v>
      </c>
      <c r="H402" s="284">
        <v>1</v>
      </c>
      <c r="J402" s="280">
        <v>50000</v>
      </c>
      <c r="K402" s="279">
        <v>550000</v>
      </c>
      <c r="M402" t="s">
        <v>2508</v>
      </c>
    </row>
    <row r="403" spans="1:13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2278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  <c r="M403" t="s">
        <v>2508</v>
      </c>
    </row>
    <row r="404" spans="1:13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2279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  <c r="M404" t="s">
        <v>2508</v>
      </c>
    </row>
    <row r="405" spans="1:13">
      <c r="A405" s="287">
        <v>404</v>
      </c>
      <c r="B405" s="277">
        <v>45792</v>
      </c>
      <c r="C405" s="284" t="s">
        <v>1955</v>
      </c>
      <c r="D405" s="278" t="s">
        <v>2317</v>
      </c>
      <c r="E405" s="284" t="s">
        <v>2280</v>
      </c>
      <c r="F405" s="284" t="s">
        <v>2317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  <c r="M405" t="s">
        <v>2508</v>
      </c>
    </row>
    <row r="406" spans="1:13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3">
      <c r="A407" s="287">
        <v>406</v>
      </c>
      <c r="B407" s="277">
        <v>45793</v>
      </c>
      <c r="C407" s="284" t="s">
        <v>2189</v>
      </c>
      <c r="D407" s="278" t="s">
        <v>2317</v>
      </c>
      <c r="E407" s="284" t="s">
        <v>2280</v>
      </c>
      <c r="F407" s="284" t="s">
        <v>2317</v>
      </c>
      <c r="G407" s="279">
        <v>250000</v>
      </c>
      <c r="H407" s="284">
        <v>1</v>
      </c>
      <c r="I407" s="280">
        <v>45000</v>
      </c>
      <c r="K407" s="279">
        <v>250000</v>
      </c>
      <c r="M407" t="s">
        <v>2508</v>
      </c>
    </row>
    <row r="408" spans="1:13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3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2288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  <c r="M409" t="s">
        <v>2508</v>
      </c>
    </row>
    <row r="410" spans="1:13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2286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  <c r="M410" t="s">
        <v>2508</v>
      </c>
    </row>
    <row r="411" spans="1:13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2290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  <c r="M411" t="s">
        <v>2508</v>
      </c>
    </row>
    <row r="412" spans="1:13">
      <c r="A412" s="287">
        <v>411</v>
      </c>
      <c r="B412" s="277">
        <v>45793</v>
      </c>
      <c r="C412" s="284" t="s">
        <v>1955</v>
      </c>
      <c r="E412" s="284" t="s">
        <v>2328</v>
      </c>
      <c r="G412" s="279">
        <v>150000</v>
      </c>
      <c r="H412" s="284">
        <v>1</v>
      </c>
      <c r="K412" s="279">
        <v>150000</v>
      </c>
      <c r="M412" t="s">
        <v>2508</v>
      </c>
    </row>
    <row r="413" spans="1:13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3">
      <c r="A414" s="287">
        <v>413</v>
      </c>
      <c r="B414" s="277">
        <v>45794</v>
      </c>
      <c r="C414" s="284" t="s">
        <v>1932</v>
      </c>
      <c r="E414" s="284" t="s">
        <v>2330</v>
      </c>
      <c r="G414" s="279">
        <v>150000</v>
      </c>
      <c r="H414" s="284">
        <v>1</v>
      </c>
      <c r="K414" s="279">
        <v>150000</v>
      </c>
      <c r="M414" t="s">
        <v>2508</v>
      </c>
    </row>
    <row r="415" spans="1:13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  <c r="M415" t="s">
        <v>2508</v>
      </c>
    </row>
    <row r="416" spans="1:13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  <c r="M416" t="s">
        <v>2508</v>
      </c>
    </row>
    <row r="417" spans="1:13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  <c r="M417" t="s">
        <v>2508</v>
      </c>
    </row>
    <row r="418" spans="1:13">
      <c r="A418" s="287">
        <v>417</v>
      </c>
      <c r="B418" s="277">
        <v>45794</v>
      </c>
      <c r="C418" s="284" t="s">
        <v>2344</v>
      </c>
      <c r="D418" s="278">
        <v>1087298388</v>
      </c>
      <c r="E418" s="284" t="s">
        <v>2345</v>
      </c>
      <c r="F418" s="286">
        <v>1087298388</v>
      </c>
      <c r="G418" s="279">
        <v>550000</v>
      </c>
      <c r="H418" s="284">
        <v>1</v>
      </c>
      <c r="K418" s="279">
        <v>500000</v>
      </c>
      <c r="M418" t="s">
        <v>2508</v>
      </c>
    </row>
    <row r="419" spans="1:13">
      <c r="A419" s="287">
        <v>418</v>
      </c>
      <c r="B419" s="277">
        <v>45794</v>
      </c>
      <c r="C419" s="284" t="s">
        <v>2355</v>
      </c>
      <c r="D419" s="278" t="s">
        <v>2356</v>
      </c>
      <c r="E419" s="284" t="s">
        <v>2357</v>
      </c>
      <c r="F419" s="284" t="s">
        <v>2356</v>
      </c>
      <c r="G419" s="279">
        <v>1650000</v>
      </c>
      <c r="H419" s="284">
        <v>1</v>
      </c>
      <c r="J419" s="280">
        <v>165000</v>
      </c>
      <c r="K419" s="279">
        <v>1815000</v>
      </c>
      <c r="M419" t="s">
        <v>2508</v>
      </c>
    </row>
    <row r="420" spans="1:13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3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3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3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2278</v>
      </c>
      <c r="F423" s="284" t="s">
        <v>1239</v>
      </c>
      <c r="G423" s="279">
        <v>1500000</v>
      </c>
      <c r="H423" s="284">
        <v>1</v>
      </c>
      <c r="K423" s="279">
        <v>1500000</v>
      </c>
      <c r="M423" t="s">
        <v>2508</v>
      </c>
    </row>
    <row r="424" spans="1:13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2279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  <c r="M424" t="s">
        <v>2508</v>
      </c>
    </row>
    <row r="425" spans="1:13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2281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  <c r="M425" t="s">
        <v>2508</v>
      </c>
    </row>
    <row r="426" spans="1:13">
      <c r="A426" s="287">
        <v>425</v>
      </c>
      <c r="B426" s="277">
        <v>45796</v>
      </c>
      <c r="C426" s="284" t="s">
        <v>1790</v>
      </c>
      <c r="E426" s="284" t="s">
        <v>2341</v>
      </c>
      <c r="G426" s="279">
        <v>800000</v>
      </c>
      <c r="H426" s="284">
        <v>1</v>
      </c>
      <c r="K426" s="279">
        <v>800000</v>
      </c>
      <c r="M426" t="s">
        <v>2508</v>
      </c>
    </row>
    <row r="427" spans="1:13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  <c r="M427" t="s">
        <v>2508</v>
      </c>
    </row>
    <row r="428" spans="1:13">
      <c r="A428" s="287">
        <v>427</v>
      </c>
      <c r="B428" s="277">
        <v>45796</v>
      </c>
      <c r="C428" s="284" t="s">
        <v>1490</v>
      </c>
      <c r="E428" s="284" t="s">
        <v>2346</v>
      </c>
      <c r="L428" s="279">
        <v>-600000</v>
      </c>
    </row>
    <row r="429" spans="1:13">
      <c r="A429" s="287">
        <v>428</v>
      </c>
      <c r="B429" s="277">
        <v>45796</v>
      </c>
      <c r="C429" s="284" t="s">
        <v>1183</v>
      </c>
      <c r="E429" s="284" t="s">
        <v>2347</v>
      </c>
      <c r="G429" s="279">
        <v>900000</v>
      </c>
      <c r="H429" s="284">
        <v>1</v>
      </c>
      <c r="K429" s="279">
        <v>900000</v>
      </c>
      <c r="M429" t="s">
        <v>2508</v>
      </c>
    </row>
    <row r="430" spans="1:13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  <c r="M430" t="s">
        <v>2508</v>
      </c>
    </row>
    <row r="431" spans="1:13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3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2284</v>
      </c>
      <c r="F432" s="284" t="s">
        <v>1238</v>
      </c>
      <c r="G432" s="279">
        <v>800000</v>
      </c>
      <c r="H432" s="284">
        <v>1</v>
      </c>
      <c r="K432" s="279">
        <v>800000</v>
      </c>
      <c r="M432" t="s">
        <v>2508</v>
      </c>
    </row>
    <row r="433" spans="1:13">
      <c r="A433" s="287">
        <v>432</v>
      </c>
      <c r="B433" s="277">
        <v>45797</v>
      </c>
      <c r="C433" s="284" t="s">
        <v>2457</v>
      </c>
      <c r="D433" s="278" t="s">
        <v>2458</v>
      </c>
      <c r="E433" s="284" t="s">
        <v>2459</v>
      </c>
      <c r="F433" s="284" t="s">
        <v>2458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3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2284</v>
      </c>
      <c r="F434" s="284" t="s">
        <v>1238</v>
      </c>
      <c r="G434" s="279">
        <v>900000</v>
      </c>
      <c r="H434" s="284">
        <v>1</v>
      </c>
      <c r="K434" s="279">
        <v>900000</v>
      </c>
      <c r="M434" t="s">
        <v>2508</v>
      </c>
    </row>
    <row r="435" spans="1:13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3">
      <c r="A436" s="287">
        <v>435</v>
      </c>
      <c r="B436" s="277">
        <v>45798</v>
      </c>
      <c r="C436" s="284" t="s">
        <v>2339</v>
      </c>
      <c r="E436" s="284" t="s">
        <v>1161</v>
      </c>
      <c r="L436" s="279">
        <v>-1815000</v>
      </c>
    </row>
    <row r="437" spans="1:13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3">
      <c r="A438" s="287">
        <v>437</v>
      </c>
      <c r="B438" s="277">
        <v>45798</v>
      </c>
      <c r="C438" s="284" t="s">
        <v>1600</v>
      </c>
      <c r="E438" s="284" t="s">
        <v>2358</v>
      </c>
      <c r="G438" s="279">
        <v>900000</v>
      </c>
      <c r="H438" s="284">
        <v>1</v>
      </c>
      <c r="I438" s="280">
        <v>600000</v>
      </c>
      <c r="K438" s="279">
        <v>900000</v>
      </c>
      <c r="M438" t="s">
        <v>2508</v>
      </c>
    </row>
    <row r="439" spans="1:13">
      <c r="A439" s="287">
        <v>438</v>
      </c>
      <c r="B439" s="277">
        <v>45798</v>
      </c>
      <c r="C439" s="284" t="s">
        <v>2360</v>
      </c>
      <c r="D439" s="278" t="s">
        <v>1254</v>
      </c>
      <c r="E439" s="284" t="s">
        <v>2276</v>
      </c>
      <c r="F439" s="284" t="s">
        <v>1510</v>
      </c>
      <c r="G439" s="279">
        <v>1500000</v>
      </c>
      <c r="H439" s="284">
        <v>1</v>
      </c>
      <c r="K439" s="279">
        <v>1500000</v>
      </c>
      <c r="M439" t="s">
        <v>2508</v>
      </c>
    </row>
    <row r="440" spans="1:13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2301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  <c r="M440" t="s">
        <v>2508</v>
      </c>
    </row>
    <row r="441" spans="1:13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2279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  <c r="M441" t="s">
        <v>2508</v>
      </c>
    </row>
    <row r="442" spans="1:13">
      <c r="A442" s="287">
        <v>441</v>
      </c>
      <c r="B442" s="277">
        <v>45798</v>
      </c>
      <c r="C442" s="284" t="s">
        <v>1734</v>
      </c>
      <c r="E442" s="284" t="s">
        <v>2302</v>
      </c>
      <c r="G442" s="279">
        <v>150000</v>
      </c>
      <c r="H442" s="284">
        <v>1</v>
      </c>
      <c r="J442" s="280">
        <v>15000</v>
      </c>
      <c r="K442" s="279">
        <v>165000</v>
      </c>
      <c r="M442" t="s">
        <v>2508</v>
      </c>
    </row>
    <row r="443" spans="1:13">
      <c r="A443" s="287">
        <v>442</v>
      </c>
      <c r="B443" s="277">
        <v>45798</v>
      </c>
      <c r="C443" s="284" t="s">
        <v>2363</v>
      </c>
      <c r="D443" s="278" t="s">
        <v>1239</v>
      </c>
      <c r="E443" s="284" t="s">
        <v>2278</v>
      </c>
      <c r="F443" s="284" t="s">
        <v>1239</v>
      </c>
      <c r="G443" s="279">
        <v>1500000</v>
      </c>
      <c r="H443" s="284">
        <v>1</v>
      </c>
      <c r="K443" s="279">
        <v>1500000</v>
      </c>
      <c r="M443" t="s">
        <v>2508</v>
      </c>
    </row>
    <row r="444" spans="1:13">
      <c r="A444" s="287">
        <v>443</v>
      </c>
      <c r="B444" s="277">
        <v>45798</v>
      </c>
      <c r="C444" s="284" t="s">
        <v>2363</v>
      </c>
      <c r="D444" s="278" t="s">
        <v>1879</v>
      </c>
      <c r="E444" s="284" t="s">
        <v>2279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  <c r="M444" t="s">
        <v>2508</v>
      </c>
    </row>
    <row r="445" spans="1:13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2278</v>
      </c>
      <c r="F445" s="284" t="s">
        <v>1239</v>
      </c>
      <c r="G445" s="279">
        <v>1500000</v>
      </c>
      <c r="H445" s="284">
        <v>1</v>
      </c>
      <c r="K445" s="279">
        <v>1500000</v>
      </c>
      <c r="M445" t="s">
        <v>2508</v>
      </c>
    </row>
    <row r="446" spans="1:13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2279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  <c r="M446" t="s">
        <v>2508</v>
      </c>
    </row>
    <row r="447" spans="1:13">
      <c r="A447" s="287">
        <v>446</v>
      </c>
      <c r="B447" s="277">
        <v>45798</v>
      </c>
      <c r="C447" s="284" t="s">
        <v>2363</v>
      </c>
      <c r="E447" s="284" t="s">
        <v>1161</v>
      </c>
      <c r="L447" s="279">
        <v>-1550000</v>
      </c>
    </row>
    <row r="448" spans="1:13">
      <c r="A448" s="287">
        <v>447</v>
      </c>
      <c r="B448" s="277">
        <v>45798</v>
      </c>
      <c r="C448" s="284" t="s">
        <v>2360</v>
      </c>
      <c r="E448" s="284" t="s">
        <v>1161</v>
      </c>
      <c r="L448" s="279">
        <v>-1500000</v>
      </c>
    </row>
    <row r="449" spans="1:13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3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3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  <c r="M451" t="s">
        <v>2508</v>
      </c>
    </row>
    <row r="452" spans="1:13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  <c r="M452" t="s">
        <v>2508</v>
      </c>
    </row>
    <row r="453" spans="1:13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  <c r="M453" t="s">
        <v>2508</v>
      </c>
    </row>
    <row r="454" spans="1:13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2372</v>
      </c>
      <c r="F454" s="284" t="s">
        <v>1236</v>
      </c>
      <c r="G454" s="279">
        <v>100000</v>
      </c>
      <c r="H454" s="284">
        <v>1</v>
      </c>
      <c r="K454" s="279">
        <v>100000</v>
      </c>
      <c r="M454" t="s">
        <v>2508</v>
      </c>
    </row>
    <row r="455" spans="1:13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  <c r="M455" t="s">
        <v>2508</v>
      </c>
    </row>
    <row r="456" spans="1:13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3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3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  <c r="M458" t="s">
        <v>2508</v>
      </c>
    </row>
    <row r="459" spans="1:13">
      <c r="A459" s="287">
        <v>458</v>
      </c>
      <c r="B459" s="277">
        <v>45800</v>
      </c>
      <c r="C459" s="284" t="s">
        <v>2567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  <c r="M459" t="s">
        <v>2508</v>
      </c>
    </row>
    <row r="460" spans="1:13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2664</v>
      </c>
      <c r="F460" s="284">
        <v>4150862090</v>
      </c>
      <c r="G460" s="279">
        <v>445000</v>
      </c>
      <c r="H460" s="284">
        <v>1</v>
      </c>
      <c r="K460" s="279">
        <v>445000</v>
      </c>
      <c r="M460" t="s">
        <v>2508</v>
      </c>
    </row>
    <row r="461" spans="1:13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  <c r="M461" t="s">
        <v>2508</v>
      </c>
    </row>
    <row r="462" spans="1:13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2664</v>
      </c>
      <c r="F462" s="284">
        <v>4150862090</v>
      </c>
      <c r="G462" s="279">
        <v>450000</v>
      </c>
      <c r="H462" s="284">
        <v>1</v>
      </c>
      <c r="K462" s="279">
        <v>450000</v>
      </c>
      <c r="M462" t="s">
        <v>2508</v>
      </c>
    </row>
    <row r="463" spans="1:13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2288</v>
      </c>
      <c r="F463" s="284">
        <v>50229</v>
      </c>
      <c r="G463" s="279">
        <v>75000</v>
      </c>
      <c r="H463" s="284">
        <v>1</v>
      </c>
      <c r="K463" s="279">
        <v>75000</v>
      </c>
      <c r="M463" t="s">
        <v>2508</v>
      </c>
    </row>
    <row r="464" spans="1:13">
      <c r="A464" s="287">
        <v>463</v>
      </c>
      <c r="B464" s="277">
        <v>45801</v>
      </c>
      <c r="C464" s="284" t="s">
        <v>1030</v>
      </c>
      <c r="E464" s="284" t="s">
        <v>2282</v>
      </c>
      <c r="G464" s="279">
        <v>35000</v>
      </c>
      <c r="H464" s="284">
        <v>1</v>
      </c>
      <c r="K464" s="279">
        <v>35000</v>
      </c>
      <c r="M464" t="s">
        <v>2508</v>
      </c>
    </row>
    <row r="465" spans="1:13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2290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  <c r="M465" t="s">
        <v>2508</v>
      </c>
    </row>
    <row r="466" spans="1:13">
      <c r="A466" s="287">
        <v>465</v>
      </c>
      <c r="B466" s="277">
        <v>45801</v>
      </c>
      <c r="C466" s="284" t="s">
        <v>1590</v>
      </c>
      <c r="E466" s="284" t="s">
        <v>2395</v>
      </c>
      <c r="G466" s="279">
        <v>1600000</v>
      </c>
      <c r="H466" s="284">
        <v>1</v>
      </c>
      <c r="K466" s="279">
        <v>1600000</v>
      </c>
      <c r="M466" t="s">
        <v>2508</v>
      </c>
    </row>
    <row r="467" spans="1:13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3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3">
      <c r="A469" s="287">
        <v>468</v>
      </c>
      <c r="B469" s="277">
        <v>45803</v>
      </c>
      <c r="C469" s="284" t="s">
        <v>2397</v>
      </c>
      <c r="D469" s="278" t="s">
        <v>1236</v>
      </c>
      <c r="E469" s="284" t="s">
        <v>2296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  <c r="M469" t="s">
        <v>2508</v>
      </c>
    </row>
    <row r="470" spans="1:13">
      <c r="A470" s="287">
        <v>469</v>
      </c>
      <c r="B470" s="277">
        <v>45803</v>
      </c>
      <c r="C470" s="284" t="s">
        <v>2397</v>
      </c>
      <c r="E470" s="284" t="s">
        <v>1161</v>
      </c>
      <c r="L470" s="279">
        <v>-1100000</v>
      </c>
    </row>
    <row r="471" spans="1:13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3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  <c r="M472" t="s">
        <v>2508</v>
      </c>
    </row>
    <row r="473" spans="1:13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3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3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3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2285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  <c r="M476" t="s">
        <v>2508</v>
      </c>
    </row>
    <row r="477" spans="1:13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2288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  <c r="M477" t="s">
        <v>2508</v>
      </c>
    </row>
    <row r="478" spans="1:13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2289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  <c r="M478" t="s">
        <v>2508</v>
      </c>
    </row>
    <row r="479" spans="1:13">
      <c r="A479" s="287">
        <v>478</v>
      </c>
      <c r="B479" s="277">
        <v>45803</v>
      </c>
      <c r="C479" s="284" t="s">
        <v>2413</v>
      </c>
      <c r="D479" s="278" t="s">
        <v>1822</v>
      </c>
      <c r="E479" s="284" t="s">
        <v>2405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  <c r="M479" t="s">
        <v>2508</v>
      </c>
    </row>
    <row r="480" spans="1:13">
      <c r="A480" s="287">
        <v>479</v>
      </c>
      <c r="B480" s="277">
        <v>45803</v>
      </c>
      <c r="C480" s="284" t="s">
        <v>2413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  <c r="M480" t="s">
        <v>2508</v>
      </c>
    </row>
    <row r="481" spans="1:13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2286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  <c r="M481" t="s">
        <v>2508</v>
      </c>
    </row>
    <row r="482" spans="1:13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  <c r="M482" t="s">
        <v>2508</v>
      </c>
    </row>
    <row r="483" spans="1:13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3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2276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  <c r="M484" t="s">
        <v>2508</v>
      </c>
    </row>
    <row r="485" spans="1:13">
      <c r="A485" s="287">
        <v>484</v>
      </c>
      <c r="B485" s="277">
        <v>45804</v>
      </c>
      <c r="C485" s="284" t="s">
        <v>2413</v>
      </c>
      <c r="E485" s="284" t="s">
        <v>1161</v>
      </c>
      <c r="L485" s="279">
        <v>-1100000</v>
      </c>
    </row>
    <row r="486" spans="1:13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3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  <c r="M487" t="s">
        <v>2508</v>
      </c>
    </row>
    <row r="488" spans="1:13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3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  <c r="M489" t="s">
        <v>2508</v>
      </c>
    </row>
    <row r="490" spans="1:13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  <c r="M490" t="s">
        <v>2508</v>
      </c>
    </row>
    <row r="491" spans="1:13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3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3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  <c r="M493" t="s">
        <v>2508</v>
      </c>
    </row>
    <row r="494" spans="1:13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  <c r="M494" t="s">
        <v>2508</v>
      </c>
    </row>
    <row r="495" spans="1:13">
      <c r="A495" s="287">
        <v>494</v>
      </c>
      <c r="B495" s="277">
        <v>45804</v>
      </c>
      <c r="C495" s="284" t="s">
        <v>1587</v>
      </c>
      <c r="E495" s="284" t="s">
        <v>2423</v>
      </c>
      <c r="L495" s="279">
        <v>-50000</v>
      </c>
      <c r="M495" t="s">
        <v>2508</v>
      </c>
    </row>
    <row r="496" spans="1:13">
      <c r="A496" s="287">
        <v>495</v>
      </c>
      <c r="B496" s="277">
        <v>45805</v>
      </c>
      <c r="C496" s="284" t="s">
        <v>2245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  <c r="M496" t="s">
        <v>2508</v>
      </c>
    </row>
    <row r="497" spans="1:13">
      <c r="A497" s="287">
        <v>496</v>
      </c>
      <c r="B497" s="277">
        <v>45805</v>
      </c>
      <c r="C497" s="284" t="s">
        <v>1445</v>
      </c>
      <c r="E497" s="284" t="s">
        <v>2425</v>
      </c>
      <c r="G497" s="279">
        <v>1200000</v>
      </c>
      <c r="H497" s="284">
        <v>1</v>
      </c>
      <c r="K497" s="280">
        <v>1200000</v>
      </c>
      <c r="M497" t="s">
        <v>2508</v>
      </c>
    </row>
    <row r="498" spans="1:13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3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3">
      <c r="A500" s="287">
        <v>499</v>
      </c>
      <c r="B500" s="277">
        <v>45805</v>
      </c>
      <c r="C500" s="284" t="s">
        <v>1979</v>
      </c>
      <c r="E500" s="284" t="s">
        <v>2427</v>
      </c>
      <c r="G500" s="279">
        <v>200000</v>
      </c>
      <c r="H500" s="284">
        <v>1</v>
      </c>
      <c r="K500" s="280">
        <v>200000</v>
      </c>
      <c r="M500" t="s">
        <v>2508</v>
      </c>
    </row>
    <row r="501" spans="1:13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  <c r="M501" t="s">
        <v>2508</v>
      </c>
    </row>
    <row r="502" spans="1:13">
      <c r="A502" s="287">
        <v>501</v>
      </c>
      <c r="B502" s="277">
        <v>45805</v>
      </c>
      <c r="C502" s="284" t="s">
        <v>2426</v>
      </c>
      <c r="E502" s="284" t="s">
        <v>2296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  <c r="M502" t="s">
        <v>2508</v>
      </c>
    </row>
    <row r="503" spans="1:13">
      <c r="A503" s="287">
        <v>502</v>
      </c>
      <c r="B503" s="277">
        <v>45805</v>
      </c>
      <c r="C503" s="284" t="s">
        <v>2426</v>
      </c>
      <c r="E503" s="284" t="s">
        <v>1161</v>
      </c>
      <c r="L503" s="279">
        <v>-1100000</v>
      </c>
    </row>
    <row r="504" spans="1:13">
      <c r="A504" s="287">
        <v>503</v>
      </c>
      <c r="B504" s="277">
        <v>45805</v>
      </c>
      <c r="C504" s="284" t="s">
        <v>2428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  <c r="M504" t="s">
        <v>2508</v>
      </c>
    </row>
    <row r="505" spans="1:13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3">
      <c r="A506" s="287">
        <v>505</v>
      </c>
      <c r="B506" s="277">
        <v>45805</v>
      </c>
      <c r="C506" s="284" t="s">
        <v>2381</v>
      </c>
      <c r="E506" s="284" t="s">
        <v>1161</v>
      </c>
      <c r="L506" s="279">
        <v>-275000</v>
      </c>
    </row>
    <row r="507" spans="1:13">
      <c r="A507" s="287">
        <v>506</v>
      </c>
      <c r="B507" s="277">
        <v>45805</v>
      </c>
      <c r="C507" s="284" t="s">
        <v>2428</v>
      </c>
      <c r="E507" s="284" t="s">
        <v>1161</v>
      </c>
      <c r="L507" s="279">
        <v>-200000</v>
      </c>
    </row>
    <row r="508" spans="1:13">
      <c r="A508" s="287">
        <v>507</v>
      </c>
      <c r="B508" s="277">
        <v>45800</v>
      </c>
      <c r="C508" s="284" t="s">
        <v>1817</v>
      </c>
      <c r="E508" s="284" t="s">
        <v>2405</v>
      </c>
      <c r="G508" s="279">
        <v>650000</v>
      </c>
      <c r="H508" s="61">
        <v>1</v>
      </c>
      <c r="J508" s="280">
        <v>65000</v>
      </c>
      <c r="K508" s="279">
        <v>715000</v>
      </c>
      <c r="M508" t="s">
        <v>2508</v>
      </c>
    </row>
    <row r="509" spans="1:13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  <c r="M509" t="s">
        <v>2508</v>
      </c>
    </row>
    <row r="510" spans="1:13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  <c r="M510" t="s">
        <v>2508</v>
      </c>
    </row>
    <row r="511" spans="1:13">
      <c r="A511" s="287">
        <v>510</v>
      </c>
      <c r="B511" s="277">
        <v>45806</v>
      </c>
      <c r="C511" s="284" t="s">
        <v>1437</v>
      </c>
      <c r="E511" s="284" t="s">
        <v>2664</v>
      </c>
      <c r="G511" s="279">
        <v>498000</v>
      </c>
      <c r="H511" s="284">
        <v>1</v>
      </c>
      <c r="K511" s="279">
        <v>498000</v>
      </c>
      <c r="M511" t="s">
        <v>2508</v>
      </c>
    </row>
    <row r="512" spans="1:13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  <c r="M512" t="s">
        <v>2508</v>
      </c>
    </row>
    <row r="513" spans="1:13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3">
      <c r="A514" s="287">
        <v>513</v>
      </c>
      <c r="B514" s="277">
        <v>45807</v>
      </c>
      <c r="C514" s="284" t="s">
        <v>2465</v>
      </c>
      <c r="E514" s="284" t="s">
        <v>2466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  <c r="M514" t="s">
        <v>2508</v>
      </c>
    </row>
    <row r="515" spans="1:13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  <c r="M515" t="s">
        <v>2508</v>
      </c>
    </row>
    <row r="516" spans="1:13">
      <c r="A516" s="287">
        <v>515</v>
      </c>
      <c r="B516" s="277">
        <v>45807</v>
      </c>
      <c r="C516" s="284" t="s">
        <v>2599</v>
      </c>
      <c r="E516" s="284" t="s">
        <v>2435</v>
      </c>
      <c r="F516" s="284" t="s">
        <v>2434</v>
      </c>
      <c r="G516" s="279">
        <v>900000</v>
      </c>
      <c r="H516" s="284">
        <v>1</v>
      </c>
      <c r="J516" s="280">
        <v>90000</v>
      </c>
      <c r="K516" s="279">
        <v>990000</v>
      </c>
      <c r="M516" t="s">
        <v>2508</v>
      </c>
    </row>
    <row r="517" spans="1:13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  <c r="M517" t="s">
        <v>2508</v>
      </c>
    </row>
    <row r="518" spans="1:13">
      <c r="A518" s="287">
        <v>517</v>
      </c>
      <c r="B518" s="277">
        <v>45807</v>
      </c>
      <c r="C518" s="284" t="s">
        <v>2195</v>
      </c>
      <c r="E518" s="284" t="s">
        <v>2445</v>
      </c>
      <c r="G518" s="279">
        <v>350000</v>
      </c>
      <c r="H518" s="284">
        <v>1</v>
      </c>
      <c r="K518" s="279">
        <v>350000</v>
      </c>
      <c r="M518" t="s">
        <v>2508</v>
      </c>
    </row>
    <row r="519" spans="1:13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3">
      <c r="A520" s="287">
        <v>520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3">
      <c r="A521" s="287">
        <v>521</v>
      </c>
      <c r="B521" s="277">
        <v>45808</v>
      </c>
      <c r="C521" s="284" t="s">
        <v>1281</v>
      </c>
      <c r="E521" s="284" t="s">
        <v>2452</v>
      </c>
      <c r="G521" s="279">
        <v>150000</v>
      </c>
      <c r="H521" s="284">
        <v>1</v>
      </c>
      <c r="K521" s="279">
        <v>150000</v>
      </c>
      <c r="M521" t="s">
        <v>2508</v>
      </c>
    </row>
    <row r="522" spans="1:13">
      <c r="A522" s="287">
        <v>522</v>
      </c>
      <c r="B522" s="277">
        <v>45808</v>
      </c>
      <c r="C522" s="284" t="s">
        <v>1351</v>
      </c>
      <c r="E522" s="284" t="s">
        <v>2276</v>
      </c>
      <c r="F522" s="284" t="s">
        <v>1510</v>
      </c>
      <c r="G522" s="279">
        <v>1500000</v>
      </c>
      <c r="H522" s="284">
        <v>1</v>
      </c>
      <c r="K522" s="279">
        <v>1500000</v>
      </c>
      <c r="M522" t="s">
        <v>2508</v>
      </c>
    </row>
    <row r="523" spans="1:13">
      <c r="A523" s="287">
        <v>523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3">
      <c r="A524" s="287">
        <v>524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3">
      <c r="A525" s="287">
        <v>525</v>
      </c>
      <c r="B525" s="277">
        <v>45808</v>
      </c>
      <c r="C525" s="284" t="s">
        <v>2463</v>
      </c>
      <c r="E525" s="284" t="s">
        <v>2464</v>
      </c>
      <c r="F525" s="286">
        <v>1068298044</v>
      </c>
      <c r="G525" s="279">
        <v>400000</v>
      </c>
      <c r="H525" s="284">
        <v>1</v>
      </c>
      <c r="K525" s="279">
        <v>400000</v>
      </c>
      <c r="M525" t="s">
        <v>2508</v>
      </c>
    </row>
    <row r="526" spans="1:13">
      <c r="A526" s="287">
        <v>526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3">
      <c r="A527" s="287">
        <v>527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3">
      <c r="A528" s="287">
        <v>528</v>
      </c>
      <c r="B528" s="277">
        <v>45808</v>
      </c>
      <c r="C528" s="284" t="s">
        <v>2440</v>
      </c>
      <c r="E528" s="284" t="s">
        <v>1816</v>
      </c>
      <c r="L528" s="279">
        <v>-220000</v>
      </c>
    </row>
    <row r="529" spans="1:12">
      <c r="A529" s="287">
        <v>529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530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531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532</v>
      </c>
      <c r="B532" s="277">
        <v>45810</v>
      </c>
      <c r="C532" s="284" t="s">
        <v>2475</v>
      </c>
      <c r="E532" s="284" t="s">
        <v>2476</v>
      </c>
      <c r="F532" s="284" t="s">
        <v>2477</v>
      </c>
      <c r="G532" s="279">
        <v>1000000</v>
      </c>
      <c r="H532" s="284">
        <v>1</v>
      </c>
      <c r="K532" s="279">
        <v>1000000</v>
      </c>
    </row>
    <row r="533" spans="1:12">
      <c r="A533" s="287">
        <v>533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534</v>
      </c>
      <c r="B534" s="277">
        <v>45810</v>
      </c>
      <c r="C534" s="284" t="s">
        <v>2397</v>
      </c>
      <c r="E534" s="284" t="s">
        <v>2285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535</v>
      </c>
      <c r="B535" s="277">
        <v>45810</v>
      </c>
      <c r="C535" s="284" t="s">
        <v>2397</v>
      </c>
      <c r="E535" s="284" t="s">
        <v>2288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536</v>
      </c>
      <c r="B536" s="277">
        <v>45810</v>
      </c>
      <c r="C536" s="284" t="s">
        <v>2397</v>
      </c>
      <c r="E536" s="284" t="s">
        <v>1161</v>
      </c>
      <c r="L536" s="279">
        <v>-646000</v>
      </c>
    </row>
    <row r="537" spans="1:12">
      <c r="A537" s="287">
        <v>537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538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539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540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541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542</v>
      </c>
      <c r="B542" s="277">
        <v>45810</v>
      </c>
      <c r="C542" s="284" t="s">
        <v>2360</v>
      </c>
      <c r="E542" s="284" t="s">
        <v>2295</v>
      </c>
      <c r="G542" s="279">
        <v>1500000</v>
      </c>
      <c r="H542" s="284">
        <v>1</v>
      </c>
      <c r="K542" s="279">
        <v>1500000</v>
      </c>
    </row>
    <row r="543" spans="1:12">
      <c r="A543" s="287">
        <v>543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544</v>
      </c>
      <c r="B544" s="277">
        <v>45811</v>
      </c>
      <c r="C544" s="284" t="s">
        <v>2509</v>
      </c>
      <c r="E544" s="284" t="s">
        <v>2510</v>
      </c>
      <c r="G544" s="279">
        <v>700000</v>
      </c>
      <c r="H544" s="284">
        <v>1</v>
      </c>
      <c r="K544" s="279">
        <v>700000</v>
      </c>
    </row>
    <row r="545" spans="1:12">
      <c r="A545" s="287">
        <v>545</v>
      </c>
      <c r="B545" s="277">
        <v>45811</v>
      </c>
      <c r="C545" s="284" t="s">
        <v>1495</v>
      </c>
      <c r="E545" s="284" t="s">
        <v>2481</v>
      </c>
      <c r="G545" s="279">
        <v>200000</v>
      </c>
      <c r="H545" s="284">
        <v>1</v>
      </c>
      <c r="K545" s="279">
        <v>200000</v>
      </c>
    </row>
    <row r="546" spans="1:12">
      <c r="A546" s="287">
        <v>546</v>
      </c>
      <c r="B546" s="277">
        <v>45811</v>
      </c>
      <c r="C546" s="284" t="s">
        <v>2496</v>
      </c>
      <c r="E546" s="284" t="s">
        <v>2492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547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548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549</v>
      </c>
      <c r="B549" s="277">
        <v>45812</v>
      </c>
      <c r="C549" s="284" t="s">
        <v>1647</v>
      </c>
      <c r="E549" s="284" t="s">
        <v>2295</v>
      </c>
      <c r="G549" s="279">
        <v>1500000</v>
      </c>
      <c r="H549" s="284">
        <v>1</v>
      </c>
      <c r="K549" s="279">
        <v>1500000</v>
      </c>
    </row>
    <row r="550" spans="1:12">
      <c r="A550" s="287">
        <v>550</v>
      </c>
      <c r="B550" s="277">
        <v>45812</v>
      </c>
      <c r="C550" s="284" t="s">
        <v>2500</v>
      </c>
      <c r="E550" s="284" t="s">
        <v>2505</v>
      </c>
      <c r="F550" s="284" t="s">
        <v>2506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551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552</v>
      </c>
      <c r="B552" s="277">
        <v>45812</v>
      </c>
      <c r="C552" s="284" t="s">
        <v>2507</v>
      </c>
      <c r="E552" s="284" t="s">
        <v>1161</v>
      </c>
      <c r="L552" s="279">
        <v>-2000000</v>
      </c>
    </row>
    <row r="553" spans="1:12">
      <c r="A553" s="287">
        <v>553</v>
      </c>
      <c r="B553" s="277">
        <v>45812</v>
      </c>
      <c r="C553" s="284" t="s">
        <v>2499</v>
      </c>
      <c r="E553" s="284" t="s">
        <v>1161</v>
      </c>
      <c r="L553" s="279">
        <v>-770000</v>
      </c>
    </row>
    <row r="554" spans="1:12">
      <c r="A554" s="287">
        <v>554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555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556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557</v>
      </c>
      <c r="B557" s="277">
        <v>45812</v>
      </c>
      <c r="C557" s="284" t="s">
        <v>1790</v>
      </c>
      <c r="E557" s="284" t="s">
        <v>2512</v>
      </c>
      <c r="L557" s="279">
        <v>-805000</v>
      </c>
    </row>
    <row r="558" spans="1:12">
      <c r="A558" s="287">
        <v>558</v>
      </c>
      <c r="B558" s="277">
        <v>45813</v>
      </c>
      <c r="C558" s="284" t="s">
        <v>1587</v>
      </c>
      <c r="E558" s="284" t="s">
        <v>2285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559</v>
      </c>
      <c r="B559" s="277">
        <v>45813</v>
      </c>
      <c r="C559" s="284" t="s">
        <v>1587</v>
      </c>
      <c r="E559" s="284" t="s">
        <v>2288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560</v>
      </c>
      <c r="B560" s="277">
        <v>45813</v>
      </c>
      <c r="C560" s="284" t="s">
        <v>1587</v>
      </c>
      <c r="E560" s="284" t="s">
        <v>2286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561</v>
      </c>
      <c r="B561" s="277">
        <v>45813</v>
      </c>
      <c r="C561" s="284" t="s">
        <v>1587</v>
      </c>
      <c r="E561" s="284" t="s">
        <v>2290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562</v>
      </c>
      <c r="B562" s="277">
        <v>45813</v>
      </c>
      <c r="C562" s="284" t="s">
        <v>1587</v>
      </c>
      <c r="E562" s="284" t="s">
        <v>2289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563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564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565</v>
      </c>
      <c r="B565" s="277">
        <v>45813</v>
      </c>
      <c r="C565" s="284" t="s">
        <v>1183</v>
      </c>
      <c r="E565" s="284" t="s">
        <v>2519</v>
      </c>
      <c r="G565" s="279">
        <v>450000</v>
      </c>
      <c r="H565" s="284">
        <v>1</v>
      </c>
      <c r="K565" s="279">
        <v>450000</v>
      </c>
    </row>
    <row r="566" spans="1:12">
      <c r="A566" s="287">
        <v>566</v>
      </c>
      <c r="B566" s="277">
        <v>45813</v>
      </c>
      <c r="C566" s="284" t="s">
        <v>1183</v>
      </c>
      <c r="E566" s="284" t="s">
        <v>2289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567</v>
      </c>
      <c r="B567" s="277">
        <v>45813</v>
      </c>
      <c r="C567" s="284" t="s">
        <v>1183</v>
      </c>
      <c r="E567" s="284" t="s">
        <v>2292</v>
      </c>
      <c r="G567" s="279">
        <v>600000</v>
      </c>
      <c r="H567" s="284">
        <v>1</v>
      </c>
      <c r="K567" s="279">
        <v>600000</v>
      </c>
    </row>
    <row r="568" spans="1:12">
      <c r="A568" s="287">
        <v>568</v>
      </c>
      <c r="B568" s="277">
        <v>45813</v>
      </c>
      <c r="C568" s="284" t="s">
        <v>1183</v>
      </c>
      <c r="E568" s="284" t="s">
        <v>2520</v>
      </c>
      <c r="G568" s="279">
        <v>600000</v>
      </c>
      <c r="H568" s="284">
        <v>1</v>
      </c>
      <c r="K568" s="279">
        <v>600000</v>
      </c>
    </row>
    <row r="569" spans="1:12">
      <c r="A569" s="287">
        <v>569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570</v>
      </c>
      <c r="B570" s="277">
        <v>45813</v>
      </c>
      <c r="C570" s="284" t="s">
        <v>2528</v>
      </c>
      <c r="E570" s="284" t="s">
        <v>2527</v>
      </c>
      <c r="G570" s="279">
        <v>200000</v>
      </c>
      <c r="H570" s="284">
        <v>1</v>
      </c>
      <c r="K570" s="279">
        <v>200000</v>
      </c>
    </row>
    <row r="571" spans="1:12">
      <c r="A571" s="287">
        <v>571</v>
      </c>
      <c r="B571" s="277">
        <v>45814</v>
      </c>
      <c r="C571" s="284" t="s">
        <v>1790</v>
      </c>
      <c r="E571" s="284" t="s">
        <v>2285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572</v>
      </c>
      <c r="B572" s="277">
        <v>45817</v>
      </c>
      <c r="C572" s="284" t="s">
        <v>2552</v>
      </c>
      <c r="E572" s="284" t="s">
        <v>2553</v>
      </c>
      <c r="F572" s="284" t="s">
        <v>2554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573</v>
      </c>
      <c r="B573" s="277">
        <v>45817</v>
      </c>
      <c r="C573" s="284" t="s">
        <v>2559</v>
      </c>
      <c r="E573" s="284" t="s">
        <v>2560</v>
      </c>
      <c r="F573" s="284" t="s">
        <v>2561</v>
      </c>
      <c r="G573" s="279">
        <v>1550000</v>
      </c>
      <c r="H573" s="284">
        <v>1</v>
      </c>
      <c r="K573" s="279">
        <v>1550000</v>
      </c>
    </row>
    <row r="574" spans="1:12">
      <c r="A574" s="287">
        <v>574</v>
      </c>
      <c r="B574" s="277">
        <v>45817</v>
      </c>
      <c r="C574" s="284" t="s">
        <v>2559</v>
      </c>
      <c r="E574" s="284" t="s">
        <v>2562</v>
      </c>
      <c r="F574" s="284" t="s">
        <v>2563</v>
      </c>
      <c r="G574" s="279">
        <v>650000</v>
      </c>
      <c r="H574" s="284">
        <v>1</v>
      </c>
      <c r="K574" s="279">
        <v>650000</v>
      </c>
    </row>
    <row r="575" spans="1:12">
      <c r="A575" s="287">
        <v>575</v>
      </c>
      <c r="B575" s="277">
        <v>45817</v>
      </c>
      <c r="C575" s="284" t="s">
        <v>1183</v>
      </c>
      <c r="E575" s="284" t="s">
        <v>2536</v>
      </c>
      <c r="G575" s="279">
        <v>35000</v>
      </c>
      <c r="H575" s="284">
        <v>1</v>
      </c>
      <c r="K575" s="279">
        <v>35000</v>
      </c>
    </row>
    <row r="576" spans="1:12">
      <c r="A576" s="287">
        <v>576</v>
      </c>
      <c r="B576" s="277">
        <v>45817</v>
      </c>
      <c r="C576" s="284" t="s">
        <v>1183</v>
      </c>
      <c r="E576" s="284" t="s">
        <v>1959</v>
      </c>
      <c r="F576" s="284" t="s">
        <v>2537</v>
      </c>
      <c r="G576" s="279">
        <v>20000</v>
      </c>
      <c r="H576" s="284">
        <v>1</v>
      </c>
      <c r="K576" s="279">
        <v>20000</v>
      </c>
    </row>
    <row r="577" spans="1:12">
      <c r="A577" s="287">
        <v>577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578</v>
      </c>
      <c r="B578" s="277">
        <v>45817</v>
      </c>
      <c r="C578" s="284" t="s">
        <v>1030</v>
      </c>
      <c r="E578" s="284" t="s">
        <v>2541</v>
      </c>
      <c r="G578" s="279">
        <v>1100000</v>
      </c>
      <c r="H578" s="284">
        <v>1</v>
      </c>
      <c r="K578" s="279">
        <v>1100000</v>
      </c>
    </row>
    <row r="579" spans="1:12">
      <c r="A579" s="287">
        <v>579</v>
      </c>
      <c r="B579" s="277">
        <v>45817</v>
      </c>
      <c r="C579" s="284" t="s">
        <v>1490</v>
      </c>
      <c r="E579" s="284" t="s">
        <v>2295</v>
      </c>
      <c r="G579" s="279">
        <v>1500000</v>
      </c>
      <c r="H579" s="284">
        <v>1</v>
      </c>
      <c r="K579" s="279">
        <v>1500000</v>
      </c>
    </row>
    <row r="580" spans="1:12">
      <c r="A580" s="287">
        <v>580</v>
      </c>
      <c r="B580" s="277">
        <v>45817</v>
      </c>
      <c r="C580" s="284" t="s">
        <v>1445</v>
      </c>
      <c r="E580" s="284" t="s">
        <v>2295</v>
      </c>
      <c r="G580" s="279">
        <v>1500000</v>
      </c>
      <c r="H580" s="284">
        <v>1</v>
      </c>
      <c r="K580" s="279">
        <v>1500000</v>
      </c>
    </row>
    <row r="581" spans="1:12">
      <c r="A581" s="287">
        <v>581</v>
      </c>
      <c r="B581" s="277">
        <v>45817</v>
      </c>
      <c r="C581" s="284" t="s">
        <v>1629</v>
      </c>
      <c r="E581" s="284" t="s">
        <v>2285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582</v>
      </c>
      <c r="B582" s="277">
        <v>45817</v>
      </c>
      <c r="C582" s="284" t="s">
        <v>1629</v>
      </c>
      <c r="E582" s="284" t="s">
        <v>2286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583</v>
      </c>
      <c r="B583" s="277">
        <v>45817</v>
      </c>
      <c r="C583" s="284" t="s">
        <v>2564</v>
      </c>
      <c r="E583" s="284" t="s">
        <v>2565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584</v>
      </c>
      <c r="B584" s="277">
        <v>45817</v>
      </c>
      <c r="C584" s="284" t="s">
        <v>1626</v>
      </c>
      <c r="E584" s="284" t="s">
        <v>2546</v>
      </c>
      <c r="H584" s="284">
        <v>1</v>
      </c>
      <c r="K584" s="279">
        <v>0</v>
      </c>
    </row>
    <row r="585" spans="1:12">
      <c r="A585" s="287">
        <v>585</v>
      </c>
      <c r="B585" s="277">
        <v>45817</v>
      </c>
      <c r="C585" s="284" t="s">
        <v>1626</v>
      </c>
      <c r="E585" s="284" t="s">
        <v>2548</v>
      </c>
      <c r="F585" s="284" t="s">
        <v>2547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586</v>
      </c>
      <c r="B586" s="277">
        <v>45817</v>
      </c>
      <c r="C586" s="284" t="s">
        <v>1626</v>
      </c>
      <c r="E586" s="284" t="s">
        <v>2550</v>
      </c>
      <c r="F586" s="284" t="s">
        <v>2549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587</v>
      </c>
      <c r="B587" s="277">
        <v>45817</v>
      </c>
      <c r="C587" s="284" t="s">
        <v>1626</v>
      </c>
      <c r="E587" s="284" t="s">
        <v>2290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588</v>
      </c>
      <c r="B588" s="277">
        <v>45817</v>
      </c>
      <c r="C588" s="284" t="s">
        <v>2533</v>
      </c>
      <c r="E588" s="284" t="s">
        <v>1161</v>
      </c>
      <c r="L588" s="279">
        <v>-2420000</v>
      </c>
    </row>
    <row r="589" spans="1:12">
      <c r="A589" s="287">
        <v>589</v>
      </c>
      <c r="B589" s="277">
        <v>45817</v>
      </c>
      <c r="C589" s="284" t="s">
        <v>1490</v>
      </c>
      <c r="E589" s="284" t="s">
        <v>2555</v>
      </c>
      <c r="L589" s="279">
        <v>-500000</v>
      </c>
    </row>
    <row r="590" spans="1:12">
      <c r="A590" s="287">
        <v>590</v>
      </c>
      <c r="B590" s="277">
        <v>45817</v>
      </c>
      <c r="C590" s="284" t="s">
        <v>1490</v>
      </c>
      <c r="E590" s="284" t="s">
        <v>2556</v>
      </c>
      <c r="L590" s="279">
        <v>-300000</v>
      </c>
    </row>
    <row r="591" spans="1:12">
      <c r="A591" s="287">
        <v>591</v>
      </c>
      <c r="B591" s="277">
        <v>45817</v>
      </c>
      <c r="C591" s="284" t="s">
        <v>1490</v>
      </c>
      <c r="E591" s="284" t="s">
        <v>2557</v>
      </c>
      <c r="L591" s="279">
        <v>-300000</v>
      </c>
    </row>
    <row r="592" spans="1:12">
      <c r="A592" s="287">
        <v>592</v>
      </c>
      <c r="B592" s="277">
        <v>45817</v>
      </c>
      <c r="C592" s="284" t="s">
        <v>1490</v>
      </c>
      <c r="E592" s="284" t="s">
        <v>2558</v>
      </c>
      <c r="L592" s="279">
        <v>-380000</v>
      </c>
    </row>
    <row r="593" spans="1:12">
      <c r="A593" s="287">
        <v>593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594</v>
      </c>
      <c r="B594" s="277">
        <v>45817</v>
      </c>
      <c r="C594" s="284" t="s">
        <v>2360</v>
      </c>
      <c r="E594" s="284" t="s">
        <v>1161</v>
      </c>
      <c r="L594" s="279">
        <v>-1500000</v>
      </c>
    </row>
    <row r="595" spans="1:12">
      <c r="A595" s="287">
        <v>595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596</v>
      </c>
      <c r="B596" s="277">
        <v>45817</v>
      </c>
      <c r="C596" s="284" t="s">
        <v>1445</v>
      </c>
      <c r="E596" s="284" t="s">
        <v>2447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597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598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599</v>
      </c>
      <c r="B599" s="277">
        <v>45818</v>
      </c>
      <c r="C599" s="284" t="s">
        <v>2483</v>
      </c>
      <c r="E599" s="284" t="s">
        <v>2583</v>
      </c>
      <c r="G599" s="279">
        <v>3000000</v>
      </c>
      <c r="H599" s="284">
        <v>1</v>
      </c>
      <c r="K599" s="279">
        <v>3000000</v>
      </c>
    </row>
    <row r="600" spans="1:12">
      <c r="A600" s="287">
        <v>600</v>
      </c>
      <c r="B600" s="277">
        <v>45818</v>
      </c>
      <c r="C600" s="284" t="s">
        <v>1817</v>
      </c>
      <c r="E600" s="284" t="s">
        <v>2288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601</v>
      </c>
      <c r="B601" s="277">
        <v>45818</v>
      </c>
      <c r="C601" s="284" t="s">
        <v>1817</v>
      </c>
      <c r="E601" s="284" t="s">
        <v>2286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602</v>
      </c>
      <c r="B602" s="277">
        <v>45818</v>
      </c>
      <c r="C602" s="284" t="s">
        <v>1445</v>
      </c>
      <c r="E602" s="284" t="s">
        <v>2294</v>
      </c>
      <c r="F602" s="284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603</v>
      </c>
      <c r="B603" s="277">
        <v>45818</v>
      </c>
      <c r="C603" s="284" t="s">
        <v>1351</v>
      </c>
      <c r="E603" s="284" t="s">
        <v>2587</v>
      </c>
      <c r="G603" s="279">
        <v>850000</v>
      </c>
      <c r="H603" s="284">
        <v>1</v>
      </c>
      <c r="K603" s="279">
        <v>850000</v>
      </c>
    </row>
    <row r="604" spans="1:12">
      <c r="A604" s="287">
        <v>604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605</v>
      </c>
      <c r="B605" s="277">
        <v>45818</v>
      </c>
      <c r="C605" s="284" t="s">
        <v>1626</v>
      </c>
      <c r="E605" s="284" t="s">
        <v>2304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606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607</v>
      </c>
      <c r="B607" s="277">
        <v>45818</v>
      </c>
      <c r="C607" s="284" t="s">
        <v>1490</v>
      </c>
      <c r="E607" s="284" t="s">
        <v>2590</v>
      </c>
      <c r="G607" s="279">
        <v>100000</v>
      </c>
      <c r="H607" s="284">
        <v>1</v>
      </c>
      <c r="K607" s="279">
        <v>100000</v>
      </c>
    </row>
    <row r="608" spans="1:12">
      <c r="A608" s="287">
        <v>608</v>
      </c>
      <c r="B608" s="277">
        <v>45818</v>
      </c>
      <c r="C608" s="284" t="s">
        <v>2426</v>
      </c>
      <c r="E608" s="284" t="s">
        <v>2594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609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610</v>
      </c>
      <c r="B610" s="277">
        <v>45818</v>
      </c>
      <c r="C610" s="284" t="s">
        <v>1490</v>
      </c>
      <c r="E610" s="284" t="s">
        <v>2597</v>
      </c>
      <c r="L610" s="279">
        <v>-1200000</v>
      </c>
    </row>
    <row r="611" spans="1:12">
      <c r="A611" s="287">
        <v>611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612</v>
      </c>
      <c r="B612" s="277">
        <v>45818</v>
      </c>
      <c r="C612" s="284" t="s">
        <v>2601</v>
      </c>
      <c r="D612" s="278" t="s">
        <v>1254</v>
      </c>
      <c r="E612" s="284" t="s">
        <v>2602</v>
      </c>
      <c r="F612" s="284" t="s">
        <v>2603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613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614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615</v>
      </c>
      <c r="B615" s="277">
        <v>45819</v>
      </c>
      <c r="C615" s="284" t="s">
        <v>2613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616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617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618</v>
      </c>
      <c r="B618" s="277">
        <v>45819</v>
      </c>
      <c r="C618" s="284" t="s">
        <v>2604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619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620</v>
      </c>
      <c r="B620" s="277">
        <v>45818</v>
      </c>
      <c r="C620" s="284" t="s">
        <v>2483</v>
      </c>
      <c r="E620" s="284" t="s">
        <v>1161</v>
      </c>
      <c r="L620" s="279">
        <v>-3000000</v>
      </c>
    </row>
    <row r="621" spans="1:12">
      <c r="A621" s="287">
        <v>621</v>
      </c>
      <c r="B621" s="277">
        <v>45819</v>
      </c>
      <c r="C621" s="284" t="s">
        <v>2604</v>
      </c>
      <c r="E621" s="284" t="s">
        <v>1161</v>
      </c>
      <c r="L621" s="279">
        <v>-220000</v>
      </c>
    </row>
    <row r="622" spans="1:12">
      <c r="A622" s="287">
        <v>622</v>
      </c>
      <c r="B622" s="277">
        <v>45818</v>
      </c>
      <c r="C622" s="284" t="s">
        <v>2426</v>
      </c>
      <c r="E622" s="284" t="s">
        <v>1161</v>
      </c>
      <c r="L622" s="279">
        <v>-100000</v>
      </c>
    </row>
    <row r="623" spans="1:12">
      <c r="A623" s="61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61">
        <v>623</v>
      </c>
      <c r="B624" s="277">
        <v>45820</v>
      </c>
      <c r="C624" s="284" t="s">
        <v>2621</v>
      </c>
      <c r="E624" s="284" t="s">
        <v>2278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61">
        <v>624</v>
      </c>
      <c r="B625" s="277">
        <v>45820</v>
      </c>
      <c r="C625" s="284" t="s">
        <v>2621</v>
      </c>
      <c r="E625" s="284" t="s">
        <v>2279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61">
        <v>625</v>
      </c>
      <c r="B626" s="277">
        <v>45820</v>
      </c>
      <c r="C626" s="284" t="s">
        <v>1519</v>
      </c>
      <c r="E626" s="284" t="s">
        <v>2295</v>
      </c>
      <c r="G626" s="279">
        <v>1500000</v>
      </c>
      <c r="H626" s="284">
        <v>1</v>
      </c>
      <c r="K626" s="279">
        <v>1500000</v>
      </c>
    </row>
    <row r="627" spans="1:12">
      <c r="A627" s="61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61">
        <v>627</v>
      </c>
      <c r="B628" s="277">
        <v>45820</v>
      </c>
      <c r="C628" s="284" t="s">
        <v>2613</v>
      </c>
      <c r="E628" s="284" t="s">
        <v>1161</v>
      </c>
      <c r="L628" s="279">
        <v>-1320000</v>
      </c>
    </row>
    <row r="629" spans="1:12">
      <c r="A629" s="61">
        <v>628</v>
      </c>
      <c r="B629" s="277">
        <v>45821</v>
      </c>
      <c r="C629" s="284" t="s">
        <v>2245</v>
      </c>
      <c r="E629" s="284" t="s">
        <v>1161</v>
      </c>
      <c r="L629" s="279">
        <v>-900000</v>
      </c>
    </row>
    <row r="630" spans="1:12">
      <c r="A630" s="61">
        <v>629</v>
      </c>
      <c r="B630" s="277">
        <v>45821</v>
      </c>
      <c r="C630" s="284" t="s">
        <v>2624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61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61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61">
        <v>632</v>
      </c>
      <c r="B633" s="277">
        <v>45821</v>
      </c>
      <c r="C633" s="284" t="s">
        <v>1030</v>
      </c>
      <c r="E633" s="284" t="s">
        <v>2289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61">
        <v>633</v>
      </c>
      <c r="B634" s="277">
        <v>45821</v>
      </c>
      <c r="C634" s="284" t="s">
        <v>1030</v>
      </c>
      <c r="E634" s="284" t="s">
        <v>2290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61">
        <v>634</v>
      </c>
      <c r="B635" s="277">
        <v>45821</v>
      </c>
      <c r="C635" s="284" t="s">
        <v>1885</v>
      </c>
      <c r="E635" s="284" t="s">
        <v>2276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61">
        <v>635</v>
      </c>
      <c r="B636" s="277">
        <v>45821</v>
      </c>
      <c r="C636" s="284" t="s">
        <v>2066</v>
      </c>
      <c r="E636" s="284" t="s">
        <v>2284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61">
        <v>636</v>
      </c>
      <c r="B637" s="277">
        <v>45821</v>
      </c>
      <c r="C637" s="284" t="s">
        <v>2634</v>
      </c>
      <c r="E637" s="284" t="s">
        <v>2278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61">
        <v>637</v>
      </c>
      <c r="B638" s="277">
        <v>45821</v>
      </c>
      <c r="C638" s="284" t="s">
        <v>2634</v>
      </c>
      <c r="E638" s="284" t="s">
        <v>2279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61">
        <v>638</v>
      </c>
      <c r="B639" s="277">
        <v>45821</v>
      </c>
      <c r="C639" s="284" t="s">
        <v>1375</v>
      </c>
      <c r="E639" s="284" t="s">
        <v>2865</v>
      </c>
      <c r="G639" s="279">
        <v>480000</v>
      </c>
      <c r="H639" s="284">
        <v>1</v>
      </c>
      <c r="K639" s="279">
        <v>480000</v>
      </c>
    </row>
    <row r="640" spans="1:12">
      <c r="A640" s="61">
        <v>639</v>
      </c>
      <c r="B640" s="277">
        <v>45821</v>
      </c>
      <c r="C640" s="284" t="s">
        <v>1515</v>
      </c>
      <c r="E640" s="284" t="s">
        <v>2638</v>
      </c>
      <c r="G640" s="279">
        <v>150000</v>
      </c>
      <c r="H640" s="284">
        <v>1</v>
      </c>
      <c r="K640" s="279">
        <v>150000</v>
      </c>
    </row>
    <row r="641" spans="1:12">
      <c r="A641" s="61">
        <v>640</v>
      </c>
      <c r="B641" s="277">
        <v>45821</v>
      </c>
      <c r="C641" s="284" t="s">
        <v>1540</v>
      </c>
      <c r="E641" s="284" t="s">
        <v>2405</v>
      </c>
      <c r="G641" s="279">
        <v>650000</v>
      </c>
      <c r="H641" s="284">
        <v>1</v>
      </c>
      <c r="K641" s="279">
        <v>650000</v>
      </c>
    </row>
    <row r="642" spans="1:12">
      <c r="A642" s="61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61">
        <v>642</v>
      </c>
      <c r="B643" s="277">
        <v>45821</v>
      </c>
      <c r="C643" s="284" t="s">
        <v>2634</v>
      </c>
      <c r="E643" s="284" t="s">
        <v>1161</v>
      </c>
      <c r="L643" s="279">
        <v>-1550000</v>
      </c>
    </row>
    <row r="644" spans="1:12">
      <c r="A644" s="61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61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61">
        <v>645</v>
      </c>
      <c r="B646" s="277">
        <v>45822</v>
      </c>
      <c r="C646" s="284" t="s">
        <v>2624</v>
      </c>
      <c r="E646" s="284" t="s">
        <v>1161</v>
      </c>
      <c r="L646" s="279">
        <v>-150000</v>
      </c>
    </row>
    <row r="647" spans="1:12">
      <c r="A647" s="61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61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61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61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61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61">
        <v>651</v>
      </c>
      <c r="B652" s="277">
        <v>45824</v>
      </c>
      <c r="C652" s="284" t="s">
        <v>1030</v>
      </c>
      <c r="E652" s="284" t="s">
        <v>2651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61">
        <v>652</v>
      </c>
      <c r="B653" s="277">
        <v>45824</v>
      </c>
      <c r="C653" s="284" t="s">
        <v>2880</v>
      </c>
      <c r="E653" s="284" t="s">
        <v>2883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61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61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61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61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61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61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61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61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61">
        <v>661</v>
      </c>
      <c r="B662" s="277">
        <v>45825</v>
      </c>
      <c r="C662" s="284" t="s">
        <v>1587</v>
      </c>
      <c r="E662" s="284" t="s">
        <v>2696</v>
      </c>
      <c r="G662" s="279">
        <v>2500000</v>
      </c>
      <c r="H662" s="284">
        <v>1</v>
      </c>
      <c r="K662" s="279">
        <v>2500000</v>
      </c>
    </row>
    <row r="663" spans="1:12">
      <c r="A663" s="61">
        <v>662</v>
      </c>
      <c r="B663" s="277">
        <v>45825</v>
      </c>
      <c r="C663" s="284" t="s">
        <v>1587</v>
      </c>
      <c r="E663" s="284" t="s">
        <v>2698</v>
      </c>
      <c r="L663" s="279">
        <v>-2500000</v>
      </c>
    </row>
    <row r="664" spans="1:12">
      <c r="A664" s="61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61">
        <v>664</v>
      </c>
      <c r="B665" s="277">
        <v>45825</v>
      </c>
      <c r="C665" s="284" t="s">
        <v>2699</v>
      </c>
      <c r="E665" s="284" t="s">
        <v>2276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61">
        <v>665</v>
      </c>
      <c r="B666" s="277">
        <v>45825</v>
      </c>
      <c r="C666" s="284" t="s">
        <v>2699</v>
      </c>
      <c r="E666" s="284" t="s">
        <v>1161</v>
      </c>
      <c r="L666" s="279">
        <v>-1500000</v>
      </c>
    </row>
    <row r="667" spans="1:12">
      <c r="A667" s="61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61">
        <v>667</v>
      </c>
      <c r="B668" s="277">
        <v>45826</v>
      </c>
      <c r="C668" s="284" t="s">
        <v>2880</v>
      </c>
      <c r="E668" s="284" t="s">
        <v>2881</v>
      </c>
      <c r="G668" s="279">
        <v>1350000</v>
      </c>
      <c r="H668" s="284">
        <v>1</v>
      </c>
      <c r="K668" s="279">
        <v>1350000</v>
      </c>
    </row>
    <row r="669" spans="1:12">
      <c r="A669" s="61">
        <v>668</v>
      </c>
      <c r="B669" s="277">
        <v>45826</v>
      </c>
      <c r="C669" s="284" t="s">
        <v>1445</v>
      </c>
      <c r="E669" s="284" t="s">
        <v>2709</v>
      </c>
      <c r="F669" s="284" t="s">
        <v>2708</v>
      </c>
      <c r="G669" s="279">
        <v>1000000</v>
      </c>
      <c r="H669" s="284">
        <v>1</v>
      </c>
      <c r="K669" s="279">
        <v>1000000</v>
      </c>
    </row>
    <row r="670" spans="1:12">
      <c r="A670" s="61">
        <v>669</v>
      </c>
      <c r="B670" s="277">
        <v>45826</v>
      </c>
      <c r="C670" s="284" t="s">
        <v>2843</v>
      </c>
      <c r="E670" s="284" t="s">
        <v>2853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>
        <v>1210000</v>
      </c>
    </row>
    <row r="671" spans="1:12">
      <c r="A671" s="61">
        <v>670</v>
      </c>
      <c r="B671" s="277">
        <v>45826</v>
      </c>
      <c r="C671" s="284" t="s">
        <v>2063</v>
      </c>
      <c r="E671" s="284" t="s">
        <v>2296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61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61">
        <v>672</v>
      </c>
      <c r="B673" s="277">
        <v>45826</v>
      </c>
      <c r="C673" s="284" t="s">
        <v>2063</v>
      </c>
      <c r="E673" s="284" t="s">
        <v>2296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61">
        <v>673</v>
      </c>
      <c r="B674" s="277">
        <v>45826</v>
      </c>
      <c r="C674" s="284" t="s">
        <v>2397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61">
        <v>674</v>
      </c>
      <c r="B675" s="277">
        <v>45826</v>
      </c>
      <c r="C675" s="284" t="s">
        <v>2397</v>
      </c>
      <c r="E675" s="284" t="s">
        <v>1161</v>
      </c>
      <c r="L675" s="279">
        <v>-1100000</v>
      </c>
    </row>
    <row r="676" spans="1:12">
      <c r="A676" s="61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61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61">
        <v>677</v>
      </c>
      <c r="B678" s="277">
        <v>45826</v>
      </c>
      <c r="C678" s="284" t="s">
        <v>1790</v>
      </c>
      <c r="E678" s="284" t="s">
        <v>2437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61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61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61">
        <v>680</v>
      </c>
      <c r="B681" s="277">
        <v>45827</v>
      </c>
      <c r="C681" s="284" t="s">
        <v>2063</v>
      </c>
      <c r="E681" s="284" t="s">
        <v>2304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61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61">
        <v>682</v>
      </c>
      <c r="B683" s="277">
        <v>45827</v>
      </c>
      <c r="C683" s="284" t="s">
        <v>2699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61">
        <v>683</v>
      </c>
      <c r="B684" s="277">
        <v>45827</v>
      </c>
      <c r="C684" s="284" t="s">
        <v>2699</v>
      </c>
      <c r="E684" s="284" t="s">
        <v>1161</v>
      </c>
      <c r="L684" s="279">
        <v>-1320000</v>
      </c>
    </row>
    <row r="685" spans="1:12">
      <c r="A685" s="61">
        <v>684</v>
      </c>
      <c r="B685" s="277">
        <v>45827</v>
      </c>
      <c r="C685" s="284" t="s">
        <v>1445</v>
      </c>
      <c r="E685" s="284" t="s">
        <v>2278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61">
        <v>685</v>
      </c>
      <c r="B686" s="277">
        <v>45827</v>
      </c>
      <c r="C686" s="284" t="s">
        <v>1445</v>
      </c>
      <c r="E686" s="284" t="s">
        <v>2279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61">
        <v>686</v>
      </c>
      <c r="B687" s="277">
        <v>45827</v>
      </c>
      <c r="C687" s="284" t="s">
        <v>1490</v>
      </c>
      <c r="E687" s="284" t="s">
        <v>2276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61">
        <v>687</v>
      </c>
      <c r="B688" s="277">
        <v>45827</v>
      </c>
      <c r="C688" s="284" t="s">
        <v>2819</v>
      </c>
      <c r="E688" s="284" t="s">
        <v>2820</v>
      </c>
      <c r="G688" s="279">
        <v>650000</v>
      </c>
      <c r="H688" s="284">
        <v>1</v>
      </c>
      <c r="K688" s="279">
        <v>650000</v>
      </c>
    </row>
    <row r="689" spans="1:12">
      <c r="A689" s="61">
        <v>688</v>
      </c>
      <c r="B689" s="277">
        <v>45827</v>
      </c>
      <c r="C689" s="284" t="s">
        <v>2533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61">
        <v>689</v>
      </c>
      <c r="B690" s="277">
        <v>45827</v>
      </c>
      <c r="C690" s="284" t="s">
        <v>1626</v>
      </c>
      <c r="E690" s="284" t="s">
        <v>2733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61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61">
        <v>691</v>
      </c>
      <c r="B692" s="277">
        <v>45827</v>
      </c>
      <c r="C692" s="284" t="s">
        <v>1626</v>
      </c>
      <c r="E692" s="284" t="s">
        <v>2207</v>
      </c>
      <c r="F692" s="284" t="s">
        <v>2728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61">
        <v>692</v>
      </c>
      <c r="B693" s="277">
        <v>45827</v>
      </c>
      <c r="C693" s="284" t="s">
        <v>1626</v>
      </c>
      <c r="E693" s="284" t="s">
        <v>2735</v>
      </c>
      <c r="G693" s="279">
        <v>330000</v>
      </c>
      <c r="H693" s="284">
        <v>1</v>
      </c>
      <c r="K693" s="279">
        <v>330000</v>
      </c>
    </row>
    <row r="694" spans="1:12">
      <c r="A694" s="61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61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61">
        <v>695</v>
      </c>
      <c r="B696" s="277">
        <v>45828</v>
      </c>
      <c r="C696" s="284" t="s">
        <v>2761</v>
      </c>
      <c r="E696" s="284" t="s">
        <v>2762</v>
      </c>
      <c r="F696" s="284" t="s">
        <v>2763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61">
        <v>696</v>
      </c>
      <c r="B697" s="277">
        <v>45828</v>
      </c>
      <c r="C697" s="284" t="s">
        <v>2761</v>
      </c>
      <c r="E697" s="284" t="s">
        <v>2764</v>
      </c>
      <c r="F697" s="284" t="s">
        <v>2765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61">
        <v>697</v>
      </c>
      <c r="B698" s="277">
        <v>45828</v>
      </c>
      <c r="C698" s="284" t="s">
        <v>2533</v>
      </c>
      <c r="E698" s="284" t="s">
        <v>1161</v>
      </c>
      <c r="L698" s="279">
        <v>-1650000</v>
      </c>
    </row>
    <row r="699" spans="1:12">
      <c r="A699" s="61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61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61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61">
        <v>701</v>
      </c>
      <c r="B702" s="277">
        <v>45828</v>
      </c>
      <c r="C702" s="284" t="s">
        <v>2839</v>
      </c>
      <c r="E702" s="284" t="s">
        <v>2840</v>
      </c>
      <c r="F702" s="284" t="s">
        <v>2841</v>
      </c>
      <c r="G702" s="279">
        <v>1200000</v>
      </c>
      <c r="H702" s="284">
        <v>1</v>
      </c>
      <c r="K702" s="279">
        <v>1200000</v>
      </c>
    </row>
    <row r="703" spans="1:12">
      <c r="A703" s="61">
        <v>702</v>
      </c>
      <c r="B703" s="277">
        <v>45828</v>
      </c>
      <c r="C703" s="284" t="s">
        <v>2839</v>
      </c>
      <c r="E703" s="284" t="s">
        <v>2842</v>
      </c>
      <c r="G703" s="279">
        <v>350000</v>
      </c>
      <c r="H703" s="284">
        <v>1</v>
      </c>
      <c r="K703" s="279">
        <v>350000</v>
      </c>
    </row>
    <row r="704" spans="1:12">
      <c r="A704" s="61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61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61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61">
        <v>706</v>
      </c>
      <c r="B707" s="277">
        <v>45828</v>
      </c>
      <c r="C707" s="284" t="s">
        <v>2749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61">
        <v>707</v>
      </c>
      <c r="B708" s="277">
        <v>45828</v>
      </c>
      <c r="C708" s="284" t="s">
        <v>2749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61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61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61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61">
        <v>711</v>
      </c>
      <c r="B712" s="277">
        <v>45828</v>
      </c>
      <c r="C712" s="284" t="s">
        <v>2759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61">
        <v>712</v>
      </c>
      <c r="B713" s="277">
        <v>45828</v>
      </c>
      <c r="C713" s="284" t="s">
        <v>2759</v>
      </c>
      <c r="E713" s="284" t="s">
        <v>1816</v>
      </c>
      <c r="L713" s="279">
        <v>-200000</v>
      </c>
    </row>
    <row r="714" spans="1:12">
      <c r="A714" s="61">
        <v>713</v>
      </c>
      <c r="B714" s="277">
        <v>45829</v>
      </c>
      <c r="C714" s="284" t="s">
        <v>2744</v>
      </c>
      <c r="E714" s="284" t="s">
        <v>1161</v>
      </c>
      <c r="L714" s="279">
        <v>-1705000</v>
      </c>
    </row>
    <row r="715" spans="1:12">
      <c r="A715" s="61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61">
        <v>715</v>
      </c>
      <c r="B716" s="277">
        <v>45829</v>
      </c>
      <c r="C716" s="284" t="s">
        <v>2846</v>
      </c>
      <c r="E716" s="284" t="s">
        <v>2847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61">
        <v>716</v>
      </c>
      <c r="B717" s="277">
        <v>45829</v>
      </c>
      <c r="C717" s="284" t="s">
        <v>1790</v>
      </c>
      <c r="E717" s="284" t="s">
        <v>2771</v>
      </c>
      <c r="F717" s="284" t="s">
        <v>2770</v>
      </c>
      <c r="G717" s="279">
        <v>1500000</v>
      </c>
      <c r="H717" s="284">
        <v>1</v>
      </c>
      <c r="K717" s="279">
        <v>1500000</v>
      </c>
    </row>
    <row r="718" spans="1:12">
      <c r="A718" s="61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61">
        <v>718</v>
      </c>
      <c r="B719" s="277">
        <v>45831</v>
      </c>
      <c r="C719" s="284" t="s">
        <v>2749</v>
      </c>
      <c r="E719" s="284" t="s">
        <v>1161</v>
      </c>
      <c r="L719" s="279">
        <v>-1320000</v>
      </c>
    </row>
    <row r="720" spans="1:12">
      <c r="A720" s="61">
        <v>719</v>
      </c>
      <c r="B720" s="277">
        <v>45831</v>
      </c>
      <c r="C720" s="284" t="s">
        <v>2773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2">
      <c r="A721" s="61">
        <v>720</v>
      </c>
      <c r="B721" s="277">
        <v>45831</v>
      </c>
      <c r="C721" s="284" t="s">
        <v>2773</v>
      </c>
      <c r="E721" s="284" t="s">
        <v>1161</v>
      </c>
      <c r="L721" s="279">
        <v>-600000</v>
      </c>
    </row>
    <row r="722" spans="1:12">
      <c r="A722" s="61">
        <v>721</v>
      </c>
      <c r="B722" s="277">
        <v>45831</v>
      </c>
      <c r="C722" s="284" t="s">
        <v>2780</v>
      </c>
      <c r="E722" s="284" t="s">
        <v>2779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2">
      <c r="A723" s="61">
        <v>722</v>
      </c>
      <c r="B723" s="277">
        <v>45831</v>
      </c>
      <c r="C723" s="284" t="s">
        <v>2814</v>
      </c>
      <c r="E723" s="284" t="s">
        <v>2815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2">
      <c r="A724" s="61">
        <v>723</v>
      </c>
      <c r="B724" s="277">
        <v>45831</v>
      </c>
      <c r="C724" s="284" t="s">
        <v>1490</v>
      </c>
      <c r="E724" s="284" t="s">
        <v>2782</v>
      </c>
      <c r="L724" s="279">
        <v>-300000</v>
      </c>
    </row>
    <row r="725" spans="1:12">
      <c r="A725" s="61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2">
      <c r="A726" s="61">
        <v>725</v>
      </c>
      <c r="B726" s="277">
        <v>45832</v>
      </c>
      <c r="C726" s="284" t="s">
        <v>1183</v>
      </c>
      <c r="E726" s="284" t="s">
        <v>2786</v>
      </c>
    </row>
    <row r="727" spans="1:12">
      <c r="A727" s="61">
        <v>726</v>
      </c>
      <c r="B727" s="277">
        <v>45832</v>
      </c>
      <c r="C727" s="284" t="s">
        <v>1629</v>
      </c>
      <c r="E727" s="284" t="s">
        <v>2278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2">
      <c r="A728" s="61">
        <v>727</v>
      </c>
      <c r="B728" s="277">
        <v>45832</v>
      </c>
      <c r="C728" s="284" t="s">
        <v>1629</v>
      </c>
      <c r="E728" s="284" t="s">
        <v>2279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2">
      <c r="A729" s="61">
        <v>728</v>
      </c>
      <c r="B729" s="277">
        <v>45832</v>
      </c>
      <c r="C729" s="284" t="s">
        <v>2843</v>
      </c>
      <c r="E729" s="284" t="s">
        <v>2840</v>
      </c>
      <c r="F729" s="284" t="s">
        <v>2841</v>
      </c>
      <c r="G729" s="279">
        <v>1200000</v>
      </c>
      <c r="H729" s="284">
        <v>1</v>
      </c>
      <c r="J729" s="280">
        <v>120000</v>
      </c>
      <c r="K729" s="279">
        <v>1320000</v>
      </c>
    </row>
    <row r="730" spans="1:12">
      <c r="A730" s="61">
        <v>729</v>
      </c>
      <c r="B730" s="277">
        <v>45832</v>
      </c>
      <c r="C730" s="284" t="s">
        <v>2843</v>
      </c>
      <c r="E730" s="284" t="s">
        <v>2844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2">
      <c r="A731" s="61">
        <v>730</v>
      </c>
      <c r="B731" s="277">
        <v>45832</v>
      </c>
      <c r="C731" s="284" t="s">
        <v>2789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2">
      <c r="A732" s="61">
        <v>731</v>
      </c>
      <c r="B732" s="277">
        <v>45832</v>
      </c>
      <c r="C732" s="284" t="s">
        <v>1790</v>
      </c>
      <c r="E732" s="284" t="s">
        <v>2284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2">
      <c r="A733" s="61">
        <v>732</v>
      </c>
      <c r="B733" s="277">
        <v>45832</v>
      </c>
      <c r="C733" s="284" t="s">
        <v>1587</v>
      </c>
      <c r="E733" s="284" t="s">
        <v>2279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2">
      <c r="A734" s="61">
        <v>733</v>
      </c>
      <c r="B734" s="277">
        <v>45833</v>
      </c>
      <c r="C734" s="284" t="s">
        <v>1060</v>
      </c>
      <c r="E734" s="284" t="s">
        <v>2278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2">
      <c r="A735" s="61">
        <v>734</v>
      </c>
      <c r="B735" s="277">
        <v>45833</v>
      </c>
      <c r="C735" s="284" t="s">
        <v>1060</v>
      </c>
      <c r="E735" s="284" t="s">
        <v>2279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2">
      <c r="A736" s="61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61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61">
        <v>737</v>
      </c>
      <c r="B738" s="277">
        <v>45833</v>
      </c>
      <c r="C738" s="284" t="s">
        <v>2812</v>
      </c>
      <c r="E738" s="284" t="s">
        <v>2813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61">
        <v>738</v>
      </c>
      <c r="B739" s="277">
        <v>45833</v>
      </c>
      <c r="C739" s="284" t="s">
        <v>2801</v>
      </c>
      <c r="E739" s="284" t="s">
        <v>2405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61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61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61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61">
        <v>742</v>
      </c>
      <c r="B743" s="277">
        <v>45833</v>
      </c>
      <c r="C743" s="284" t="s">
        <v>2801</v>
      </c>
      <c r="E743" s="284" t="s">
        <v>1161</v>
      </c>
      <c r="L743" s="279">
        <v>-1320000</v>
      </c>
    </row>
    <row r="744" spans="1:12">
      <c r="A744" s="61">
        <v>743</v>
      </c>
      <c r="B744" s="277">
        <v>45832</v>
      </c>
      <c r="C744" s="284" t="s">
        <v>2789</v>
      </c>
      <c r="E744" s="284" t="s">
        <v>1161</v>
      </c>
      <c r="L744" s="279">
        <v>-385000</v>
      </c>
    </row>
    <row r="745" spans="1:12">
      <c r="A745" s="61">
        <v>744</v>
      </c>
      <c r="B745" s="277">
        <v>45833</v>
      </c>
      <c r="C745" s="284" t="s">
        <v>2832</v>
      </c>
      <c r="E745" s="284" t="s">
        <v>2834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61">
        <v>745</v>
      </c>
      <c r="B746" s="277">
        <v>45821</v>
      </c>
      <c r="C746" s="284" t="s">
        <v>2826</v>
      </c>
      <c r="E746" s="284" t="s">
        <v>2827</v>
      </c>
      <c r="F746" s="284" t="s">
        <v>2828</v>
      </c>
      <c r="G746" s="279">
        <v>10000</v>
      </c>
      <c r="H746" s="284">
        <v>2</v>
      </c>
      <c r="K746" s="279">
        <v>20000</v>
      </c>
    </row>
    <row r="747" spans="1:12">
      <c r="A747" s="61">
        <v>746</v>
      </c>
      <c r="B747" s="277">
        <v>45834</v>
      </c>
      <c r="C747" s="284" t="s">
        <v>1790</v>
      </c>
      <c r="E747" s="284" t="s">
        <v>2829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61">
        <v>747</v>
      </c>
      <c r="B748" s="277">
        <v>45834</v>
      </c>
      <c r="C748" s="284" t="s">
        <v>1445</v>
      </c>
      <c r="E748" s="284" t="s">
        <v>2278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61">
        <v>748</v>
      </c>
      <c r="B749" s="277">
        <v>45834</v>
      </c>
      <c r="C749" s="284" t="s">
        <v>1445</v>
      </c>
      <c r="E749" s="284" t="s">
        <v>2279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61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61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61">
        <v>751</v>
      </c>
      <c r="B752" s="277">
        <v>45834</v>
      </c>
      <c r="C752" s="284" t="s">
        <v>2836</v>
      </c>
      <c r="E752" s="284" t="s">
        <v>2838</v>
      </c>
      <c r="G752" s="279">
        <v>25000</v>
      </c>
      <c r="H752" s="284">
        <v>1</v>
      </c>
      <c r="K752" s="279">
        <v>25000</v>
      </c>
    </row>
    <row r="753" spans="1:12">
      <c r="A753" s="61">
        <v>752</v>
      </c>
      <c r="B753" s="277">
        <v>45834</v>
      </c>
      <c r="C753" s="284" t="s">
        <v>1027</v>
      </c>
      <c r="E753" s="284" t="s">
        <v>2845</v>
      </c>
      <c r="L753" s="279">
        <v>-1550000</v>
      </c>
    </row>
    <row r="754" spans="1:12">
      <c r="A754" s="61">
        <v>753</v>
      </c>
      <c r="B754" s="277">
        <v>45834</v>
      </c>
      <c r="C754" s="284" t="s">
        <v>2640</v>
      </c>
      <c r="E754" s="284" t="s">
        <v>1161</v>
      </c>
      <c r="L754" s="279">
        <v>-330000</v>
      </c>
    </row>
    <row r="755" spans="1:12">
      <c r="A755" s="61">
        <v>754</v>
      </c>
      <c r="B755" s="277">
        <v>45834</v>
      </c>
      <c r="C755" s="284" t="s">
        <v>2613</v>
      </c>
      <c r="E755" s="284" t="s">
        <v>1161</v>
      </c>
      <c r="L755" s="279">
        <v>-2671900</v>
      </c>
    </row>
    <row r="756" spans="1:12">
      <c r="A756" s="61">
        <v>755</v>
      </c>
      <c r="B756" s="277">
        <v>45834</v>
      </c>
      <c r="C756" s="284" t="s">
        <v>1445</v>
      </c>
      <c r="E756" s="284" t="s">
        <v>2395</v>
      </c>
      <c r="G756" s="279">
        <v>1100000</v>
      </c>
      <c r="H756" s="284">
        <v>1</v>
      </c>
      <c r="K756" s="279">
        <v>1100000</v>
      </c>
    </row>
    <row r="757" spans="1:12">
      <c r="A757" s="61">
        <v>756</v>
      </c>
      <c r="B757" s="277">
        <v>45834</v>
      </c>
      <c r="C757" s="284" t="s">
        <v>1069</v>
      </c>
      <c r="E757" s="284" t="s">
        <v>2301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61">
        <v>757</v>
      </c>
      <c r="B758" s="277">
        <v>45834</v>
      </c>
      <c r="C758" s="284" t="s">
        <v>1069</v>
      </c>
      <c r="E758" s="284" t="s">
        <v>2279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61">
        <v>758</v>
      </c>
      <c r="B759" s="277">
        <v>45834</v>
      </c>
      <c r="C759" s="284" t="s">
        <v>1069</v>
      </c>
      <c r="E759" s="284" t="s">
        <v>2856</v>
      </c>
      <c r="G759" s="279">
        <v>150000</v>
      </c>
      <c r="H759" s="284">
        <v>1</v>
      </c>
      <c r="K759" s="279">
        <v>150000</v>
      </c>
    </row>
    <row r="760" spans="1:12">
      <c r="A760" s="61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61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61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61">
        <v>762</v>
      </c>
      <c r="B763" s="277">
        <v>45835</v>
      </c>
      <c r="C763" s="284" t="s">
        <v>1069</v>
      </c>
      <c r="E763" s="284" t="s">
        <v>2278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61">
        <v>763</v>
      </c>
      <c r="B764" s="277">
        <v>45835</v>
      </c>
      <c r="C764" s="284" t="s">
        <v>1069</v>
      </c>
      <c r="E764" s="284" t="s">
        <v>2279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61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61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61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61">
        <v>767</v>
      </c>
      <c r="B768" s="277">
        <v>45835</v>
      </c>
      <c r="C768" s="284" t="s">
        <v>1790</v>
      </c>
      <c r="E768" s="284" t="s">
        <v>1607</v>
      </c>
      <c r="F768" s="284" t="s">
        <v>2875</v>
      </c>
      <c r="G768" s="279">
        <v>1600000</v>
      </c>
      <c r="H768" s="284">
        <v>1</v>
      </c>
      <c r="K768" s="279">
        <v>1600000</v>
      </c>
    </row>
    <row r="769" spans="1:12">
      <c r="A769" s="61">
        <v>768</v>
      </c>
      <c r="B769" s="277">
        <v>45835</v>
      </c>
      <c r="C769" s="284" t="s">
        <v>1519</v>
      </c>
      <c r="E769" s="284" t="s">
        <v>2295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61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46"/>
  <sheetViews>
    <sheetView workbookViewId="0">
      <selection activeCell="G23" sqref="G2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45835</v>
      </c>
      <c r="B3" s="247" t="s">
        <v>1162</v>
      </c>
      <c r="C3" s="248">
        <f>SUMIF($B:$B,A3,I:I)</f>
        <v>6770000</v>
      </c>
      <c r="D3" s="249" t="s">
        <v>1148</v>
      </c>
      <c r="E3" s="248">
        <f ca="1">SUMIF($B:$B,TODAY(),E:E)</f>
        <v>0</v>
      </c>
      <c r="F3" s="259" t="s">
        <v>2660</v>
      </c>
      <c r="G3" s="248">
        <f>SUMIF($D:$D,"*schaeffler*",I:I)</f>
        <v>1435000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120915401</v>
      </c>
      <c r="D4" s="250"/>
      <c r="E4" s="254"/>
      <c r="F4" s="259" t="s">
        <v>2661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120915401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1525</v>
      </c>
      <c r="D9" s="124" t="s">
        <v>1816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1351</v>
      </c>
      <c r="D10" s="124" t="s">
        <v>1161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997</v>
      </c>
      <c r="D11" s="124" t="s">
        <v>1241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1587</v>
      </c>
      <c r="D12" s="124" t="s">
        <v>1310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2397</v>
      </c>
      <c r="D13" s="124" t="s">
        <v>2285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2397</v>
      </c>
      <c r="D14" s="124" t="s">
        <v>2288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2397</v>
      </c>
      <c r="D15" s="124" t="s">
        <v>1161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1502</v>
      </c>
      <c r="D16" s="125" t="s">
        <v>1785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1445</v>
      </c>
      <c r="D17" s="124" t="s">
        <v>1161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1587</v>
      </c>
      <c r="D18" s="124" t="s">
        <v>1241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1587</v>
      </c>
      <c r="D19" s="124" t="s">
        <v>1542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1587</v>
      </c>
      <c r="D20" s="124" t="s">
        <v>1770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2360</v>
      </c>
      <c r="D21" s="124" t="s">
        <v>2295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997</v>
      </c>
      <c r="D22" s="124" t="s">
        <v>1161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1645</v>
      </c>
      <c r="D23" s="124" t="s">
        <v>2769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1495</v>
      </c>
      <c r="D24" s="124" t="s">
        <v>2481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2507</v>
      </c>
      <c r="D25" s="124" t="s">
        <v>1581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1495</v>
      </c>
      <c r="D26" s="124" t="s">
        <v>1161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1027</v>
      </c>
      <c r="D27" s="124" t="s">
        <v>1161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1647</v>
      </c>
      <c r="D28" s="124" t="s">
        <v>2295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2499</v>
      </c>
      <c r="D29" s="124" t="s">
        <v>2503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1502</v>
      </c>
      <c r="D30" s="124" t="s">
        <v>1161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2507</v>
      </c>
      <c r="D31" s="124" t="s">
        <v>1161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2499</v>
      </c>
      <c r="D32" s="124" t="s">
        <v>1161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1629</v>
      </c>
      <c r="D33" s="124" t="s">
        <v>1581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1629</v>
      </c>
      <c r="D34" s="125" t="s">
        <v>1595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1790</v>
      </c>
      <c r="D35" s="125" t="s">
        <v>1161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1790</v>
      </c>
      <c r="D36" s="125" t="s">
        <v>2512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1587</v>
      </c>
      <c r="D37" s="125" t="s">
        <v>2285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1587</v>
      </c>
      <c r="D38" s="125" t="s">
        <v>2288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1587</v>
      </c>
      <c r="D39" s="125" t="s">
        <v>2286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1587</v>
      </c>
      <c r="D40" s="125" t="s">
        <v>2290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1587</v>
      </c>
      <c r="D41" s="125" t="s">
        <v>2289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1647</v>
      </c>
      <c r="D42" s="124" t="s">
        <v>1161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1502</v>
      </c>
      <c r="D43" s="124" t="s">
        <v>1785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1183</v>
      </c>
      <c r="D44" s="124" t="s">
        <v>2519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1183</v>
      </c>
      <c r="D45" s="124" t="s">
        <v>2289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1183</v>
      </c>
      <c r="D46" s="124" t="s">
        <v>2292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1183</v>
      </c>
      <c r="D47" s="125" t="s">
        <v>2520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1629</v>
      </c>
      <c r="D48" s="125" t="s">
        <v>1161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2528</v>
      </c>
      <c r="D49" s="125" t="s">
        <v>2527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1790</v>
      </c>
      <c r="D50" s="125" t="s">
        <v>2285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2533</v>
      </c>
      <c r="D51" s="125" t="s">
        <v>2277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997</v>
      </c>
      <c r="D52" s="125" t="s">
        <v>2278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997</v>
      </c>
      <c r="D53" s="125" t="s">
        <v>2001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1183</v>
      </c>
      <c r="D54" s="125" t="s">
        <v>2536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1183</v>
      </c>
      <c r="D55" s="125" t="s">
        <v>1959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1790</v>
      </c>
      <c r="D56" s="125" t="s">
        <v>1813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1030</v>
      </c>
      <c r="D57" s="125" t="s">
        <v>2541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1490</v>
      </c>
      <c r="D58" s="125" t="s">
        <v>2295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1445</v>
      </c>
      <c r="D59" s="125" t="s">
        <v>2295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1629</v>
      </c>
      <c r="D60" s="125" t="s">
        <v>2285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1629</v>
      </c>
      <c r="D61" s="125" t="s">
        <v>2286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1626</v>
      </c>
      <c r="D62" s="125" t="s">
        <v>2292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1626</v>
      </c>
      <c r="D63" s="125" t="s">
        <v>2546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1626</v>
      </c>
      <c r="D64" s="125" t="s">
        <v>2548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1626</v>
      </c>
      <c r="D65" s="125" t="s">
        <v>2550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1626</v>
      </c>
      <c r="D66" s="125" t="s">
        <v>2290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2533</v>
      </c>
      <c r="D67" s="125" t="s">
        <v>1161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1490</v>
      </c>
      <c r="D68" s="125" t="s">
        <v>2555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1490</v>
      </c>
      <c r="D69" s="125" t="s">
        <v>2556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1490</v>
      </c>
      <c r="D70" s="125" t="s">
        <v>2557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1490</v>
      </c>
      <c r="D71" s="125" t="s">
        <v>2558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997</v>
      </c>
      <c r="D72" s="125" t="s">
        <v>1161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2360</v>
      </c>
      <c r="D73" s="125" t="s">
        <v>1161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1445</v>
      </c>
      <c r="D74" s="125" t="s">
        <v>2447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2195</v>
      </c>
      <c r="D75" s="125" t="s">
        <v>1161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1645</v>
      </c>
      <c r="D76" s="125" t="s">
        <v>1161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2483</v>
      </c>
      <c r="D77" s="125" t="s">
        <v>2583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1817</v>
      </c>
      <c r="D78" s="125" t="s">
        <v>2288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1817</v>
      </c>
      <c r="D79" s="125" t="s">
        <v>2286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1445</v>
      </c>
      <c r="D80" s="125" t="s">
        <v>2294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1351</v>
      </c>
      <c r="D81" s="125" t="s">
        <v>2587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1351</v>
      </c>
      <c r="D82" s="125" t="s">
        <v>2198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1626</v>
      </c>
      <c r="D83" s="125" t="s">
        <v>2304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1626</v>
      </c>
      <c r="D84" s="125" t="s">
        <v>1565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1490</v>
      </c>
      <c r="D85" s="125" t="s">
        <v>2590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2426</v>
      </c>
      <c r="D86" s="125" t="s">
        <v>2594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1979</v>
      </c>
      <c r="D87" s="125" t="s">
        <v>1241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1490</v>
      </c>
      <c r="D88" s="125" t="s">
        <v>2597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1502</v>
      </c>
      <c r="D89" s="125" t="s">
        <v>1161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2768</v>
      </c>
      <c r="D90" s="125" t="s">
        <v>2276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1351</v>
      </c>
      <c r="D91" s="125" t="s">
        <v>1161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1030</v>
      </c>
      <c r="D92" s="125" t="s">
        <v>1161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2613</v>
      </c>
      <c r="D93" s="125" t="s">
        <v>1241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1498</v>
      </c>
      <c r="D94" s="125" t="s">
        <v>1243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1418</v>
      </c>
      <c r="D95" s="125" t="s">
        <v>1805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2604</v>
      </c>
      <c r="D96" s="125" t="s">
        <v>1785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1495</v>
      </c>
      <c r="D97" s="125" t="s">
        <v>1241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2483</v>
      </c>
      <c r="D98" s="125" t="s">
        <v>1161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2604</v>
      </c>
      <c r="D99" s="125" t="s">
        <v>1161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2426</v>
      </c>
      <c r="D100" s="125" t="s">
        <v>1161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1495</v>
      </c>
      <c r="D101" s="125" t="s">
        <v>1161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1060</v>
      </c>
      <c r="D102" s="125" t="s">
        <v>2278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1060</v>
      </c>
      <c r="D103" s="125" t="s">
        <v>2279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1519</v>
      </c>
      <c r="D104" s="125" t="s">
        <v>2295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1525</v>
      </c>
      <c r="D105" s="125" t="s">
        <v>1243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2613</v>
      </c>
      <c r="D106" s="125" t="s">
        <v>1161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2245</v>
      </c>
      <c r="D107" s="125" t="s">
        <v>1161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2624</v>
      </c>
      <c r="D108" s="125" t="s">
        <v>1785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1979</v>
      </c>
      <c r="D109" s="125" t="s">
        <v>1161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1030</v>
      </c>
      <c r="D110" s="125" t="s">
        <v>2289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1030</v>
      </c>
      <c r="D111" s="125" t="s">
        <v>2290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1885</v>
      </c>
      <c r="D112" s="125" t="s">
        <v>2276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2066</v>
      </c>
      <c r="D113" s="125" t="s">
        <v>2284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2634</v>
      </c>
      <c r="D114" s="125" t="s">
        <v>2278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2634</v>
      </c>
      <c r="D115" s="125" t="s">
        <v>2279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1515</v>
      </c>
      <c r="D116" s="125" t="s">
        <v>2864</v>
      </c>
      <c r="F116" s="88">
        <v>480000</v>
      </c>
      <c r="G116" s="132">
        <v>1</v>
      </c>
      <c r="I116" s="88">
        <v>480000</v>
      </c>
      <c r="L116" s="132"/>
    </row>
    <row r="117" spans="1:14" ht="18" customHeight="1">
      <c r="A117" s="90">
        <v>639</v>
      </c>
      <c r="B117" s="102">
        <v>45821</v>
      </c>
      <c r="C117" s="91" t="s">
        <v>1515</v>
      </c>
      <c r="D117" s="125" t="s">
        <v>2638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1540</v>
      </c>
      <c r="D118" s="125" t="s">
        <v>2405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1540</v>
      </c>
      <c r="D119" s="125" t="s">
        <v>1542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2634</v>
      </c>
      <c r="D120" s="125" t="s">
        <v>1161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2066</v>
      </c>
      <c r="D121" s="125" t="s">
        <v>1161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1445</v>
      </c>
      <c r="D122" s="125" t="s">
        <v>1813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2624</v>
      </c>
      <c r="D123" s="125" t="s">
        <v>1161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1587</v>
      </c>
      <c r="D124" s="125" t="s">
        <v>1813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1060</v>
      </c>
      <c r="D125" s="125" t="s">
        <v>1161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1500</v>
      </c>
      <c r="D126" s="125" t="s">
        <v>2222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1540</v>
      </c>
      <c r="D127" s="125" t="s">
        <v>1161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1030</v>
      </c>
      <c r="D128" s="125" t="s">
        <v>1607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1030</v>
      </c>
      <c r="D129" s="125" t="s">
        <v>2651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1030</v>
      </c>
      <c r="D130" s="125" t="s">
        <v>2882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1030</v>
      </c>
      <c r="D131" s="125" t="s">
        <v>1806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1445</v>
      </c>
      <c r="D132" s="125" t="s">
        <v>1813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1515</v>
      </c>
      <c r="D133" s="125" t="s">
        <v>1161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1525</v>
      </c>
      <c r="D134" s="125" t="s">
        <v>1161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1424</v>
      </c>
      <c r="D135" s="125" t="s">
        <v>1241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1424</v>
      </c>
      <c r="D136" s="125" t="s">
        <v>1542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1424</v>
      </c>
      <c r="D137" s="125" t="s">
        <v>1565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1424</v>
      </c>
      <c r="D138" s="125" t="s">
        <v>1161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1587</v>
      </c>
      <c r="D139" s="125" t="s">
        <v>2696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1587</v>
      </c>
      <c r="D140" s="125" t="s">
        <v>2698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1445</v>
      </c>
      <c r="D141" s="125" t="s">
        <v>1813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2699</v>
      </c>
      <c r="D142" s="125" t="s">
        <v>2276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2699</v>
      </c>
      <c r="D143" s="125" t="s">
        <v>1161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1498</v>
      </c>
      <c r="D144" s="125" t="s">
        <v>1161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1030</v>
      </c>
      <c r="D145" s="125" t="s">
        <v>1814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1445</v>
      </c>
      <c r="D146" s="125" t="s">
        <v>2709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2613</v>
      </c>
      <c r="D147" s="125" t="s">
        <v>2713</v>
      </c>
      <c r="F147" s="132">
        <v>550000</v>
      </c>
      <c r="G147" s="93">
        <v>2</v>
      </c>
      <c r="H147" s="138">
        <v>110000</v>
      </c>
      <c r="I147" s="88">
        <v>1210000</v>
      </c>
    </row>
    <row r="148" spans="1:10" ht="18" customHeight="1">
      <c r="A148" s="90">
        <v>670</v>
      </c>
      <c r="B148" s="102">
        <v>45826</v>
      </c>
      <c r="C148" s="91" t="s">
        <v>2063</v>
      </c>
      <c r="D148" s="125" t="s">
        <v>2296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2063</v>
      </c>
      <c r="D149" s="125" t="s">
        <v>1565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2063</v>
      </c>
      <c r="D150" s="125" t="s">
        <v>2296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2397</v>
      </c>
      <c r="D151" s="125" t="s">
        <v>2123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2397</v>
      </c>
      <c r="D152" s="125" t="s">
        <v>1161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1500</v>
      </c>
      <c r="D153" s="125" t="s">
        <v>1161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2063</v>
      </c>
      <c r="D154" s="125" t="s">
        <v>1161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1790</v>
      </c>
      <c r="D155" s="125" t="s">
        <v>2437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1445</v>
      </c>
      <c r="D156" s="125" t="s">
        <v>1241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1445</v>
      </c>
      <c r="D157" s="125" t="s">
        <v>1935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2063</v>
      </c>
      <c r="D158" s="125" t="s">
        <v>2304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1495</v>
      </c>
      <c r="D159" s="125" t="s">
        <v>1241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2699</v>
      </c>
      <c r="D160" s="125" t="s">
        <v>1241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2699</v>
      </c>
      <c r="D161" s="125" t="s">
        <v>1161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1445</v>
      </c>
      <c r="D162" s="125" t="s">
        <v>2278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1445</v>
      </c>
      <c r="D163" s="125" t="s">
        <v>2279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1490</v>
      </c>
      <c r="D164" s="125" t="s">
        <v>2276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1790</v>
      </c>
      <c r="D165" s="125" t="s">
        <v>1813</v>
      </c>
      <c r="F165" s="132">
        <v>650000</v>
      </c>
      <c r="G165" s="93">
        <v>1</v>
      </c>
      <c r="I165" s="88">
        <v>650000</v>
      </c>
    </row>
    <row r="166" spans="1:10" ht="18" customHeight="1">
      <c r="A166" s="90">
        <v>688</v>
      </c>
      <c r="B166" s="102">
        <v>45827</v>
      </c>
      <c r="C166" s="91" t="s">
        <v>2533</v>
      </c>
      <c r="D166" s="125" t="s">
        <v>2113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1626</v>
      </c>
      <c r="D167" s="125" t="s">
        <v>2733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1626</v>
      </c>
      <c r="D168" s="125" t="s">
        <v>1831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1626</v>
      </c>
      <c r="D169" s="125" t="s">
        <v>2207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1626</v>
      </c>
      <c r="D170" s="125" t="s">
        <v>2735</v>
      </c>
      <c r="F170" s="132">
        <v>330000</v>
      </c>
      <c r="G170" s="93">
        <v>1</v>
      </c>
      <c r="I170" s="88">
        <v>330000</v>
      </c>
    </row>
    <row r="171" spans="1:10" ht="18" customHeight="1">
      <c r="A171" s="90">
        <v>693</v>
      </c>
      <c r="B171" s="102">
        <v>45827</v>
      </c>
      <c r="C171" s="91" t="s">
        <v>2063</v>
      </c>
      <c r="D171" s="125" t="s">
        <v>1161</v>
      </c>
      <c r="J171" s="88">
        <v>-1650000</v>
      </c>
    </row>
    <row r="172" spans="1:10" ht="18" customHeight="1">
      <c r="A172" s="90">
        <v>694</v>
      </c>
      <c r="B172" s="102">
        <v>45827</v>
      </c>
      <c r="C172" s="91" t="s">
        <v>1885</v>
      </c>
      <c r="D172" s="125" t="s">
        <v>1161</v>
      </c>
      <c r="J172" s="88">
        <v>-1500000</v>
      </c>
    </row>
    <row r="173" spans="1:10" ht="18" customHeight="1">
      <c r="A173" s="90">
        <v>695</v>
      </c>
      <c r="B173" s="102">
        <v>45828</v>
      </c>
      <c r="C173" s="91" t="s">
        <v>2744</v>
      </c>
      <c r="D173" s="125" t="s">
        <v>2278</v>
      </c>
      <c r="F173" s="132">
        <v>1500000</v>
      </c>
      <c r="G173" s="93">
        <v>1</v>
      </c>
      <c r="H173" s="138">
        <v>150000</v>
      </c>
      <c r="I173" s="88">
        <v>1650000</v>
      </c>
    </row>
    <row r="174" spans="1:10" ht="18" customHeight="1">
      <c r="A174" s="90">
        <v>696</v>
      </c>
      <c r="B174" s="102">
        <v>45828</v>
      </c>
      <c r="C174" s="91" t="s">
        <v>2744</v>
      </c>
      <c r="D174" s="125" t="s">
        <v>2279</v>
      </c>
      <c r="F174" s="132">
        <v>50000</v>
      </c>
      <c r="G174" s="93">
        <v>1</v>
      </c>
      <c r="H174" s="138">
        <v>5000</v>
      </c>
      <c r="I174" s="88">
        <v>55000</v>
      </c>
    </row>
    <row r="175" spans="1:10" ht="18" customHeight="1">
      <c r="A175" s="90">
        <v>697</v>
      </c>
      <c r="B175" s="102">
        <v>45828</v>
      </c>
      <c r="C175" s="91" t="s">
        <v>2533</v>
      </c>
      <c r="D175" s="125" t="s">
        <v>1161</v>
      </c>
      <c r="J175" s="88">
        <v>-1650000</v>
      </c>
    </row>
    <row r="176" spans="1:10" ht="18" customHeight="1">
      <c r="A176" s="90">
        <v>698</v>
      </c>
      <c r="B176" s="102">
        <v>45828</v>
      </c>
      <c r="C176" s="91" t="s">
        <v>1587</v>
      </c>
      <c r="D176" s="125" t="s">
        <v>1161</v>
      </c>
      <c r="J176" s="88">
        <v>-3000000</v>
      </c>
    </row>
    <row r="177" spans="1:10" ht="18" customHeight="1">
      <c r="A177" s="90">
        <v>699</v>
      </c>
      <c r="B177" s="102">
        <v>45828</v>
      </c>
      <c r="C177" s="91" t="s">
        <v>1629</v>
      </c>
      <c r="D177" s="125" t="s">
        <v>1241</v>
      </c>
      <c r="F177" s="132">
        <v>1200000</v>
      </c>
      <c r="G177" s="93">
        <v>1</v>
      </c>
      <c r="H177" s="138">
        <v>120000</v>
      </c>
      <c r="I177" s="88">
        <v>1320000</v>
      </c>
    </row>
    <row r="178" spans="1:10" ht="18" customHeight="1">
      <c r="A178" s="90">
        <v>700</v>
      </c>
      <c r="B178" s="102">
        <v>45828</v>
      </c>
      <c r="C178" s="91" t="s">
        <v>1629</v>
      </c>
      <c r="D178" s="125" t="s">
        <v>1773</v>
      </c>
      <c r="F178" s="132">
        <v>50000</v>
      </c>
      <c r="G178" s="93">
        <v>1</v>
      </c>
      <c r="H178" s="138">
        <v>5000</v>
      </c>
      <c r="I178" s="88">
        <v>55000</v>
      </c>
    </row>
    <row r="179" spans="1:10" ht="18" customHeight="1">
      <c r="A179" s="90">
        <v>701</v>
      </c>
      <c r="B179" s="102">
        <v>45828</v>
      </c>
      <c r="C179" s="91" t="s">
        <v>1027</v>
      </c>
      <c r="D179" s="125" t="s">
        <v>1241</v>
      </c>
      <c r="F179" s="132">
        <v>1200000</v>
      </c>
      <c r="G179" s="93">
        <v>1</v>
      </c>
      <c r="I179" s="88">
        <v>1200000</v>
      </c>
    </row>
    <row r="180" spans="1:10" ht="18" customHeight="1">
      <c r="A180" s="90">
        <v>702</v>
      </c>
      <c r="B180" s="102">
        <v>45828</v>
      </c>
      <c r="C180" s="91" t="s">
        <v>1027</v>
      </c>
      <c r="D180" s="125" t="s">
        <v>1542</v>
      </c>
      <c r="F180" s="132">
        <v>350000</v>
      </c>
      <c r="G180" s="93">
        <v>1</v>
      </c>
      <c r="I180" s="88">
        <v>350000</v>
      </c>
    </row>
    <row r="181" spans="1:10" ht="18" customHeight="1">
      <c r="A181" s="90">
        <v>703</v>
      </c>
      <c r="B181" s="102">
        <v>45828</v>
      </c>
      <c r="C181" s="91" t="s">
        <v>1587</v>
      </c>
      <c r="D181" s="125" t="s">
        <v>1241</v>
      </c>
      <c r="F181" s="132">
        <v>1200000</v>
      </c>
      <c r="G181" s="93">
        <v>1</v>
      </c>
      <c r="I181" s="88">
        <v>1200000</v>
      </c>
    </row>
    <row r="182" spans="1:10" ht="18" customHeight="1">
      <c r="A182" s="90">
        <v>704</v>
      </c>
      <c r="B182" s="102">
        <v>45828</v>
      </c>
      <c r="C182" s="91" t="s">
        <v>1587</v>
      </c>
      <c r="D182" s="125" t="s">
        <v>1770</v>
      </c>
      <c r="F182" s="132">
        <v>129000</v>
      </c>
      <c r="G182" s="93">
        <v>1</v>
      </c>
      <c r="I182" s="88">
        <v>129000</v>
      </c>
    </row>
    <row r="183" spans="1:10" ht="18" customHeight="1">
      <c r="A183" s="90">
        <v>705</v>
      </c>
      <c r="B183" s="102">
        <v>45828</v>
      </c>
      <c r="C183" s="91" t="s">
        <v>1587</v>
      </c>
      <c r="D183" s="125" t="s">
        <v>1542</v>
      </c>
      <c r="F183" s="132">
        <v>350000</v>
      </c>
      <c r="G183" s="93">
        <v>1</v>
      </c>
      <c r="I183" s="88">
        <v>350000</v>
      </c>
    </row>
    <row r="184" spans="1:10" ht="18" customHeight="1">
      <c r="A184" s="90">
        <v>706</v>
      </c>
      <c r="B184" s="102">
        <v>45828</v>
      </c>
      <c r="C184" s="91" t="s">
        <v>2749</v>
      </c>
      <c r="D184" s="125" t="s">
        <v>1241</v>
      </c>
      <c r="F184" s="132">
        <v>1300000</v>
      </c>
      <c r="G184" s="93">
        <v>1</v>
      </c>
      <c r="I184" s="88">
        <v>1300000</v>
      </c>
    </row>
    <row r="185" spans="1:10" ht="18" customHeight="1">
      <c r="A185" s="90">
        <v>707</v>
      </c>
      <c r="B185" s="102">
        <v>45828</v>
      </c>
      <c r="C185" s="91" t="s">
        <v>2749</v>
      </c>
      <c r="D185" s="125" t="s">
        <v>1565</v>
      </c>
      <c r="F185" s="132">
        <v>20000</v>
      </c>
      <c r="G185" s="93">
        <v>1</v>
      </c>
      <c r="I185" s="88">
        <v>20000</v>
      </c>
    </row>
    <row r="186" spans="1:10" ht="18" customHeight="1">
      <c r="A186" s="90">
        <v>708</v>
      </c>
      <c r="B186" s="102">
        <v>45828</v>
      </c>
      <c r="C186" s="91" t="s">
        <v>1629</v>
      </c>
      <c r="D186" s="125" t="s">
        <v>1310</v>
      </c>
      <c r="F186" s="132">
        <v>50000</v>
      </c>
      <c r="G186" s="93">
        <v>1</v>
      </c>
      <c r="H186" s="138">
        <v>5000</v>
      </c>
      <c r="I186" s="88">
        <v>55000</v>
      </c>
    </row>
    <row r="187" spans="1:10" ht="18" customHeight="1">
      <c r="A187" s="90">
        <v>709</v>
      </c>
      <c r="B187" s="102">
        <v>45828</v>
      </c>
      <c r="C187" s="91" t="s">
        <v>1495</v>
      </c>
      <c r="D187" s="125" t="s">
        <v>1161</v>
      </c>
      <c r="J187" s="88">
        <v>-1200000</v>
      </c>
    </row>
    <row r="188" spans="1:10" ht="18" customHeight="1">
      <c r="A188" s="90">
        <v>710</v>
      </c>
      <c r="B188" s="102">
        <v>45828</v>
      </c>
      <c r="C188" s="91" t="s">
        <v>1629</v>
      </c>
      <c r="D188" s="125" t="s">
        <v>1161</v>
      </c>
      <c r="J188" s="88">
        <v>-2285000</v>
      </c>
    </row>
    <row r="189" spans="1:10" ht="18" customHeight="1">
      <c r="A189" s="90">
        <v>711</v>
      </c>
      <c r="B189" s="102">
        <v>45828</v>
      </c>
      <c r="C189" s="91" t="s">
        <v>2759</v>
      </c>
      <c r="D189" s="125" t="s">
        <v>1785</v>
      </c>
      <c r="F189" s="132">
        <v>200000</v>
      </c>
      <c r="G189" s="93">
        <v>1</v>
      </c>
      <c r="I189" s="88">
        <v>200000</v>
      </c>
    </row>
    <row r="190" spans="1:10" ht="18" customHeight="1">
      <c r="A190" s="90">
        <v>712</v>
      </c>
      <c r="B190" s="102">
        <v>45828</v>
      </c>
      <c r="C190" s="91" t="s">
        <v>2759</v>
      </c>
      <c r="D190" s="125" t="s">
        <v>1816</v>
      </c>
      <c r="J190" s="88">
        <v>-200000</v>
      </c>
    </row>
    <row r="191" spans="1:10" ht="18" customHeight="1">
      <c r="A191" s="90">
        <v>713</v>
      </c>
      <c r="B191" s="102">
        <v>45829</v>
      </c>
      <c r="C191" s="91" t="s">
        <v>2744</v>
      </c>
      <c r="D191" s="125" t="s">
        <v>1161</v>
      </c>
      <c r="J191" s="88">
        <v>-1705000</v>
      </c>
    </row>
    <row r="192" spans="1:10" ht="18" customHeight="1">
      <c r="A192" s="90">
        <v>714</v>
      </c>
      <c r="B192" s="102">
        <v>45829</v>
      </c>
      <c r="C192" s="91" t="s">
        <v>1635</v>
      </c>
      <c r="D192" s="125" t="s">
        <v>1813</v>
      </c>
      <c r="F192" s="132">
        <v>650000</v>
      </c>
      <c r="G192" s="93">
        <v>1</v>
      </c>
      <c r="H192" s="138">
        <v>65000</v>
      </c>
      <c r="I192" s="88">
        <v>715000</v>
      </c>
    </row>
    <row r="193" spans="1:10" ht="18" customHeight="1">
      <c r="A193" s="90">
        <v>715</v>
      </c>
      <c r="B193" s="102">
        <v>45829</v>
      </c>
      <c r="C193" s="91" t="s">
        <v>2640</v>
      </c>
      <c r="D193" s="125" t="s">
        <v>2395</v>
      </c>
      <c r="F193" s="132">
        <v>300000</v>
      </c>
      <c r="G193" s="93">
        <v>1</v>
      </c>
      <c r="H193" s="138">
        <v>30000</v>
      </c>
      <c r="I193" s="88">
        <v>330000</v>
      </c>
    </row>
    <row r="194" spans="1:10" ht="18" customHeight="1">
      <c r="A194" s="90">
        <v>716</v>
      </c>
      <c r="B194" s="102">
        <v>45829</v>
      </c>
      <c r="C194" s="91" t="s">
        <v>1790</v>
      </c>
      <c r="D194" s="125" t="s">
        <v>2771</v>
      </c>
      <c r="F194" s="132">
        <v>1500000</v>
      </c>
      <c r="G194" s="93">
        <v>1</v>
      </c>
      <c r="I194" s="88">
        <v>1500000</v>
      </c>
    </row>
    <row r="195" spans="1:10" ht="18" customHeight="1">
      <c r="A195" s="90">
        <v>717</v>
      </c>
      <c r="B195" s="102">
        <v>45831</v>
      </c>
      <c r="C195" s="91" t="s">
        <v>1817</v>
      </c>
      <c r="D195" s="125" t="s">
        <v>1161</v>
      </c>
      <c r="J195" s="88">
        <v>-308000</v>
      </c>
    </row>
    <row r="196" spans="1:10" ht="18" customHeight="1">
      <c r="A196" s="90">
        <v>718</v>
      </c>
      <c r="B196" s="102">
        <v>45831</v>
      </c>
      <c r="C196" s="91" t="s">
        <v>2749</v>
      </c>
      <c r="D196" s="125" t="s">
        <v>1161</v>
      </c>
      <c r="J196" s="88">
        <v>-1320000</v>
      </c>
    </row>
    <row r="197" spans="1:10" ht="18" customHeight="1">
      <c r="A197" s="90">
        <v>719</v>
      </c>
      <c r="B197" s="102">
        <v>45831</v>
      </c>
      <c r="C197" s="91" t="s">
        <v>2773</v>
      </c>
      <c r="D197" s="125" t="s">
        <v>1243</v>
      </c>
      <c r="F197" s="132">
        <v>600000</v>
      </c>
      <c r="G197" s="93">
        <v>1</v>
      </c>
      <c r="I197" s="88">
        <v>600000</v>
      </c>
    </row>
    <row r="198" spans="1:10" ht="18" customHeight="1">
      <c r="A198" s="90">
        <v>720</v>
      </c>
      <c r="B198" s="102">
        <v>45831</v>
      </c>
      <c r="C198" s="91" t="s">
        <v>2773</v>
      </c>
      <c r="D198" s="125" t="s">
        <v>1161</v>
      </c>
      <c r="J198" s="88">
        <v>-600000</v>
      </c>
    </row>
    <row r="199" spans="1:10" ht="18" customHeight="1">
      <c r="A199" s="90">
        <v>721</v>
      </c>
      <c r="B199" s="102">
        <v>45831</v>
      </c>
      <c r="C199" s="91" t="s">
        <v>2780</v>
      </c>
      <c r="D199" s="125" t="s">
        <v>2779</v>
      </c>
      <c r="F199" s="132">
        <v>1100000</v>
      </c>
      <c r="G199" s="93">
        <v>1</v>
      </c>
      <c r="H199" s="138">
        <v>110000</v>
      </c>
      <c r="I199" s="88">
        <v>1210000</v>
      </c>
    </row>
    <row r="200" spans="1:10" ht="18" customHeight="1">
      <c r="A200" s="90">
        <v>722</v>
      </c>
      <c r="B200" s="102">
        <v>45831</v>
      </c>
      <c r="C200" s="91" t="s">
        <v>2780</v>
      </c>
      <c r="D200" s="125" t="s">
        <v>2536</v>
      </c>
      <c r="F200" s="132">
        <v>100000</v>
      </c>
      <c r="G200" s="93">
        <v>2</v>
      </c>
      <c r="H200" s="138">
        <v>10000</v>
      </c>
      <c r="I200" s="138">
        <v>110000</v>
      </c>
    </row>
    <row r="201" spans="1:10" ht="18" customHeight="1">
      <c r="A201" s="90">
        <v>723</v>
      </c>
      <c r="B201" s="102">
        <v>45831</v>
      </c>
      <c r="C201" s="91" t="s">
        <v>1490</v>
      </c>
      <c r="D201" s="125" t="s">
        <v>2782</v>
      </c>
      <c r="I201" s="138"/>
      <c r="J201" s="88">
        <v>-300000</v>
      </c>
    </row>
    <row r="202" spans="1:10" ht="18" customHeight="1">
      <c r="A202" s="90">
        <v>724</v>
      </c>
      <c r="B202" s="102">
        <v>45832</v>
      </c>
      <c r="C202" s="91" t="s">
        <v>1183</v>
      </c>
      <c r="D202" s="125" t="s">
        <v>1542</v>
      </c>
      <c r="F202" s="132">
        <v>350000</v>
      </c>
      <c r="G202" s="93">
        <v>1</v>
      </c>
      <c r="I202" s="88">
        <v>350000</v>
      </c>
    </row>
    <row r="203" spans="1:10" ht="18" customHeight="1">
      <c r="A203" s="90">
        <v>725</v>
      </c>
      <c r="B203" s="102">
        <v>45832</v>
      </c>
      <c r="C203" s="91" t="s">
        <v>1183</v>
      </c>
      <c r="D203" s="125" t="s">
        <v>2786</v>
      </c>
    </row>
    <row r="204" spans="1:10" ht="18" customHeight="1">
      <c r="A204" s="90">
        <v>726</v>
      </c>
      <c r="B204" s="102">
        <v>45832</v>
      </c>
      <c r="C204" s="91" t="s">
        <v>1629</v>
      </c>
      <c r="D204" s="125" t="s">
        <v>2278</v>
      </c>
      <c r="F204" s="132">
        <v>1500000</v>
      </c>
      <c r="G204" s="93">
        <v>1</v>
      </c>
      <c r="H204" s="138">
        <v>150000</v>
      </c>
      <c r="I204" s="88">
        <v>1650000</v>
      </c>
    </row>
    <row r="205" spans="1:10" ht="18" customHeight="1">
      <c r="A205" s="90">
        <v>727</v>
      </c>
      <c r="B205" s="102">
        <v>45832</v>
      </c>
      <c r="C205" s="91" t="s">
        <v>1629</v>
      </c>
      <c r="D205" s="125" t="s">
        <v>2279</v>
      </c>
      <c r="F205" s="132">
        <v>50000</v>
      </c>
      <c r="G205" s="93">
        <v>1</v>
      </c>
      <c r="H205" s="138">
        <v>5000</v>
      </c>
      <c r="I205" s="88">
        <v>55000</v>
      </c>
    </row>
    <row r="206" spans="1:10" ht="18" customHeight="1">
      <c r="A206" s="90">
        <v>728</v>
      </c>
      <c r="B206" s="102">
        <v>45832</v>
      </c>
      <c r="C206" s="91" t="s">
        <v>2613</v>
      </c>
      <c r="D206" s="125" t="s">
        <v>1241</v>
      </c>
      <c r="F206" s="132">
        <v>1200000</v>
      </c>
      <c r="G206" s="93">
        <v>1</v>
      </c>
      <c r="H206" s="138">
        <v>120000</v>
      </c>
      <c r="I206" s="88">
        <v>1320000</v>
      </c>
    </row>
    <row r="207" spans="1:10" ht="18" customHeight="1">
      <c r="A207" s="90">
        <v>729</v>
      </c>
      <c r="B207" s="102">
        <v>45832</v>
      </c>
      <c r="C207" s="91" t="s">
        <v>2613</v>
      </c>
      <c r="D207" s="125" t="s">
        <v>1770</v>
      </c>
      <c r="F207" s="132">
        <v>129000</v>
      </c>
      <c r="G207" s="93">
        <v>1</v>
      </c>
      <c r="H207" s="138">
        <v>12900</v>
      </c>
      <c r="I207" s="88">
        <v>141900</v>
      </c>
    </row>
    <row r="208" spans="1:10" ht="18" customHeight="1">
      <c r="A208" s="90">
        <v>730</v>
      </c>
      <c r="B208" s="102">
        <v>45832</v>
      </c>
      <c r="C208" s="91" t="s">
        <v>2789</v>
      </c>
      <c r="D208" s="125" t="s">
        <v>1542</v>
      </c>
      <c r="F208" s="132">
        <v>350000</v>
      </c>
      <c r="G208" s="93">
        <v>1</v>
      </c>
      <c r="H208" s="138">
        <v>35000</v>
      </c>
      <c r="I208" s="88">
        <v>385000</v>
      </c>
    </row>
    <row r="209" spans="1:10" ht="18" customHeight="1">
      <c r="A209" s="90">
        <v>731</v>
      </c>
      <c r="B209" s="102">
        <v>45832</v>
      </c>
      <c r="C209" s="91" t="s">
        <v>1790</v>
      </c>
      <c r="D209" s="125" t="s">
        <v>2284</v>
      </c>
      <c r="F209" s="132">
        <v>1400000</v>
      </c>
      <c r="G209" s="93">
        <v>1</v>
      </c>
      <c r="I209" s="88">
        <v>1400000</v>
      </c>
    </row>
    <row r="210" spans="1:10" ht="18" customHeight="1">
      <c r="A210" s="90">
        <v>732</v>
      </c>
      <c r="B210" s="102">
        <v>45832</v>
      </c>
      <c r="C210" s="91" t="s">
        <v>1587</v>
      </c>
      <c r="D210" s="125" t="s">
        <v>2279</v>
      </c>
      <c r="F210" s="132">
        <v>50000</v>
      </c>
      <c r="G210" s="93">
        <v>1</v>
      </c>
      <c r="I210" s="88">
        <v>50000</v>
      </c>
    </row>
    <row r="211" spans="1:10" ht="18" customHeight="1">
      <c r="A211" s="90">
        <v>733</v>
      </c>
      <c r="B211" s="102">
        <v>45833</v>
      </c>
      <c r="C211" s="91" t="s">
        <v>1060</v>
      </c>
      <c r="D211" s="125" t="s">
        <v>2278</v>
      </c>
      <c r="F211" s="132">
        <v>1500000</v>
      </c>
      <c r="G211" s="93">
        <v>1</v>
      </c>
      <c r="I211" s="88">
        <v>1500000</v>
      </c>
    </row>
    <row r="212" spans="1:10" ht="18" customHeight="1">
      <c r="A212" s="90">
        <v>734</v>
      </c>
      <c r="B212" s="102">
        <v>45833</v>
      </c>
      <c r="C212" s="91" t="s">
        <v>1060</v>
      </c>
      <c r="D212" s="125" t="s">
        <v>2279</v>
      </c>
      <c r="F212" s="132">
        <v>50000</v>
      </c>
      <c r="G212" s="93">
        <v>1</v>
      </c>
      <c r="I212" s="88">
        <v>50000</v>
      </c>
    </row>
    <row r="213" spans="1:10" ht="18" customHeight="1">
      <c r="A213" s="90">
        <v>735</v>
      </c>
      <c r="B213" s="102">
        <v>45833</v>
      </c>
      <c r="C213" s="91" t="s">
        <v>987</v>
      </c>
      <c r="D213" s="125" t="s">
        <v>1630</v>
      </c>
      <c r="F213" s="132">
        <v>1000000</v>
      </c>
      <c r="G213" s="93">
        <v>1</v>
      </c>
      <c r="H213" s="138">
        <v>100000</v>
      </c>
      <c r="I213" s="88">
        <v>1100000</v>
      </c>
    </row>
    <row r="214" spans="1:10" ht="18" customHeight="1">
      <c r="A214" s="90">
        <v>736</v>
      </c>
      <c r="B214" s="102">
        <v>45833</v>
      </c>
      <c r="C214" s="91" t="s">
        <v>1979</v>
      </c>
      <c r="D214" s="125" t="s">
        <v>1241</v>
      </c>
      <c r="F214" s="132">
        <v>1200000</v>
      </c>
      <c r="G214" s="93">
        <v>1</v>
      </c>
      <c r="I214" s="88">
        <v>1200000</v>
      </c>
    </row>
    <row r="215" spans="1:10" ht="18" customHeight="1">
      <c r="A215" s="90">
        <v>737</v>
      </c>
      <c r="B215" s="102">
        <v>45833</v>
      </c>
      <c r="C215" s="91" t="s">
        <v>1647</v>
      </c>
      <c r="D215" s="125" t="s">
        <v>2809</v>
      </c>
      <c r="F215" s="132">
        <v>1700000</v>
      </c>
      <c r="G215" s="93">
        <v>1</v>
      </c>
      <c r="H215" s="138">
        <v>170000</v>
      </c>
      <c r="I215" s="88">
        <v>1870000</v>
      </c>
    </row>
    <row r="216" spans="1:10" ht="18" customHeight="1">
      <c r="A216" s="90">
        <v>738</v>
      </c>
      <c r="B216" s="102">
        <v>45833</v>
      </c>
      <c r="C216" s="91" t="s">
        <v>2801</v>
      </c>
      <c r="D216" s="125" t="s">
        <v>2405</v>
      </c>
      <c r="F216" s="132">
        <v>600000</v>
      </c>
      <c r="G216" s="93">
        <v>2</v>
      </c>
      <c r="H216" s="138">
        <v>120000</v>
      </c>
      <c r="I216" s="88">
        <v>1320000</v>
      </c>
    </row>
    <row r="217" spans="1:10" ht="18" customHeight="1">
      <c r="A217" s="90">
        <v>739</v>
      </c>
      <c r="B217" s="102">
        <v>45833</v>
      </c>
      <c r="C217" s="91" t="s">
        <v>1647</v>
      </c>
      <c r="D217" s="125" t="s">
        <v>1161</v>
      </c>
      <c r="J217" s="88">
        <v>-1870000</v>
      </c>
    </row>
    <row r="218" spans="1:10" ht="18" customHeight="1">
      <c r="A218" s="90">
        <v>740</v>
      </c>
      <c r="B218" s="102">
        <v>45833</v>
      </c>
      <c r="C218" s="91" t="s">
        <v>1069</v>
      </c>
      <c r="D218" s="125" t="s">
        <v>1176</v>
      </c>
      <c r="F218" s="132">
        <v>800000</v>
      </c>
      <c r="G218" s="93">
        <v>1</v>
      </c>
      <c r="I218" s="88">
        <v>800000</v>
      </c>
    </row>
    <row r="219" spans="1:10" ht="18" customHeight="1">
      <c r="A219" s="90">
        <v>741</v>
      </c>
      <c r="B219" s="102">
        <v>45833</v>
      </c>
      <c r="C219" s="91" t="s">
        <v>1635</v>
      </c>
      <c r="D219" s="125" t="s">
        <v>1813</v>
      </c>
      <c r="F219" s="132">
        <v>650000</v>
      </c>
      <c r="G219" s="93">
        <v>1</v>
      </c>
      <c r="H219" s="138">
        <v>65000</v>
      </c>
      <c r="I219" s="88">
        <v>715000</v>
      </c>
    </row>
    <row r="220" spans="1:10" ht="18" customHeight="1">
      <c r="A220" s="90">
        <v>742</v>
      </c>
      <c r="B220" s="102">
        <v>45833</v>
      </c>
      <c r="C220" s="91" t="s">
        <v>2801</v>
      </c>
      <c r="D220" s="125" t="s">
        <v>1161</v>
      </c>
      <c r="J220" s="88">
        <v>-1320000</v>
      </c>
    </row>
    <row r="221" spans="1:10" ht="18" customHeight="1">
      <c r="A221" s="90">
        <v>743</v>
      </c>
      <c r="B221" s="102">
        <v>45832</v>
      </c>
      <c r="C221" s="91" t="s">
        <v>2789</v>
      </c>
      <c r="D221" s="125" t="s">
        <v>1161</v>
      </c>
      <c r="J221" s="88">
        <v>-385000</v>
      </c>
    </row>
    <row r="222" spans="1:10" ht="18" customHeight="1">
      <c r="A222" s="90">
        <v>744</v>
      </c>
      <c r="B222" s="102">
        <v>45833</v>
      </c>
      <c r="C222" s="91" t="s">
        <v>1525</v>
      </c>
      <c r="D222" s="125" t="s">
        <v>2833</v>
      </c>
      <c r="F222" s="132">
        <v>80000</v>
      </c>
      <c r="G222" s="93">
        <v>3</v>
      </c>
      <c r="I222" s="88">
        <v>240000</v>
      </c>
    </row>
    <row r="223" spans="1:10" ht="18" customHeight="1">
      <c r="A223" s="90">
        <v>745</v>
      </c>
      <c r="B223" s="102">
        <v>45821</v>
      </c>
      <c r="C223" s="91" t="s">
        <v>1515</v>
      </c>
      <c r="D223" s="125" t="s">
        <v>2290</v>
      </c>
      <c r="F223" s="132">
        <v>10000</v>
      </c>
      <c r="G223" s="93">
        <v>2</v>
      </c>
      <c r="I223" s="88">
        <v>20000</v>
      </c>
    </row>
    <row r="224" spans="1:10" ht="18" customHeight="1">
      <c r="A224" s="90">
        <v>746</v>
      </c>
      <c r="B224" s="102">
        <v>45834</v>
      </c>
      <c r="C224" s="91" t="s">
        <v>1790</v>
      </c>
      <c r="D224" s="125" t="s">
        <v>2829</v>
      </c>
      <c r="F224" s="132">
        <v>20000</v>
      </c>
      <c r="G224" s="93">
        <v>3</v>
      </c>
      <c r="I224" s="88">
        <v>60000</v>
      </c>
    </row>
    <row r="225" spans="1:10" ht="18" customHeight="1">
      <c r="A225" s="90">
        <v>747</v>
      </c>
      <c r="B225" s="102">
        <v>45834</v>
      </c>
      <c r="C225" s="91" t="s">
        <v>1445</v>
      </c>
      <c r="D225" s="125" t="s">
        <v>2278</v>
      </c>
      <c r="F225" s="132">
        <v>1500000</v>
      </c>
      <c r="G225" s="93">
        <v>1</v>
      </c>
      <c r="I225" s="88">
        <v>1500000</v>
      </c>
    </row>
    <row r="226" spans="1:10" ht="18" customHeight="1">
      <c r="A226" s="90">
        <v>748</v>
      </c>
      <c r="B226" s="102">
        <v>45834</v>
      </c>
      <c r="C226" s="91" t="s">
        <v>1445</v>
      </c>
      <c r="D226" s="125" t="s">
        <v>2279</v>
      </c>
      <c r="F226" s="132">
        <v>50000</v>
      </c>
      <c r="G226" s="93">
        <v>1</v>
      </c>
      <c r="I226" s="88">
        <v>50000</v>
      </c>
    </row>
    <row r="227" spans="1:10" ht="18" customHeight="1">
      <c r="A227" s="90">
        <v>749</v>
      </c>
      <c r="B227" s="102">
        <v>45834</v>
      </c>
      <c r="C227" s="91" t="s">
        <v>987</v>
      </c>
      <c r="D227" s="125" t="s">
        <v>1161</v>
      </c>
      <c r="J227" s="88">
        <v>-1100000</v>
      </c>
    </row>
    <row r="228" spans="1:10" ht="18" customHeight="1">
      <c r="A228" s="90">
        <v>750</v>
      </c>
      <c r="B228" s="102">
        <v>45834</v>
      </c>
      <c r="C228" s="91" t="s">
        <v>1445</v>
      </c>
      <c r="D228" s="125" t="s">
        <v>1770</v>
      </c>
      <c r="F228" s="132">
        <v>129000</v>
      </c>
      <c r="G228" s="93">
        <v>1</v>
      </c>
      <c r="I228" s="88">
        <v>129000</v>
      </c>
    </row>
    <row r="229" spans="1:10" ht="18" customHeight="1">
      <c r="A229" s="90">
        <v>751</v>
      </c>
      <c r="B229" s="102">
        <v>45834</v>
      </c>
      <c r="C229" s="91" t="s">
        <v>1445</v>
      </c>
      <c r="D229" s="125" t="s">
        <v>2837</v>
      </c>
      <c r="F229" s="132">
        <v>25000</v>
      </c>
      <c r="G229" s="93">
        <v>1</v>
      </c>
      <c r="I229" s="88">
        <v>25000</v>
      </c>
    </row>
    <row r="230" spans="1:10" ht="18" customHeight="1">
      <c r="A230" s="90">
        <v>752</v>
      </c>
      <c r="B230" s="102">
        <v>45834</v>
      </c>
      <c r="C230" s="91" t="s">
        <v>1027</v>
      </c>
      <c r="D230" s="125" t="s">
        <v>2845</v>
      </c>
      <c r="J230" s="88">
        <v>-1550000</v>
      </c>
    </row>
    <row r="231" spans="1:10" ht="18" customHeight="1">
      <c r="A231" s="90">
        <v>753</v>
      </c>
      <c r="B231" s="102">
        <v>45834</v>
      </c>
      <c r="C231" s="91" t="s">
        <v>2640</v>
      </c>
      <c r="D231" s="125" t="s">
        <v>1161</v>
      </c>
      <c r="J231" s="88">
        <v>-330000</v>
      </c>
    </row>
    <row r="232" spans="1:10" ht="18" customHeight="1">
      <c r="A232" s="90">
        <v>754</v>
      </c>
      <c r="B232" s="102">
        <v>45834</v>
      </c>
      <c r="C232" s="91" t="s">
        <v>2613</v>
      </c>
      <c r="D232" s="125" t="s">
        <v>1161</v>
      </c>
      <c r="J232" s="88">
        <v>-2671900</v>
      </c>
    </row>
    <row r="233" spans="1:10" ht="18" customHeight="1">
      <c r="A233" s="90">
        <v>755</v>
      </c>
      <c r="B233" s="102">
        <v>45834</v>
      </c>
      <c r="C233" s="91" t="s">
        <v>1445</v>
      </c>
      <c r="D233" s="125" t="s">
        <v>2395</v>
      </c>
      <c r="F233" s="132">
        <v>1100000</v>
      </c>
      <c r="G233" s="93">
        <v>1</v>
      </c>
      <c r="I233" s="88">
        <v>1100000</v>
      </c>
    </row>
    <row r="234" spans="1:10" ht="18" customHeight="1">
      <c r="A234" s="90">
        <v>756</v>
      </c>
      <c r="B234" s="102">
        <v>45834</v>
      </c>
      <c r="C234" s="91" t="s">
        <v>1069</v>
      </c>
      <c r="D234" s="125" t="s">
        <v>2301</v>
      </c>
      <c r="F234" s="132">
        <v>1800000</v>
      </c>
      <c r="G234" s="93">
        <v>1</v>
      </c>
      <c r="I234" s="88">
        <v>1800000</v>
      </c>
    </row>
    <row r="235" spans="1:10" ht="18" customHeight="1">
      <c r="A235" s="90">
        <v>757</v>
      </c>
      <c r="B235" s="102">
        <v>45834</v>
      </c>
      <c r="C235" s="91" t="s">
        <v>1069</v>
      </c>
      <c r="D235" s="125" t="s">
        <v>2279</v>
      </c>
      <c r="F235" s="132">
        <v>50000</v>
      </c>
      <c r="G235" s="93">
        <v>1</v>
      </c>
      <c r="I235" s="88">
        <v>50000</v>
      </c>
    </row>
    <row r="236" spans="1:10" ht="18" customHeight="1">
      <c r="A236" s="90">
        <v>758</v>
      </c>
      <c r="B236" s="102">
        <v>45834</v>
      </c>
      <c r="C236" s="91" t="s">
        <v>1069</v>
      </c>
      <c r="D236" s="125" t="s">
        <v>2856</v>
      </c>
      <c r="F236" s="132">
        <v>150000</v>
      </c>
      <c r="G236" s="93">
        <v>1</v>
      </c>
      <c r="I236" s="88">
        <v>150000</v>
      </c>
    </row>
    <row r="237" spans="1:10" ht="18" customHeight="1">
      <c r="A237" s="90">
        <v>759</v>
      </c>
      <c r="B237" s="102">
        <v>45835</v>
      </c>
      <c r="C237" s="91" t="s">
        <v>1424</v>
      </c>
      <c r="D237" s="125" t="s">
        <v>1785</v>
      </c>
      <c r="F237" s="132">
        <v>150000</v>
      </c>
      <c r="G237" s="93">
        <v>3</v>
      </c>
      <c r="I237" s="88">
        <v>450000</v>
      </c>
    </row>
    <row r="238" spans="1:10" ht="18" customHeight="1">
      <c r="A238" s="90">
        <v>760</v>
      </c>
      <c r="B238" s="102">
        <v>45835</v>
      </c>
      <c r="C238" s="91" t="s">
        <v>1424</v>
      </c>
      <c r="D238" s="125" t="s">
        <v>1940</v>
      </c>
      <c r="F238" s="132">
        <v>150000</v>
      </c>
      <c r="G238" s="93">
        <v>1</v>
      </c>
      <c r="I238" s="88">
        <v>150000</v>
      </c>
    </row>
    <row r="239" spans="1:10" ht="18" customHeight="1">
      <c r="A239" s="90">
        <v>761</v>
      </c>
      <c r="B239" s="102">
        <v>45835</v>
      </c>
      <c r="C239" s="91" t="s">
        <v>1513</v>
      </c>
      <c r="D239" s="125" t="s">
        <v>1978</v>
      </c>
      <c r="F239" s="132">
        <v>200000</v>
      </c>
      <c r="G239" s="93">
        <v>1</v>
      </c>
      <c r="I239" s="88">
        <v>200000</v>
      </c>
    </row>
    <row r="240" spans="1:10" ht="18" customHeight="1">
      <c r="A240" s="90">
        <v>762</v>
      </c>
      <c r="B240" s="102">
        <v>45835</v>
      </c>
      <c r="C240" s="91" t="s">
        <v>1069</v>
      </c>
      <c r="D240" s="125" t="s">
        <v>2278</v>
      </c>
      <c r="F240" s="132">
        <v>1500000</v>
      </c>
      <c r="G240" s="93">
        <v>1</v>
      </c>
      <c r="I240" s="88">
        <v>1500000</v>
      </c>
    </row>
    <row r="241" spans="1:10" ht="18" customHeight="1">
      <c r="A241" s="90">
        <v>763</v>
      </c>
      <c r="B241" s="102">
        <v>45835</v>
      </c>
      <c r="C241" s="91" t="s">
        <v>1069</v>
      </c>
      <c r="D241" s="125" t="s">
        <v>2279</v>
      </c>
      <c r="F241" s="132">
        <v>50000</v>
      </c>
      <c r="G241" s="93">
        <v>1</v>
      </c>
      <c r="I241" s="88">
        <v>50000</v>
      </c>
    </row>
    <row r="242" spans="1:10" ht="18" customHeight="1">
      <c r="A242" s="90">
        <v>764</v>
      </c>
      <c r="B242" s="102">
        <v>45835</v>
      </c>
      <c r="C242" s="91" t="s">
        <v>1069</v>
      </c>
      <c r="D242" s="125" t="s">
        <v>1161</v>
      </c>
      <c r="J242" s="88">
        <v>-4350000</v>
      </c>
    </row>
    <row r="243" spans="1:10" ht="18" customHeight="1">
      <c r="A243" s="90">
        <v>765</v>
      </c>
      <c r="B243" s="102">
        <v>45835</v>
      </c>
      <c r="C243" s="91" t="s">
        <v>1626</v>
      </c>
      <c r="D243" s="125" t="s">
        <v>1243</v>
      </c>
      <c r="F243" s="132">
        <v>1200000</v>
      </c>
      <c r="G243" s="93">
        <v>1</v>
      </c>
      <c r="H243" s="138">
        <v>120000</v>
      </c>
      <c r="I243" s="88">
        <v>1320000</v>
      </c>
    </row>
    <row r="244" spans="1:10" ht="18" customHeight="1">
      <c r="A244" s="90">
        <v>766</v>
      </c>
      <c r="B244" s="102">
        <v>45835</v>
      </c>
      <c r="C244" s="91" t="s">
        <v>1519</v>
      </c>
      <c r="D244" s="125" t="s">
        <v>1161</v>
      </c>
      <c r="J244" s="88">
        <v>-1500000</v>
      </c>
    </row>
    <row r="245" spans="1:10" ht="18" customHeight="1">
      <c r="A245" s="90">
        <v>767</v>
      </c>
      <c r="B245" s="102">
        <v>45835</v>
      </c>
      <c r="C245" s="91" t="s">
        <v>1790</v>
      </c>
      <c r="D245" s="125" t="s">
        <v>1607</v>
      </c>
      <c r="F245" s="132">
        <v>1600000</v>
      </c>
      <c r="G245" s="93">
        <v>1</v>
      </c>
      <c r="I245" s="88">
        <v>1600000</v>
      </c>
    </row>
    <row r="246" spans="1:10" ht="18" customHeight="1">
      <c r="A246" s="90">
        <v>768</v>
      </c>
      <c r="B246" s="102">
        <v>45835</v>
      </c>
      <c r="C246" s="91" t="s">
        <v>1519</v>
      </c>
      <c r="D246" s="125" t="s">
        <v>2295</v>
      </c>
      <c r="F246" s="132">
        <v>1500000</v>
      </c>
      <c r="G246" s="93">
        <v>1</v>
      </c>
      <c r="I246" s="88">
        <v>1500000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9" style="26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2" ht="33">
      <c r="A1" s="263" t="s">
        <v>2</v>
      </c>
      <c r="B1" s="288" t="s">
        <v>2429</v>
      </c>
      <c r="C1" s="289" t="s">
        <v>2665</v>
      </c>
      <c r="D1" s="290" t="s">
        <v>2694</v>
      </c>
      <c r="E1" s="290" t="s">
        <v>40</v>
      </c>
      <c r="F1" s="263" t="s">
        <v>2666</v>
      </c>
      <c r="G1" s="263" t="s">
        <v>2667</v>
      </c>
      <c r="H1" s="263" t="s">
        <v>2668</v>
      </c>
      <c r="I1" s="263" t="s">
        <v>2669</v>
      </c>
      <c r="J1" s="263" t="s">
        <v>2668</v>
      </c>
      <c r="K1" s="263" t="s">
        <v>2669</v>
      </c>
      <c r="L1" s="263"/>
    </row>
    <row r="2" spans="1:12" ht="18" customHeight="1">
      <c r="A2" s="263">
        <v>1</v>
      </c>
      <c r="B2" s="269">
        <v>45659</v>
      </c>
      <c r="C2" s="264" t="s">
        <v>2670</v>
      </c>
      <c r="D2" s="264" t="s">
        <v>2671</v>
      </c>
      <c r="E2" s="264" t="s">
        <v>2672</v>
      </c>
      <c r="F2" s="265">
        <v>1</v>
      </c>
      <c r="G2" s="265">
        <f t="shared" ref="G2:G65" si="0">L2/F2/1.1</f>
        <v>278181.81818181818</v>
      </c>
      <c r="H2" s="266">
        <f t="shared" ref="H2:H65" si="1">F2*G2</f>
        <v>278181.81818181818</v>
      </c>
      <c r="I2" s="266">
        <f>H2*10%</f>
        <v>27818.18181818182</v>
      </c>
      <c r="J2" s="266">
        <f>IF(E2="매출",F2*G2,0)</f>
        <v>0</v>
      </c>
      <c r="K2" s="266">
        <f t="shared" ref="K2:K37" si="2">J2*10%</f>
        <v>0</v>
      </c>
      <c r="L2" s="267">
        <v>306000</v>
      </c>
    </row>
    <row r="3" spans="1:12" ht="18" customHeight="1">
      <c r="A3" s="263">
        <v>2</v>
      </c>
      <c r="B3" s="269">
        <v>45663</v>
      </c>
      <c r="C3" s="264" t="s">
        <v>2673</v>
      </c>
      <c r="D3" s="264" t="s">
        <v>2674</v>
      </c>
      <c r="E3" s="264" t="s">
        <v>2672</v>
      </c>
      <c r="F3" s="265">
        <v>1</v>
      </c>
      <c r="G3" s="265">
        <f t="shared" si="0"/>
        <v>21818.181818181816</v>
      </c>
      <c r="H3" s="266">
        <f t="shared" si="1"/>
        <v>21818.181818181816</v>
      </c>
      <c r="I3" s="266">
        <f t="shared" ref="I3:I66" si="3">H3*10%</f>
        <v>2181.8181818181815</v>
      </c>
      <c r="J3" s="266">
        <f t="shared" ref="J3:J66" si="4">IF(E3="매출",F3*G3,0)</f>
        <v>0</v>
      </c>
      <c r="K3" s="266">
        <f t="shared" si="2"/>
        <v>0</v>
      </c>
      <c r="L3" s="267">
        <v>24000</v>
      </c>
    </row>
    <row r="4" spans="1:12" ht="18" customHeight="1">
      <c r="A4" s="263">
        <v>3</v>
      </c>
      <c r="B4" s="269">
        <v>45663</v>
      </c>
      <c r="C4" s="264" t="s">
        <v>2670</v>
      </c>
      <c r="D4" s="264" t="s">
        <v>2671</v>
      </c>
      <c r="E4" s="264" t="s">
        <v>2672</v>
      </c>
      <c r="F4" s="265">
        <v>1</v>
      </c>
      <c r="G4" s="265">
        <f t="shared" si="0"/>
        <v>600909.09090909082</v>
      </c>
      <c r="H4" s="266">
        <f t="shared" si="1"/>
        <v>600909.09090909082</v>
      </c>
      <c r="I4" s="266">
        <f t="shared" si="3"/>
        <v>60090.909090909088</v>
      </c>
      <c r="J4" s="266">
        <f t="shared" si="4"/>
        <v>0</v>
      </c>
      <c r="K4" s="266">
        <f t="shared" si="2"/>
        <v>0</v>
      </c>
      <c r="L4" s="267">
        <v>661000</v>
      </c>
    </row>
    <row r="5" spans="1:12" ht="18" customHeight="1">
      <c r="A5" s="263">
        <v>4</v>
      </c>
      <c r="B5" s="269">
        <v>45670</v>
      </c>
      <c r="C5" s="264" t="s">
        <v>2670</v>
      </c>
      <c r="D5" s="264" t="s">
        <v>2671</v>
      </c>
      <c r="E5" s="264" t="s">
        <v>2672</v>
      </c>
      <c r="F5" s="265">
        <v>1</v>
      </c>
      <c r="G5" s="265">
        <f t="shared" si="0"/>
        <v>417272.72727272724</v>
      </c>
      <c r="H5" s="266">
        <f t="shared" si="1"/>
        <v>417272.72727272724</v>
      </c>
      <c r="I5" s="266">
        <f t="shared" si="3"/>
        <v>41727.272727272728</v>
      </c>
      <c r="J5" s="266">
        <f t="shared" si="4"/>
        <v>0</v>
      </c>
      <c r="K5" s="266">
        <f t="shared" si="2"/>
        <v>0</v>
      </c>
      <c r="L5" s="267">
        <v>459000</v>
      </c>
    </row>
    <row r="6" spans="1:12" ht="18" customHeight="1">
      <c r="A6" s="263">
        <v>5</v>
      </c>
      <c r="B6" s="269">
        <v>45671</v>
      </c>
      <c r="C6" s="264" t="s">
        <v>2670</v>
      </c>
      <c r="D6" s="264" t="s">
        <v>2671</v>
      </c>
      <c r="E6" s="264" t="s">
        <v>2675</v>
      </c>
      <c r="F6" s="265">
        <v>1</v>
      </c>
      <c r="G6" s="265">
        <f t="shared" si="0"/>
        <v>87818.181818181809</v>
      </c>
      <c r="H6" s="266">
        <f t="shared" si="1"/>
        <v>87818.181818181809</v>
      </c>
      <c r="I6" s="266">
        <f t="shared" si="3"/>
        <v>8781.818181818182</v>
      </c>
      <c r="J6" s="266">
        <f t="shared" si="4"/>
        <v>0</v>
      </c>
      <c r="K6" s="266">
        <f t="shared" si="2"/>
        <v>0</v>
      </c>
      <c r="L6" s="267">
        <v>96600</v>
      </c>
    </row>
    <row r="7" spans="1:12" ht="18" customHeight="1">
      <c r="A7" s="263">
        <v>6</v>
      </c>
      <c r="B7" s="269">
        <v>45671</v>
      </c>
      <c r="C7" s="264" t="s">
        <v>2676</v>
      </c>
      <c r="D7" s="264" t="s">
        <v>2677</v>
      </c>
      <c r="E7" s="264" t="s">
        <v>2672</v>
      </c>
      <c r="F7" s="265">
        <v>1</v>
      </c>
      <c r="G7" s="265">
        <f t="shared" si="0"/>
        <v>49999.999999999993</v>
      </c>
      <c r="H7" s="266">
        <f t="shared" si="1"/>
        <v>49999.999999999993</v>
      </c>
      <c r="I7" s="266">
        <f t="shared" si="3"/>
        <v>5000</v>
      </c>
      <c r="J7" s="266">
        <f t="shared" si="4"/>
        <v>0</v>
      </c>
      <c r="K7" s="266">
        <f t="shared" si="2"/>
        <v>0</v>
      </c>
      <c r="L7" s="267">
        <v>55000</v>
      </c>
    </row>
    <row r="8" spans="1:12" ht="18" customHeight="1">
      <c r="A8" s="263">
        <v>7</v>
      </c>
      <c r="B8" s="269">
        <v>45680</v>
      </c>
      <c r="C8" s="264" t="s">
        <v>2678</v>
      </c>
      <c r="D8" s="264" t="s">
        <v>2679</v>
      </c>
      <c r="E8" s="264" t="s">
        <v>2672</v>
      </c>
      <c r="F8" s="265">
        <v>1</v>
      </c>
      <c r="G8" s="265">
        <f t="shared" si="0"/>
        <v>727272.72727272718</v>
      </c>
      <c r="H8" s="266">
        <f t="shared" si="1"/>
        <v>727272.72727272718</v>
      </c>
      <c r="I8" s="266">
        <f t="shared" si="3"/>
        <v>72727.272727272721</v>
      </c>
      <c r="J8" s="266">
        <f t="shared" si="4"/>
        <v>0</v>
      </c>
      <c r="K8" s="266">
        <f t="shared" si="2"/>
        <v>0</v>
      </c>
      <c r="L8" s="267">
        <v>800000</v>
      </c>
    </row>
    <row r="9" spans="1:12" ht="18" customHeight="1">
      <c r="A9" s="263">
        <v>8</v>
      </c>
      <c r="B9" s="269">
        <v>45681</v>
      </c>
      <c r="C9" s="264" t="s">
        <v>2680</v>
      </c>
      <c r="D9" s="264" t="s">
        <v>2671</v>
      </c>
      <c r="E9" s="264" t="s">
        <v>2675</v>
      </c>
      <c r="F9" s="265">
        <v>1</v>
      </c>
      <c r="G9" s="265">
        <f t="shared" si="0"/>
        <v>766363.63636363635</v>
      </c>
      <c r="H9" s="266">
        <f t="shared" si="1"/>
        <v>766363.63636363635</v>
      </c>
      <c r="I9" s="266">
        <f t="shared" si="3"/>
        <v>76636.363636363632</v>
      </c>
      <c r="J9" s="266">
        <f t="shared" si="4"/>
        <v>0</v>
      </c>
      <c r="K9" s="266">
        <f t="shared" si="2"/>
        <v>0</v>
      </c>
      <c r="L9" s="267">
        <v>843000</v>
      </c>
    </row>
    <row r="10" spans="1:12" ht="18" customHeight="1">
      <c r="A10" s="263">
        <v>9</v>
      </c>
      <c r="B10" s="269">
        <v>45681</v>
      </c>
      <c r="C10" s="264" t="s">
        <v>2681</v>
      </c>
      <c r="D10" s="264" t="s">
        <v>2671</v>
      </c>
      <c r="E10" s="264" t="s">
        <v>2675</v>
      </c>
      <c r="F10" s="265">
        <v>1</v>
      </c>
      <c r="G10" s="265">
        <f t="shared" si="0"/>
        <v>299090.90909090906</v>
      </c>
      <c r="H10" s="266">
        <f t="shared" si="1"/>
        <v>299090.90909090906</v>
      </c>
      <c r="I10" s="266">
        <f t="shared" si="3"/>
        <v>29909.090909090908</v>
      </c>
      <c r="J10" s="266">
        <f t="shared" si="4"/>
        <v>0</v>
      </c>
      <c r="K10" s="266">
        <f t="shared" si="2"/>
        <v>0</v>
      </c>
      <c r="L10" s="267">
        <v>329000</v>
      </c>
    </row>
    <row r="11" spans="1:12" ht="18" customHeight="1">
      <c r="A11" s="263">
        <v>10</v>
      </c>
      <c r="B11" s="269">
        <v>45691</v>
      </c>
      <c r="C11" s="264" t="s">
        <v>2670</v>
      </c>
      <c r="D11" s="264" t="s">
        <v>2671</v>
      </c>
      <c r="E11" s="264" t="s">
        <v>2672</v>
      </c>
      <c r="F11" s="265">
        <v>1</v>
      </c>
      <c r="G11" s="265">
        <f t="shared" si="0"/>
        <v>87818.181818181809</v>
      </c>
      <c r="H11" s="266">
        <f t="shared" si="1"/>
        <v>87818.181818181809</v>
      </c>
      <c r="I11" s="266">
        <f t="shared" si="3"/>
        <v>8781.818181818182</v>
      </c>
      <c r="J11" s="266">
        <f t="shared" si="4"/>
        <v>0</v>
      </c>
      <c r="K11" s="266">
        <f t="shared" si="2"/>
        <v>0</v>
      </c>
      <c r="L11" s="267">
        <v>96600</v>
      </c>
    </row>
    <row r="12" spans="1:12" ht="18" customHeight="1">
      <c r="A12" s="263">
        <v>11</v>
      </c>
      <c r="B12" s="269">
        <v>45699</v>
      </c>
      <c r="C12" s="264" t="s">
        <v>2670</v>
      </c>
      <c r="D12" s="264" t="s">
        <v>2671</v>
      </c>
      <c r="E12" s="264" t="s">
        <v>2672</v>
      </c>
      <c r="F12" s="265">
        <v>1</v>
      </c>
      <c r="G12" s="265">
        <f t="shared" si="0"/>
        <v>139090.90909090909</v>
      </c>
      <c r="H12" s="266">
        <f t="shared" si="1"/>
        <v>139090.90909090909</v>
      </c>
      <c r="I12" s="266">
        <f t="shared" si="3"/>
        <v>13909.09090909091</v>
      </c>
      <c r="J12" s="266">
        <f t="shared" si="4"/>
        <v>0</v>
      </c>
      <c r="K12" s="266">
        <f t="shared" si="2"/>
        <v>0</v>
      </c>
      <c r="L12" s="267">
        <v>153000</v>
      </c>
    </row>
    <row r="13" spans="1:12" ht="18" customHeight="1">
      <c r="A13" s="263">
        <v>12</v>
      </c>
      <c r="B13" s="269">
        <v>45699</v>
      </c>
      <c r="C13" s="264" t="s">
        <v>2673</v>
      </c>
      <c r="D13" s="264" t="s">
        <v>2674</v>
      </c>
      <c r="E13" s="264" t="s">
        <v>2675</v>
      </c>
      <c r="F13" s="265">
        <v>1</v>
      </c>
      <c r="G13" s="265">
        <f t="shared" si="0"/>
        <v>21818.181818181816</v>
      </c>
      <c r="H13" s="266">
        <f t="shared" si="1"/>
        <v>21818.181818181816</v>
      </c>
      <c r="I13" s="266">
        <f t="shared" si="3"/>
        <v>2181.8181818181815</v>
      </c>
      <c r="J13" s="266">
        <f t="shared" si="4"/>
        <v>0</v>
      </c>
      <c r="K13" s="266">
        <f t="shared" si="2"/>
        <v>0</v>
      </c>
      <c r="L13" s="267">
        <v>24000</v>
      </c>
    </row>
    <row r="14" spans="1:12" ht="18" customHeight="1">
      <c r="A14" s="263">
        <v>13</v>
      </c>
      <c r="B14" s="269">
        <v>45706</v>
      </c>
      <c r="C14" s="264" t="s">
        <v>2670</v>
      </c>
      <c r="D14" s="264" t="s">
        <v>2671</v>
      </c>
      <c r="E14" s="264" t="s">
        <v>2675</v>
      </c>
      <c r="F14" s="265">
        <v>1</v>
      </c>
      <c r="G14" s="265">
        <f t="shared" si="0"/>
        <v>87818.181818181809</v>
      </c>
      <c r="H14" s="266">
        <f t="shared" si="1"/>
        <v>87818.181818181809</v>
      </c>
      <c r="I14" s="266">
        <f t="shared" si="3"/>
        <v>8781.818181818182</v>
      </c>
      <c r="J14" s="266">
        <f t="shared" si="4"/>
        <v>0</v>
      </c>
      <c r="K14" s="266">
        <f t="shared" si="2"/>
        <v>0</v>
      </c>
      <c r="L14" s="267">
        <v>96600</v>
      </c>
    </row>
    <row r="15" spans="1:12" ht="18" customHeight="1">
      <c r="A15" s="263">
        <v>14</v>
      </c>
      <c r="B15" s="269">
        <v>45714</v>
      </c>
      <c r="C15" s="264" t="s">
        <v>2682</v>
      </c>
      <c r="D15" s="264" t="s">
        <v>2683</v>
      </c>
      <c r="E15" s="264" t="s">
        <v>2675</v>
      </c>
      <c r="F15" s="265">
        <v>1</v>
      </c>
      <c r="G15" s="265">
        <f t="shared" si="0"/>
        <v>97636.363636363632</v>
      </c>
      <c r="H15" s="266">
        <f t="shared" si="1"/>
        <v>97636.363636363632</v>
      </c>
      <c r="I15" s="266">
        <f t="shared" si="3"/>
        <v>9763.636363636364</v>
      </c>
      <c r="J15" s="266">
        <f t="shared" si="4"/>
        <v>0</v>
      </c>
      <c r="K15" s="266">
        <f t="shared" si="2"/>
        <v>0</v>
      </c>
      <c r="L15" s="267">
        <v>107400</v>
      </c>
    </row>
    <row r="16" spans="1:12" ht="18" customHeight="1">
      <c r="A16" s="263">
        <v>15</v>
      </c>
      <c r="B16" s="269">
        <v>45714</v>
      </c>
      <c r="C16" s="264" t="s">
        <v>2670</v>
      </c>
      <c r="D16" s="264" t="s">
        <v>2671</v>
      </c>
      <c r="E16" s="264" t="s">
        <v>2675</v>
      </c>
      <c r="F16" s="265">
        <v>1</v>
      </c>
      <c r="G16" s="265">
        <f t="shared" si="0"/>
        <v>278181.81818181818</v>
      </c>
      <c r="H16" s="266">
        <f t="shared" si="1"/>
        <v>278181.81818181818</v>
      </c>
      <c r="I16" s="266">
        <f t="shared" si="3"/>
        <v>27818.18181818182</v>
      </c>
      <c r="J16" s="266">
        <f t="shared" si="4"/>
        <v>0</v>
      </c>
      <c r="K16" s="266">
        <f t="shared" si="2"/>
        <v>0</v>
      </c>
      <c r="L16" s="267">
        <v>306000</v>
      </c>
    </row>
    <row r="17" spans="1:12" ht="18" customHeight="1">
      <c r="A17" s="263">
        <v>16</v>
      </c>
      <c r="B17" s="269">
        <v>45719</v>
      </c>
      <c r="C17" s="264" t="s">
        <v>2681</v>
      </c>
      <c r="D17" s="264" t="s">
        <v>2671</v>
      </c>
      <c r="E17" s="264" t="s">
        <v>2672</v>
      </c>
      <c r="F17" s="265">
        <v>1</v>
      </c>
      <c r="G17" s="265">
        <f t="shared" si="0"/>
        <v>346363.63636363635</v>
      </c>
      <c r="H17" s="266">
        <f t="shared" si="1"/>
        <v>346363.63636363635</v>
      </c>
      <c r="I17" s="266">
        <f t="shared" si="3"/>
        <v>34636.36363636364</v>
      </c>
      <c r="J17" s="266">
        <f t="shared" si="4"/>
        <v>0</v>
      </c>
      <c r="K17" s="266">
        <f t="shared" si="2"/>
        <v>0</v>
      </c>
      <c r="L17" s="267">
        <v>381000</v>
      </c>
    </row>
    <row r="18" spans="1:12" ht="18" customHeight="1">
      <c r="A18" s="263">
        <v>17</v>
      </c>
      <c r="B18" s="269">
        <v>45719</v>
      </c>
      <c r="C18" s="264" t="s">
        <v>2684</v>
      </c>
      <c r="D18" s="264" t="s">
        <v>2685</v>
      </c>
      <c r="E18" s="264" t="s">
        <v>2675</v>
      </c>
      <c r="F18" s="265">
        <v>1</v>
      </c>
      <c r="G18" s="265">
        <f t="shared" si="0"/>
        <v>209090.90909090909</v>
      </c>
      <c r="H18" s="266">
        <f t="shared" si="1"/>
        <v>209090.90909090909</v>
      </c>
      <c r="I18" s="266">
        <f t="shared" si="3"/>
        <v>20909.090909090912</v>
      </c>
      <c r="J18" s="266">
        <f t="shared" si="4"/>
        <v>0</v>
      </c>
      <c r="K18" s="266">
        <f t="shared" si="2"/>
        <v>0</v>
      </c>
      <c r="L18" s="267">
        <v>230000</v>
      </c>
    </row>
    <row r="19" spans="1:12" ht="18" customHeight="1">
      <c r="A19" s="263">
        <v>18</v>
      </c>
      <c r="B19" s="269">
        <v>45719</v>
      </c>
      <c r="C19" s="264" t="s">
        <v>2680</v>
      </c>
      <c r="D19" s="264" t="s">
        <v>2671</v>
      </c>
      <c r="E19" s="264" t="s">
        <v>2675</v>
      </c>
      <c r="F19" s="265">
        <v>1</v>
      </c>
      <c r="G19" s="265">
        <f t="shared" si="0"/>
        <v>203636.36363636362</v>
      </c>
      <c r="H19" s="266">
        <f t="shared" si="1"/>
        <v>203636.36363636362</v>
      </c>
      <c r="I19" s="266">
        <f t="shared" si="3"/>
        <v>20363.636363636364</v>
      </c>
      <c r="J19" s="266">
        <f t="shared" si="4"/>
        <v>0</v>
      </c>
      <c r="K19" s="266">
        <f t="shared" si="2"/>
        <v>0</v>
      </c>
      <c r="L19" s="267">
        <v>224000</v>
      </c>
    </row>
    <row r="20" spans="1:12" ht="18" customHeight="1">
      <c r="A20" s="263">
        <v>19</v>
      </c>
      <c r="B20" s="269">
        <v>45719</v>
      </c>
      <c r="C20" s="264" t="s">
        <v>2686</v>
      </c>
      <c r="D20" s="264" t="s">
        <v>2683</v>
      </c>
      <c r="E20" s="264" t="s">
        <v>2675</v>
      </c>
      <c r="F20" s="265">
        <v>1</v>
      </c>
      <c r="G20" s="265">
        <f t="shared" si="0"/>
        <v>161909.09090909088</v>
      </c>
      <c r="H20" s="266">
        <f t="shared" si="1"/>
        <v>161909.09090909088</v>
      </c>
      <c r="I20" s="266">
        <f t="shared" si="3"/>
        <v>16190.909090909088</v>
      </c>
      <c r="J20" s="266">
        <f t="shared" si="4"/>
        <v>0</v>
      </c>
      <c r="K20" s="266">
        <f t="shared" si="2"/>
        <v>0</v>
      </c>
      <c r="L20" s="267">
        <v>178100</v>
      </c>
    </row>
    <row r="21" spans="1:12" ht="18" customHeight="1">
      <c r="A21" s="263">
        <v>20</v>
      </c>
      <c r="B21" s="269">
        <v>45720</v>
      </c>
      <c r="C21" s="264" t="s">
        <v>2687</v>
      </c>
      <c r="D21" s="264" t="s">
        <v>2688</v>
      </c>
      <c r="E21" s="264" t="s">
        <v>2675</v>
      </c>
      <c r="F21" s="265">
        <v>1</v>
      </c>
      <c r="G21" s="265">
        <f t="shared" si="0"/>
        <v>74181.818181818177</v>
      </c>
      <c r="H21" s="266">
        <f t="shared" si="1"/>
        <v>74181.818181818177</v>
      </c>
      <c r="I21" s="266">
        <f t="shared" si="3"/>
        <v>7418.181818181818</v>
      </c>
      <c r="J21" s="266">
        <f t="shared" si="4"/>
        <v>0</v>
      </c>
      <c r="K21" s="266">
        <f t="shared" si="2"/>
        <v>0</v>
      </c>
      <c r="L21" s="267">
        <v>81600</v>
      </c>
    </row>
    <row r="22" spans="1:12" ht="18" customHeight="1">
      <c r="A22" s="263">
        <v>21</v>
      </c>
      <c r="B22" s="269">
        <v>45720</v>
      </c>
      <c r="C22" s="264" t="s">
        <v>2689</v>
      </c>
      <c r="D22" s="264" t="s">
        <v>2690</v>
      </c>
      <c r="E22" s="264" t="s">
        <v>2675</v>
      </c>
      <c r="F22" s="265">
        <v>1</v>
      </c>
      <c r="G22" s="265">
        <f t="shared" si="0"/>
        <v>9090909.0909090899</v>
      </c>
      <c r="H22" s="266">
        <f t="shared" si="1"/>
        <v>9090909.0909090899</v>
      </c>
      <c r="I22" s="266">
        <f t="shared" si="3"/>
        <v>909090.90909090906</v>
      </c>
      <c r="J22" s="266">
        <f t="shared" si="4"/>
        <v>0</v>
      </c>
      <c r="K22" s="266">
        <f t="shared" si="2"/>
        <v>0</v>
      </c>
      <c r="L22" s="267">
        <v>10000000</v>
      </c>
    </row>
    <row r="23" spans="1:12" ht="18" customHeight="1">
      <c r="A23" s="263">
        <v>22</v>
      </c>
      <c r="B23" s="269">
        <v>45722</v>
      </c>
      <c r="C23" s="264" t="s">
        <v>2673</v>
      </c>
      <c r="D23" s="264" t="s">
        <v>2674</v>
      </c>
      <c r="E23" s="264" t="s">
        <v>2675</v>
      </c>
      <c r="F23" s="265">
        <v>1</v>
      </c>
      <c r="G23" s="265">
        <f t="shared" si="0"/>
        <v>21818.181818181816</v>
      </c>
      <c r="H23" s="266">
        <f t="shared" si="1"/>
        <v>21818.181818181816</v>
      </c>
      <c r="I23" s="266">
        <f t="shared" si="3"/>
        <v>2181.8181818181815</v>
      </c>
      <c r="J23" s="266">
        <f t="shared" si="4"/>
        <v>0</v>
      </c>
      <c r="K23" s="266">
        <f t="shared" si="2"/>
        <v>0</v>
      </c>
      <c r="L23" s="267">
        <v>24000</v>
      </c>
    </row>
    <row r="24" spans="1:12" ht="18" customHeight="1">
      <c r="A24" s="263">
        <v>23</v>
      </c>
      <c r="B24" s="269">
        <v>45727</v>
      </c>
      <c r="C24" s="264" t="s">
        <v>2670</v>
      </c>
      <c r="D24" s="264" t="s">
        <v>2671</v>
      </c>
      <c r="E24" s="264" t="s">
        <v>2675</v>
      </c>
      <c r="F24" s="265">
        <v>1</v>
      </c>
      <c r="G24" s="265">
        <f t="shared" si="0"/>
        <v>139090.90909090909</v>
      </c>
      <c r="H24" s="266">
        <f t="shared" si="1"/>
        <v>139090.90909090909</v>
      </c>
      <c r="I24" s="266">
        <f t="shared" si="3"/>
        <v>13909.09090909091</v>
      </c>
      <c r="J24" s="266">
        <f t="shared" si="4"/>
        <v>0</v>
      </c>
      <c r="K24" s="266">
        <f t="shared" si="2"/>
        <v>0</v>
      </c>
      <c r="L24" s="267">
        <v>153000</v>
      </c>
    </row>
    <row r="25" spans="1:12" ht="18" customHeight="1">
      <c r="A25" s="263">
        <v>24</v>
      </c>
      <c r="B25" s="269">
        <v>45747</v>
      </c>
      <c r="C25" s="264" t="s">
        <v>2670</v>
      </c>
      <c r="D25" s="264" t="s">
        <v>2691</v>
      </c>
      <c r="E25" s="264" t="s">
        <v>2675</v>
      </c>
      <c r="F25" s="265">
        <v>1</v>
      </c>
      <c r="G25" s="265">
        <f t="shared" si="0"/>
        <v>405818.18181818177</v>
      </c>
      <c r="H25" s="266">
        <f t="shared" si="1"/>
        <v>405818.18181818177</v>
      </c>
      <c r="I25" s="266">
        <f t="shared" si="3"/>
        <v>40581.818181818177</v>
      </c>
      <c r="J25" s="266">
        <f t="shared" si="4"/>
        <v>0</v>
      </c>
      <c r="K25" s="266">
        <f t="shared" si="2"/>
        <v>0</v>
      </c>
      <c r="L25" s="267">
        <v>446400</v>
      </c>
    </row>
    <row r="26" spans="1:12" ht="18" customHeight="1">
      <c r="A26" s="263">
        <v>25</v>
      </c>
      <c r="B26" s="269">
        <v>45749</v>
      </c>
      <c r="C26" s="264" t="s">
        <v>2692</v>
      </c>
      <c r="D26" s="264" t="s">
        <v>2671</v>
      </c>
      <c r="E26" s="264" t="s">
        <v>2675</v>
      </c>
      <c r="F26" s="265">
        <v>1</v>
      </c>
      <c r="G26" s="265">
        <f t="shared" si="0"/>
        <v>131818.18181818179</v>
      </c>
      <c r="H26" s="266">
        <f t="shared" si="1"/>
        <v>131818.18181818179</v>
      </c>
      <c r="I26" s="266">
        <f t="shared" si="3"/>
        <v>13181.81818181818</v>
      </c>
      <c r="J26" s="266">
        <f t="shared" si="4"/>
        <v>0</v>
      </c>
      <c r="K26" s="266">
        <f t="shared" si="2"/>
        <v>0</v>
      </c>
      <c r="L26" s="267">
        <v>145000</v>
      </c>
    </row>
    <row r="27" spans="1:12" ht="18" customHeight="1">
      <c r="A27" s="263">
        <v>26</v>
      </c>
      <c r="B27" s="269">
        <v>45761</v>
      </c>
      <c r="C27" s="264" t="s">
        <v>2670</v>
      </c>
      <c r="D27" s="264" t="s">
        <v>2671</v>
      </c>
      <c r="E27" s="264" t="s">
        <v>2675</v>
      </c>
      <c r="F27" s="265">
        <v>1</v>
      </c>
      <c r="G27" s="265">
        <f t="shared" si="0"/>
        <v>139090.90909090909</v>
      </c>
      <c r="H27" s="266">
        <f t="shared" si="1"/>
        <v>139090.90909090909</v>
      </c>
      <c r="I27" s="266">
        <f t="shared" si="3"/>
        <v>13909.09090909091</v>
      </c>
      <c r="J27" s="266">
        <f t="shared" si="4"/>
        <v>0</v>
      </c>
      <c r="K27" s="266">
        <f t="shared" si="2"/>
        <v>0</v>
      </c>
      <c r="L27" s="267">
        <v>153000</v>
      </c>
    </row>
    <row r="28" spans="1:12" ht="18" customHeight="1">
      <c r="A28" s="263">
        <v>27</v>
      </c>
      <c r="B28" s="269">
        <v>45762</v>
      </c>
      <c r="C28" s="264" t="s">
        <v>2670</v>
      </c>
      <c r="D28" s="264" t="s">
        <v>2671</v>
      </c>
      <c r="E28" s="264" t="s">
        <v>2675</v>
      </c>
      <c r="F28" s="265">
        <v>1</v>
      </c>
      <c r="G28" s="265">
        <f t="shared" si="0"/>
        <v>1429090.9090909089</v>
      </c>
      <c r="H28" s="266">
        <f t="shared" si="1"/>
        <v>1429090.9090909089</v>
      </c>
      <c r="I28" s="266">
        <f t="shared" si="3"/>
        <v>142909.09090909091</v>
      </c>
      <c r="J28" s="266">
        <f t="shared" si="4"/>
        <v>0</v>
      </c>
      <c r="K28" s="266">
        <f t="shared" si="2"/>
        <v>0</v>
      </c>
      <c r="L28" s="267">
        <v>1572000</v>
      </c>
    </row>
    <row r="29" spans="1:12" ht="18" customHeight="1">
      <c r="A29" s="263">
        <v>28</v>
      </c>
      <c r="B29" s="269">
        <v>45776</v>
      </c>
      <c r="C29" s="264" t="s">
        <v>2680</v>
      </c>
      <c r="D29" s="264" t="s">
        <v>2671</v>
      </c>
      <c r="E29" s="264" t="s">
        <v>2675</v>
      </c>
      <c r="F29" s="265">
        <v>1</v>
      </c>
      <c r="G29" s="265">
        <f t="shared" si="0"/>
        <v>636363.63636363635</v>
      </c>
      <c r="H29" s="266">
        <f t="shared" si="1"/>
        <v>636363.63636363635</v>
      </c>
      <c r="I29" s="266">
        <f t="shared" si="3"/>
        <v>63636.36363636364</v>
      </c>
      <c r="J29" s="266">
        <f t="shared" si="4"/>
        <v>0</v>
      </c>
      <c r="K29" s="266">
        <f t="shared" si="2"/>
        <v>0</v>
      </c>
      <c r="L29" s="267">
        <v>700000</v>
      </c>
    </row>
    <row r="30" spans="1:12" ht="18" customHeight="1">
      <c r="A30" s="263">
        <v>29</v>
      </c>
      <c r="B30" s="269">
        <v>45776</v>
      </c>
      <c r="C30" s="264" t="s">
        <v>2684</v>
      </c>
      <c r="D30" s="264" t="s">
        <v>2685</v>
      </c>
      <c r="E30" s="264" t="s">
        <v>2675</v>
      </c>
      <c r="F30" s="265">
        <v>1</v>
      </c>
      <c r="G30" s="265">
        <f t="shared" si="0"/>
        <v>541818.18181818177</v>
      </c>
      <c r="H30" s="266">
        <f t="shared" si="1"/>
        <v>541818.18181818177</v>
      </c>
      <c r="I30" s="266">
        <f t="shared" si="3"/>
        <v>54181.818181818177</v>
      </c>
      <c r="J30" s="266">
        <f t="shared" si="4"/>
        <v>0</v>
      </c>
      <c r="K30" s="266">
        <f t="shared" si="2"/>
        <v>0</v>
      </c>
      <c r="L30" s="267">
        <v>596000</v>
      </c>
    </row>
    <row r="31" spans="1:12" ht="18" customHeight="1">
      <c r="A31" s="263">
        <v>30</v>
      </c>
      <c r="B31" s="269">
        <v>45776</v>
      </c>
      <c r="C31" s="264" t="s">
        <v>2682</v>
      </c>
      <c r="D31" s="264" t="s">
        <v>2683</v>
      </c>
      <c r="E31" s="264" t="s">
        <v>2675</v>
      </c>
      <c r="F31" s="265">
        <v>1</v>
      </c>
      <c r="G31" s="265">
        <f t="shared" si="0"/>
        <v>125999.99999999999</v>
      </c>
      <c r="H31" s="266">
        <f t="shared" si="1"/>
        <v>125999.99999999999</v>
      </c>
      <c r="I31" s="266">
        <f t="shared" si="3"/>
        <v>12600</v>
      </c>
      <c r="J31" s="266">
        <f t="shared" si="4"/>
        <v>0</v>
      </c>
      <c r="K31" s="266">
        <f t="shared" si="2"/>
        <v>0</v>
      </c>
      <c r="L31" s="267">
        <v>138600</v>
      </c>
    </row>
    <row r="32" spans="1:12" ht="18" customHeight="1">
      <c r="A32" s="263">
        <v>31</v>
      </c>
      <c r="B32" s="269">
        <v>45776</v>
      </c>
      <c r="C32" s="264" t="s">
        <v>2681</v>
      </c>
      <c r="D32" s="264" t="s">
        <v>2671</v>
      </c>
      <c r="E32" s="264" t="s">
        <v>2675</v>
      </c>
      <c r="F32" s="265">
        <v>1</v>
      </c>
      <c r="G32" s="265">
        <f t="shared" si="0"/>
        <v>409999.99999999994</v>
      </c>
      <c r="H32" s="266">
        <f t="shared" si="1"/>
        <v>409999.99999999994</v>
      </c>
      <c r="I32" s="266">
        <f t="shared" si="3"/>
        <v>41000</v>
      </c>
      <c r="J32" s="266">
        <f t="shared" si="4"/>
        <v>0</v>
      </c>
      <c r="K32" s="266">
        <f t="shared" si="2"/>
        <v>0</v>
      </c>
      <c r="L32" s="267">
        <v>451000</v>
      </c>
    </row>
    <row r="33" spans="1:12" ht="18.75" customHeight="1">
      <c r="A33" s="263">
        <v>32</v>
      </c>
      <c r="B33" s="269">
        <v>45776</v>
      </c>
      <c r="C33" s="264" t="s">
        <v>2686</v>
      </c>
      <c r="D33" s="264" t="s">
        <v>2683</v>
      </c>
      <c r="E33" s="264" t="s">
        <v>2675</v>
      </c>
      <c r="F33" s="265">
        <v>1</v>
      </c>
      <c r="G33" s="265">
        <f t="shared" si="0"/>
        <v>221818.18181818179</v>
      </c>
      <c r="H33" s="266">
        <f t="shared" si="1"/>
        <v>221818.18181818179</v>
      </c>
      <c r="I33" s="266">
        <f t="shared" si="3"/>
        <v>22181.81818181818</v>
      </c>
      <c r="J33" s="266">
        <f t="shared" si="4"/>
        <v>0</v>
      </c>
      <c r="K33" s="266">
        <f t="shared" si="2"/>
        <v>0</v>
      </c>
      <c r="L33" s="267">
        <v>244000</v>
      </c>
    </row>
    <row r="34" spans="1:12" ht="18" customHeight="1">
      <c r="A34" s="263">
        <v>33</v>
      </c>
      <c r="B34" s="269">
        <v>45785</v>
      </c>
      <c r="C34" s="264" t="s">
        <v>2673</v>
      </c>
      <c r="D34" s="264" t="s">
        <v>2674</v>
      </c>
      <c r="E34" s="264" t="s">
        <v>2675</v>
      </c>
      <c r="F34" s="265">
        <v>1</v>
      </c>
      <c r="G34" s="265">
        <f t="shared" si="0"/>
        <v>43636.363636363632</v>
      </c>
      <c r="H34" s="266">
        <f t="shared" si="1"/>
        <v>43636.363636363632</v>
      </c>
      <c r="I34" s="266">
        <f t="shared" si="3"/>
        <v>4363.6363636363631</v>
      </c>
      <c r="J34" s="266">
        <f t="shared" si="4"/>
        <v>0</v>
      </c>
      <c r="K34" s="266">
        <f t="shared" si="2"/>
        <v>0</v>
      </c>
      <c r="L34" s="267">
        <v>48000</v>
      </c>
    </row>
    <row r="35" spans="1:12" ht="20.25" customHeight="1">
      <c r="A35" s="263">
        <v>34</v>
      </c>
      <c r="B35" s="269">
        <v>45786</v>
      </c>
      <c r="C35" s="264" t="s">
        <v>2670</v>
      </c>
      <c r="D35" s="264" t="s">
        <v>2671</v>
      </c>
      <c r="E35" s="264" t="s">
        <v>2675</v>
      </c>
      <c r="F35" s="265">
        <v>1</v>
      </c>
      <c r="G35" s="265">
        <f t="shared" si="0"/>
        <v>155454.54545454544</v>
      </c>
      <c r="H35" s="266">
        <f t="shared" si="1"/>
        <v>155454.54545454544</v>
      </c>
      <c r="I35" s="266">
        <f t="shared" si="3"/>
        <v>15545.454545454544</v>
      </c>
      <c r="J35" s="266">
        <f t="shared" si="4"/>
        <v>0</v>
      </c>
      <c r="K35" s="266">
        <f t="shared" si="2"/>
        <v>0</v>
      </c>
      <c r="L35" s="267">
        <v>171000</v>
      </c>
    </row>
    <row r="36" spans="1:12" ht="18" customHeight="1">
      <c r="A36" s="263">
        <v>35</v>
      </c>
      <c r="B36" s="269">
        <v>45791</v>
      </c>
      <c r="C36" s="264" t="s">
        <v>2673</v>
      </c>
      <c r="D36" s="264" t="s">
        <v>2674</v>
      </c>
      <c r="E36" s="264" t="s">
        <v>2675</v>
      </c>
      <c r="F36" s="265">
        <v>1</v>
      </c>
      <c r="G36" s="265">
        <f t="shared" si="0"/>
        <v>21818.181818181816</v>
      </c>
      <c r="H36" s="266">
        <f t="shared" si="1"/>
        <v>21818.181818181816</v>
      </c>
      <c r="I36" s="266">
        <f t="shared" si="3"/>
        <v>2181.8181818181815</v>
      </c>
      <c r="J36" s="266">
        <f t="shared" si="4"/>
        <v>0</v>
      </c>
      <c r="K36" s="266">
        <f t="shared" si="2"/>
        <v>0</v>
      </c>
      <c r="L36" s="267">
        <v>24000</v>
      </c>
    </row>
    <row r="37" spans="1:12" ht="18.75" customHeight="1">
      <c r="A37" s="263">
        <v>36</v>
      </c>
      <c r="B37" s="269">
        <v>45803</v>
      </c>
      <c r="C37" s="264" t="s">
        <v>2670</v>
      </c>
      <c r="D37" s="264" t="s">
        <v>2671</v>
      </c>
      <c r="E37" s="264" t="s">
        <v>2675</v>
      </c>
      <c r="F37" s="265">
        <v>1</v>
      </c>
      <c r="G37" s="265">
        <f t="shared" si="0"/>
        <v>729090.90909090906</v>
      </c>
      <c r="H37" s="266">
        <f t="shared" si="1"/>
        <v>729090.90909090906</v>
      </c>
      <c r="I37" s="266">
        <f t="shared" si="3"/>
        <v>72909.090909090912</v>
      </c>
      <c r="J37" s="266">
        <f t="shared" si="4"/>
        <v>0</v>
      </c>
      <c r="K37" s="266">
        <f t="shared" si="2"/>
        <v>0</v>
      </c>
      <c r="L37" s="267">
        <v>802000</v>
      </c>
    </row>
    <row r="38" spans="1:12" ht="18" customHeight="1">
      <c r="A38" s="263">
        <v>37</v>
      </c>
      <c r="B38" s="269">
        <v>45806</v>
      </c>
      <c r="C38" s="264" t="s">
        <v>2673</v>
      </c>
      <c r="D38" s="264" t="s">
        <v>2674</v>
      </c>
      <c r="E38" s="264" t="s">
        <v>2675</v>
      </c>
      <c r="F38" s="265">
        <v>1</v>
      </c>
      <c r="G38" s="265">
        <f t="shared" si="0"/>
        <v>43636.363636363632</v>
      </c>
      <c r="H38" s="266">
        <f t="shared" si="1"/>
        <v>43636.363636363632</v>
      </c>
      <c r="I38" s="266">
        <f t="shared" si="3"/>
        <v>4363.6363636363631</v>
      </c>
      <c r="J38" s="266">
        <f t="shared" si="4"/>
        <v>0</v>
      </c>
      <c r="K38" s="266">
        <f>J38*10%</f>
        <v>0</v>
      </c>
      <c r="L38" s="267">
        <v>48000</v>
      </c>
    </row>
    <row r="39" spans="1:12" ht="18" customHeight="1">
      <c r="A39" s="263">
        <v>38</v>
      </c>
      <c r="B39" s="269">
        <v>45810</v>
      </c>
      <c r="C39" s="264" t="s">
        <v>2687</v>
      </c>
      <c r="D39" s="264" t="s">
        <v>2688</v>
      </c>
      <c r="E39" s="264" t="s">
        <v>2675</v>
      </c>
      <c r="F39" s="265">
        <v>1</v>
      </c>
      <c r="G39" s="265">
        <f t="shared" si="0"/>
        <v>74181.818181818177</v>
      </c>
      <c r="H39" s="266">
        <f t="shared" si="1"/>
        <v>74181.818181818177</v>
      </c>
      <c r="I39" s="266">
        <f t="shared" si="3"/>
        <v>7418.181818181818</v>
      </c>
      <c r="J39" s="266">
        <f t="shared" si="4"/>
        <v>0</v>
      </c>
      <c r="K39" s="266">
        <f>J39*10%</f>
        <v>0</v>
      </c>
      <c r="L39" s="267">
        <v>81600</v>
      </c>
    </row>
    <row r="40" spans="1:12" ht="18" customHeight="1">
      <c r="A40" s="263">
        <v>39</v>
      </c>
      <c r="B40" s="269"/>
      <c r="C40" s="264"/>
      <c r="D40" s="264"/>
      <c r="E40" s="264" t="s">
        <v>2675</v>
      </c>
      <c r="F40" s="265">
        <v>1</v>
      </c>
      <c r="G40" s="265">
        <f t="shared" si="0"/>
        <v>0</v>
      </c>
      <c r="H40" s="266">
        <f t="shared" si="1"/>
        <v>0</v>
      </c>
      <c r="I40" s="266">
        <f t="shared" si="3"/>
        <v>0</v>
      </c>
      <c r="J40" s="266">
        <f t="shared" si="4"/>
        <v>0</v>
      </c>
      <c r="K40" s="266">
        <f>J40*10%</f>
        <v>0</v>
      </c>
      <c r="L40" s="267"/>
    </row>
    <row r="41" spans="1:12" ht="18" customHeight="1">
      <c r="A41" s="263">
        <v>40</v>
      </c>
      <c r="B41" s="269"/>
      <c r="C41" s="264"/>
      <c r="D41" s="264"/>
      <c r="E41" s="264" t="s">
        <v>2675</v>
      </c>
      <c r="F41" s="265">
        <v>1</v>
      </c>
      <c r="G41" s="265">
        <f t="shared" si="0"/>
        <v>0</v>
      </c>
      <c r="H41" s="266">
        <f t="shared" si="1"/>
        <v>0</v>
      </c>
      <c r="I41" s="266">
        <f t="shared" si="3"/>
        <v>0</v>
      </c>
      <c r="J41" s="266">
        <f t="shared" si="4"/>
        <v>0</v>
      </c>
      <c r="K41" s="266">
        <f>J41*10%</f>
        <v>0</v>
      </c>
      <c r="L41" s="267"/>
    </row>
    <row r="42" spans="1:12" ht="18" customHeight="1">
      <c r="A42" s="263">
        <v>41</v>
      </c>
      <c r="B42" s="269"/>
      <c r="C42" s="264"/>
      <c r="D42" s="264"/>
      <c r="E42" s="264" t="s">
        <v>2675</v>
      </c>
      <c r="F42" s="265">
        <v>1</v>
      </c>
      <c r="G42" s="265">
        <f t="shared" si="0"/>
        <v>0</v>
      </c>
      <c r="H42" s="266">
        <f t="shared" si="1"/>
        <v>0</v>
      </c>
      <c r="I42" s="266">
        <f t="shared" si="3"/>
        <v>0</v>
      </c>
      <c r="J42" s="266">
        <f t="shared" si="4"/>
        <v>0</v>
      </c>
      <c r="K42" s="266">
        <f t="shared" ref="K42:K48" si="5">J42*10%</f>
        <v>0</v>
      </c>
      <c r="L42" s="267"/>
    </row>
    <row r="43" spans="1:12" ht="18" customHeight="1">
      <c r="A43" s="263">
        <v>42</v>
      </c>
      <c r="B43" s="269"/>
      <c r="C43" s="264"/>
      <c r="D43" s="264"/>
      <c r="E43" s="264" t="s">
        <v>2675</v>
      </c>
      <c r="F43" s="265">
        <v>1</v>
      </c>
      <c r="G43" s="265">
        <f t="shared" si="0"/>
        <v>0</v>
      </c>
      <c r="H43" s="266">
        <f t="shared" si="1"/>
        <v>0</v>
      </c>
      <c r="I43" s="266">
        <f t="shared" si="3"/>
        <v>0</v>
      </c>
      <c r="J43" s="266">
        <f t="shared" si="4"/>
        <v>0</v>
      </c>
      <c r="K43" s="266">
        <f t="shared" si="5"/>
        <v>0</v>
      </c>
      <c r="L43" s="267"/>
    </row>
    <row r="44" spans="1:12" ht="18" customHeight="1">
      <c r="A44" s="263">
        <v>43</v>
      </c>
      <c r="B44" s="269"/>
      <c r="C44" s="264"/>
      <c r="D44" s="264"/>
      <c r="E44" s="264" t="s">
        <v>2675</v>
      </c>
      <c r="F44" s="265">
        <v>1</v>
      </c>
      <c r="G44" s="265">
        <f t="shared" si="0"/>
        <v>0</v>
      </c>
      <c r="H44" s="266">
        <f t="shared" si="1"/>
        <v>0</v>
      </c>
      <c r="I44" s="266">
        <f t="shared" si="3"/>
        <v>0</v>
      </c>
      <c r="J44" s="266">
        <f t="shared" si="4"/>
        <v>0</v>
      </c>
      <c r="K44" s="266">
        <f t="shared" si="5"/>
        <v>0</v>
      </c>
      <c r="L44" s="267"/>
    </row>
    <row r="45" spans="1:12" ht="18" customHeight="1">
      <c r="A45" s="263">
        <v>44</v>
      </c>
      <c r="B45" s="269"/>
      <c r="C45" s="264"/>
      <c r="D45" s="264"/>
      <c r="E45" s="264" t="s">
        <v>2675</v>
      </c>
      <c r="F45" s="265">
        <v>1</v>
      </c>
      <c r="G45" s="265">
        <f t="shared" si="0"/>
        <v>0</v>
      </c>
      <c r="H45" s="266">
        <f t="shared" si="1"/>
        <v>0</v>
      </c>
      <c r="I45" s="266">
        <f t="shared" si="3"/>
        <v>0</v>
      </c>
      <c r="J45" s="266">
        <f t="shared" si="4"/>
        <v>0</v>
      </c>
      <c r="K45" s="266">
        <f t="shared" si="5"/>
        <v>0</v>
      </c>
      <c r="L45" s="267"/>
    </row>
    <row r="46" spans="1:12" ht="18" customHeight="1">
      <c r="A46" s="263">
        <v>45</v>
      </c>
      <c r="B46" s="269"/>
      <c r="C46" s="264"/>
      <c r="D46" s="264"/>
      <c r="E46" s="264" t="s">
        <v>2675</v>
      </c>
      <c r="F46" s="265">
        <v>1</v>
      </c>
      <c r="G46" s="265">
        <f t="shared" si="0"/>
        <v>0</v>
      </c>
      <c r="H46" s="266">
        <f t="shared" si="1"/>
        <v>0</v>
      </c>
      <c r="I46" s="266">
        <f t="shared" si="3"/>
        <v>0</v>
      </c>
      <c r="J46" s="266">
        <f t="shared" si="4"/>
        <v>0</v>
      </c>
      <c r="K46" s="266">
        <f t="shared" si="5"/>
        <v>0</v>
      </c>
      <c r="L46" s="267"/>
    </row>
    <row r="47" spans="1:12" ht="18" customHeight="1">
      <c r="A47" s="263">
        <v>46</v>
      </c>
      <c r="B47" s="269"/>
      <c r="C47" s="264"/>
      <c r="D47" s="264"/>
      <c r="E47" s="264" t="s">
        <v>2675</v>
      </c>
      <c r="F47" s="265">
        <v>1</v>
      </c>
      <c r="G47" s="265">
        <f t="shared" si="0"/>
        <v>0</v>
      </c>
      <c r="H47" s="266">
        <f t="shared" si="1"/>
        <v>0</v>
      </c>
      <c r="I47" s="266">
        <f t="shared" si="3"/>
        <v>0</v>
      </c>
      <c r="J47" s="266">
        <f t="shared" si="4"/>
        <v>0</v>
      </c>
      <c r="K47" s="266">
        <f t="shared" si="5"/>
        <v>0</v>
      </c>
      <c r="L47" s="267"/>
    </row>
    <row r="48" spans="1:12" ht="18" customHeight="1">
      <c r="A48" s="263">
        <v>47</v>
      </c>
      <c r="B48" s="269"/>
      <c r="C48" s="264"/>
      <c r="D48" s="264"/>
      <c r="E48" s="264" t="s">
        <v>2675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si="5"/>
        <v>0</v>
      </c>
      <c r="L48" s="267"/>
    </row>
    <row r="49" spans="1:12" ht="18" customHeight="1">
      <c r="A49" s="263">
        <v>48</v>
      </c>
      <c r="B49" s="269"/>
      <c r="C49" s="264"/>
      <c r="D49" s="264"/>
      <c r="E49" s="264" t="s">
        <v>2675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/>
      <c r="L49" s="267"/>
    </row>
    <row r="50" spans="1:12" ht="18" customHeight="1">
      <c r="A50" s="263">
        <v>49</v>
      </c>
      <c r="B50" s="269"/>
      <c r="C50" s="264"/>
      <c r="D50" s="264"/>
      <c r="E50" s="264" t="s">
        <v>2675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/>
      <c r="L50" s="267"/>
    </row>
    <row r="51" spans="1:12" ht="18" customHeight="1">
      <c r="A51" s="263">
        <v>50</v>
      </c>
      <c r="B51" s="269"/>
      <c r="C51" s="264"/>
      <c r="D51" s="264"/>
      <c r="E51" s="264" t="s">
        <v>2675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/>
      <c r="L51" s="267"/>
    </row>
    <row r="52" spans="1:12" ht="18" customHeight="1">
      <c r="A52" s="263">
        <v>51</v>
      </c>
      <c r="B52" s="269"/>
      <c r="C52" s="264"/>
      <c r="D52" s="264"/>
      <c r="E52" s="264" t="s">
        <v>2675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52</v>
      </c>
      <c r="B53" s="269"/>
      <c r="C53" s="264"/>
      <c r="D53" s="264"/>
      <c r="E53" s="264" t="s">
        <v>2675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53</v>
      </c>
      <c r="B54" s="269"/>
      <c r="C54" s="264"/>
      <c r="D54" s="264"/>
      <c r="E54" s="264" t="s">
        <v>2675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54</v>
      </c>
      <c r="B55" s="269"/>
      <c r="C55" s="264"/>
      <c r="D55" s="264"/>
      <c r="E55" s="264" t="s">
        <v>2675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55</v>
      </c>
      <c r="B56" s="269"/>
      <c r="C56" s="264"/>
      <c r="D56" s="264"/>
      <c r="E56" s="264" t="s">
        <v>2675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>
        <f>J56*10%</f>
        <v>0</v>
      </c>
      <c r="L56" s="267"/>
    </row>
    <row r="57" spans="1:12" ht="18" customHeight="1">
      <c r="A57" s="263">
        <v>56</v>
      </c>
      <c r="B57" s="269"/>
      <c r="C57" s="264"/>
      <c r="D57" s="264"/>
      <c r="E57" s="264" t="s">
        <v>2675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57</v>
      </c>
      <c r="B58" s="269"/>
      <c r="C58" s="264"/>
      <c r="D58" s="264"/>
      <c r="E58" s="264" t="s">
        <v>2675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58</v>
      </c>
      <c r="B59" s="269"/>
      <c r="C59" s="264"/>
      <c r="D59" s="264"/>
      <c r="E59" s="264" t="s">
        <v>2675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/>
      <c r="L59" s="267"/>
    </row>
    <row r="60" spans="1:12" ht="18" customHeight="1">
      <c r="A60" s="263">
        <v>59</v>
      </c>
      <c r="B60" s="269"/>
      <c r="C60" s="264"/>
      <c r="D60" s="264"/>
      <c r="E60" s="264" t="s">
        <v>2675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60</v>
      </c>
      <c r="B61" s="269"/>
      <c r="C61" s="264"/>
      <c r="D61" s="264"/>
      <c r="E61" s="264" t="s">
        <v>2675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61</v>
      </c>
      <c r="B62" s="269"/>
      <c r="C62" s="264"/>
      <c r="D62" s="264"/>
      <c r="E62" s="264" t="s">
        <v>2675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>
        <f>J62*10%</f>
        <v>0</v>
      </c>
      <c r="L62" s="267"/>
    </row>
    <row r="63" spans="1:12" ht="18" customHeight="1">
      <c r="A63" s="263">
        <v>62</v>
      </c>
      <c r="B63" s="269"/>
      <c r="C63" s="264"/>
      <c r="D63" s="264"/>
      <c r="E63" s="264" t="s">
        <v>2675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63</v>
      </c>
      <c r="B64" s="269"/>
      <c r="C64" s="264"/>
      <c r="D64" s="264"/>
      <c r="E64" s="264" t="s">
        <v>2675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64</v>
      </c>
      <c r="B65" s="269"/>
      <c r="C65" s="264"/>
      <c r="D65" s="264"/>
      <c r="E65" s="264" t="s">
        <v>2675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/>
      <c r="L65" s="267"/>
    </row>
    <row r="66" spans="1:12" ht="18" customHeight="1">
      <c r="A66" s="263">
        <v>65</v>
      </c>
      <c r="B66" s="269"/>
      <c r="C66" s="264"/>
      <c r="D66" s="264"/>
      <c r="E66" s="264" t="s">
        <v>2675</v>
      </c>
      <c r="F66" s="265">
        <v>1</v>
      </c>
      <c r="G66" s="265">
        <f t="shared" ref="G66:G129" si="6">L66/F66/1.1</f>
        <v>0</v>
      </c>
      <c r="H66" s="266">
        <f t="shared" ref="H66:H129" si="7">F66*G66</f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66</v>
      </c>
      <c r="B67" s="269"/>
      <c r="C67" s="264"/>
      <c r="D67" s="264"/>
      <c r="E67" s="264" t="s">
        <v>2675</v>
      </c>
      <c r="F67" s="265">
        <v>1</v>
      </c>
      <c r="G67" s="265">
        <f t="shared" si="6"/>
        <v>0</v>
      </c>
      <c r="H67" s="266">
        <f t="shared" si="7"/>
        <v>0</v>
      </c>
      <c r="I67" s="266">
        <f t="shared" ref="I67:I130" si="8">H67*10%</f>
        <v>0</v>
      </c>
      <c r="J67" s="266">
        <f t="shared" ref="J67:J130" si="9">IF(E67="매출",F67*G67,0)</f>
        <v>0</v>
      </c>
      <c r="K67" s="266"/>
      <c r="L67" s="267"/>
    </row>
    <row r="68" spans="1:12" ht="18" customHeight="1">
      <c r="A68" s="263">
        <v>67</v>
      </c>
      <c r="B68" s="269"/>
      <c r="C68" s="264"/>
      <c r="D68" s="264"/>
      <c r="E68" s="264" t="s">
        <v>2675</v>
      </c>
      <c r="F68" s="265">
        <v>1</v>
      </c>
      <c r="G68" s="265">
        <f t="shared" si="6"/>
        <v>0</v>
      </c>
      <c r="H68" s="266">
        <f t="shared" si="7"/>
        <v>0</v>
      </c>
      <c r="I68" s="266">
        <f t="shared" si="8"/>
        <v>0</v>
      </c>
      <c r="J68" s="266">
        <f t="shared" si="9"/>
        <v>0</v>
      </c>
      <c r="K68" s="266">
        <f>J68*10%</f>
        <v>0</v>
      </c>
      <c r="L68" s="267"/>
    </row>
    <row r="69" spans="1:12" ht="18" customHeight="1">
      <c r="A69" s="263">
        <v>68</v>
      </c>
      <c r="B69" s="269"/>
      <c r="C69" s="264"/>
      <c r="D69" s="264"/>
      <c r="E69" s="264" t="s">
        <v>2675</v>
      </c>
      <c r="F69" s="265">
        <v>1</v>
      </c>
      <c r="G69" s="265">
        <f t="shared" si="6"/>
        <v>0</v>
      </c>
      <c r="H69" s="266">
        <f t="shared" si="7"/>
        <v>0</v>
      </c>
      <c r="I69" s="266">
        <f t="shared" si="8"/>
        <v>0</v>
      </c>
      <c r="J69" s="266">
        <f t="shared" si="9"/>
        <v>0</v>
      </c>
      <c r="K69" s="266"/>
      <c r="L69" s="267"/>
    </row>
    <row r="70" spans="1:12" ht="18" customHeight="1">
      <c r="A70" s="263">
        <v>69</v>
      </c>
      <c r="B70" s="269"/>
      <c r="C70" s="264"/>
      <c r="D70" s="264"/>
      <c r="E70" s="264" t="s">
        <v>2675</v>
      </c>
      <c r="F70" s="265">
        <v>1</v>
      </c>
      <c r="G70" s="265">
        <f t="shared" si="6"/>
        <v>0</v>
      </c>
      <c r="H70" s="266">
        <f t="shared" si="7"/>
        <v>0</v>
      </c>
      <c r="I70" s="266">
        <f t="shared" si="8"/>
        <v>0</v>
      </c>
      <c r="J70" s="266">
        <f t="shared" si="9"/>
        <v>0</v>
      </c>
      <c r="K70" s="266"/>
      <c r="L70" s="267"/>
    </row>
    <row r="71" spans="1:12" ht="18" customHeight="1">
      <c r="A71" s="263">
        <v>70</v>
      </c>
      <c r="B71" s="269"/>
      <c r="C71" s="264"/>
      <c r="D71" s="264"/>
      <c r="E71" s="264" t="s">
        <v>2675</v>
      </c>
      <c r="F71" s="265">
        <v>1</v>
      </c>
      <c r="G71" s="265">
        <f t="shared" si="6"/>
        <v>0</v>
      </c>
      <c r="H71" s="266">
        <f t="shared" si="7"/>
        <v>0</v>
      </c>
      <c r="I71" s="266">
        <f t="shared" si="8"/>
        <v>0</v>
      </c>
      <c r="J71" s="266">
        <f t="shared" si="9"/>
        <v>0</v>
      </c>
      <c r="K71" s="266"/>
      <c r="L71" s="267"/>
    </row>
    <row r="72" spans="1:12" ht="18" customHeight="1">
      <c r="A72" s="263">
        <v>71</v>
      </c>
      <c r="B72" s="269"/>
      <c r="C72" s="264"/>
      <c r="D72" s="264"/>
      <c r="E72" s="264" t="s">
        <v>2675</v>
      </c>
      <c r="F72" s="265">
        <v>1</v>
      </c>
      <c r="G72" s="265">
        <f t="shared" si="6"/>
        <v>0</v>
      </c>
      <c r="H72" s="266">
        <f t="shared" si="7"/>
        <v>0</v>
      </c>
      <c r="I72" s="266">
        <f t="shared" si="8"/>
        <v>0</v>
      </c>
      <c r="J72" s="266">
        <f t="shared" si="9"/>
        <v>0</v>
      </c>
      <c r="K72" s="266"/>
      <c r="L72" s="267"/>
    </row>
    <row r="73" spans="1:12" ht="18" customHeight="1">
      <c r="A73" s="263">
        <v>72</v>
      </c>
      <c r="B73" s="269"/>
      <c r="C73" s="264"/>
      <c r="D73" s="264"/>
      <c r="E73" s="264" t="s">
        <v>2675</v>
      </c>
      <c r="F73" s="265">
        <v>1</v>
      </c>
      <c r="G73" s="265">
        <f t="shared" si="6"/>
        <v>0</v>
      </c>
      <c r="H73" s="266">
        <f t="shared" si="7"/>
        <v>0</v>
      </c>
      <c r="I73" s="266">
        <f t="shared" si="8"/>
        <v>0</v>
      </c>
      <c r="J73" s="266">
        <f t="shared" si="9"/>
        <v>0</v>
      </c>
      <c r="K73" s="266"/>
      <c r="L73" s="267"/>
    </row>
    <row r="74" spans="1:12" ht="18" customHeight="1">
      <c r="A74" s="263">
        <v>73</v>
      </c>
      <c r="B74" s="269"/>
      <c r="C74" s="264"/>
      <c r="D74" s="264"/>
      <c r="E74" s="264" t="s">
        <v>2675</v>
      </c>
      <c r="F74" s="265">
        <v>1</v>
      </c>
      <c r="G74" s="265">
        <f t="shared" si="6"/>
        <v>0</v>
      </c>
      <c r="H74" s="266">
        <f t="shared" si="7"/>
        <v>0</v>
      </c>
      <c r="I74" s="266">
        <f t="shared" si="8"/>
        <v>0</v>
      </c>
      <c r="J74" s="266">
        <f t="shared" si="9"/>
        <v>0</v>
      </c>
      <c r="K74" s="266">
        <f>J74*10%</f>
        <v>0</v>
      </c>
      <c r="L74" s="267"/>
    </row>
    <row r="75" spans="1:12" ht="18" customHeight="1">
      <c r="A75" s="263">
        <v>74</v>
      </c>
      <c r="B75" s="269"/>
      <c r="C75" s="264"/>
      <c r="D75" s="264"/>
      <c r="E75" s="264" t="s">
        <v>2675</v>
      </c>
      <c r="F75" s="265">
        <v>1</v>
      </c>
      <c r="G75" s="265">
        <f t="shared" si="6"/>
        <v>0</v>
      </c>
      <c r="H75" s="266">
        <f t="shared" si="7"/>
        <v>0</v>
      </c>
      <c r="I75" s="266">
        <f t="shared" si="8"/>
        <v>0</v>
      </c>
      <c r="J75" s="266">
        <f t="shared" si="9"/>
        <v>0</v>
      </c>
      <c r="K75" s="266"/>
      <c r="L75" s="267"/>
    </row>
    <row r="76" spans="1:12" ht="18" customHeight="1">
      <c r="A76" s="263">
        <v>75</v>
      </c>
      <c r="B76" s="269"/>
      <c r="C76" s="264"/>
      <c r="D76" s="264"/>
      <c r="E76" s="264" t="s">
        <v>2675</v>
      </c>
      <c r="F76" s="265">
        <v>1</v>
      </c>
      <c r="G76" s="265">
        <f t="shared" si="6"/>
        <v>0</v>
      </c>
      <c r="H76" s="266">
        <f t="shared" si="7"/>
        <v>0</v>
      </c>
      <c r="I76" s="266">
        <f t="shared" si="8"/>
        <v>0</v>
      </c>
      <c r="J76" s="266">
        <f t="shared" si="9"/>
        <v>0</v>
      </c>
      <c r="K76" s="266"/>
      <c r="L76" s="267"/>
    </row>
    <row r="77" spans="1:12" ht="18" customHeight="1">
      <c r="A77" s="263">
        <v>76</v>
      </c>
      <c r="B77" s="269"/>
      <c r="C77" s="264"/>
      <c r="D77" s="264"/>
      <c r="E77" s="264" t="s">
        <v>2675</v>
      </c>
      <c r="F77" s="265">
        <v>1</v>
      </c>
      <c r="G77" s="265">
        <f t="shared" si="6"/>
        <v>0</v>
      </c>
      <c r="H77" s="266">
        <f t="shared" si="7"/>
        <v>0</v>
      </c>
      <c r="I77" s="266">
        <f t="shared" si="8"/>
        <v>0</v>
      </c>
      <c r="J77" s="266">
        <f t="shared" si="9"/>
        <v>0</v>
      </c>
      <c r="K77" s="266"/>
      <c r="L77" s="267"/>
    </row>
    <row r="78" spans="1:12" ht="18" customHeight="1">
      <c r="A78" s="263">
        <v>77</v>
      </c>
      <c r="B78" s="269"/>
      <c r="C78" s="264"/>
      <c r="D78" s="264"/>
      <c r="E78" s="264" t="s">
        <v>2675</v>
      </c>
      <c r="F78" s="265">
        <v>1</v>
      </c>
      <c r="G78" s="265">
        <f t="shared" si="6"/>
        <v>0</v>
      </c>
      <c r="H78" s="266">
        <f t="shared" si="7"/>
        <v>0</v>
      </c>
      <c r="I78" s="266">
        <f t="shared" si="8"/>
        <v>0</v>
      </c>
      <c r="J78" s="266">
        <f t="shared" si="9"/>
        <v>0</v>
      </c>
      <c r="K78" s="266"/>
      <c r="L78" s="267"/>
    </row>
    <row r="79" spans="1:12" ht="18" customHeight="1">
      <c r="A79" s="263">
        <v>78</v>
      </c>
      <c r="B79" s="269"/>
      <c r="C79" s="264"/>
      <c r="D79" s="264"/>
      <c r="E79" s="264" t="s">
        <v>2675</v>
      </c>
      <c r="F79" s="265">
        <v>1</v>
      </c>
      <c r="G79" s="265">
        <f t="shared" si="6"/>
        <v>0</v>
      </c>
      <c r="H79" s="266">
        <f t="shared" si="7"/>
        <v>0</v>
      </c>
      <c r="I79" s="266">
        <f t="shared" si="8"/>
        <v>0</v>
      </c>
      <c r="J79" s="266">
        <f t="shared" si="9"/>
        <v>0</v>
      </c>
      <c r="K79" s="266"/>
      <c r="L79" s="267"/>
    </row>
    <row r="80" spans="1:12" ht="18" customHeight="1">
      <c r="A80" s="263">
        <v>79</v>
      </c>
      <c r="B80" s="269"/>
      <c r="C80" s="264"/>
      <c r="D80" s="264"/>
      <c r="E80" s="264" t="s">
        <v>2675</v>
      </c>
      <c r="F80" s="265">
        <v>1</v>
      </c>
      <c r="G80" s="265">
        <f t="shared" si="6"/>
        <v>0</v>
      </c>
      <c r="H80" s="266">
        <f t="shared" si="7"/>
        <v>0</v>
      </c>
      <c r="I80" s="266">
        <f t="shared" si="8"/>
        <v>0</v>
      </c>
      <c r="J80" s="266">
        <f t="shared" si="9"/>
        <v>0</v>
      </c>
      <c r="K80" s="266">
        <f>J80*10%</f>
        <v>0</v>
      </c>
      <c r="L80" s="267"/>
    </row>
    <row r="81" spans="1:12" ht="18" customHeight="1">
      <c r="A81" s="263"/>
      <c r="B81" s="269"/>
      <c r="C81" s="264"/>
      <c r="D81" s="264"/>
      <c r="E81" s="264" t="s">
        <v>2675</v>
      </c>
      <c r="F81" s="265">
        <v>1</v>
      </c>
      <c r="G81" s="265">
        <f t="shared" si="6"/>
        <v>0</v>
      </c>
      <c r="H81" s="266">
        <f t="shared" si="7"/>
        <v>0</v>
      </c>
      <c r="I81" s="266">
        <f t="shared" si="8"/>
        <v>0</v>
      </c>
      <c r="J81" s="266">
        <f t="shared" si="9"/>
        <v>0</v>
      </c>
      <c r="K81" s="266"/>
      <c r="L81" s="267"/>
    </row>
    <row r="82" spans="1:12" ht="18" customHeight="1">
      <c r="A82" s="263"/>
      <c r="B82" s="269"/>
      <c r="C82" s="264"/>
      <c r="D82" s="264"/>
      <c r="E82" s="264" t="s">
        <v>2675</v>
      </c>
      <c r="F82" s="265">
        <v>1</v>
      </c>
      <c r="G82" s="265">
        <f t="shared" si="6"/>
        <v>0</v>
      </c>
      <c r="H82" s="266">
        <f t="shared" si="7"/>
        <v>0</v>
      </c>
      <c r="I82" s="266">
        <f t="shared" si="8"/>
        <v>0</v>
      </c>
      <c r="J82" s="266">
        <f t="shared" si="9"/>
        <v>0</v>
      </c>
      <c r="K82" s="266"/>
      <c r="L82" s="267"/>
    </row>
    <row r="83" spans="1:12" ht="18" customHeight="1">
      <c r="A83" s="263"/>
      <c r="B83" s="269"/>
      <c r="C83" s="264"/>
      <c r="D83" s="264"/>
      <c r="E83" s="264" t="s">
        <v>2675</v>
      </c>
      <c r="F83" s="265">
        <v>1</v>
      </c>
      <c r="G83" s="265">
        <f t="shared" si="6"/>
        <v>0</v>
      </c>
      <c r="H83" s="266">
        <f t="shared" si="7"/>
        <v>0</v>
      </c>
      <c r="I83" s="266">
        <f t="shared" si="8"/>
        <v>0</v>
      </c>
      <c r="J83" s="266">
        <f t="shared" si="9"/>
        <v>0</v>
      </c>
      <c r="K83" s="266"/>
      <c r="L83" s="267"/>
    </row>
    <row r="84" spans="1:12" ht="18" customHeight="1">
      <c r="A84" s="263"/>
      <c r="B84" s="269"/>
      <c r="C84" s="264"/>
      <c r="D84" s="264"/>
      <c r="E84" s="264" t="s">
        <v>2675</v>
      </c>
      <c r="F84" s="265">
        <v>1</v>
      </c>
      <c r="G84" s="265">
        <f t="shared" si="6"/>
        <v>0</v>
      </c>
      <c r="H84" s="266">
        <f t="shared" si="7"/>
        <v>0</v>
      </c>
      <c r="I84" s="266">
        <f t="shared" si="8"/>
        <v>0</v>
      </c>
      <c r="J84" s="266">
        <f t="shared" si="9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2675</v>
      </c>
      <c r="F85" s="265">
        <v>1</v>
      </c>
      <c r="G85" s="265">
        <f t="shared" si="6"/>
        <v>0</v>
      </c>
      <c r="H85" s="266">
        <f t="shared" si="7"/>
        <v>0</v>
      </c>
      <c r="I85" s="266">
        <f t="shared" si="8"/>
        <v>0</v>
      </c>
      <c r="J85" s="266">
        <f t="shared" si="9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2675</v>
      </c>
      <c r="F86" s="265">
        <v>1</v>
      </c>
      <c r="G86" s="265">
        <f t="shared" si="6"/>
        <v>0</v>
      </c>
      <c r="H86" s="266">
        <f t="shared" si="7"/>
        <v>0</v>
      </c>
      <c r="I86" s="266">
        <f t="shared" si="8"/>
        <v>0</v>
      </c>
      <c r="J86" s="266">
        <f t="shared" si="9"/>
        <v>0</v>
      </c>
      <c r="K86" s="266">
        <f>J86*10%</f>
        <v>0</v>
      </c>
      <c r="L86" s="267"/>
    </row>
    <row r="87" spans="1:12" ht="18" customHeight="1">
      <c r="A87" s="263"/>
      <c r="B87" s="269"/>
      <c r="C87" s="264"/>
      <c r="D87" s="264"/>
      <c r="E87" s="264" t="s">
        <v>2672</v>
      </c>
      <c r="F87" s="265">
        <v>1</v>
      </c>
      <c r="G87" s="265">
        <f t="shared" si="6"/>
        <v>0</v>
      </c>
      <c r="H87" s="266">
        <f t="shared" si="7"/>
        <v>0</v>
      </c>
      <c r="I87" s="266">
        <f t="shared" si="8"/>
        <v>0</v>
      </c>
      <c r="J87" s="266">
        <f t="shared" si="9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2675</v>
      </c>
      <c r="F88" s="265">
        <v>1</v>
      </c>
      <c r="G88" s="265">
        <f t="shared" si="6"/>
        <v>0</v>
      </c>
      <c r="H88" s="266">
        <f t="shared" si="7"/>
        <v>0</v>
      </c>
      <c r="I88" s="266">
        <f t="shared" si="8"/>
        <v>0</v>
      </c>
      <c r="J88" s="266">
        <f t="shared" si="9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2675</v>
      </c>
      <c r="F89" s="265">
        <v>1</v>
      </c>
      <c r="G89" s="265">
        <f t="shared" si="6"/>
        <v>0</v>
      </c>
      <c r="H89" s="266">
        <f t="shared" si="7"/>
        <v>0</v>
      </c>
      <c r="I89" s="266">
        <f t="shared" si="8"/>
        <v>0</v>
      </c>
      <c r="J89" s="266">
        <f t="shared" si="9"/>
        <v>0</v>
      </c>
      <c r="K89" s="266"/>
      <c r="L89" s="267"/>
    </row>
    <row r="90" spans="1:12" ht="18" customHeight="1">
      <c r="A90" s="263"/>
      <c r="B90" s="269"/>
      <c r="C90" s="264"/>
      <c r="D90" s="264"/>
      <c r="E90" s="264" t="s">
        <v>2675</v>
      </c>
      <c r="F90" s="265">
        <v>1</v>
      </c>
      <c r="G90" s="265">
        <f t="shared" si="6"/>
        <v>0</v>
      </c>
      <c r="H90" s="266">
        <f t="shared" si="7"/>
        <v>0</v>
      </c>
      <c r="I90" s="266">
        <f t="shared" si="8"/>
        <v>0</v>
      </c>
      <c r="J90" s="266">
        <f t="shared" si="9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2675</v>
      </c>
      <c r="F91" s="265">
        <v>1</v>
      </c>
      <c r="G91" s="265">
        <f t="shared" si="6"/>
        <v>0</v>
      </c>
      <c r="H91" s="266">
        <f t="shared" si="7"/>
        <v>0</v>
      </c>
      <c r="I91" s="266">
        <f t="shared" si="8"/>
        <v>0</v>
      </c>
      <c r="J91" s="266">
        <f t="shared" si="9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2675</v>
      </c>
      <c r="F92" s="265">
        <v>1</v>
      </c>
      <c r="G92" s="265">
        <f t="shared" si="6"/>
        <v>0</v>
      </c>
      <c r="H92" s="266">
        <f t="shared" si="7"/>
        <v>0</v>
      </c>
      <c r="I92" s="266">
        <f t="shared" si="8"/>
        <v>0</v>
      </c>
      <c r="J92" s="266">
        <f t="shared" si="9"/>
        <v>0</v>
      </c>
      <c r="K92" s="266">
        <f>J92*10%</f>
        <v>0</v>
      </c>
      <c r="L92" s="267"/>
    </row>
    <row r="93" spans="1:12" ht="18" customHeight="1">
      <c r="A93" s="263"/>
      <c r="B93" s="269"/>
      <c r="C93" s="264"/>
      <c r="D93" s="264"/>
      <c r="E93" s="264" t="s">
        <v>2675</v>
      </c>
      <c r="F93" s="265">
        <v>1</v>
      </c>
      <c r="G93" s="265">
        <f t="shared" si="6"/>
        <v>0</v>
      </c>
      <c r="H93" s="266">
        <f t="shared" si="7"/>
        <v>0</v>
      </c>
      <c r="I93" s="266">
        <f t="shared" si="8"/>
        <v>0</v>
      </c>
      <c r="J93" s="266">
        <f t="shared" si="9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2675</v>
      </c>
      <c r="F94" s="265">
        <v>1</v>
      </c>
      <c r="G94" s="265">
        <f t="shared" si="6"/>
        <v>0</v>
      </c>
      <c r="H94" s="266">
        <f t="shared" si="7"/>
        <v>0</v>
      </c>
      <c r="I94" s="266">
        <f t="shared" si="8"/>
        <v>0</v>
      </c>
      <c r="J94" s="266">
        <f t="shared" si="9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2675</v>
      </c>
      <c r="F95" s="265">
        <v>1</v>
      </c>
      <c r="G95" s="265">
        <f t="shared" si="6"/>
        <v>0</v>
      </c>
      <c r="H95" s="266">
        <f t="shared" si="7"/>
        <v>0</v>
      </c>
      <c r="I95" s="266">
        <f t="shared" si="8"/>
        <v>0</v>
      </c>
      <c r="J95" s="266">
        <f t="shared" si="9"/>
        <v>0</v>
      </c>
      <c r="K95" s="266"/>
      <c r="L95" s="267"/>
    </row>
    <row r="96" spans="1:12" ht="18" customHeight="1">
      <c r="A96" s="263"/>
      <c r="B96" s="269"/>
      <c r="C96" s="264"/>
      <c r="D96" s="264"/>
      <c r="E96" s="264" t="s">
        <v>2675</v>
      </c>
      <c r="F96" s="265">
        <v>1</v>
      </c>
      <c r="G96" s="265">
        <f t="shared" si="6"/>
        <v>0</v>
      </c>
      <c r="H96" s="266">
        <f t="shared" si="7"/>
        <v>0</v>
      </c>
      <c r="I96" s="266">
        <f t="shared" si="8"/>
        <v>0</v>
      </c>
      <c r="J96" s="266">
        <f t="shared" si="9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2675</v>
      </c>
      <c r="F97" s="265">
        <v>1</v>
      </c>
      <c r="G97" s="265">
        <f t="shared" si="6"/>
        <v>0</v>
      </c>
      <c r="H97" s="266">
        <f t="shared" si="7"/>
        <v>0</v>
      </c>
      <c r="I97" s="266">
        <f t="shared" si="8"/>
        <v>0</v>
      </c>
      <c r="J97" s="266">
        <f t="shared" si="9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2675</v>
      </c>
      <c r="F98" s="265">
        <v>1</v>
      </c>
      <c r="G98" s="265">
        <f t="shared" si="6"/>
        <v>0</v>
      </c>
      <c r="H98" s="266">
        <f t="shared" si="7"/>
        <v>0</v>
      </c>
      <c r="I98" s="266">
        <f t="shared" si="8"/>
        <v>0</v>
      </c>
      <c r="J98" s="266">
        <f t="shared" si="9"/>
        <v>0</v>
      </c>
      <c r="K98" s="266">
        <f>J98*10%</f>
        <v>0</v>
      </c>
      <c r="L98" s="267"/>
    </row>
    <row r="99" spans="1:12" ht="18" customHeight="1">
      <c r="A99" s="263"/>
      <c r="B99" s="269"/>
      <c r="C99" s="264"/>
      <c r="D99" s="264"/>
      <c r="E99" s="264" t="s">
        <v>2675</v>
      </c>
      <c r="F99" s="265">
        <v>1</v>
      </c>
      <c r="G99" s="265">
        <f t="shared" si="6"/>
        <v>0</v>
      </c>
      <c r="H99" s="266">
        <f t="shared" si="7"/>
        <v>0</v>
      </c>
      <c r="I99" s="266">
        <f t="shared" si="8"/>
        <v>0</v>
      </c>
      <c r="J99" s="266">
        <f t="shared" si="9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2675</v>
      </c>
      <c r="F100" s="265">
        <v>1</v>
      </c>
      <c r="G100" s="265">
        <f t="shared" si="6"/>
        <v>0</v>
      </c>
      <c r="H100" s="266">
        <f t="shared" si="7"/>
        <v>0</v>
      </c>
      <c r="I100" s="266">
        <f t="shared" si="8"/>
        <v>0</v>
      </c>
      <c r="J100" s="266">
        <f t="shared" si="9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2675</v>
      </c>
      <c r="F101" s="265">
        <v>1</v>
      </c>
      <c r="G101" s="265">
        <f t="shared" si="6"/>
        <v>0</v>
      </c>
      <c r="H101" s="266">
        <f t="shared" si="7"/>
        <v>0</v>
      </c>
      <c r="I101" s="266">
        <f t="shared" si="8"/>
        <v>0</v>
      </c>
      <c r="J101" s="266">
        <f t="shared" si="9"/>
        <v>0</v>
      </c>
      <c r="K101" s="266"/>
      <c r="L101" s="267"/>
    </row>
    <row r="102" spans="1:12" ht="18" customHeight="1">
      <c r="A102" s="263"/>
      <c r="B102" s="269"/>
      <c r="C102" s="264"/>
      <c r="D102" s="264"/>
      <c r="E102" s="264" t="s">
        <v>2675</v>
      </c>
      <c r="F102" s="265">
        <v>1</v>
      </c>
      <c r="G102" s="265">
        <f t="shared" si="6"/>
        <v>0</v>
      </c>
      <c r="H102" s="266">
        <f t="shared" si="7"/>
        <v>0</v>
      </c>
      <c r="I102" s="266">
        <f t="shared" si="8"/>
        <v>0</v>
      </c>
      <c r="J102" s="266">
        <f t="shared" si="9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2675</v>
      </c>
      <c r="F103" s="265">
        <v>1</v>
      </c>
      <c r="G103" s="265">
        <f t="shared" si="6"/>
        <v>0</v>
      </c>
      <c r="H103" s="266">
        <f t="shared" si="7"/>
        <v>0</v>
      </c>
      <c r="I103" s="266">
        <f t="shared" si="8"/>
        <v>0</v>
      </c>
      <c r="J103" s="266">
        <f t="shared" si="9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2675</v>
      </c>
      <c r="F104" s="265">
        <v>1</v>
      </c>
      <c r="G104" s="265">
        <f t="shared" si="6"/>
        <v>0</v>
      </c>
      <c r="H104" s="266">
        <f t="shared" si="7"/>
        <v>0</v>
      </c>
      <c r="I104" s="266">
        <f t="shared" si="8"/>
        <v>0</v>
      </c>
      <c r="J104" s="266">
        <f t="shared" si="9"/>
        <v>0</v>
      </c>
      <c r="K104" s="266">
        <f>J104*10%</f>
        <v>0</v>
      </c>
      <c r="L104" s="267"/>
    </row>
    <row r="105" spans="1:12" ht="18" customHeight="1">
      <c r="A105" s="263"/>
      <c r="B105" s="269"/>
      <c r="C105" s="264"/>
      <c r="D105" s="264"/>
      <c r="E105" s="264" t="s">
        <v>2675</v>
      </c>
      <c r="F105" s="265">
        <v>1</v>
      </c>
      <c r="G105" s="265">
        <f t="shared" si="6"/>
        <v>0</v>
      </c>
      <c r="H105" s="266">
        <f t="shared" si="7"/>
        <v>0</v>
      </c>
      <c r="I105" s="266">
        <f t="shared" si="8"/>
        <v>0</v>
      </c>
      <c r="J105" s="266">
        <f t="shared" si="9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2675</v>
      </c>
      <c r="F106" s="265">
        <v>1</v>
      </c>
      <c r="G106" s="265">
        <f t="shared" si="6"/>
        <v>0</v>
      </c>
      <c r="H106" s="266">
        <f t="shared" si="7"/>
        <v>0</v>
      </c>
      <c r="I106" s="266">
        <f t="shared" si="8"/>
        <v>0</v>
      </c>
      <c r="J106" s="266">
        <f t="shared" si="9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2675</v>
      </c>
      <c r="F107" s="265">
        <v>1</v>
      </c>
      <c r="G107" s="265">
        <f t="shared" si="6"/>
        <v>0</v>
      </c>
      <c r="H107" s="266">
        <f t="shared" si="7"/>
        <v>0</v>
      </c>
      <c r="I107" s="266">
        <f t="shared" si="8"/>
        <v>0</v>
      </c>
      <c r="J107" s="266">
        <f t="shared" si="9"/>
        <v>0</v>
      </c>
      <c r="K107" s="266"/>
      <c r="L107" s="267"/>
    </row>
    <row r="108" spans="1:12" ht="18" customHeight="1">
      <c r="A108" s="263"/>
      <c r="B108" s="269"/>
      <c r="C108" s="264"/>
      <c r="D108" s="264"/>
      <c r="E108" s="264" t="s">
        <v>2675</v>
      </c>
      <c r="F108" s="265">
        <v>1</v>
      </c>
      <c r="G108" s="265">
        <f t="shared" si="6"/>
        <v>0</v>
      </c>
      <c r="H108" s="266">
        <f t="shared" si="7"/>
        <v>0</v>
      </c>
      <c r="I108" s="266">
        <f t="shared" si="8"/>
        <v>0</v>
      </c>
      <c r="J108" s="266">
        <f t="shared" si="9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2675</v>
      </c>
      <c r="F109" s="265">
        <v>1</v>
      </c>
      <c r="G109" s="265">
        <f t="shared" si="6"/>
        <v>0</v>
      </c>
      <c r="H109" s="266">
        <f t="shared" si="7"/>
        <v>0</v>
      </c>
      <c r="I109" s="266">
        <f t="shared" si="8"/>
        <v>0</v>
      </c>
      <c r="J109" s="266">
        <f t="shared" si="9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2675</v>
      </c>
      <c r="F110" s="265">
        <v>1</v>
      </c>
      <c r="G110" s="265">
        <f t="shared" si="6"/>
        <v>0</v>
      </c>
      <c r="H110" s="266">
        <f t="shared" si="7"/>
        <v>0</v>
      </c>
      <c r="I110" s="266">
        <f t="shared" si="8"/>
        <v>0</v>
      </c>
      <c r="J110" s="266">
        <f t="shared" si="9"/>
        <v>0</v>
      </c>
      <c r="K110" s="266">
        <f>J110*10%</f>
        <v>0</v>
      </c>
      <c r="L110" s="267"/>
    </row>
    <row r="111" spans="1:12" ht="18" customHeight="1">
      <c r="A111" s="263"/>
      <c r="B111" s="269"/>
      <c r="C111" s="264"/>
      <c r="D111" s="264"/>
      <c r="E111" s="264" t="s">
        <v>2675</v>
      </c>
      <c r="F111" s="265">
        <v>1</v>
      </c>
      <c r="G111" s="265">
        <f t="shared" si="6"/>
        <v>0</v>
      </c>
      <c r="H111" s="266">
        <f t="shared" si="7"/>
        <v>0</v>
      </c>
      <c r="I111" s="266">
        <f t="shared" si="8"/>
        <v>0</v>
      </c>
      <c r="J111" s="266">
        <f t="shared" si="9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2675</v>
      </c>
      <c r="F112" s="265">
        <v>1</v>
      </c>
      <c r="G112" s="265">
        <f t="shared" si="6"/>
        <v>0</v>
      </c>
      <c r="H112" s="266">
        <f t="shared" si="7"/>
        <v>0</v>
      </c>
      <c r="I112" s="266">
        <f t="shared" si="8"/>
        <v>0</v>
      </c>
      <c r="J112" s="266">
        <f t="shared" si="9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2675</v>
      </c>
      <c r="F113" s="265">
        <v>1</v>
      </c>
      <c r="G113" s="265">
        <f t="shared" si="6"/>
        <v>0</v>
      </c>
      <c r="H113" s="266">
        <f t="shared" si="7"/>
        <v>0</v>
      </c>
      <c r="I113" s="266">
        <f t="shared" si="8"/>
        <v>0</v>
      </c>
      <c r="J113" s="266">
        <f t="shared" si="9"/>
        <v>0</v>
      </c>
      <c r="K113" s="266"/>
      <c r="L113" s="267"/>
    </row>
    <row r="114" spans="1:12" ht="18" customHeight="1">
      <c r="A114" s="263"/>
      <c r="B114" s="269"/>
      <c r="C114" s="264"/>
      <c r="D114" s="264"/>
      <c r="E114" s="264" t="s">
        <v>2675</v>
      </c>
      <c r="F114" s="265">
        <v>1</v>
      </c>
      <c r="G114" s="265">
        <f t="shared" si="6"/>
        <v>0</v>
      </c>
      <c r="H114" s="266">
        <f t="shared" si="7"/>
        <v>0</v>
      </c>
      <c r="I114" s="266">
        <f t="shared" si="8"/>
        <v>0</v>
      </c>
      <c r="J114" s="266">
        <f t="shared" si="9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2675</v>
      </c>
      <c r="F115" s="265">
        <v>1</v>
      </c>
      <c r="G115" s="265">
        <f t="shared" si="6"/>
        <v>0</v>
      </c>
      <c r="H115" s="266">
        <f t="shared" si="7"/>
        <v>0</v>
      </c>
      <c r="I115" s="266">
        <f t="shared" si="8"/>
        <v>0</v>
      </c>
      <c r="J115" s="266">
        <f t="shared" si="9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2675</v>
      </c>
      <c r="F116" s="265">
        <v>1</v>
      </c>
      <c r="G116" s="265">
        <f t="shared" si="6"/>
        <v>0</v>
      </c>
      <c r="H116" s="266">
        <f t="shared" si="7"/>
        <v>0</v>
      </c>
      <c r="I116" s="266">
        <f t="shared" si="8"/>
        <v>0</v>
      </c>
      <c r="J116" s="266">
        <f t="shared" si="9"/>
        <v>0</v>
      </c>
      <c r="K116" s="266">
        <f>J116*10%</f>
        <v>0</v>
      </c>
      <c r="L116" s="267"/>
    </row>
    <row r="117" spans="1:12" ht="18" customHeight="1">
      <c r="A117" s="263"/>
      <c r="B117" s="269"/>
      <c r="C117" s="264"/>
      <c r="D117" s="264"/>
      <c r="E117" s="264" t="s">
        <v>2675</v>
      </c>
      <c r="F117" s="265">
        <v>1</v>
      </c>
      <c r="G117" s="265">
        <f t="shared" si="6"/>
        <v>0</v>
      </c>
      <c r="H117" s="266">
        <f t="shared" si="7"/>
        <v>0</v>
      </c>
      <c r="I117" s="266">
        <f t="shared" si="8"/>
        <v>0</v>
      </c>
      <c r="J117" s="266">
        <f t="shared" si="9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2675</v>
      </c>
      <c r="F118" s="265">
        <v>1</v>
      </c>
      <c r="G118" s="265">
        <f t="shared" si="6"/>
        <v>0</v>
      </c>
      <c r="H118" s="266">
        <f t="shared" si="7"/>
        <v>0</v>
      </c>
      <c r="I118" s="266">
        <f t="shared" si="8"/>
        <v>0</v>
      </c>
      <c r="J118" s="266">
        <f t="shared" si="9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2675</v>
      </c>
      <c r="F119" s="265">
        <v>1</v>
      </c>
      <c r="G119" s="265">
        <f t="shared" si="6"/>
        <v>0</v>
      </c>
      <c r="H119" s="266">
        <f t="shared" si="7"/>
        <v>0</v>
      </c>
      <c r="I119" s="266">
        <f t="shared" si="8"/>
        <v>0</v>
      </c>
      <c r="J119" s="266">
        <f t="shared" si="9"/>
        <v>0</v>
      </c>
      <c r="K119" s="266"/>
      <c r="L119" s="267"/>
    </row>
    <row r="120" spans="1:12" ht="18" customHeight="1">
      <c r="A120" s="263"/>
      <c r="B120" s="269"/>
      <c r="C120" s="264"/>
      <c r="D120" s="264"/>
      <c r="E120" s="264" t="s">
        <v>2675</v>
      </c>
      <c r="F120" s="265">
        <v>1</v>
      </c>
      <c r="G120" s="265">
        <f t="shared" si="6"/>
        <v>0</v>
      </c>
      <c r="H120" s="266">
        <f t="shared" si="7"/>
        <v>0</v>
      </c>
      <c r="I120" s="266">
        <f t="shared" si="8"/>
        <v>0</v>
      </c>
      <c r="J120" s="266">
        <f t="shared" si="9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2675</v>
      </c>
      <c r="F121" s="265">
        <v>1</v>
      </c>
      <c r="G121" s="265">
        <f t="shared" si="6"/>
        <v>0</v>
      </c>
      <c r="H121" s="266">
        <f t="shared" si="7"/>
        <v>0</v>
      </c>
      <c r="I121" s="266">
        <f t="shared" si="8"/>
        <v>0</v>
      </c>
      <c r="J121" s="266">
        <f t="shared" si="9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2675</v>
      </c>
      <c r="F122" s="265">
        <v>1</v>
      </c>
      <c r="G122" s="265">
        <f t="shared" si="6"/>
        <v>0</v>
      </c>
      <c r="H122" s="266">
        <f t="shared" si="7"/>
        <v>0</v>
      </c>
      <c r="I122" s="266">
        <f t="shared" si="8"/>
        <v>0</v>
      </c>
      <c r="J122" s="266">
        <f t="shared" si="9"/>
        <v>0</v>
      </c>
      <c r="K122" s="266">
        <f>J122*10%</f>
        <v>0</v>
      </c>
      <c r="L122" s="267"/>
    </row>
    <row r="123" spans="1:12" ht="18" customHeight="1">
      <c r="A123" s="263"/>
      <c r="B123" s="269"/>
      <c r="C123" s="264"/>
      <c r="D123" s="264"/>
      <c r="E123" s="264" t="s">
        <v>2675</v>
      </c>
      <c r="F123" s="265">
        <v>1</v>
      </c>
      <c r="G123" s="265">
        <f t="shared" si="6"/>
        <v>0</v>
      </c>
      <c r="H123" s="266">
        <f t="shared" si="7"/>
        <v>0</v>
      </c>
      <c r="I123" s="266">
        <f t="shared" si="8"/>
        <v>0</v>
      </c>
      <c r="J123" s="266">
        <f t="shared" si="9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2675</v>
      </c>
      <c r="F124" s="265">
        <v>1</v>
      </c>
      <c r="G124" s="265">
        <f t="shared" si="6"/>
        <v>0</v>
      </c>
      <c r="H124" s="266">
        <f t="shared" si="7"/>
        <v>0</v>
      </c>
      <c r="I124" s="266">
        <f t="shared" si="8"/>
        <v>0</v>
      </c>
      <c r="J124" s="266">
        <f t="shared" si="9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2675</v>
      </c>
      <c r="F125" s="265">
        <v>1</v>
      </c>
      <c r="G125" s="265">
        <f t="shared" si="6"/>
        <v>0</v>
      </c>
      <c r="H125" s="266">
        <f t="shared" si="7"/>
        <v>0</v>
      </c>
      <c r="I125" s="266">
        <f t="shared" si="8"/>
        <v>0</v>
      </c>
      <c r="J125" s="266">
        <f t="shared" si="9"/>
        <v>0</v>
      </c>
      <c r="K125" s="266"/>
      <c r="L125" s="267"/>
    </row>
    <row r="126" spans="1:12" ht="18" customHeight="1">
      <c r="A126" s="263"/>
      <c r="B126" s="269"/>
      <c r="C126" s="264"/>
      <c r="D126" s="264"/>
      <c r="E126" s="264" t="s">
        <v>2675</v>
      </c>
      <c r="F126" s="265">
        <v>1</v>
      </c>
      <c r="G126" s="265">
        <f t="shared" si="6"/>
        <v>0</v>
      </c>
      <c r="H126" s="266">
        <f t="shared" si="7"/>
        <v>0</v>
      </c>
      <c r="I126" s="266">
        <f t="shared" si="8"/>
        <v>0</v>
      </c>
      <c r="J126" s="266">
        <f t="shared" si="9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2675</v>
      </c>
      <c r="F127" s="265">
        <v>1</v>
      </c>
      <c r="G127" s="265">
        <f t="shared" si="6"/>
        <v>0</v>
      </c>
      <c r="H127" s="266">
        <f t="shared" si="7"/>
        <v>0</v>
      </c>
      <c r="I127" s="266">
        <f t="shared" si="8"/>
        <v>0</v>
      </c>
      <c r="J127" s="266">
        <f t="shared" si="9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2675</v>
      </c>
      <c r="F128" s="265">
        <v>1</v>
      </c>
      <c r="G128" s="265">
        <f t="shared" si="6"/>
        <v>0</v>
      </c>
      <c r="H128" s="266">
        <f t="shared" si="7"/>
        <v>0</v>
      </c>
      <c r="I128" s="266">
        <f t="shared" si="8"/>
        <v>0</v>
      </c>
      <c r="J128" s="266">
        <f t="shared" si="9"/>
        <v>0</v>
      </c>
      <c r="K128" s="266">
        <f>J128*10%</f>
        <v>0</v>
      </c>
      <c r="L128" s="267"/>
    </row>
    <row r="129" spans="1:12" ht="18" customHeight="1">
      <c r="A129" s="263"/>
      <c r="B129" s="269"/>
      <c r="C129" s="264"/>
      <c r="D129" s="264"/>
      <c r="E129" s="264" t="s">
        <v>2675</v>
      </c>
      <c r="F129" s="265">
        <v>1</v>
      </c>
      <c r="G129" s="265">
        <f t="shared" si="6"/>
        <v>0</v>
      </c>
      <c r="H129" s="266">
        <f t="shared" si="7"/>
        <v>0</v>
      </c>
      <c r="I129" s="266">
        <f t="shared" si="8"/>
        <v>0</v>
      </c>
      <c r="J129" s="266">
        <f t="shared" si="9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2675</v>
      </c>
      <c r="F130" s="265">
        <v>1</v>
      </c>
      <c r="G130" s="265">
        <f t="shared" ref="G130:G146" si="10">L130/F130/1.1</f>
        <v>0</v>
      </c>
      <c r="H130" s="266">
        <f t="shared" ref="H130:H146" si="11">F130*G130</f>
        <v>0</v>
      </c>
      <c r="I130" s="266">
        <f t="shared" si="8"/>
        <v>0</v>
      </c>
      <c r="J130" s="266">
        <f t="shared" si="9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2675</v>
      </c>
      <c r="F131" s="265">
        <v>1</v>
      </c>
      <c r="G131" s="265">
        <f t="shared" si="10"/>
        <v>0</v>
      </c>
      <c r="H131" s="266">
        <f t="shared" si="11"/>
        <v>0</v>
      </c>
      <c r="I131" s="266">
        <f t="shared" ref="I131:I146" si="12">H131*10%</f>
        <v>0</v>
      </c>
      <c r="J131" s="266">
        <f t="shared" ref="J131:J146" si="13">IF(E131="매출",F131*G131,0)</f>
        <v>0</v>
      </c>
      <c r="K131" s="266"/>
      <c r="L131" s="267"/>
    </row>
    <row r="132" spans="1:12" ht="18" customHeight="1">
      <c r="A132" s="263"/>
      <c r="B132" s="269"/>
      <c r="C132" s="264"/>
      <c r="D132" s="264"/>
      <c r="E132" s="264" t="s">
        <v>2675</v>
      </c>
      <c r="F132" s="265">
        <v>1</v>
      </c>
      <c r="G132" s="265">
        <f t="shared" si="10"/>
        <v>0</v>
      </c>
      <c r="H132" s="266">
        <f t="shared" si="11"/>
        <v>0</v>
      </c>
      <c r="I132" s="266">
        <f t="shared" si="12"/>
        <v>0</v>
      </c>
      <c r="J132" s="266">
        <f t="shared" si="13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/>
      <c r="F133" s="265"/>
      <c r="G133" s="265" t="e">
        <f t="shared" si="10"/>
        <v>#DIV/0!</v>
      </c>
      <c r="H133" s="266" t="e">
        <f t="shared" si="11"/>
        <v>#DIV/0!</v>
      </c>
      <c r="I133" s="266" t="e">
        <f t="shared" si="12"/>
        <v>#DIV/0!</v>
      </c>
      <c r="J133" s="266">
        <f t="shared" si="13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/>
      <c r="F134" s="265"/>
      <c r="G134" s="265" t="e">
        <f t="shared" si="10"/>
        <v>#DIV/0!</v>
      </c>
      <c r="H134" s="266" t="e">
        <f t="shared" si="11"/>
        <v>#DIV/0!</v>
      </c>
      <c r="I134" s="266" t="e">
        <f t="shared" si="12"/>
        <v>#DIV/0!</v>
      </c>
      <c r="J134" s="266">
        <f t="shared" si="13"/>
        <v>0</v>
      </c>
      <c r="K134" s="266">
        <f>J134*10%</f>
        <v>0</v>
      </c>
      <c r="L134" s="267"/>
    </row>
    <row r="135" spans="1:12" ht="18" customHeight="1">
      <c r="A135" s="263"/>
      <c r="B135" s="269"/>
      <c r="C135" s="264"/>
      <c r="D135" s="264"/>
      <c r="E135" s="264"/>
      <c r="F135" s="265"/>
      <c r="G135" s="265" t="e">
        <f t="shared" si="10"/>
        <v>#DIV/0!</v>
      </c>
      <c r="H135" s="266" t="e">
        <f t="shared" si="11"/>
        <v>#DIV/0!</v>
      </c>
      <c r="I135" s="266" t="e">
        <f t="shared" si="12"/>
        <v>#DIV/0!</v>
      </c>
      <c r="J135" s="266">
        <f t="shared" si="13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0"/>
        <v>#DIV/0!</v>
      </c>
      <c r="H136" s="266" t="e">
        <f t="shared" si="11"/>
        <v>#DIV/0!</v>
      </c>
      <c r="I136" s="266" t="e">
        <f t="shared" si="12"/>
        <v>#DIV/0!</v>
      </c>
      <c r="J136" s="266">
        <f t="shared" si="13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0"/>
        <v>#DIV/0!</v>
      </c>
      <c r="H137" s="266" t="e">
        <f t="shared" si="11"/>
        <v>#DIV/0!</v>
      </c>
      <c r="I137" s="266" t="e">
        <f t="shared" si="12"/>
        <v>#DIV/0!</v>
      </c>
      <c r="J137" s="266">
        <f t="shared" si="13"/>
        <v>0</v>
      </c>
      <c r="K137" s="266"/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0"/>
        <v>#DIV/0!</v>
      </c>
      <c r="H138" s="266" t="e">
        <f t="shared" si="11"/>
        <v>#DIV/0!</v>
      </c>
      <c r="I138" s="266" t="e">
        <f t="shared" si="12"/>
        <v>#DIV/0!</v>
      </c>
      <c r="J138" s="266">
        <f t="shared" si="13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0"/>
        <v>#DIV/0!</v>
      </c>
      <c r="H139" s="266" t="e">
        <f t="shared" si="11"/>
        <v>#DIV/0!</v>
      </c>
      <c r="I139" s="266" t="e">
        <f t="shared" si="12"/>
        <v>#DIV/0!</v>
      </c>
      <c r="J139" s="266">
        <f t="shared" si="13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0"/>
        <v>#DIV/0!</v>
      </c>
      <c r="H140" s="266" t="e">
        <f t="shared" si="11"/>
        <v>#DIV/0!</v>
      </c>
      <c r="I140" s="266" t="e">
        <f t="shared" si="12"/>
        <v>#DIV/0!</v>
      </c>
      <c r="J140" s="266">
        <f t="shared" si="13"/>
        <v>0</v>
      </c>
      <c r="K140" s="266">
        <f>J140*10%</f>
        <v>0</v>
      </c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0"/>
        <v>#DIV/0!</v>
      </c>
      <c r="H141" s="266" t="e">
        <f t="shared" si="11"/>
        <v>#DIV/0!</v>
      </c>
      <c r="I141" s="266" t="e">
        <f t="shared" si="12"/>
        <v>#DIV/0!</v>
      </c>
      <c r="J141" s="266">
        <f t="shared" si="13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0"/>
        <v>#DIV/0!</v>
      </c>
      <c r="H142" s="266" t="e">
        <f t="shared" si="11"/>
        <v>#DIV/0!</v>
      </c>
      <c r="I142" s="266" t="e">
        <f t="shared" si="12"/>
        <v>#DIV/0!</v>
      </c>
      <c r="J142" s="266">
        <f t="shared" si="13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0"/>
        <v>#DIV/0!</v>
      </c>
      <c r="H143" s="266" t="e">
        <f t="shared" si="11"/>
        <v>#DIV/0!</v>
      </c>
      <c r="I143" s="266" t="e">
        <f t="shared" si="12"/>
        <v>#DIV/0!</v>
      </c>
      <c r="J143" s="266">
        <f t="shared" si="13"/>
        <v>0</v>
      </c>
      <c r="K143" s="266"/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0"/>
        <v>#DIV/0!</v>
      </c>
      <c r="H144" s="266" t="e">
        <f t="shared" si="11"/>
        <v>#DIV/0!</v>
      </c>
      <c r="I144" s="266" t="e">
        <f t="shared" si="12"/>
        <v>#DIV/0!</v>
      </c>
      <c r="J144" s="266">
        <f t="shared" si="13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0"/>
        <v>#DIV/0!</v>
      </c>
      <c r="H145" s="266" t="e">
        <f t="shared" si="11"/>
        <v>#DIV/0!</v>
      </c>
      <c r="I145" s="266" t="e">
        <f t="shared" si="12"/>
        <v>#DIV/0!</v>
      </c>
      <c r="J145" s="266">
        <f t="shared" si="13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0"/>
        <v>#DIV/0!</v>
      </c>
      <c r="H146" s="266" t="e">
        <f t="shared" si="11"/>
        <v>#DIV/0!</v>
      </c>
      <c r="I146" s="266" t="e">
        <f t="shared" si="12"/>
        <v>#DIV/0!</v>
      </c>
      <c r="J146" s="266">
        <f t="shared" si="13"/>
        <v>0</v>
      </c>
      <c r="K146" s="266">
        <f>J146*10%</f>
        <v>0</v>
      </c>
      <c r="L146" s="267"/>
    </row>
    <row r="147" spans="1:12" ht="37.5" customHeight="1">
      <c r="A147" s="263"/>
      <c r="B147" s="430" t="s">
        <v>2693</v>
      </c>
      <c r="C147" s="430"/>
      <c r="D147" s="430"/>
      <c r="E147" s="430"/>
      <c r="F147" s="430"/>
      <c r="G147" s="430"/>
      <c r="H147" s="268" t="e">
        <f>SUM(H2:H146)</f>
        <v>#DIV/0!</v>
      </c>
      <c r="I147" s="268" t="e">
        <f>SUM(I2:I146)</f>
        <v>#DIV/0!</v>
      </c>
      <c r="J147" s="268">
        <f>SUM(J2:J146)</f>
        <v>0</v>
      </c>
      <c r="K147" s="268">
        <f>SUM(K2:K146)</f>
        <v>0</v>
      </c>
      <c r="L147" s="267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2660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2661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2694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2695</v>
      </c>
      <c r="K8" s="84" t="s">
        <v>1676</v>
      </c>
      <c r="L8" s="84" t="s">
        <v>2695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4"/>
      <c r="B1" s="315"/>
      <c r="C1" s="315"/>
      <c r="D1" s="315"/>
      <c r="E1" s="315"/>
      <c r="F1" s="315"/>
      <c r="G1" s="315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16" t="s">
        <v>1235</v>
      </c>
      <c r="R1" s="316"/>
      <c r="S1" s="317"/>
      <c r="T1" s="317"/>
      <c r="U1" s="318"/>
    </row>
    <row r="2" spans="1:21">
      <c r="A2" s="294" t="s">
        <v>71</v>
      </c>
      <c r="B2" s="295"/>
      <c r="C2" s="296" t="s">
        <v>2323</v>
      </c>
      <c r="D2" s="297"/>
      <c r="E2" s="297"/>
      <c r="F2" s="297"/>
      <c r="G2" s="298"/>
      <c r="H2" s="296" t="s">
        <v>82</v>
      </c>
      <c r="I2" s="297"/>
      <c r="J2" s="297"/>
      <c r="K2" s="297"/>
      <c r="L2" s="297"/>
      <c r="M2" s="297"/>
      <c r="N2" s="297"/>
      <c r="O2" s="298"/>
      <c r="P2" s="299" t="s">
        <v>69</v>
      </c>
      <c r="Q2" s="300"/>
      <c r="R2" s="300"/>
      <c r="S2" s="295"/>
      <c r="T2" s="301">
        <v>45804</v>
      </c>
      <c r="U2" s="302"/>
    </row>
    <row r="3" spans="1:21" ht="24" customHeight="1">
      <c r="A3" s="369" t="s">
        <v>1203</v>
      </c>
      <c r="B3" s="37" t="s">
        <v>65</v>
      </c>
      <c r="C3" s="480" t="s">
        <v>1587</v>
      </c>
      <c r="D3" s="481"/>
      <c r="E3" s="481"/>
      <c r="F3" s="481"/>
      <c r="G3" s="481"/>
      <c r="H3" s="481"/>
      <c r="I3" s="481"/>
      <c r="J3" s="482"/>
      <c r="K3" s="375" t="s">
        <v>1204</v>
      </c>
      <c r="L3" s="37" t="s">
        <v>65</v>
      </c>
      <c r="M3" s="466" t="s">
        <v>971</v>
      </c>
      <c r="N3" s="467"/>
      <c r="O3" s="467"/>
      <c r="P3" s="467"/>
      <c r="Q3" s="467"/>
      <c r="R3" s="467"/>
      <c r="S3" s="467"/>
      <c r="T3" s="467"/>
      <c r="U3" s="468"/>
    </row>
    <row r="4" spans="1:21" ht="24.95" customHeight="1">
      <c r="A4" s="370"/>
      <c r="B4" s="37" t="s">
        <v>67</v>
      </c>
      <c r="C4" s="381"/>
      <c r="D4" s="382"/>
      <c r="E4" s="382"/>
      <c r="F4" s="382"/>
      <c r="G4" s="382"/>
      <c r="H4" s="382"/>
      <c r="I4" s="382"/>
      <c r="J4" s="383"/>
      <c r="K4" s="376"/>
      <c r="L4" s="37" t="s">
        <v>67</v>
      </c>
      <c r="M4" s="384" t="s">
        <v>969</v>
      </c>
      <c r="N4" s="385"/>
      <c r="O4" s="385"/>
      <c r="P4" s="385"/>
      <c r="Q4" s="385"/>
      <c r="R4" s="386"/>
      <c r="S4" s="38" t="s">
        <v>68</v>
      </c>
      <c r="T4" s="446" t="s">
        <v>79</v>
      </c>
      <c r="U4" s="447"/>
    </row>
    <row r="5" spans="1:21" ht="15.75" customHeight="1">
      <c r="A5" s="370"/>
      <c r="B5" s="38" t="s">
        <v>66</v>
      </c>
      <c r="C5" s="384" t="s">
        <v>1116</v>
      </c>
      <c r="D5" s="385"/>
      <c r="E5" s="385"/>
      <c r="F5" s="385"/>
      <c r="G5" s="385"/>
      <c r="H5" s="385"/>
      <c r="I5" s="385"/>
      <c r="J5" s="386"/>
      <c r="K5" s="376"/>
      <c r="L5" s="38" t="s">
        <v>66</v>
      </c>
      <c r="M5" s="384" t="s">
        <v>80</v>
      </c>
      <c r="N5" s="385"/>
      <c r="O5" s="385"/>
      <c r="P5" s="385"/>
      <c r="Q5" s="385"/>
      <c r="R5" s="385"/>
      <c r="S5" s="385"/>
      <c r="T5" s="385"/>
      <c r="U5" s="387"/>
    </row>
    <row r="6" spans="1:21" ht="15.75" customHeight="1">
      <c r="A6" s="371"/>
      <c r="B6" s="38" t="s">
        <v>81</v>
      </c>
      <c r="C6" s="384" t="s">
        <v>1115</v>
      </c>
      <c r="D6" s="385"/>
      <c r="E6" s="385"/>
      <c r="F6" s="385"/>
      <c r="G6" s="385"/>
      <c r="H6" s="385"/>
      <c r="I6" s="385"/>
      <c r="J6" s="386"/>
      <c r="K6" s="377"/>
      <c r="L6" s="38" t="s">
        <v>81</v>
      </c>
      <c r="M6" s="384" t="s">
        <v>72</v>
      </c>
      <c r="N6" s="385"/>
      <c r="O6" s="385"/>
      <c r="P6" s="385"/>
      <c r="Q6" s="385"/>
      <c r="R6" s="386"/>
      <c r="S6" s="38" t="s">
        <v>26</v>
      </c>
      <c r="T6" s="384" t="s">
        <v>981</v>
      </c>
      <c r="U6" s="387"/>
    </row>
    <row r="7" spans="1:21" ht="15.75" customHeight="1">
      <c r="A7" s="303" t="s">
        <v>76</v>
      </c>
      <c r="B7" s="304"/>
      <c r="C7" s="304"/>
      <c r="D7" s="304"/>
      <c r="E7" s="366"/>
      <c r="F7" s="367" t="s">
        <v>84</v>
      </c>
      <c r="G7" s="304"/>
      <c r="H7" s="304"/>
      <c r="I7" s="366"/>
      <c r="J7" s="367" t="s">
        <v>73</v>
      </c>
      <c r="K7" s="366"/>
      <c r="L7" s="367" t="s">
        <v>47</v>
      </c>
      <c r="M7" s="304"/>
      <c r="N7" s="304"/>
      <c r="O7" s="304"/>
      <c r="P7" s="366"/>
      <c r="Q7" s="367" t="s">
        <v>74</v>
      </c>
      <c r="R7" s="304"/>
      <c r="S7" s="366"/>
      <c r="T7" s="367" t="s">
        <v>75</v>
      </c>
      <c r="U7" s="368"/>
    </row>
    <row r="8" spans="1:21" ht="15" customHeight="1">
      <c r="A8" s="483" t="s">
        <v>1167</v>
      </c>
      <c r="B8" s="484"/>
      <c r="C8" s="484"/>
      <c r="D8" s="484"/>
      <c r="E8" s="485"/>
      <c r="F8" s="486"/>
      <c r="G8" s="484"/>
      <c r="H8" s="484"/>
      <c r="I8" s="485"/>
      <c r="J8" s="413">
        <v>1</v>
      </c>
      <c r="K8" s="412"/>
      <c r="L8" s="487">
        <v>1000000</v>
      </c>
      <c r="M8" s="488"/>
      <c r="N8" s="488"/>
      <c r="O8" s="488"/>
      <c r="P8" s="489"/>
      <c r="Q8" s="487">
        <v>1000000</v>
      </c>
      <c r="R8" s="488"/>
      <c r="S8" s="489"/>
      <c r="T8" s="417"/>
      <c r="U8" s="418"/>
    </row>
    <row r="9" spans="1:21" ht="15" customHeight="1">
      <c r="A9" s="473"/>
      <c r="B9" s="474"/>
      <c r="C9" s="474"/>
      <c r="D9" s="474"/>
      <c r="E9" s="475"/>
      <c r="F9" s="476"/>
      <c r="G9" s="474"/>
      <c r="H9" s="474"/>
      <c r="I9" s="475"/>
      <c r="J9" s="402"/>
      <c r="K9" s="401"/>
      <c r="L9" s="470"/>
      <c r="M9" s="471"/>
      <c r="N9" s="471"/>
      <c r="O9" s="471"/>
      <c r="P9" s="472"/>
      <c r="Q9" s="470"/>
      <c r="R9" s="471"/>
      <c r="S9" s="472"/>
      <c r="T9" s="406"/>
      <c r="U9" s="407"/>
    </row>
    <row r="10" spans="1:21" ht="15" customHeight="1">
      <c r="A10" s="473"/>
      <c r="B10" s="474"/>
      <c r="C10" s="474"/>
      <c r="D10" s="474"/>
      <c r="E10" s="475"/>
      <c r="F10" s="476"/>
      <c r="G10" s="474"/>
      <c r="H10" s="474"/>
      <c r="I10" s="475"/>
      <c r="J10" s="402"/>
      <c r="K10" s="401"/>
      <c r="L10" s="470"/>
      <c r="M10" s="471"/>
      <c r="N10" s="471"/>
      <c r="O10" s="471"/>
      <c r="P10" s="472"/>
      <c r="Q10" s="470"/>
      <c r="R10" s="471"/>
      <c r="S10" s="472"/>
      <c r="T10" s="406"/>
      <c r="U10" s="407"/>
    </row>
    <row r="11" spans="1:21" ht="15" customHeight="1">
      <c r="A11" s="473"/>
      <c r="B11" s="474"/>
      <c r="C11" s="474"/>
      <c r="D11" s="474"/>
      <c r="E11" s="475"/>
      <c r="F11" s="476"/>
      <c r="G11" s="474"/>
      <c r="H11" s="474"/>
      <c r="I11" s="475"/>
      <c r="J11" s="402"/>
      <c r="K11" s="401"/>
      <c r="L11" s="470"/>
      <c r="M11" s="471"/>
      <c r="N11" s="471"/>
      <c r="O11" s="471"/>
      <c r="P11" s="472"/>
      <c r="Q11" s="470"/>
      <c r="R11" s="471"/>
      <c r="S11" s="472"/>
      <c r="T11" s="406"/>
      <c r="U11" s="407"/>
    </row>
    <row r="12" spans="1:21" ht="15" customHeight="1">
      <c r="A12" s="473"/>
      <c r="B12" s="474"/>
      <c r="C12" s="474"/>
      <c r="D12" s="474"/>
      <c r="E12" s="475"/>
      <c r="F12" s="476"/>
      <c r="G12" s="474"/>
      <c r="H12" s="474"/>
      <c r="I12" s="475"/>
      <c r="J12" s="402"/>
      <c r="K12" s="401"/>
      <c r="L12" s="470"/>
      <c r="M12" s="471"/>
      <c r="N12" s="471"/>
      <c r="O12" s="471"/>
      <c r="P12" s="472"/>
      <c r="Q12" s="470"/>
      <c r="R12" s="471"/>
      <c r="S12" s="472"/>
      <c r="T12" s="406"/>
      <c r="U12" s="407"/>
    </row>
    <row r="13" spans="1:21" ht="15" customHeight="1">
      <c r="A13" s="473"/>
      <c r="B13" s="474"/>
      <c r="C13" s="474"/>
      <c r="D13" s="474"/>
      <c r="E13" s="475"/>
      <c r="F13" s="477"/>
      <c r="G13" s="478"/>
      <c r="H13" s="478"/>
      <c r="I13" s="479"/>
      <c r="J13" s="402"/>
      <c r="K13" s="401"/>
      <c r="L13" s="470"/>
      <c r="M13" s="471"/>
      <c r="N13" s="471"/>
      <c r="O13" s="471"/>
      <c r="P13" s="472"/>
      <c r="Q13" s="470"/>
      <c r="R13" s="471"/>
      <c r="S13" s="472"/>
      <c r="T13" s="406"/>
      <c r="U13" s="407"/>
    </row>
    <row r="14" spans="1:21" ht="15" customHeight="1">
      <c r="A14" s="473"/>
      <c r="B14" s="474"/>
      <c r="C14" s="474"/>
      <c r="D14" s="474"/>
      <c r="E14" s="475"/>
      <c r="F14" s="476"/>
      <c r="G14" s="474"/>
      <c r="H14" s="474"/>
      <c r="I14" s="475"/>
      <c r="J14" s="402"/>
      <c r="K14" s="401"/>
      <c r="L14" s="470"/>
      <c r="M14" s="471"/>
      <c r="N14" s="471"/>
      <c r="O14" s="471"/>
      <c r="P14" s="472"/>
      <c r="Q14" s="470"/>
      <c r="R14" s="471"/>
      <c r="S14" s="472"/>
      <c r="T14" s="406"/>
      <c r="U14" s="407"/>
    </row>
    <row r="15" spans="1:21" ht="15" customHeight="1">
      <c r="A15" s="399"/>
      <c r="B15" s="400"/>
      <c r="C15" s="400"/>
      <c r="D15" s="400"/>
      <c r="E15" s="401"/>
      <c r="F15" s="402"/>
      <c r="G15" s="400"/>
      <c r="H15" s="400"/>
      <c r="I15" s="401"/>
      <c r="J15" s="402"/>
      <c r="K15" s="401"/>
      <c r="L15" s="460"/>
      <c r="M15" s="461"/>
      <c r="N15" s="461"/>
      <c r="O15" s="461"/>
      <c r="P15" s="462"/>
      <c r="Q15" s="460"/>
      <c r="R15" s="461"/>
      <c r="S15" s="462"/>
      <c r="T15" s="406"/>
      <c r="U15" s="407"/>
    </row>
    <row r="16" spans="1:21" ht="15" customHeight="1">
      <c r="A16" s="399"/>
      <c r="B16" s="400"/>
      <c r="C16" s="400"/>
      <c r="D16" s="400"/>
      <c r="E16" s="401"/>
      <c r="F16" s="402"/>
      <c r="G16" s="400"/>
      <c r="H16" s="400"/>
      <c r="I16" s="401"/>
      <c r="J16" s="402"/>
      <c r="K16" s="401"/>
      <c r="L16" s="460"/>
      <c r="M16" s="461"/>
      <c r="N16" s="461"/>
      <c r="O16" s="461"/>
      <c r="P16" s="462"/>
      <c r="Q16" s="460"/>
      <c r="R16" s="461"/>
      <c r="S16" s="462"/>
      <c r="T16" s="406"/>
      <c r="U16" s="407"/>
    </row>
    <row r="17" spans="1:21" ht="15" customHeight="1">
      <c r="A17" s="399"/>
      <c r="B17" s="400"/>
      <c r="C17" s="400"/>
      <c r="D17" s="400"/>
      <c r="E17" s="401"/>
      <c r="F17" s="402"/>
      <c r="G17" s="400"/>
      <c r="H17" s="400"/>
      <c r="I17" s="401"/>
      <c r="J17" s="402"/>
      <c r="K17" s="401"/>
      <c r="L17" s="460"/>
      <c r="M17" s="461"/>
      <c r="N17" s="461"/>
      <c r="O17" s="461"/>
      <c r="P17" s="462"/>
      <c r="Q17" s="460"/>
      <c r="R17" s="461"/>
      <c r="S17" s="462"/>
      <c r="T17" s="406"/>
      <c r="U17" s="407"/>
    </row>
    <row r="18" spans="1:21" ht="15" customHeight="1">
      <c r="A18" s="399"/>
      <c r="B18" s="400"/>
      <c r="C18" s="400"/>
      <c r="D18" s="400"/>
      <c r="E18" s="401"/>
      <c r="F18" s="402"/>
      <c r="G18" s="400"/>
      <c r="H18" s="400"/>
      <c r="I18" s="401"/>
      <c r="J18" s="402"/>
      <c r="K18" s="401"/>
      <c r="L18" s="460"/>
      <c r="M18" s="461"/>
      <c r="N18" s="461"/>
      <c r="O18" s="461"/>
      <c r="P18" s="462"/>
      <c r="Q18" s="460"/>
      <c r="R18" s="461"/>
      <c r="S18" s="462"/>
      <c r="T18" s="406"/>
      <c r="U18" s="407"/>
    </row>
    <row r="19" spans="1:21" ht="15" customHeight="1">
      <c r="A19" s="431"/>
      <c r="B19" s="432"/>
      <c r="C19" s="432"/>
      <c r="D19" s="432"/>
      <c r="E19" s="433"/>
      <c r="F19" s="434"/>
      <c r="G19" s="432"/>
      <c r="H19" s="432"/>
      <c r="I19" s="433"/>
      <c r="J19" s="434"/>
      <c r="K19" s="433"/>
      <c r="L19" s="448"/>
      <c r="M19" s="449"/>
      <c r="N19" s="449"/>
      <c r="O19" s="449"/>
      <c r="P19" s="450"/>
      <c r="Q19" s="448"/>
      <c r="R19" s="449"/>
      <c r="S19" s="450"/>
      <c r="T19" s="451"/>
      <c r="U19" s="452"/>
    </row>
    <row r="20" spans="1:21">
      <c r="A20" s="303" t="s">
        <v>87</v>
      </c>
      <c r="B20" s="304"/>
      <c r="C20" s="304"/>
      <c r="D20" s="304"/>
      <c r="E20" s="304"/>
      <c r="F20" s="305">
        <v>2450000</v>
      </c>
      <c r="G20" s="305"/>
      <c r="H20" s="305"/>
      <c r="I20" s="306"/>
      <c r="J20" s="439">
        <f>SUM(J8:K19)</f>
        <v>1</v>
      </c>
      <c r="K20" s="439"/>
      <c r="L20" s="493" t="s">
        <v>966</v>
      </c>
      <c r="M20" s="494"/>
      <c r="N20" s="494"/>
      <c r="O20" s="494"/>
      <c r="P20" s="495"/>
      <c r="Q20" s="345">
        <f>SUM(Q8:S19)</f>
        <v>1000000</v>
      </c>
      <c r="R20" s="305"/>
      <c r="S20" s="305"/>
      <c r="T20" s="305"/>
      <c r="U20" s="346"/>
    </row>
    <row r="21" spans="1:21" ht="17.25" thickBot="1">
      <c r="A21" s="308" t="s">
        <v>97</v>
      </c>
      <c r="B21" s="309"/>
      <c r="C21" s="309"/>
      <c r="D21" s="309"/>
      <c r="E21" s="309"/>
      <c r="F21" s="310">
        <f>F20+Q20</f>
        <v>3450000</v>
      </c>
      <c r="G21" s="310"/>
      <c r="H21" s="310"/>
      <c r="I21" s="311"/>
      <c r="J21" s="312" t="s">
        <v>972</v>
      </c>
      <c r="K21" s="309"/>
      <c r="L21" s="313" t="str">
        <f>T4</f>
        <v>장효주</v>
      </c>
      <c r="M21" s="313"/>
      <c r="N21" s="313"/>
      <c r="O21" s="312" t="s">
        <v>70</v>
      </c>
      <c r="P21" s="338"/>
      <c r="Q21" s="440" t="str">
        <f>C3</f>
        <v>제이오토(대구)</v>
      </c>
      <c r="R21" s="441"/>
      <c r="S21" s="441"/>
      <c r="T21" s="441"/>
      <c r="U21" s="442"/>
    </row>
    <row r="22" spans="1:21" ht="9" customHeight="1">
      <c r="A22" s="426"/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11.25" customHeight="1" thickBot="1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</row>
    <row r="24" spans="1:21" ht="24" customHeight="1" thickBot="1">
      <c r="A24" s="443" t="s">
        <v>77</v>
      </c>
      <c r="B24" s="444"/>
      <c r="C24" s="444"/>
      <c r="D24" s="444"/>
      <c r="E24" s="444"/>
      <c r="F24" s="444"/>
      <c r="G24" s="444"/>
      <c r="H24" s="444"/>
      <c r="I24" s="444"/>
      <c r="J24" s="444"/>
      <c r="K24" s="444"/>
      <c r="L24" s="444"/>
      <c r="M24" s="444"/>
      <c r="N24" s="444"/>
      <c r="O24" s="444"/>
      <c r="P24" s="444"/>
      <c r="Q24" s="444"/>
      <c r="R24" s="444"/>
      <c r="S24" s="444"/>
      <c r="T24" s="444"/>
      <c r="U24" s="445"/>
    </row>
    <row r="25" spans="1:21">
      <c r="A25" s="294" t="s">
        <v>71</v>
      </c>
      <c r="B25" s="295"/>
      <c r="C25" s="296" t="str">
        <f>C2</f>
        <v>카카오뱅크 3333181865047</v>
      </c>
      <c r="D25" s="297"/>
      <c r="E25" s="297"/>
      <c r="F25" s="297"/>
      <c r="G25" s="298"/>
      <c r="H25" s="296" t="s">
        <v>83</v>
      </c>
      <c r="I25" s="297"/>
      <c r="J25" s="297"/>
      <c r="K25" s="297"/>
      <c r="L25" s="297"/>
      <c r="M25" s="297"/>
      <c r="N25" s="297"/>
      <c r="O25" s="298"/>
      <c r="P25" s="299" t="s">
        <v>69</v>
      </c>
      <c r="Q25" s="300"/>
      <c r="R25" s="300"/>
      <c r="S25" s="295"/>
      <c r="T25" s="301">
        <f>T2</f>
        <v>45804</v>
      </c>
      <c r="U25" s="302"/>
    </row>
    <row r="26" spans="1:21" ht="27" customHeight="1">
      <c r="A26" s="369" t="s">
        <v>1203</v>
      </c>
      <c r="B26" s="37" t="s">
        <v>65</v>
      </c>
      <c r="C26" s="463" t="str">
        <f>C3</f>
        <v>제이오토(대구)</v>
      </c>
      <c r="D26" s="464"/>
      <c r="E26" s="464"/>
      <c r="F26" s="464"/>
      <c r="G26" s="464"/>
      <c r="H26" s="464"/>
      <c r="I26" s="464"/>
      <c r="J26" s="465"/>
      <c r="K26" s="375" t="s">
        <v>1204</v>
      </c>
      <c r="L26" s="37" t="s">
        <v>65</v>
      </c>
      <c r="M26" s="466" t="str">
        <f>M3</f>
        <v>BTS&amp;P</v>
      </c>
      <c r="N26" s="467"/>
      <c r="O26" s="467"/>
      <c r="P26" s="467"/>
      <c r="Q26" s="467"/>
      <c r="R26" s="467"/>
      <c r="S26" s="467"/>
      <c r="T26" s="467"/>
      <c r="U26" s="468"/>
    </row>
    <row r="27" spans="1:21" ht="24.95" customHeight="1">
      <c r="A27" s="370"/>
      <c r="B27" s="37" t="s">
        <v>67</v>
      </c>
      <c r="C27" s="490">
        <f>C4</f>
        <v>0</v>
      </c>
      <c r="D27" s="491"/>
      <c r="E27" s="491"/>
      <c r="F27" s="491"/>
      <c r="G27" s="491"/>
      <c r="H27" s="491"/>
      <c r="I27" s="491"/>
      <c r="J27" s="492"/>
      <c r="K27" s="376"/>
      <c r="L27" s="37" t="s">
        <v>67</v>
      </c>
      <c r="M27" s="384" t="str">
        <f>M4</f>
        <v>259-12-01768</v>
      </c>
      <c r="N27" s="385"/>
      <c r="O27" s="385"/>
      <c r="P27" s="385"/>
      <c r="Q27" s="385"/>
      <c r="R27" s="386"/>
      <c r="S27" s="38" t="s">
        <v>68</v>
      </c>
      <c r="T27" s="446" t="str">
        <f>T4</f>
        <v>장효주</v>
      </c>
      <c r="U27" s="447"/>
    </row>
    <row r="28" spans="1:21" ht="15.75" customHeight="1">
      <c r="A28" s="370"/>
      <c r="B28" s="38" t="s">
        <v>10</v>
      </c>
      <c r="C28" s="384" t="str">
        <f>C5</f>
        <v>대구광역시 서구 가르뱅이로 53</v>
      </c>
      <c r="D28" s="385"/>
      <c r="E28" s="385"/>
      <c r="F28" s="385"/>
      <c r="G28" s="385"/>
      <c r="H28" s="385"/>
      <c r="I28" s="385"/>
      <c r="J28" s="386"/>
      <c r="K28" s="376"/>
      <c r="L28" s="38" t="s">
        <v>10</v>
      </c>
      <c r="M28" s="384" t="str">
        <f>M5</f>
        <v>대구 달서구 용산로 28(본리동)</v>
      </c>
      <c r="N28" s="385"/>
      <c r="O28" s="385"/>
      <c r="P28" s="385"/>
      <c r="Q28" s="385"/>
      <c r="R28" s="385"/>
      <c r="S28" s="385"/>
      <c r="T28" s="385"/>
      <c r="U28" s="387"/>
    </row>
    <row r="29" spans="1:21" ht="15.75" customHeight="1">
      <c r="A29" s="371"/>
      <c r="B29" s="38" t="s">
        <v>81</v>
      </c>
      <c r="C29" s="384" t="str">
        <f>C6</f>
        <v>010-5102-8176</v>
      </c>
      <c r="D29" s="385"/>
      <c r="E29" s="385"/>
      <c r="F29" s="385"/>
      <c r="G29" s="385"/>
      <c r="H29" s="385"/>
      <c r="I29" s="385"/>
      <c r="J29" s="386"/>
      <c r="K29" s="377"/>
      <c r="L29" s="38" t="s">
        <v>81</v>
      </c>
      <c r="M29" s="384" t="str">
        <f>M6</f>
        <v>010-5168-3542</v>
      </c>
      <c r="N29" s="385"/>
      <c r="O29" s="385"/>
      <c r="P29" s="385"/>
      <c r="Q29" s="385"/>
      <c r="R29" s="386"/>
      <c r="S29" s="38" t="s">
        <v>26</v>
      </c>
      <c r="T29" s="384"/>
      <c r="U29" s="387"/>
    </row>
    <row r="30" spans="1:21" ht="15.75" customHeight="1">
      <c r="A30" s="303" t="s">
        <v>76</v>
      </c>
      <c r="B30" s="304"/>
      <c r="C30" s="304"/>
      <c r="D30" s="304"/>
      <c r="E30" s="366"/>
      <c r="F30" s="367" t="s">
        <v>49</v>
      </c>
      <c r="G30" s="304"/>
      <c r="H30" s="304"/>
      <c r="I30" s="366"/>
      <c r="J30" s="367" t="s">
        <v>73</v>
      </c>
      <c r="K30" s="366"/>
      <c r="L30" s="367" t="s">
        <v>47</v>
      </c>
      <c r="M30" s="304"/>
      <c r="N30" s="304"/>
      <c r="O30" s="304"/>
      <c r="P30" s="366"/>
      <c r="Q30" s="367" t="s">
        <v>74</v>
      </c>
      <c r="R30" s="304"/>
      <c r="S30" s="366"/>
      <c r="T30" s="367" t="s">
        <v>75</v>
      </c>
      <c r="U30" s="368"/>
    </row>
    <row r="31" spans="1:21" ht="15" customHeight="1">
      <c r="A31" s="457" t="str">
        <f>A8</f>
        <v>8HP70 VALBEBODY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58">
        <f>J8</f>
        <v>1</v>
      </c>
      <c r="K31" s="458"/>
      <c r="L31" s="459">
        <f>L8</f>
        <v>1000000</v>
      </c>
      <c r="M31" s="459"/>
      <c r="N31" s="459"/>
      <c r="O31" s="459"/>
      <c r="P31" s="459"/>
      <c r="Q31" s="459">
        <f>Q8</f>
        <v>1000000</v>
      </c>
      <c r="R31" s="459"/>
      <c r="S31" s="459"/>
      <c r="T31" s="458">
        <f>T8</f>
        <v>0</v>
      </c>
      <c r="U31" s="469"/>
    </row>
    <row r="32" spans="1:21" ht="15" customHeight="1">
      <c r="A32" s="438">
        <f t="shared" ref="A32:A42" si="0">A9</f>
        <v>0</v>
      </c>
      <c r="B32" s="435"/>
      <c r="C32" s="435"/>
      <c r="D32" s="435"/>
      <c r="E32" s="435"/>
      <c r="F32" s="435">
        <f t="shared" ref="F32:F42" si="1">F9</f>
        <v>0</v>
      </c>
      <c r="G32" s="435"/>
      <c r="H32" s="435"/>
      <c r="I32" s="435"/>
      <c r="J32" s="435">
        <f t="shared" ref="J32:J42" si="2">J9</f>
        <v>0</v>
      </c>
      <c r="K32" s="435"/>
      <c r="L32" s="437">
        <f t="shared" ref="L32:L42" si="3">L9</f>
        <v>0</v>
      </c>
      <c r="M32" s="437"/>
      <c r="N32" s="437"/>
      <c r="O32" s="437"/>
      <c r="P32" s="437"/>
      <c r="Q32" s="437">
        <f t="shared" ref="Q32:Q42" si="4">Q9</f>
        <v>0</v>
      </c>
      <c r="R32" s="437"/>
      <c r="S32" s="437"/>
      <c r="T32" s="435">
        <f t="shared" ref="T32:T42" si="5">T9</f>
        <v>0</v>
      </c>
      <c r="U32" s="436"/>
    </row>
    <row r="33" spans="1:21" ht="15" customHeight="1">
      <c r="A33" s="438">
        <f t="shared" si="0"/>
        <v>0</v>
      </c>
      <c r="B33" s="435"/>
      <c r="C33" s="435"/>
      <c r="D33" s="435"/>
      <c r="E33" s="435"/>
      <c r="F33" s="435">
        <f t="shared" si="1"/>
        <v>0</v>
      </c>
      <c r="G33" s="435"/>
      <c r="H33" s="435"/>
      <c r="I33" s="435"/>
      <c r="J33" s="435">
        <f t="shared" si="2"/>
        <v>0</v>
      </c>
      <c r="K33" s="435"/>
      <c r="L33" s="437">
        <f t="shared" si="3"/>
        <v>0</v>
      </c>
      <c r="M33" s="437"/>
      <c r="N33" s="437"/>
      <c r="O33" s="437"/>
      <c r="P33" s="437"/>
      <c r="Q33" s="437">
        <f t="shared" si="4"/>
        <v>0</v>
      </c>
      <c r="R33" s="437"/>
      <c r="S33" s="437"/>
      <c r="T33" s="435">
        <f t="shared" si="5"/>
        <v>0</v>
      </c>
      <c r="U33" s="436"/>
    </row>
    <row r="34" spans="1:21" ht="15" customHeight="1">
      <c r="A34" s="438">
        <f t="shared" si="0"/>
        <v>0</v>
      </c>
      <c r="B34" s="435"/>
      <c r="C34" s="435"/>
      <c r="D34" s="435"/>
      <c r="E34" s="435"/>
      <c r="F34" s="435">
        <f t="shared" si="1"/>
        <v>0</v>
      </c>
      <c r="G34" s="435"/>
      <c r="H34" s="435"/>
      <c r="I34" s="435"/>
      <c r="J34" s="435">
        <v>1</v>
      </c>
      <c r="K34" s="435"/>
      <c r="L34" s="437">
        <f t="shared" si="3"/>
        <v>0</v>
      </c>
      <c r="M34" s="437"/>
      <c r="N34" s="437"/>
      <c r="O34" s="437"/>
      <c r="P34" s="437"/>
      <c r="Q34" s="437">
        <f t="shared" si="4"/>
        <v>0</v>
      </c>
      <c r="R34" s="437"/>
      <c r="S34" s="437"/>
      <c r="T34" s="435">
        <f t="shared" si="5"/>
        <v>0</v>
      </c>
      <c r="U34" s="436"/>
    </row>
    <row r="35" spans="1:21" ht="15" customHeight="1">
      <c r="A35" s="438">
        <f t="shared" si="0"/>
        <v>0</v>
      </c>
      <c r="B35" s="435"/>
      <c r="C35" s="435"/>
      <c r="D35" s="435"/>
      <c r="E35" s="435"/>
      <c r="F35" s="435">
        <f t="shared" si="1"/>
        <v>0</v>
      </c>
      <c r="G35" s="435"/>
      <c r="H35" s="435"/>
      <c r="I35" s="435"/>
      <c r="J35" s="435">
        <f t="shared" si="2"/>
        <v>0</v>
      </c>
      <c r="K35" s="435"/>
      <c r="L35" s="437">
        <f t="shared" si="3"/>
        <v>0</v>
      </c>
      <c r="M35" s="437"/>
      <c r="N35" s="437"/>
      <c r="O35" s="437"/>
      <c r="P35" s="437"/>
      <c r="Q35" s="437">
        <f t="shared" si="4"/>
        <v>0</v>
      </c>
      <c r="R35" s="437"/>
      <c r="S35" s="437"/>
      <c r="T35" s="435">
        <f t="shared" si="5"/>
        <v>0</v>
      </c>
      <c r="U35" s="436"/>
    </row>
    <row r="36" spans="1:21" ht="15" customHeight="1">
      <c r="A36" s="438">
        <f t="shared" si="0"/>
        <v>0</v>
      </c>
      <c r="B36" s="435"/>
      <c r="C36" s="435"/>
      <c r="D36" s="435"/>
      <c r="E36" s="435"/>
      <c r="F36" s="435">
        <f t="shared" si="1"/>
        <v>0</v>
      </c>
      <c r="G36" s="435"/>
      <c r="H36" s="435"/>
      <c r="I36" s="435"/>
      <c r="J36" s="435">
        <f t="shared" si="2"/>
        <v>0</v>
      </c>
      <c r="K36" s="435"/>
      <c r="L36" s="437">
        <f t="shared" si="3"/>
        <v>0</v>
      </c>
      <c r="M36" s="437"/>
      <c r="N36" s="437"/>
      <c r="O36" s="437"/>
      <c r="P36" s="437"/>
      <c r="Q36" s="437">
        <f t="shared" si="4"/>
        <v>0</v>
      </c>
      <c r="R36" s="437"/>
      <c r="S36" s="437"/>
      <c r="T36" s="435">
        <f t="shared" si="5"/>
        <v>0</v>
      </c>
      <c r="U36" s="436"/>
    </row>
    <row r="37" spans="1:21" ht="15" customHeight="1">
      <c r="A37" s="438">
        <f t="shared" si="0"/>
        <v>0</v>
      </c>
      <c r="B37" s="435"/>
      <c r="C37" s="435"/>
      <c r="D37" s="435"/>
      <c r="E37" s="435"/>
      <c r="F37" s="435">
        <f t="shared" si="1"/>
        <v>0</v>
      </c>
      <c r="G37" s="435"/>
      <c r="H37" s="435"/>
      <c r="I37" s="435"/>
      <c r="J37" s="435">
        <f t="shared" si="2"/>
        <v>0</v>
      </c>
      <c r="K37" s="435"/>
      <c r="L37" s="437">
        <f t="shared" si="3"/>
        <v>0</v>
      </c>
      <c r="M37" s="437"/>
      <c r="N37" s="437"/>
      <c r="O37" s="437"/>
      <c r="P37" s="437"/>
      <c r="Q37" s="437">
        <f t="shared" si="4"/>
        <v>0</v>
      </c>
      <c r="R37" s="437"/>
      <c r="S37" s="437"/>
      <c r="T37" s="435">
        <f t="shared" si="5"/>
        <v>0</v>
      </c>
      <c r="U37" s="436"/>
    </row>
    <row r="38" spans="1:21" ht="15" customHeight="1">
      <c r="A38" s="438">
        <f t="shared" si="0"/>
        <v>0</v>
      </c>
      <c r="B38" s="435"/>
      <c r="C38" s="435"/>
      <c r="D38" s="435"/>
      <c r="E38" s="435"/>
      <c r="F38" s="435">
        <f t="shared" si="1"/>
        <v>0</v>
      </c>
      <c r="G38" s="435"/>
      <c r="H38" s="435"/>
      <c r="I38" s="435"/>
      <c r="J38" s="435">
        <f t="shared" si="2"/>
        <v>0</v>
      </c>
      <c r="K38" s="435"/>
      <c r="L38" s="437">
        <f t="shared" si="3"/>
        <v>0</v>
      </c>
      <c r="M38" s="437"/>
      <c r="N38" s="437"/>
      <c r="O38" s="437"/>
      <c r="P38" s="437"/>
      <c r="Q38" s="437">
        <f t="shared" si="4"/>
        <v>0</v>
      </c>
      <c r="R38" s="437"/>
      <c r="S38" s="437"/>
      <c r="T38" s="435">
        <f t="shared" si="5"/>
        <v>0</v>
      </c>
      <c r="U38" s="436"/>
    </row>
    <row r="39" spans="1:21" ht="15" customHeight="1">
      <c r="A39" s="438">
        <f t="shared" si="0"/>
        <v>0</v>
      </c>
      <c r="B39" s="435"/>
      <c r="C39" s="435"/>
      <c r="D39" s="435"/>
      <c r="E39" s="435"/>
      <c r="F39" s="435">
        <f t="shared" si="1"/>
        <v>0</v>
      </c>
      <c r="G39" s="435"/>
      <c r="H39" s="435"/>
      <c r="I39" s="435"/>
      <c r="J39" s="435">
        <f t="shared" si="2"/>
        <v>0</v>
      </c>
      <c r="K39" s="435"/>
      <c r="L39" s="437">
        <f t="shared" si="3"/>
        <v>0</v>
      </c>
      <c r="M39" s="437"/>
      <c r="N39" s="437"/>
      <c r="O39" s="437"/>
      <c r="P39" s="437"/>
      <c r="Q39" s="437">
        <f t="shared" si="4"/>
        <v>0</v>
      </c>
      <c r="R39" s="437"/>
      <c r="S39" s="437"/>
      <c r="T39" s="435">
        <f t="shared" si="5"/>
        <v>0</v>
      </c>
      <c r="U39" s="436"/>
    </row>
    <row r="40" spans="1:21" ht="15" customHeight="1">
      <c r="A40" s="438">
        <f t="shared" si="0"/>
        <v>0</v>
      </c>
      <c r="B40" s="435"/>
      <c r="C40" s="435"/>
      <c r="D40" s="435"/>
      <c r="E40" s="435"/>
      <c r="F40" s="435">
        <f t="shared" si="1"/>
        <v>0</v>
      </c>
      <c r="G40" s="435"/>
      <c r="H40" s="435"/>
      <c r="I40" s="435"/>
      <c r="J40" s="435">
        <f t="shared" si="2"/>
        <v>0</v>
      </c>
      <c r="K40" s="435"/>
      <c r="L40" s="437">
        <f t="shared" si="3"/>
        <v>0</v>
      </c>
      <c r="M40" s="437"/>
      <c r="N40" s="437"/>
      <c r="O40" s="437"/>
      <c r="P40" s="437"/>
      <c r="Q40" s="437">
        <f t="shared" si="4"/>
        <v>0</v>
      </c>
      <c r="R40" s="437"/>
      <c r="S40" s="437"/>
      <c r="T40" s="435">
        <f t="shared" si="5"/>
        <v>0</v>
      </c>
      <c r="U40" s="436"/>
    </row>
    <row r="41" spans="1:21" ht="15" customHeight="1">
      <c r="A41" s="438">
        <f t="shared" si="0"/>
        <v>0</v>
      </c>
      <c r="B41" s="435"/>
      <c r="C41" s="435"/>
      <c r="D41" s="435"/>
      <c r="E41" s="435"/>
      <c r="F41" s="435">
        <f t="shared" si="1"/>
        <v>0</v>
      </c>
      <c r="G41" s="435"/>
      <c r="H41" s="435"/>
      <c r="I41" s="435"/>
      <c r="J41" s="435">
        <f t="shared" si="2"/>
        <v>0</v>
      </c>
      <c r="K41" s="435"/>
      <c r="L41" s="437">
        <f t="shared" si="3"/>
        <v>0</v>
      </c>
      <c r="M41" s="437"/>
      <c r="N41" s="437"/>
      <c r="O41" s="437"/>
      <c r="P41" s="437"/>
      <c r="Q41" s="437">
        <f t="shared" si="4"/>
        <v>0</v>
      </c>
      <c r="R41" s="437"/>
      <c r="S41" s="437"/>
      <c r="T41" s="435">
        <f t="shared" si="5"/>
        <v>0</v>
      </c>
      <c r="U41" s="436"/>
    </row>
    <row r="42" spans="1:21" ht="15" customHeight="1">
      <c r="A42" s="453">
        <f t="shared" si="0"/>
        <v>0</v>
      </c>
      <c r="B42" s="454"/>
      <c r="C42" s="454"/>
      <c r="D42" s="454"/>
      <c r="E42" s="454"/>
      <c r="F42" s="454">
        <f t="shared" si="1"/>
        <v>0</v>
      </c>
      <c r="G42" s="454"/>
      <c r="H42" s="454"/>
      <c r="I42" s="454"/>
      <c r="J42" s="454">
        <f t="shared" si="2"/>
        <v>0</v>
      </c>
      <c r="K42" s="454"/>
      <c r="L42" s="455">
        <f t="shared" si="3"/>
        <v>0</v>
      </c>
      <c r="M42" s="455"/>
      <c r="N42" s="455"/>
      <c r="O42" s="455"/>
      <c r="P42" s="455"/>
      <c r="Q42" s="455">
        <f t="shared" si="4"/>
        <v>0</v>
      </c>
      <c r="R42" s="455"/>
      <c r="S42" s="455"/>
      <c r="T42" s="454">
        <f t="shared" si="5"/>
        <v>0</v>
      </c>
      <c r="U42" s="456"/>
    </row>
    <row r="43" spans="1:21">
      <c r="A43" s="303" t="s">
        <v>87</v>
      </c>
      <c r="B43" s="304"/>
      <c r="C43" s="304"/>
      <c r="D43" s="304"/>
      <c r="E43" s="304"/>
      <c r="F43" s="305">
        <f>F20</f>
        <v>2450000</v>
      </c>
      <c r="G43" s="305"/>
      <c r="H43" s="305"/>
      <c r="I43" s="306"/>
      <c r="J43" s="439">
        <f>J20</f>
        <v>1</v>
      </c>
      <c r="K43" s="439"/>
      <c r="L43" s="493" t="s">
        <v>966</v>
      </c>
      <c r="M43" s="494"/>
      <c r="N43" s="494"/>
      <c r="O43" s="494"/>
      <c r="P43" s="495"/>
      <c r="Q43" s="496">
        <f>Q20</f>
        <v>1000000</v>
      </c>
      <c r="R43" s="497"/>
      <c r="S43" s="497"/>
      <c r="T43" s="497"/>
      <c r="U43" s="498"/>
    </row>
    <row r="44" spans="1:21" ht="17.25" thickBot="1">
      <c r="A44" s="308" t="s">
        <v>97</v>
      </c>
      <c r="B44" s="309"/>
      <c r="C44" s="309"/>
      <c r="D44" s="309"/>
      <c r="E44" s="309"/>
      <c r="F44" s="310">
        <f>F21</f>
        <v>3450000</v>
      </c>
      <c r="G44" s="310"/>
      <c r="H44" s="310"/>
      <c r="I44" s="311"/>
      <c r="J44" s="312" t="s">
        <v>972</v>
      </c>
      <c r="K44" s="309"/>
      <c r="L44" s="313" t="str">
        <f>L21</f>
        <v>장효주</v>
      </c>
      <c r="M44" s="313"/>
      <c r="N44" s="313"/>
      <c r="O44" s="312" t="s">
        <v>70</v>
      </c>
      <c r="P44" s="338"/>
      <c r="Q44" s="440" t="str">
        <f>Q21</f>
        <v>제이오토(대구)</v>
      </c>
      <c r="R44" s="441"/>
      <c r="S44" s="441"/>
      <c r="T44" s="441"/>
      <c r="U44" s="44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51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476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2238</v>
      </c>
    </row>
    <row r="255" spans="1:4">
      <c r="A255">
        <v>251</v>
      </c>
      <c r="B255" s="13">
        <v>45790</v>
      </c>
      <c r="C255" t="s">
        <v>2016</v>
      </c>
      <c r="D255" t="s">
        <v>2239</v>
      </c>
    </row>
    <row r="256" spans="1:4">
      <c r="A256">
        <v>252</v>
      </c>
      <c r="B256" s="13">
        <v>45790</v>
      </c>
      <c r="C256" t="s">
        <v>1515</v>
      </c>
      <c r="D256" t="s">
        <v>2240</v>
      </c>
    </row>
    <row r="257" spans="1:4">
      <c r="A257">
        <v>253</v>
      </c>
      <c r="B257" s="13">
        <v>45790</v>
      </c>
      <c r="C257" t="s">
        <v>1866</v>
      </c>
      <c r="D257" t="s">
        <v>2241</v>
      </c>
    </row>
    <row r="258" spans="1:4">
      <c r="A258">
        <v>254</v>
      </c>
      <c r="B258" s="13">
        <v>45790</v>
      </c>
      <c r="C258" t="s">
        <v>2242</v>
      </c>
      <c r="D258" t="s">
        <v>2243</v>
      </c>
    </row>
    <row r="259" spans="1:4">
      <c r="A259">
        <v>255</v>
      </c>
      <c r="B259" s="13">
        <v>45790</v>
      </c>
      <c r="C259" t="s">
        <v>1961</v>
      </c>
      <c r="D259" t="s">
        <v>2244</v>
      </c>
    </row>
    <row r="260" spans="1:4">
      <c r="A260">
        <v>256</v>
      </c>
      <c r="B260" s="13">
        <v>45790</v>
      </c>
      <c r="C260" t="s">
        <v>1445</v>
      </c>
      <c r="D260" t="s">
        <v>2251</v>
      </c>
    </row>
    <row r="261" spans="1:4">
      <c r="A261">
        <v>257</v>
      </c>
      <c r="B261" s="13">
        <v>45790</v>
      </c>
      <c r="C261" t="s">
        <v>1351</v>
      </c>
      <c r="D261" t="s">
        <v>2254</v>
      </c>
    </row>
    <row r="262" spans="1:4">
      <c r="A262">
        <v>258</v>
      </c>
      <c r="B262" s="13">
        <v>45790</v>
      </c>
      <c r="C262" t="s">
        <v>1734</v>
      </c>
      <c r="D262" t="s">
        <v>2256</v>
      </c>
    </row>
    <row r="263" spans="1:4">
      <c r="A263">
        <v>259</v>
      </c>
      <c r="B263" s="13">
        <v>45790</v>
      </c>
      <c r="C263" t="s">
        <v>1424</v>
      </c>
      <c r="D263" t="s">
        <v>2258</v>
      </c>
    </row>
    <row r="264" spans="1:4">
      <c r="A264">
        <v>260</v>
      </c>
      <c r="B264" s="13">
        <v>45791</v>
      </c>
      <c r="C264" t="s">
        <v>1790</v>
      </c>
      <c r="D264" t="s">
        <v>2263</v>
      </c>
    </row>
    <row r="265" spans="1:4">
      <c r="A265">
        <v>261</v>
      </c>
      <c r="B265" s="13">
        <v>45791</v>
      </c>
      <c r="C265" t="s">
        <v>2269</v>
      </c>
      <c r="D265" t="s">
        <v>2271</v>
      </c>
    </row>
    <row r="266" spans="1:4">
      <c r="A266">
        <v>262</v>
      </c>
      <c r="B266" s="13">
        <v>45791</v>
      </c>
      <c r="C266" t="s">
        <v>1030</v>
      </c>
      <c r="D266" t="s">
        <v>2272</v>
      </c>
    </row>
    <row r="267" spans="1:4">
      <c r="A267">
        <v>263</v>
      </c>
      <c r="B267" s="13">
        <v>45791</v>
      </c>
      <c r="C267" t="s">
        <v>1866</v>
      </c>
      <c r="D267" t="s">
        <v>2274</v>
      </c>
    </row>
    <row r="268" spans="1:4">
      <c r="A268">
        <v>264</v>
      </c>
      <c r="B268" s="13">
        <v>45791</v>
      </c>
      <c r="C268" t="s">
        <v>1647</v>
      </c>
      <c r="D268" t="s">
        <v>2275</v>
      </c>
    </row>
    <row r="269" spans="1:4">
      <c r="A269">
        <v>265</v>
      </c>
      <c r="B269" s="13">
        <v>45792</v>
      </c>
      <c r="C269" t="s">
        <v>1629</v>
      </c>
      <c r="D269" t="s">
        <v>2307</v>
      </c>
    </row>
    <row r="270" spans="1:4">
      <c r="A270">
        <v>266</v>
      </c>
      <c r="B270" s="13">
        <v>45792</v>
      </c>
      <c r="C270" t="s">
        <v>2180</v>
      </c>
      <c r="D270" t="s">
        <v>2308</v>
      </c>
    </row>
    <row r="271" spans="1:4">
      <c r="A271">
        <v>267</v>
      </c>
      <c r="B271" s="13">
        <v>45792</v>
      </c>
      <c r="C271" t="s">
        <v>1587</v>
      </c>
      <c r="D271" t="s">
        <v>2309</v>
      </c>
    </row>
    <row r="272" spans="1:4">
      <c r="A272">
        <v>268</v>
      </c>
      <c r="B272" s="13">
        <v>45792</v>
      </c>
      <c r="C272" t="s">
        <v>1817</v>
      </c>
      <c r="D272" t="s">
        <v>2312</v>
      </c>
    </row>
    <row r="273" spans="1:5">
      <c r="A273">
        <v>269</v>
      </c>
      <c r="B273" s="13">
        <v>45792</v>
      </c>
      <c r="C273" t="s">
        <v>1817</v>
      </c>
      <c r="D273" t="s">
        <v>2314</v>
      </c>
    </row>
    <row r="274" spans="1:5">
      <c r="A274">
        <v>270</v>
      </c>
      <c r="B274" s="13">
        <v>45792</v>
      </c>
      <c r="C274" t="s">
        <v>1955</v>
      </c>
      <c r="D274" t="s">
        <v>2318</v>
      </c>
    </row>
    <row r="275" spans="1:5">
      <c r="A275">
        <v>271</v>
      </c>
      <c r="B275" s="13">
        <v>45793</v>
      </c>
      <c r="C275" t="s">
        <v>2189</v>
      </c>
      <c r="D275" t="s">
        <v>2326</v>
      </c>
    </row>
    <row r="276" spans="1:5">
      <c r="A276">
        <v>272</v>
      </c>
      <c r="B276" s="13">
        <v>45793</v>
      </c>
      <c r="C276" t="s">
        <v>1817</v>
      </c>
      <c r="D276" t="s">
        <v>2327</v>
      </c>
    </row>
    <row r="277" spans="1:5">
      <c r="A277">
        <v>273</v>
      </c>
      <c r="B277" s="13">
        <v>45793</v>
      </c>
      <c r="C277" t="s">
        <v>1955</v>
      </c>
      <c r="D277" t="s">
        <v>2329</v>
      </c>
    </row>
    <row r="278" spans="1:5">
      <c r="A278">
        <v>274</v>
      </c>
      <c r="B278" s="13">
        <v>45794</v>
      </c>
      <c r="C278" t="s">
        <v>1932</v>
      </c>
      <c r="D278" t="s">
        <v>2331</v>
      </c>
    </row>
    <row r="279" spans="1:5">
      <c r="A279">
        <v>275</v>
      </c>
      <c r="B279" s="13">
        <v>45794</v>
      </c>
      <c r="C279" t="s">
        <v>1817</v>
      </c>
      <c r="D279" t="s">
        <v>2332</v>
      </c>
    </row>
    <row r="280" spans="1:5">
      <c r="A280">
        <v>276</v>
      </c>
      <c r="B280" s="13">
        <v>45794</v>
      </c>
      <c r="C280" t="s">
        <v>1069</v>
      </c>
      <c r="D280" t="s">
        <v>2333</v>
      </c>
    </row>
    <row r="281" spans="1:5">
      <c r="A281">
        <v>277</v>
      </c>
      <c r="B281" s="13">
        <v>45794</v>
      </c>
      <c r="C281" t="s">
        <v>1490</v>
      </c>
      <c r="D281" t="s">
        <v>2337</v>
      </c>
    </row>
    <row r="282" spans="1:5">
      <c r="A282">
        <v>278</v>
      </c>
      <c r="B282" s="13">
        <v>45794</v>
      </c>
      <c r="C282" t="s">
        <v>2339</v>
      </c>
      <c r="D282" t="s">
        <v>2340</v>
      </c>
    </row>
    <row r="283" spans="1:5">
      <c r="A283">
        <v>279</v>
      </c>
      <c r="B283" s="13">
        <v>45794</v>
      </c>
      <c r="C283" t="s">
        <v>1790</v>
      </c>
      <c r="D283" t="s">
        <v>2342</v>
      </c>
    </row>
    <row r="284" spans="1:5">
      <c r="A284">
        <v>280</v>
      </c>
      <c r="B284" s="13">
        <v>45794</v>
      </c>
      <c r="C284" t="s">
        <v>1437</v>
      </c>
      <c r="D284" t="s">
        <v>2343</v>
      </c>
    </row>
    <row r="285" spans="1:5">
      <c r="A285">
        <v>281</v>
      </c>
      <c r="B285" s="13">
        <v>45796</v>
      </c>
      <c r="C285" t="s">
        <v>1183</v>
      </c>
      <c r="D285" t="s">
        <v>2348</v>
      </c>
    </row>
    <row r="286" spans="1:5">
      <c r="A286">
        <v>282</v>
      </c>
      <c r="B286" s="13">
        <v>45796</v>
      </c>
      <c r="C286" t="s">
        <v>1069</v>
      </c>
      <c r="D286" t="s">
        <v>2351</v>
      </c>
      <c r="E286" t="s">
        <v>2350</v>
      </c>
    </row>
    <row r="287" spans="1:5">
      <c r="A287">
        <v>283</v>
      </c>
      <c r="B287" s="13">
        <v>45797</v>
      </c>
      <c r="C287" t="s">
        <v>1027</v>
      </c>
      <c r="D287" t="s">
        <v>2352</v>
      </c>
    </row>
    <row r="288" spans="1:5">
      <c r="A288">
        <v>284</v>
      </c>
      <c r="B288" s="13">
        <v>45797</v>
      </c>
      <c r="C288" t="s">
        <v>1629</v>
      </c>
      <c r="D288" t="s">
        <v>2353</v>
      </c>
    </row>
    <row r="289" spans="1:4">
      <c r="A289">
        <v>285</v>
      </c>
      <c r="B289" s="13">
        <v>45797</v>
      </c>
      <c r="C289" t="s">
        <v>1946</v>
      </c>
      <c r="D289" t="s">
        <v>2354</v>
      </c>
    </row>
    <row r="290" spans="1:4">
      <c r="A290">
        <v>286</v>
      </c>
      <c r="B290" s="13">
        <v>45798</v>
      </c>
      <c r="C290" t="s">
        <v>1600</v>
      </c>
      <c r="D290" t="s">
        <v>2359</v>
      </c>
    </row>
    <row r="291" spans="1:4">
      <c r="A291">
        <v>287</v>
      </c>
      <c r="B291" s="13">
        <v>45798</v>
      </c>
      <c r="C291" t="s">
        <v>2360</v>
      </c>
      <c r="D291" t="s">
        <v>2361</v>
      </c>
    </row>
    <row r="292" spans="1:4">
      <c r="A292">
        <v>288</v>
      </c>
      <c r="B292" s="13">
        <v>45798</v>
      </c>
      <c r="C292" t="s">
        <v>1734</v>
      </c>
      <c r="D292" t="s">
        <v>2362</v>
      </c>
    </row>
    <row r="293" spans="1:4">
      <c r="A293">
        <v>289</v>
      </c>
      <c r="B293" s="13">
        <v>45798</v>
      </c>
      <c r="C293" t="s">
        <v>2363</v>
      </c>
      <c r="D293" t="s">
        <v>2366</v>
      </c>
    </row>
    <row r="294" spans="1:4">
      <c r="A294">
        <v>290</v>
      </c>
      <c r="B294" s="13">
        <v>45798</v>
      </c>
      <c r="C294" t="s">
        <v>1946</v>
      </c>
      <c r="D294" t="s">
        <v>2367</v>
      </c>
    </row>
    <row r="295" spans="1:4">
      <c r="A295">
        <v>291</v>
      </c>
      <c r="B295" s="13">
        <v>45799</v>
      </c>
      <c r="C295" t="s">
        <v>1445</v>
      </c>
      <c r="D295" t="s">
        <v>2369</v>
      </c>
    </row>
    <row r="296" spans="1:4">
      <c r="A296">
        <v>292</v>
      </c>
      <c r="B296" s="13">
        <v>45799</v>
      </c>
      <c r="C296" t="s">
        <v>1069</v>
      </c>
      <c r="D296" t="s">
        <v>2370</v>
      </c>
    </row>
    <row r="297" spans="1:4">
      <c r="A297">
        <v>293</v>
      </c>
      <c r="B297" s="13">
        <v>45799</v>
      </c>
      <c r="C297" t="s">
        <v>1600</v>
      </c>
      <c r="D297" t="s">
        <v>2371</v>
      </c>
    </row>
    <row r="298" spans="1:4">
      <c r="A298">
        <v>294</v>
      </c>
      <c r="B298" s="13">
        <v>45799</v>
      </c>
      <c r="C298" t="s">
        <v>1495</v>
      </c>
      <c r="D298" t="s">
        <v>2373</v>
      </c>
    </row>
    <row r="299" spans="1:4">
      <c r="A299">
        <v>295</v>
      </c>
      <c r="B299" s="13">
        <v>45799</v>
      </c>
      <c r="C299" t="s">
        <v>1525</v>
      </c>
      <c r="D299" t="s">
        <v>2374</v>
      </c>
    </row>
    <row r="300" spans="1:4">
      <c r="A300">
        <v>296</v>
      </c>
      <c r="B300" s="13">
        <v>45800</v>
      </c>
      <c r="C300" t="s">
        <v>1069</v>
      </c>
      <c r="D300" t="s">
        <v>2380</v>
      </c>
    </row>
    <row r="301" spans="1:4">
      <c r="A301">
        <v>297</v>
      </c>
      <c r="B301" s="13">
        <v>45800</v>
      </c>
      <c r="C301" t="s">
        <v>2381</v>
      </c>
      <c r="D301" t="s">
        <v>2385</v>
      </c>
    </row>
    <row r="302" spans="1:4">
      <c r="A302">
        <v>298</v>
      </c>
      <c r="B302" s="13">
        <v>45800</v>
      </c>
      <c r="C302" t="s">
        <v>1069</v>
      </c>
      <c r="D302" t="s">
        <v>2386</v>
      </c>
    </row>
    <row r="303" spans="1:4">
      <c r="A303">
        <v>299</v>
      </c>
      <c r="B303" s="13">
        <v>45800</v>
      </c>
      <c r="C303" t="s">
        <v>1790</v>
      </c>
      <c r="D303" t="s">
        <v>2387</v>
      </c>
    </row>
    <row r="304" spans="1:4">
      <c r="A304">
        <v>300</v>
      </c>
      <c r="B304" s="13">
        <v>45801</v>
      </c>
      <c r="C304" t="s">
        <v>1498</v>
      </c>
      <c r="D304" t="s">
        <v>2393</v>
      </c>
    </row>
    <row r="305" spans="1:4">
      <c r="A305">
        <v>301</v>
      </c>
      <c r="B305" s="13">
        <v>45801</v>
      </c>
      <c r="C305" t="s">
        <v>1030</v>
      </c>
      <c r="D305" t="s">
        <v>2394</v>
      </c>
    </row>
    <row r="306" spans="1:4">
      <c r="A306">
        <v>302</v>
      </c>
      <c r="B306" s="13">
        <v>45801</v>
      </c>
      <c r="C306" t="s">
        <v>1590</v>
      </c>
      <c r="D306" t="s">
        <v>2396</v>
      </c>
    </row>
    <row r="307" spans="1:4">
      <c r="A307">
        <v>303</v>
      </c>
      <c r="B307" s="13">
        <v>45803</v>
      </c>
      <c r="C307" t="s">
        <v>2397</v>
      </c>
      <c r="D307" t="s">
        <v>2402</v>
      </c>
    </row>
    <row r="308" spans="1:4">
      <c r="A308">
        <v>304</v>
      </c>
      <c r="B308" s="13">
        <v>45803</v>
      </c>
      <c r="C308" t="s">
        <v>1445</v>
      </c>
      <c r="D308" t="s">
        <v>2403</v>
      </c>
    </row>
    <row r="309" spans="1:4">
      <c r="A309">
        <v>305</v>
      </c>
      <c r="B309" s="13">
        <v>45803</v>
      </c>
      <c r="C309" t="s">
        <v>1626</v>
      </c>
      <c r="D309" t="s">
        <v>2404</v>
      </c>
    </row>
    <row r="310" spans="1:4">
      <c r="A310">
        <v>306</v>
      </c>
      <c r="B310" s="13">
        <v>45803</v>
      </c>
      <c r="C310" t="s">
        <v>2214</v>
      </c>
      <c r="D310" t="s">
        <v>2406</v>
      </c>
    </row>
    <row r="311" spans="1:4">
      <c r="A311">
        <v>307</v>
      </c>
      <c r="B311" s="13">
        <v>45803</v>
      </c>
      <c r="C311" t="s">
        <v>1030</v>
      </c>
      <c r="D311" t="s">
        <v>2407</v>
      </c>
    </row>
    <row r="312" spans="1:4">
      <c r="A312">
        <v>308</v>
      </c>
      <c r="B312" s="13">
        <v>45803</v>
      </c>
      <c r="C312" t="s">
        <v>1734</v>
      </c>
      <c r="D312" t="s">
        <v>2408</v>
      </c>
    </row>
    <row r="313" spans="1:4">
      <c r="A313">
        <v>309</v>
      </c>
      <c r="B313" s="13">
        <v>45803</v>
      </c>
      <c r="C313" t="s">
        <v>1635</v>
      </c>
      <c r="D313" t="s">
        <v>2412</v>
      </c>
    </row>
    <row r="314" spans="1:4">
      <c r="A314">
        <v>310</v>
      </c>
      <c r="B314" s="13">
        <v>45804</v>
      </c>
      <c r="C314" t="s">
        <v>1525</v>
      </c>
      <c r="D314" t="s">
        <v>2415</v>
      </c>
    </row>
    <row r="315" spans="1:4">
      <c r="A315">
        <v>311</v>
      </c>
      <c r="B315" s="13">
        <v>45804</v>
      </c>
      <c r="C315" t="s">
        <v>1790</v>
      </c>
      <c r="D315" t="s">
        <v>2416</v>
      </c>
    </row>
    <row r="316" spans="1:4">
      <c r="A316">
        <v>312</v>
      </c>
      <c r="B316" s="13">
        <v>45804</v>
      </c>
      <c r="C316" t="s">
        <v>1626</v>
      </c>
      <c r="D316" t="s">
        <v>2417</v>
      </c>
    </row>
    <row r="317" spans="1:4">
      <c r="A317">
        <v>313</v>
      </c>
      <c r="B317" s="13">
        <v>45804</v>
      </c>
      <c r="C317" t="s">
        <v>1418</v>
      </c>
      <c r="D317" t="s">
        <v>2418</v>
      </c>
    </row>
    <row r="318" spans="1:4">
      <c r="A318">
        <v>314</v>
      </c>
      <c r="B318" s="13">
        <v>45804</v>
      </c>
      <c r="C318" t="s">
        <v>1587</v>
      </c>
      <c r="D318" t="s">
        <v>2421</v>
      </c>
    </row>
    <row r="319" spans="1:4">
      <c r="A319">
        <v>343</v>
      </c>
      <c r="B319" s="13">
        <v>45806</v>
      </c>
      <c r="C319" t="s">
        <v>2363</v>
      </c>
      <c r="D319" t="s">
        <v>2430</v>
      </c>
    </row>
    <row r="320" spans="1:4">
      <c r="A320">
        <v>344</v>
      </c>
      <c r="B320" s="13">
        <v>45806</v>
      </c>
      <c r="C320" t="s">
        <v>1437</v>
      </c>
      <c r="D320" t="s">
        <v>2431</v>
      </c>
    </row>
    <row r="321" spans="1:4">
      <c r="A321">
        <v>345</v>
      </c>
      <c r="B321" s="13">
        <v>45806</v>
      </c>
      <c r="C321" t="s">
        <v>1445</v>
      </c>
      <c r="D321" t="s">
        <v>2432</v>
      </c>
    </row>
    <row r="322" spans="1:4">
      <c r="A322">
        <v>346</v>
      </c>
      <c r="B322" s="13">
        <v>45807</v>
      </c>
      <c r="C322" t="s">
        <v>1567</v>
      </c>
      <c r="D322" t="s">
        <v>2433</v>
      </c>
    </row>
    <row r="323" spans="1:4">
      <c r="A323">
        <v>347</v>
      </c>
      <c r="B323" s="13">
        <v>45807</v>
      </c>
      <c r="C323" t="s">
        <v>1525</v>
      </c>
      <c r="D323" t="s">
        <v>2439</v>
      </c>
    </row>
    <row r="324" spans="1:4">
      <c r="A324">
        <v>348</v>
      </c>
      <c r="B324" s="13">
        <v>45807</v>
      </c>
      <c r="C324" t="s">
        <v>2440</v>
      </c>
      <c r="D324" t="s">
        <v>2441</v>
      </c>
    </row>
    <row r="325" spans="1:4">
      <c r="A325">
        <v>349</v>
      </c>
      <c r="B325" s="13">
        <v>45807</v>
      </c>
      <c r="C325" t="s">
        <v>1069</v>
      </c>
      <c r="D325" t="s">
        <v>2442</v>
      </c>
    </row>
    <row r="326" spans="1:4">
      <c r="A326">
        <v>350</v>
      </c>
      <c r="B326" s="13">
        <v>45807</v>
      </c>
      <c r="C326" t="s">
        <v>2426</v>
      </c>
      <c r="D326" t="s">
        <v>2443</v>
      </c>
    </row>
    <row r="327" spans="1:4">
      <c r="A327">
        <v>351</v>
      </c>
      <c r="B327" s="13">
        <v>45807</v>
      </c>
      <c r="C327" t="s">
        <v>2195</v>
      </c>
      <c r="D327" t="s">
        <v>2444</v>
      </c>
    </row>
    <row r="328" spans="1:4">
      <c r="A328">
        <v>352</v>
      </c>
      <c r="B328" s="13">
        <v>45807</v>
      </c>
      <c r="C328" t="s">
        <v>1488</v>
      </c>
      <c r="D328" t="s">
        <v>2446</v>
      </c>
    </row>
    <row r="329" spans="1:4">
      <c r="A329">
        <v>353</v>
      </c>
      <c r="B329" s="13">
        <v>45808</v>
      </c>
      <c r="C329" t="s">
        <v>1281</v>
      </c>
      <c r="D329" t="s">
        <v>2453</v>
      </c>
    </row>
    <row r="330" spans="1:4">
      <c r="A330">
        <v>354</v>
      </c>
      <c r="B330" s="13">
        <v>45808</v>
      </c>
      <c r="C330" t="s">
        <v>1351</v>
      </c>
      <c r="D330" t="s">
        <v>2454</v>
      </c>
    </row>
    <row r="331" spans="1:4">
      <c r="A331">
        <v>355</v>
      </c>
      <c r="B331" s="13">
        <v>45808</v>
      </c>
      <c r="C331" t="s">
        <v>1790</v>
      </c>
      <c r="D331" t="s">
        <v>2462</v>
      </c>
    </row>
    <row r="332" spans="1:4">
      <c r="A332">
        <v>356</v>
      </c>
      <c r="B332" s="13">
        <v>45810</v>
      </c>
      <c r="C332" t="s">
        <v>997</v>
      </c>
      <c r="D332" t="s">
        <v>2467</v>
      </c>
    </row>
    <row r="333" spans="1:4">
      <c r="A333">
        <v>357</v>
      </c>
      <c r="B333" s="13">
        <v>45810</v>
      </c>
      <c r="C333" t="s">
        <v>1587</v>
      </c>
      <c r="D333" t="s">
        <v>2468</v>
      </c>
    </row>
    <row r="334" spans="1:4">
      <c r="A334">
        <v>358</v>
      </c>
      <c r="B334" s="13">
        <v>45810</v>
      </c>
      <c r="C334" t="s">
        <v>2397</v>
      </c>
      <c r="D334" t="s">
        <v>2469</v>
      </c>
    </row>
    <row r="335" spans="1:4">
      <c r="A335">
        <v>359</v>
      </c>
      <c r="B335" s="13">
        <v>45810</v>
      </c>
      <c r="C335" t="s">
        <v>1502</v>
      </c>
      <c r="D335" t="s">
        <v>2470</v>
      </c>
    </row>
    <row r="336" spans="1:4">
      <c r="A336">
        <v>360</v>
      </c>
      <c r="B336" s="13">
        <v>45810</v>
      </c>
      <c r="C336" t="s">
        <v>1587</v>
      </c>
      <c r="D336" t="s">
        <v>2471</v>
      </c>
    </row>
    <row r="337" spans="1:4">
      <c r="A337">
        <v>361</v>
      </c>
      <c r="B337" s="13">
        <v>45810</v>
      </c>
      <c r="C337" t="s">
        <v>2360</v>
      </c>
      <c r="D337" t="s">
        <v>2474</v>
      </c>
    </row>
    <row r="338" spans="1:4">
      <c r="A338">
        <v>362</v>
      </c>
      <c r="B338" s="13">
        <v>45811</v>
      </c>
      <c r="C338" t="s">
        <v>1645</v>
      </c>
      <c r="D338" t="s">
        <v>2480</v>
      </c>
    </row>
    <row r="339" spans="1:4">
      <c r="A339">
        <v>363</v>
      </c>
      <c r="B339" s="13">
        <v>45811</v>
      </c>
      <c r="C339" t="s">
        <v>1495</v>
      </c>
      <c r="D339" t="s">
        <v>2482</v>
      </c>
    </row>
    <row r="340" spans="1:4">
      <c r="A340">
        <v>364</v>
      </c>
      <c r="B340" s="13">
        <v>45811</v>
      </c>
      <c r="C340" t="s">
        <v>2483</v>
      </c>
      <c r="D340" t="s">
        <v>2486</v>
      </c>
    </row>
    <row r="341" spans="1:4">
      <c r="A341">
        <v>365</v>
      </c>
      <c r="B341" s="13">
        <v>45811</v>
      </c>
      <c r="C341" t="s">
        <v>2483</v>
      </c>
      <c r="D341" t="s">
        <v>2487</v>
      </c>
    </row>
    <row r="342" spans="1:4">
      <c r="A342">
        <v>366</v>
      </c>
      <c r="B342" s="13">
        <v>45807</v>
      </c>
      <c r="C342" t="s">
        <v>1027</v>
      </c>
      <c r="D342" t="s">
        <v>2497</v>
      </c>
    </row>
    <row r="343" spans="1:4">
      <c r="A343">
        <v>367</v>
      </c>
      <c r="B343" s="13">
        <v>45812</v>
      </c>
      <c r="C343" t="s">
        <v>1647</v>
      </c>
      <c r="D343" t="s">
        <v>2498</v>
      </c>
    </row>
    <row r="344" spans="1:4">
      <c r="A344">
        <v>368</v>
      </c>
      <c r="B344" s="13">
        <v>45812</v>
      </c>
      <c r="C344" t="s">
        <v>2499</v>
      </c>
      <c r="D344" t="s">
        <v>2504</v>
      </c>
    </row>
    <row r="345" spans="1:4">
      <c r="A345">
        <v>369</v>
      </c>
      <c r="B345" s="13">
        <v>45812</v>
      </c>
      <c r="C345" t="s">
        <v>1629</v>
      </c>
      <c r="D345" t="s">
        <v>2511</v>
      </c>
    </row>
    <row r="346" spans="1:4">
      <c r="A346">
        <v>370</v>
      </c>
      <c r="B346" s="13">
        <v>45813</v>
      </c>
      <c r="C346" t="s">
        <v>1587</v>
      </c>
      <c r="D346" t="s">
        <v>2516</v>
      </c>
    </row>
    <row r="347" spans="1:4">
      <c r="A347">
        <v>371</v>
      </c>
      <c r="B347" s="13">
        <v>45813</v>
      </c>
      <c r="C347" t="s">
        <v>1587</v>
      </c>
      <c r="D347" t="s">
        <v>2517</v>
      </c>
    </row>
    <row r="348" spans="1:4">
      <c r="A348">
        <v>372</v>
      </c>
      <c r="B348" s="13">
        <v>45813</v>
      </c>
      <c r="C348" t="s">
        <v>1502</v>
      </c>
      <c r="D348" t="s">
        <v>2518</v>
      </c>
    </row>
    <row r="349" spans="1:4">
      <c r="A349">
        <v>373</v>
      </c>
      <c r="B349" s="13">
        <v>45813</v>
      </c>
      <c r="C349" t="s">
        <v>1183</v>
      </c>
      <c r="D349" t="s">
        <v>2521</v>
      </c>
    </row>
    <row r="350" spans="1:4">
      <c r="A350">
        <v>374</v>
      </c>
      <c r="B350" s="13">
        <v>45813</v>
      </c>
      <c r="C350" t="s">
        <v>2528</v>
      </c>
      <c r="D350" t="s">
        <v>2529</v>
      </c>
    </row>
    <row r="351" spans="1:4">
      <c r="A351">
        <v>375</v>
      </c>
      <c r="B351" s="13">
        <v>45814</v>
      </c>
      <c r="C351" t="s">
        <v>1790</v>
      </c>
      <c r="D351" t="s">
        <v>2530</v>
      </c>
    </row>
    <row r="352" spans="1:4">
      <c r="A352">
        <v>376</v>
      </c>
      <c r="B352" s="13">
        <v>45815</v>
      </c>
      <c r="C352" t="s">
        <v>1790</v>
      </c>
      <c r="D352" t="s">
        <v>2531</v>
      </c>
    </row>
    <row r="353" spans="1:4">
      <c r="A353">
        <v>377</v>
      </c>
      <c r="B353" s="13">
        <v>45817</v>
      </c>
      <c r="C353" t="s">
        <v>2533</v>
      </c>
      <c r="D353" t="s">
        <v>2534</v>
      </c>
    </row>
    <row r="354" spans="1:4">
      <c r="A354">
        <v>378</v>
      </c>
      <c r="B354" s="13">
        <v>45817</v>
      </c>
      <c r="C354" t="s">
        <v>997</v>
      </c>
      <c r="D354" t="s">
        <v>2535</v>
      </c>
    </row>
    <row r="355" spans="1:4">
      <c r="A355">
        <v>379</v>
      </c>
      <c r="B355" s="13">
        <v>45817</v>
      </c>
      <c r="C355" t="s">
        <v>1183</v>
      </c>
      <c r="D355" t="s">
        <v>2538</v>
      </c>
    </row>
    <row r="356" spans="1:4">
      <c r="A356">
        <v>380</v>
      </c>
      <c r="B356" s="13">
        <v>45817</v>
      </c>
      <c r="C356" t="s">
        <v>1790</v>
      </c>
      <c r="D356" t="s">
        <v>2539</v>
      </c>
    </row>
    <row r="357" spans="1:4">
      <c r="A357">
        <v>381</v>
      </c>
      <c r="B357" s="13">
        <v>45817</v>
      </c>
      <c r="C357" t="s">
        <v>1030</v>
      </c>
      <c r="D357" t="s">
        <v>2542</v>
      </c>
    </row>
    <row r="358" spans="1:4">
      <c r="A358">
        <v>382</v>
      </c>
      <c r="B358" s="13">
        <v>45817</v>
      </c>
      <c r="C358" t="s">
        <v>1490</v>
      </c>
      <c r="D358" t="s">
        <v>2543</v>
      </c>
    </row>
    <row r="359" spans="1:4">
      <c r="A359">
        <v>383</v>
      </c>
      <c r="B359" s="13">
        <v>45817</v>
      </c>
      <c r="C359" t="s">
        <v>1445</v>
      </c>
      <c r="D359" t="s">
        <v>2544</v>
      </c>
    </row>
    <row r="360" spans="1:4">
      <c r="A360">
        <v>384</v>
      </c>
      <c r="B360" s="13">
        <v>45817</v>
      </c>
      <c r="C360" t="s">
        <v>1629</v>
      </c>
      <c r="D360" t="s">
        <v>2545</v>
      </c>
    </row>
    <row r="361" spans="1:4">
      <c r="A361">
        <v>385</v>
      </c>
      <c r="B361" s="13">
        <v>45817</v>
      </c>
      <c r="C361" t="s">
        <v>1626</v>
      </c>
      <c r="D361" t="s">
        <v>2551</v>
      </c>
    </row>
    <row r="362" spans="1:4">
      <c r="A362">
        <v>386</v>
      </c>
      <c r="B362" s="13">
        <v>45817</v>
      </c>
      <c r="C362" t="s">
        <v>1790</v>
      </c>
      <c r="D362" t="s">
        <v>2566</v>
      </c>
    </row>
    <row r="363" spans="1:4">
      <c r="A363">
        <v>387</v>
      </c>
      <c r="B363" s="13">
        <v>45817</v>
      </c>
      <c r="C363" t="s">
        <v>1445</v>
      </c>
      <c r="D363" t="s">
        <v>2568</v>
      </c>
    </row>
    <row r="364" spans="1:4">
      <c r="A364">
        <v>388</v>
      </c>
      <c r="B364" s="13">
        <v>45818</v>
      </c>
      <c r="C364" t="s">
        <v>2483</v>
      </c>
      <c r="D364" t="s">
        <v>2584</v>
      </c>
    </row>
    <row r="365" spans="1:4">
      <c r="A365">
        <v>389</v>
      </c>
      <c r="B365" s="13">
        <v>45818</v>
      </c>
      <c r="C365" t="s">
        <v>1817</v>
      </c>
      <c r="D365" t="s">
        <v>2585</v>
      </c>
    </row>
    <row r="366" spans="1:4">
      <c r="A366">
        <v>390</v>
      </c>
      <c r="B366" s="13">
        <v>45818</v>
      </c>
      <c r="C366" t="s">
        <v>1445</v>
      </c>
      <c r="D366" t="s">
        <v>2586</v>
      </c>
    </row>
    <row r="367" spans="1:4">
      <c r="A367">
        <v>391</v>
      </c>
      <c r="B367" s="13">
        <v>45818</v>
      </c>
      <c r="C367" t="s">
        <v>1351</v>
      </c>
      <c r="D367" t="s">
        <v>2588</v>
      </c>
    </row>
    <row r="368" spans="1:4">
      <c r="A368">
        <v>392</v>
      </c>
      <c r="B368" s="13">
        <v>45818</v>
      </c>
      <c r="C368" t="s">
        <v>1626</v>
      </c>
      <c r="D368" t="s">
        <v>2589</v>
      </c>
    </row>
    <row r="369" spans="1:4">
      <c r="A369">
        <v>393</v>
      </c>
      <c r="B369" s="13">
        <v>45818</v>
      </c>
      <c r="C369" t="s">
        <v>1490</v>
      </c>
      <c r="D369" t="s">
        <v>2591</v>
      </c>
    </row>
    <row r="370" spans="1:4">
      <c r="A370">
        <v>394</v>
      </c>
      <c r="B370" s="13">
        <v>45818</v>
      </c>
      <c r="C370" t="s">
        <v>2426</v>
      </c>
      <c r="D370" t="s">
        <v>2595</v>
      </c>
    </row>
    <row r="371" spans="1:4">
      <c r="A371">
        <v>395</v>
      </c>
      <c r="B371" s="13">
        <v>45818</v>
      </c>
      <c r="C371" t="s">
        <v>1979</v>
      </c>
      <c r="D371" t="s">
        <v>2596</v>
      </c>
    </row>
    <row r="372" spans="1:4">
      <c r="A372">
        <v>396</v>
      </c>
      <c r="B372" s="13">
        <v>45819</v>
      </c>
      <c r="C372" t="s">
        <v>1495</v>
      </c>
      <c r="D372" t="s">
        <v>2600</v>
      </c>
    </row>
    <row r="373" spans="1:4">
      <c r="A373">
        <v>397</v>
      </c>
      <c r="B373" s="13">
        <v>45819</v>
      </c>
      <c r="C373" t="s">
        <v>2489</v>
      </c>
      <c r="D373" t="s">
        <v>2612</v>
      </c>
    </row>
    <row r="374" spans="1:4">
      <c r="A374">
        <v>398</v>
      </c>
      <c r="B374" s="13">
        <v>45819</v>
      </c>
      <c r="C374" t="s">
        <v>2613</v>
      </c>
      <c r="D374" t="s">
        <v>2614</v>
      </c>
    </row>
    <row r="375" spans="1:4">
      <c r="A375">
        <v>399</v>
      </c>
      <c r="B375" s="13">
        <v>45819</v>
      </c>
      <c r="C375" t="s">
        <v>1498</v>
      </c>
      <c r="D375" t="s">
        <v>2616</v>
      </c>
    </row>
    <row r="376" spans="1:4">
      <c r="A376">
        <v>400</v>
      </c>
      <c r="B376" s="13">
        <v>45819</v>
      </c>
      <c r="C376" t="s">
        <v>1418</v>
      </c>
      <c r="D376" t="s">
        <v>2617</v>
      </c>
    </row>
    <row r="377" spans="1:4">
      <c r="A377">
        <v>401</v>
      </c>
      <c r="B377" s="13">
        <v>45819</v>
      </c>
      <c r="C377" t="s">
        <v>2604</v>
      </c>
      <c r="D377" t="s">
        <v>2618</v>
      </c>
    </row>
    <row r="378" spans="1:4">
      <c r="A378">
        <v>402</v>
      </c>
      <c r="B378" s="13">
        <v>45819</v>
      </c>
      <c r="C378" t="s">
        <v>1495</v>
      </c>
      <c r="D378" t="s">
        <v>2619</v>
      </c>
    </row>
    <row r="379" spans="1:4">
      <c r="A379">
        <v>403</v>
      </c>
      <c r="B379" s="13">
        <v>45820</v>
      </c>
      <c r="C379" t="s">
        <v>1519</v>
      </c>
      <c r="D379" t="s">
        <v>2620</v>
      </c>
    </row>
    <row r="380" spans="1:4">
      <c r="A380">
        <v>404</v>
      </c>
      <c r="B380" s="13">
        <v>45820</v>
      </c>
      <c r="C380" t="s">
        <v>1519</v>
      </c>
      <c r="D380" t="s">
        <v>2622</v>
      </c>
    </row>
    <row r="381" spans="1:4">
      <c r="A381">
        <v>405</v>
      </c>
      <c r="B381" s="13">
        <v>45820</v>
      </c>
      <c r="C381" t="s">
        <v>1525</v>
      </c>
      <c r="D381" t="s">
        <v>2623</v>
      </c>
    </row>
    <row r="382" spans="1:4">
      <c r="A382">
        <v>406</v>
      </c>
      <c r="B382" s="13">
        <v>45821</v>
      </c>
      <c r="C382" t="s">
        <v>2624</v>
      </c>
      <c r="D382" t="s">
        <v>2630</v>
      </c>
    </row>
    <row r="383" spans="1:4">
      <c r="A383">
        <v>407</v>
      </c>
      <c r="B383" s="13">
        <v>45821</v>
      </c>
      <c r="C383" t="s">
        <v>1030</v>
      </c>
      <c r="D383" t="s">
        <v>2631</v>
      </c>
    </row>
    <row r="384" spans="1:4">
      <c r="A384">
        <v>408</v>
      </c>
      <c r="B384" s="13">
        <v>45821</v>
      </c>
      <c r="C384" t="s">
        <v>1885</v>
      </c>
      <c r="D384" t="s">
        <v>2632</v>
      </c>
    </row>
    <row r="385" spans="1:4">
      <c r="A385">
        <v>409</v>
      </c>
      <c r="B385" s="13">
        <v>45821</v>
      </c>
      <c r="C385" t="s">
        <v>2066</v>
      </c>
      <c r="D385" t="s">
        <v>2633</v>
      </c>
    </row>
    <row r="386" spans="1:4">
      <c r="A386">
        <v>410</v>
      </c>
      <c r="B386" s="13">
        <v>45821</v>
      </c>
      <c r="C386" t="s">
        <v>2634</v>
      </c>
      <c r="D386" t="s">
        <v>2635</v>
      </c>
    </row>
    <row r="387" spans="1:4">
      <c r="A387">
        <v>411</v>
      </c>
      <c r="B387" s="13">
        <v>45821</v>
      </c>
      <c r="C387" t="s">
        <v>1515</v>
      </c>
      <c r="D387" t="s">
        <v>2639</v>
      </c>
    </row>
    <row r="388" spans="1:4">
      <c r="A388">
        <v>412</v>
      </c>
      <c r="B388" s="13">
        <v>45821</v>
      </c>
      <c r="C388" t="s">
        <v>1540</v>
      </c>
      <c r="D388" t="s">
        <v>2646</v>
      </c>
    </row>
    <row r="389" spans="1:4">
      <c r="A389">
        <v>413</v>
      </c>
      <c r="B389" s="13">
        <v>45822</v>
      </c>
      <c r="C389" t="s">
        <v>1445</v>
      </c>
      <c r="D389" t="s">
        <v>2647</v>
      </c>
    </row>
    <row r="390" spans="1:4">
      <c r="A390">
        <v>414</v>
      </c>
      <c r="B390" s="13">
        <v>45822</v>
      </c>
      <c r="C390" t="s">
        <v>1587</v>
      </c>
      <c r="D390" t="s">
        <v>2648</v>
      </c>
    </row>
    <row r="391" spans="1:4">
      <c r="A391">
        <v>415</v>
      </c>
      <c r="B391" s="13">
        <v>45824</v>
      </c>
      <c r="C391" t="s">
        <v>1500</v>
      </c>
      <c r="D391" t="s">
        <v>2649</v>
      </c>
    </row>
    <row r="392" spans="1:4">
      <c r="A392">
        <v>416</v>
      </c>
      <c r="B392" s="13">
        <v>45824</v>
      </c>
      <c r="C392" t="s">
        <v>1030</v>
      </c>
      <c r="D392" t="s">
        <v>2654</v>
      </c>
    </row>
    <row r="393" spans="1:4">
      <c r="A393">
        <v>417</v>
      </c>
      <c r="B393" s="13">
        <v>45824</v>
      </c>
      <c r="C393" t="s">
        <v>1445</v>
      </c>
      <c r="D393" t="s">
        <v>2655</v>
      </c>
    </row>
    <row r="394" spans="1:4">
      <c r="A394">
        <v>418</v>
      </c>
      <c r="B394" s="13">
        <v>45825</v>
      </c>
      <c r="C394" t="s">
        <v>1424</v>
      </c>
      <c r="D394" t="s">
        <v>2656</v>
      </c>
    </row>
    <row r="395" spans="1:4">
      <c r="A395">
        <v>419</v>
      </c>
      <c r="B395" s="13">
        <v>45825</v>
      </c>
      <c r="C395" t="s">
        <v>1587</v>
      </c>
      <c r="D395" t="s">
        <v>2697</v>
      </c>
    </row>
    <row r="396" spans="1:4">
      <c r="A396">
        <v>420</v>
      </c>
      <c r="B396" s="13">
        <v>45825</v>
      </c>
      <c r="C396" t="s">
        <v>1445</v>
      </c>
      <c r="D396" t="s">
        <v>2700</v>
      </c>
    </row>
    <row r="397" spans="1:4">
      <c r="A397">
        <v>421</v>
      </c>
      <c r="B397" s="13">
        <v>45825</v>
      </c>
      <c r="C397" t="s">
        <v>2699</v>
      </c>
      <c r="D397" t="s">
        <v>2701</v>
      </c>
    </row>
    <row r="398" spans="1:4">
      <c r="A398">
        <v>422</v>
      </c>
      <c r="B398" s="13">
        <v>45826</v>
      </c>
      <c r="C398" t="s">
        <v>1030</v>
      </c>
      <c r="D398" t="s">
        <v>2707</v>
      </c>
    </row>
    <row r="399" spans="1:4">
      <c r="A399">
        <v>423</v>
      </c>
      <c r="B399" s="13">
        <v>45826</v>
      </c>
      <c r="C399" t="s">
        <v>1445</v>
      </c>
      <c r="D399" t="s">
        <v>2712</v>
      </c>
    </row>
    <row r="400" spans="1:4">
      <c r="A400">
        <v>424</v>
      </c>
      <c r="B400" s="13">
        <v>45826</v>
      </c>
      <c r="C400" t="s">
        <v>2613</v>
      </c>
      <c r="D400" t="s">
        <v>2714</v>
      </c>
    </row>
    <row r="401" spans="1:4">
      <c r="A401">
        <v>425</v>
      </c>
      <c r="B401" s="13">
        <v>45826</v>
      </c>
      <c r="C401" t="s">
        <v>2063</v>
      </c>
      <c r="D401" t="s">
        <v>2715</v>
      </c>
    </row>
    <row r="402" spans="1:4">
      <c r="A402">
        <v>426</v>
      </c>
      <c r="B402" s="13">
        <v>45826</v>
      </c>
      <c r="C402" t="s">
        <v>2397</v>
      </c>
      <c r="D402" t="s">
        <v>2716</v>
      </c>
    </row>
    <row r="403" spans="1:4">
      <c r="A403">
        <v>427</v>
      </c>
      <c r="B403" s="13">
        <v>45826</v>
      </c>
      <c r="C403" t="s">
        <v>1790</v>
      </c>
      <c r="D403" t="s">
        <v>2717</v>
      </c>
    </row>
    <row r="404" spans="1:4">
      <c r="A404">
        <v>428</v>
      </c>
      <c r="B404" s="13">
        <v>45826</v>
      </c>
      <c r="C404" t="s">
        <v>1445</v>
      </c>
      <c r="D404" t="s">
        <v>2718</v>
      </c>
    </row>
    <row r="405" spans="1:4">
      <c r="A405">
        <v>429</v>
      </c>
      <c r="B405" s="13">
        <v>45827</v>
      </c>
      <c r="C405" t="s">
        <v>2063</v>
      </c>
      <c r="D405" t="s">
        <v>2720</v>
      </c>
    </row>
    <row r="406" spans="1:4">
      <c r="A406">
        <v>430</v>
      </c>
      <c r="B406" s="13">
        <v>45827</v>
      </c>
      <c r="C406" t="s">
        <v>1495</v>
      </c>
      <c r="D406" t="s">
        <v>2721</v>
      </c>
    </row>
    <row r="407" spans="1:4">
      <c r="A407">
        <v>431</v>
      </c>
      <c r="B407" s="13">
        <v>45827</v>
      </c>
      <c r="C407" t="s">
        <v>2699</v>
      </c>
      <c r="D407" t="s">
        <v>2726</v>
      </c>
    </row>
    <row r="408" spans="1:4">
      <c r="A408">
        <v>432</v>
      </c>
      <c r="B408" s="13">
        <v>45827</v>
      </c>
      <c r="C408" t="s">
        <v>1445</v>
      </c>
      <c r="D408" t="s">
        <v>2729</v>
      </c>
    </row>
    <row r="409" spans="1:4">
      <c r="A409">
        <v>433</v>
      </c>
      <c r="B409" s="13">
        <v>45827</v>
      </c>
      <c r="C409" t="s">
        <v>1490</v>
      </c>
      <c r="D409" t="s">
        <v>2730</v>
      </c>
    </row>
    <row r="410" spans="1:4">
      <c r="A410">
        <v>434</v>
      </c>
      <c r="B410" s="13">
        <v>45827</v>
      </c>
      <c r="C410" t="s">
        <v>1790</v>
      </c>
      <c r="D410" t="s">
        <v>2731</v>
      </c>
    </row>
    <row r="411" spans="1:4">
      <c r="A411">
        <v>435</v>
      </c>
      <c r="B411" s="13">
        <v>45827</v>
      </c>
      <c r="C411" t="s">
        <v>2533</v>
      </c>
      <c r="D411" t="s">
        <v>2732</v>
      </c>
    </row>
    <row r="412" spans="1:4">
      <c r="A412">
        <v>436</v>
      </c>
      <c r="B412" s="13">
        <v>45827</v>
      </c>
      <c r="C412" t="s">
        <v>1626</v>
      </c>
      <c r="D412" t="s">
        <v>2734</v>
      </c>
    </row>
    <row r="413" spans="1:4">
      <c r="A413">
        <v>437</v>
      </c>
      <c r="B413" s="13">
        <v>45827</v>
      </c>
      <c r="C413" t="s">
        <v>1626</v>
      </c>
      <c r="D413" t="s">
        <v>2736</v>
      </c>
    </row>
    <row r="414" spans="1:4">
      <c r="A414">
        <v>438</v>
      </c>
      <c r="B414" s="13">
        <v>45828</v>
      </c>
      <c r="C414" t="s">
        <v>2744</v>
      </c>
      <c r="D414" t="s">
        <v>2745</v>
      </c>
    </row>
    <row r="415" spans="1:4">
      <c r="A415">
        <v>439</v>
      </c>
      <c r="B415" s="13">
        <v>45828</v>
      </c>
      <c r="C415" t="s">
        <v>1629</v>
      </c>
      <c r="D415" t="s">
        <v>2746</v>
      </c>
    </row>
    <row r="416" spans="1:4">
      <c r="A416">
        <v>440</v>
      </c>
      <c r="B416" s="13">
        <v>45828</v>
      </c>
      <c r="C416" t="s">
        <v>1027</v>
      </c>
      <c r="D416" t="s">
        <v>2747</v>
      </c>
    </row>
    <row r="417" spans="1:4">
      <c r="A417">
        <v>441</v>
      </c>
      <c r="B417" s="13">
        <v>45828</v>
      </c>
      <c r="C417" t="s">
        <v>1587</v>
      </c>
      <c r="D417" t="s">
        <v>2748</v>
      </c>
    </row>
    <row r="418" spans="1:4">
      <c r="A418">
        <v>442</v>
      </c>
      <c r="B418" s="13">
        <v>45828</v>
      </c>
      <c r="C418" t="s">
        <v>2749</v>
      </c>
      <c r="D418" t="s">
        <v>2750</v>
      </c>
    </row>
    <row r="419" spans="1:4">
      <c r="A419">
        <v>443</v>
      </c>
      <c r="B419" s="13">
        <v>45828</v>
      </c>
      <c r="C419" t="s">
        <v>1629</v>
      </c>
      <c r="D419" t="s">
        <v>2751</v>
      </c>
    </row>
    <row r="420" spans="1:4">
      <c r="A420">
        <v>444</v>
      </c>
      <c r="B420" s="13">
        <v>45828</v>
      </c>
      <c r="C420" t="s">
        <v>2759</v>
      </c>
      <c r="D420" t="s">
        <v>2760</v>
      </c>
    </row>
    <row r="421" spans="1:4">
      <c r="A421">
        <v>445</v>
      </c>
      <c r="B421" s="13">
        <v>45829</v>
      </c>
      <c r="C421" t="s">
        <v>1635</v>
      </c>
      <c r="D421" t="s">
        <v>2766</v>
      </c>
    </row>
    <row r="422" spans="1:4">
      <c r="A422">
        <v>446</v>
      </c>
      <c r="B422" s="13">
        <v>45829</v>
      </c>
      <c r="C422" t="s">
        <v>2640</v>
      </c>
      <c r="D422" t="s">
        <v>2767</v>
      </c>
    </row>
    <row r="423" spans="1:4">
      <c r="A423">
        <v>447</v>
      </c>
      <c r="B423" s="13">
        <v>45829</v>
      </c>
      <c r="C423" t="s">
        <v>1790</v>
      </c>
      <c r="D423" t="s">
        <v>2772</v>
      </c>
    </row>
    <row r="424" spans="1:4">
      <c r="A424">
        <v>448</v>
      </c>
      <c r="B424" s="13">
        <v>45831</v>
      </c>
      <c r="C424" t="s">
        <v>2773</v>
      </c>
      <c r="D424" t="s">
        <v>2774</v>
      </c>
    </row>
    <row r="425" spans="1:4">
      <c r="A425">
        <v>449</v>
      </c>
      <c r="B425" s="13">
        <v>45831</v>
      </c>
      <c r="C425" t="s">
        <v>2780</v>
      </c>
      <c r="D425" t="s">
        <v>2781</v>
      </c>
    </row>
    <row r="426" spans="1:4">
      <c r="A426">
        <v>450</v>
      </c>
      <c r="B426" s="13">
        <v>45832</v>
      </c>
      <c r="C426" t="s">
        <v>1183</v>
      </c>
      <c r="D426" t="s">
        <v>2787</v>
      </c>
    </row>
    <row r="427" spans="1:4">
      <c r="A427">
        <v>451</v>
      </c>
      <c r="B427" s="13">
        <v>45832</v>
      </c>
      <c r="C427" t="s">
        <v>1629</v>
      </c>
      <c r="D427" t="s">
        <v>2788</v>
      </c>
    </row>
    <row r="428" spans="1:4">
      <c r="A428">
        <v>452</v>
      </c>
      <c r="B428" s="13">
        <v>45832</v>
      </c>
      <c r="C428" t="s">
        <v>2613</v>
      </c>
      <c r="D428" t="s">
        <v>2796</v>
      </c>
    </row>
    <row r="429" spans="1:4">
      <c r="A429">
        <v>453</v>
      </c>
      <c r="B429" s="13">
        <v>45832</v>
      </c>
      <c r="C429" t="s">
        <v>2789</v>
      </c>
      <c r="D429" t="s">
        <v>2797</v>
      </c>
    </row>
    <row r="430" spans="1:4">
      <c r="A430">
        <v>454</v>
      </c>
      <c r="B430" s="13">
        <v>45832</v>
      </c>
      <c r="C430" t="s">
        <v>1790</v>
      </c>
      <c r="D430" t="s">
        <v>2798</v>
      </c>
    </row>
    <row r="431" spans="1:4">
      <c r="A431">
        <v>455</v>
      </c>
      <c r="B431" s="13">
        <v>45832</v>
      </c>
      <c r="C431" t="s">
        <v>1587</v>
      </c>
      <c r="D431" t="s">
        <v>2799</v>
      </c>
    </row>
    <row r="432" spans="1:4">
      <c r="A432">
        <v>456</v>
      </c>
      <c r="B432" s="13">
        <v>45833</v>
      </c>
      <c r="C432" t="s">
        <v>1060</v>
      </c>
      <c r="D432" t="s">
        <v>2806</v>
      </c>
    </row>
    <row r="433" spans="1:4">
      <c r="A433">
        <v>457</v>
      </c>
      <c r="B433" s="13">
        <v>45833</v>
      </c>
      <c r="C433" t="s">
        <v>987</v>
      </c>
      <c r="D433" t="s">
        <v>2807</v>
      </c>
    </row>
    <row r="434" spans="1:4">
      <c r="A434">
        <v>458</v>
      </c>
      <c r="B434" s="13">
        <v>45833</v>
      </c>
      <c r="C434" t="s">
        <v>1979</v>
      </c>
      <c r="D434" t="s">
        <v>2808</v>
      </c>
    </row>
    <row r="435" spans="1:4">
      <c r="A435">
        <v>459</v>
      </c>
      <c r="B435" s="13">
        <v>45833</v>
      </c>
      <c r="C435" t="s">
        <v>1647</v>
      </c>
      <c r="D435" t="s">
        <v>2810</v>
      </c>
    </row>
    <row r="436" spans="1:4">
      <c r="A436">
        <v>460</v>
      </c>
      <c r="B436" s="13">
        <v>45833</v>
      </c>
      <c r="C436" t="s">
        <v>2801</v>
      </c>
      <c r="D436" t="s">
        <v>2811</v>
      </c>
    </row>
    <row r="437" spans="1:4">
      <c r="A437">
        <v>461</v>
      </c>
      <c r="B437" s="13">
        <v>45833</v>
      </c>
      <c r="C437" t="s">
        <v>1069</v>
      </c>
      <c r="D437" t="s">
        <v>2816</v>
      </c>
    </row>
    <row r="438" spans="1:4">
      <c r="A438">
        <v>462</v>
      </c>
      <c r="B438" s="13">
        <v>45833</v>
      </c>
      <c r="C438" t="s">
        <v>1635</v>
      </c>
      <c r="D438" t="s">
        <v>2817</v>
      </c>
    </row>
    <row r="439" spans="1:4">
      <c r="A439">
        <v>463</v>
      </c>
      <c r="B439" s="13">
        <v>45833</v>
      </c>
      <c r="C439" t="s">
        <v>1525</v>
      </c>
      <c r="D439" t="s">
        <v>2824</v>
      </c>
    </row>
    <row r="440" spans="1:4">
      <c r="A440">
        <v>464</v>
      </c>
      <c r="B440" s="13">
        <v>45834</v>
      </c>
      <c r="C440" t="s">
        <v>1515</v>
      </c>
      <c r="D440" t="s">
        <v>2825</v>
      </c>
    </row>
    <row r="441" spans="1:4">
      <c r="A441">
        <v>465</v>
      </c>
      <c r="B441" s="13">
        <v>45834</v>
      </c>
      <c r="C441" t="s">
        <v>1790</v>
      </c>
      <c r="D441" t="s">
        <v>2830</v>
      </c>
    </row>
    <row r="442" spans="1:4">
      <c r="A442">
        <v>466</v>
      </c>
      <c r="B442" s="13">
        <v>45834</v>
      </c>
      <c r="C442" t="s">
        <v>1445</v>
      </c>
      <c r="D442" t="s">
        <v>2831</v>
      </c>
    </row>
    <row r="443" spans="1:4">
      <c r="A443">
        <v>467</v>
      </c>
      <c r="B443" s="13">
        <v>45834</v>
      </c>
      <c r="C443" t="s">
        <v>1445</v>
      </c>
      <c r="D443" t="s">
        <v>2835</v>
      </c>
    </row>
    <row r="444" spans="1:4">
      <c r="A444">
        <v>468</v>
      </c>
      <c r="B444" s="13">
        <v>45834</v>
      </c>
      <c r="C444" t="s">
        <v>1445</v>
      </c>
      <c r="D444" t="s">
        <v>2854</v>
      </c>
    </row>
    <row r="445" spans="1:4">
      <c r="A445">
        <v>469</v>
      </c>
      <c r="B445" s="13">
        <v>45834</v>
      </c>
      <c r="C445" t="s">
        <v>1069</v>
      </c>
      <c r="D445" t="s">
        <v>2857</v>
      </c>
    </row>
    <row r="446" spans="1:4">
      <c r="A446">
        <v>470</v>
      </c>
      <c r="B446" s="13">
        <v>45835</v>
      </c>
      <c r="C446" t="s">
        <v>1424</v>
      </c>
      <c r="D446" t="s">
        <v>2870</v>
      </c>
    </row>
    <row r="447" spans="1:4">
      <c r="A447">
        <v>471</v>
      </c>
      <c r="B447" s="13">
        <v>45835</v>
      </c>
      <c r="C447" t="s">
        <v>1513</v>
      </c>
      <c r="D447" t="s">
        <v>2871</v>
      </c>
    </row>
    <row r="448" spans="1:4">
      <c r="A448">
        <v>472</v>
      </c>
      <c r="B448" s="13">
        <v>45835</v>
      </c>
      <c r="C448" t="s">
        <v>1069</v>
      </c>
      <c r="D448" t="s">
        <v>2873</v>
      </c>
    </row>
    <row r="449" spans="1:4">
      <c r="A449">
        <v>473</v>
      </c>
      <c r="B449" s="13">
        <v>45835</v>
      </c>
      <c r="C449" t="s">
        <v>1626</v>
      </c>
      <c r="D449" t="s">
        <v>2874</v>
      </c>
    </row>
    <row r="450" spans="1:4">
      <c r="A450">
        <v>474</v>
      </c>
      <c r="B450" s="13">
        <v>45835</v>
      </c>
      <c r="C450" t="s">
        <v>1790</v>
      </c>
      <c r="D450" t="s">
        <v>2876</v>
      </c>
    </row>
    <row r="451" spans="1:4">
      <c r="A451">
        <v>475</v>
      </c>
      <c r="B451" s="13">
        <v>45835</v>
      </c>
      <c r="C451" t="s">
        <v>1519</v>
      </c>
      <c r="D451" t="s">
        <v>2878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149</v>
      </c>
    </row>
    <row r="2" spans="1:10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5763999.5999999996</v>
      </c>
      <c r="J2" s="206" t="s">
        <v>2818</v>
      </c>
    </row>
    <row r="3" spans="1:10">
      <c r="A3">
        <v>2</v>
      </c>
      <c r="B3" t="s">
        <v>2739</v>
      </c>
      <c r="C3" t="s">
        <v>2740</v>
      </c>
      <c r="F3" t="s">
        <v>2741</v>
      </c>
      <c r="I3" s="206">
        <f>SUMIF(주문_리스트!C:C,거래처!B3,주문_리스트!K:K)+SUMIF(주문_리스트!C:C,거래처!B3,주문_리스트!L:L)</f>
        <v>0</v>
      </c>
    </row>
    <row r="4" spans="1:10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0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0">
      <c r="A6">
        <v>5</v>
      </c>
      <c r="B6" t="s">
        <v>1321</v>
      </c>
      <c r="C6" t="s">
        <v>2742</v>
      </c>
      <c r="F6" t="s">
        <v>2743</v>
      </c>
      <c r="G6" t="s">
        <v>1218</v>
      </c>
      <c r="I6" s="206">
        <f>SUMIF(주문_리스트!C:C,거래처!B6,주문_리스트!K:K)+SUMIF(주문_리스트!C:C,거래처!B6,주문_리스트!L:L)</f>
        <v>0</v>
      </c>
      <c r="J6" s="52" t="s">
        <v>2738</v>
      </c>
    </row>
    <row r="7" spans="1:10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  <c r="J10" s="52" t="s">
        <v>2411</v>
      </c>
    </row>
    <row r="11" spans="1:10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0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1328</v>
      </c>
      <c r="C13" t="s">
        <v>1249</v>
      </c>
      <c r="F13" t="s">
        <v>1250</v>
      </c>
      <c r="G13" t="s">
        <v>2478</v>
      </c>
      <c r="H13" t="s">
        <v>2479</v>
      </c>
      <c r="I13" s="206">
        <f>SUMIF(주문_리스트!C:C,거래처!B13,주문_리스트!K:K)+SUMIF(주문_리스트!C:C,거래처!B13,주문_리스트!L:L)-1320000</f>
        <v>0</v>
      </c>
    </row>
    <row r="14" spans="1:10">
      <c r="A14">
        <v>13</v>
      </c>
      <c r="B14" t="s">
        <v>1329</v>
      </c>
      <c r="C14" t="s">
        <v>2641</v>
      </c>
      <c r="F14" t="s">
        <v>2642</v>
      </c>
      <c r="G14" t="s">
        <v>970</v>
      </c>
      <c r="H14" t="s">
        <v>2643</v>
      </c>
      <c r="I14" s="206">
        <f>SUMIF(주문_리스트!C:C,거래처!B14,주문_리스트!K:K)+SUMIF(주문_리스트!C:C,거래처!B14,주문_리스트!L:L)-1280000</f>
        <v>0</v>
      </c>
      <c r="J14" s="52" t="s">
        <v>2738</v>
      </c>
    </row>
    <row r="15" spans="1:10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0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16261000.199999999</v>
      </c>
      <c r="J17" s="52" t="s">
        <v>2818</v>
      </c>
    </row>
    <row r="18" spans="1:10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0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470000</v>
      </c>
      <c r="J19" s="52" t="s">
        <v>2818</v>
      </c>
    </row>
    <row r="20" spans="1:10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199999.69999999995</v>
      </c>
    </row>
    <row r="21" spans="1:10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1200000</v>
      </c>
      <c r="J26" s="52" t="s">
        <v>2818</v>
      </c>
    </row>
    <row r="27" spans="1:10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  <c r="J28" s="52" t="s">
        <v>2818</v>
      </c>
    </row>
    <row r="29" spans="1:10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600000</v>
      </c>
    </row>
    <row r="32" spans="1:10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1320000</v>
      </c>
      <c r="J32" s="52" t="s">
        <v>2818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10614000</v>
      </c>
      <c r="J37" s="52" t="s">
        <v>2818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0</v>
      </c>
      <c r="J41" s="52" t="s">
        <v>2818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2460</v>
      </c>
      <c r="H43" t="s">
        <v>2461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2802</v>
      </c>
      <c r="F44" t="s">
        <v>2803</v>
      </c>
      <c r="G44" t="s">
        <v>970</v>
      </c>
      <c r="H44" t="s">
        <v>2804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2574</v>
      </c>
      <c r="F46" t="s">
        <v>2576</v>
      </c>
      <c r="G46" t="s">
        <v>1218</v>
      </c>
      <c r="H46" t="s">
        <v>2575</v>
      </c>
      <c r="I46" s="20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  <c r="J51" s="52" t="s">
        <v>2368</v>
      </c>
    </row>
    <row r="52" spans="1:10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2783</v>
      </c>
      <c r="G54" t="s">
        <v>36</v>
      </c>
      <c r="H54" t="s">
        <v>2784</v>
      </c>
      <c r="I54" s="206">
        <f>SUMIF(주문_리스트!C:C,거래처!B54,주문_리스트!K:K)+SUMIF(주문_리스트!C:C,거래처!B54,주문_리스트!L:L)-4015000</f>
        <v>2110000</v>
      </c>
      <c r="J54" s="52" t="s">
        <v>2818</v>
      </c>
    </row>
    <row r="55" spans="1:10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688000</v>
      </c>
      <c r="J57" s="52" t="s">
        <v>2818</v>
      </c>
    </row>
    <row r="58" spans="1:10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1366</v>
      </c>
      <c r="C62" t="s">
        <v>2752</v>
      </c>
      <c r="D62" t="s">
        <v>2753</v>
      </c>
      <c r="F62" t="s">
        <v>2754</v>
      </c>
      <c r="G62" t="s">
        <v>2755</v>
      </c>
      <c r="H62" t="s">
        <v>2756</v>
      </c>
      <c r="I62" s="206">
        <f>SUMIF(주문_리스트!C:C,거래처!B62,주문_리스트!K:K)+SUMIF(주문_리스트!C:C,거래처!B62,주문_리스트!L:L)</f>
        <v>0</v>
      </c>
      <c r="J62" s="52" t="s">
        <v>2758</v>
      </c>
    </row>
    <row r="63" spans="1:10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1369</v>
      </c>
      <c r="C65" t="s">
        <v>2775</v>
      </c>
      <c r="F65" t="s">
        <v>2776</v>
      </c>
      <c r="G65" t="s">
        <v>2777</v>
      </c>
      <c r="H65" t="s">
        <v>2778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2577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1374</v>
      </c>
      <c r="C71" t="s">
        <v>2644</v>
      </c>
      <c r="F71" t="s">
        <v>2645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  <c r="J73" s="52" t="s">
        <v>2818</v>
      </c>
    </row>
    <row r="74" spans="1:10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600000</v>
      </c>
      <c r="J74" s="52" t="s">
        <v>2818</v>
      </c>
    </row>
    <row r="75" spans="1:10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2439000</v>
      </c>
      <c r="J76" s="52" t="s">
        <v>2818</v>
      </c>
    </row>
    <row r="77" spans="1:10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  <c r="J77" s="52" t="s">
        <v>2738</v>
      </c>
    </row>
    <row r="78" spans="1:10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10160000</v>
      </c>
      <c r="J79" s="52" t="s">
        <v>2818</v>
      </c>
    </row>
    <row r="80" spans="1:10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  <c r="J84" s="52" t="s">
        <v>2818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2513</v>
      </c>
      <c r="F91" t="s">
        <v>2514</v>
      </c>
      <c r="G91" t="s">
        <v>2515</v>
      </c>
      <c r="I91" s="206">
        <f>SUMIF(주문_리스트!C:C,거래처!B91,주문_리스트!K:K)+SUMIF(주문_리스트!C:C,거래처!B91,주문_리스트!L:L)-700000</f>
        <v>0</v>
      </c>
      <c r="J91" s="52" t="s">
        <v>2598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2319</v>
      </c>
      <c r="C94" t="s">
        <v>2320</v>
      </c>
      <c r="F94" t="s">
        <v>2321</v>
      </c>
      <c r="G94" t="s">
        <v>2322</v>
      </c>
      <c r="I94" s="206">
        <f>SUMIF(주문_리스트!C:C,거래처!B94,주문_리스트!K:K)+SUMIF(주문_리스트!C:C,거래처!B94,주문_리스트!L:L)-1320000</f>
        <v>0</v>
      </c>
      <c r="J94" s="52" t="s">
        <v>2818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  <c r="J97" s="52" t="s">
        <v>2758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2573</v>
      </c>
      <c r="I99" s="206">
        <f>SUMIF(주문_리스트!C:C,거래처!B99,주문_리스트!K:K)+SUMIF(주문_리스트!C:C,거래처!B99,주문_리스트!L:L)</f>
        <v>0</v>
      </c>
      <c r="J99" s="52" t="s">
        <v>2738</v>
      </c>
    </row>
    <row r="100" spans="1:15">
      <c r="A100">
        <v>99</v>
      </c>
      <c r="B100" t="s">
        <v>2569</v>
      </c>
      <c r="C100" t="s">
        <v>2570</v>
      </c>
      <c r="F100" t="s">
        <v>2571</v>
      </c>
      <c r="G100" t="s">
        <v>2572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  <c r="J101" s="52" t="s">
        <v>2818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2398</v>
      </c>
      <c r="D105" t="s">
        <v>2399</v>
      </c>
      <c r="F105" t="s">
        <v>2400</v>
      </c>
      <c r="G105" t="s">
        <v>2401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  <c r="J109" s="52" t="s">
        <v>2818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</row>
    <row r="113" spans="1:10">
      <c r="A113">
        <v>112</v>
      </c>
      <c r="B113" t="s">
        <v>1860</v>
      </c>
      <c r="C113" t="s">
        <v>1861</v>
      </c>
      <c r="F113" t="s">
        <v>1862</v>
      </c>
      <c r="G113" t="s">
        <v>1863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  <c r="J113" s="52" t="s">
        <v>2818</v>
      </c>
    </row>
    <row r="114" spans="1:10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2629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10">
      <c r="A122">
        <v>121</v>
      </c>
      <c r="B122" t="s">
        <v>2388</v>
      </c>
      <c r="C122" t="s">
        <v>2389</v>
      </c>
      <c r="F122" t="s">
        <v>2390</v>
      </c>
      <c r="G122" t="s">
        <v>2391</v>
      </c>
      <c r="H122" t="s">
        <v>2392</v>
      </c>
      <c r="I122" s="20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2414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2245</v>
      </c>
      <c r="C136" t="s">
        <v>2247</v>
      </c>
      <c r="F136" t="s">
        <v>2248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2382</v>
      </c>
      <c r="C137" t="s">
        <v>2383</v>
      </c>
      <c r="F137" t="s">
        <v>2384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2363</v>
      </c>
      <c r="C138" t="s">
        <v>2364</v>
      </c>
      <c r="F138" t="s">
        <v>2365</v>
      </c>
      <c r="G138" t="s">
        <v>1218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2493</v>
      </c>
      <c r="C139" t="s">
        <v>2494</v>
      </c>
      <c r="F139" t="s">
        <v>2495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2360</v>
      </c>
      <c r="C140" t="s">
        <v>2472</v>
      </c>
      <c r="F140" t="s">
        <v>2473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2483</v>
      </c>
      <c r="C141" t="s">
        <v>2484</v>
      </c>
      <c r="F141" t="s">
        <v>2485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2489</v>
      </c>
      <c r="C142" t="s">
        <v>2490</v>
      </c>
      <c r="F142" t="s">
        <v>2491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2500</v>
      </c>
      <c r="C143" t="s">
        <v>2501</v>
      </c>
      <c r="F143" t="s">
        <v>2502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2605</v>
      </c>
      <c r="C144" t="s">
        <v>2606</v>
      </c>
      <c r="F144" t="s">
        <v>2608</v>
      </c>
      <c r="G144" t="s">
        <v>2607</v>
      </c>
      <c r="I144" s="206">
        <f>SUMIF(주문_리스트!C:C,거래처!B144,주문_리스트!K:K)+SUMIF(주문_리스트!C:C,거래처!B144,주문_리스트!L:L)</f>
        <v>0</v>
      </c>
    </row>
    <row r="145" spans="1:10">
      <c r="A145">
        <v>144</v>
      </c>
      <c r="B145" t="s">
        <v>2609</v>
      </c>
      <c r="C145" t="s">
        <v>2592</v>
      </c>
      <c r="F145" t="s">
        <v>2593</v>
      </c>
      <c r="I145" s="206">
        <f>SUMIF(주문_리스트!C:C,거래처!B145,주문_리스트!K:K)+SUMIF(주문_리스트!C:C,거래처!B145,주문_리스트!L:L)</f>
        <v>0</v>
      </c>
    </row>
    <row r="146" spans="1:10">
      <c r="A146">
        <v>145</v>
      </c>
      <c r="B146" t="s">
        <v>2625</v>
      </c>
      <c r="C146" t="s">
        <v>2626</v>
      </c>
      <c r="F146" t="s">
        <v>2627</v>
      </c>
      <c r="G146" t="s">
        <v>970</v>
      </c>
      <c r="H146" t="s">
        <v>2628</v>
      </c>
      <c r="I146" s="206">
        <f>SUMIF(주문_리스트!C:C,거래처!B146,주문_리스트!K:K)+SUMIF(주문_리스트!C:C,거래처!B146,주문_리스트!L:L)</f>
        <v>0</v>
      </c>
    </row>
    <row r="147" spans="1:10">
      <c r="A147">
        <v>146</v>
      </c>
      <c r="B147" t="s">
        <v>2851</v>
      </c>
      <c r="C147" t="s">
        <v>2849</v>
      </c>
      <c r="D147" t="s">
        <v>2852</v>
      </c>
      <c r="F147" t="s">
        <v>2850</v>
      </c>
      <c r="I147" s="206">
        <f>SUMIF(주문_리스트!C:C,거래처!B147,주문_리스트!K:K)+SUMIF(주문_리스트!C:C,거래처!B147,주문_리스트!L:L)</f>
        <v>0</v>
      </c>
      <c r="J147" s="52" t="s">
        <v>2818</v>
      </c>
    </row>
    <row r="148" spans="1:10">
      <c r="A148">
        <v>147</v>
      </c>
      <c r="B148" t="s">
        <v>2702</v>
      </c>
      <c r="C148" t="s">
        <v>2703</v>
      </c>
      <c r="F148" t="s">
        <v>2704</v>
      </c>
      <c r="G148" t="s">
        <v>984</v>
      </c>
      <c r="H148" t="s">
        <v>2705</v>
      </c>
      <c r="I148" s="206">
        <f>SUMIF(주문_리스트!C:C,거래처!B148,주문_리스트!K:K)+SUMIF(주문_리스트!C:C,거래처!B148,주문_리스트!L:L)</f>
        <v>0</v>
      </c>
    </row>
    <row r="149" spans="1:10">
      <c r="A149">
        <v>148</v>
      </c>
      <c r="B149" t="s">
        <v>2790</v>
      </c>
      <c r="C149" t="s">
        <v>2791</v>
      </c>
      <c r="E149" t="s">
        <v>2792</v>
      </c>
      <c r="F149" t="s">
        <v>2793</v>
      </c>
      <c r="G149" t="s">
        <v>2794</v>
      </c>
      <c r="H149" t="s">
        <v>2795</v>
      </c>
      <c r="I149" s="206">
        <f>SUMIF(주문_리스트!C:C,거래처!B149,주문_리스트!K:K)+SUMIF(주문_리스트!C:C,거래처!B149,주문_리스트!L:L)</f>
        <v>0</v>
      </c>
    </row>
    <row r="150" spans="1:10">
      <c r="I150" s="206">
        <f>SUMIF(주문_리스트!C:C,거래처!B150,주문_리스트!K:K)+SUMIF(주문_리스트!C:C,거래처!B150,주문_리스트!L:L)</f>
        <v>0</v>
      </c>
    </row>
    <row r="151" spans="1:10">
      <c r="I151" s="206">
        <f>SUMIF(주문_리스트!C:C,거래처!B151,주문_리스트!K:K)+SUMIF(주문_리스트!C:C,거래처!B151,주문_리스트!L:L)</f>
        <v>0</v>
      </c>
    </row>
    <row r="152" spans="1:10">
      <c r="I152" s="206">
        <f>SUMIF(주문_리스트!C:C,거래처!B152,주문_리스트!K:K)+SUMIF(주문_리스트!C:C,거래처!B152,주문_리스트!L:L)</f>
        <v>0</v>
      </c>
    </row>
    <row r="153" spans="1:10">
      <c r="I153" s="206">
        <f>SUMIF(주문_리스트!C:C,거래처!B153,주문_리스트!K:K)+SUMIF(주문_리스트!C:C,거래처!B153,주문_리스트!L:L)</f>
        <v>0</v>
      </c>
    </row>
    <row r="154" spans="1:10">
      <c r="I154" s="206">
        <f>SUMIF(주문_리스트!C:C,거래처!B154,주문_리스트!K:K)+SUMIF(주문_리스트!C:C,거래처!B154,주문_리스트!L:L)</f>
        <v>0</v>
      </c>
    </row>
    <row r="155" spans="1:10">
      <c r="I155" s="206">
        <f>SUMIF(주문_리스트!C:C,거래처!B155,주문_리스트!K:K)+SUMIF(주문_리스트!C:C,거래처!B155,주문_리스트!L:L)</f>
        <v>0</v>
      </c>
    </row>
    <row r="156" spans="1:10">
      <c r="I156" s="206">
        <f>SUMIF(주문_리스트!C:C,거래처!B156,주문_리스트!K:K)+SUMIF(주문_리스트!C:C,거래처!B156,주문_리스트!L:L)</f>
        <v>0</v>
      </c>
    </row>
    <row r="157" spans="1:10">
      <c r="I157" s="206">
        <f>SUMIF(주문_리스트!C:C,거래처!B157,주문_리스트!K:K)+SUMIF(주문_리스트!C:C,거래처!B157,주문_리스트!L:L)</f>
        <v>0</v>
      </c>
    </row>
    <row r="158" spans="1:10">
      <c r="I158" s="206">
        <f>SUMIF(주문_리스트!C:C,거래처!B158,주문_리스트!K:K)+SUMIF(주문_리스트!C:C,거래처!B158,주문_리스트!L:L)</f>
        <v>0</v>
      </c>
    </row>
    <row r="159" spans="1:10">
      <c r="I159" s="206">
        <f>SUMIF(주문_리스트!C:C,거래처!B159,주문_리스트!K:K)+SUMIF(주문_리스트!C:C,거래처!B159,주문_리스트!L:L)</f>
        <v>0</v>
      </c>
    </row>
    <row r="160" spans="1:10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499" t="s">
        <v>1151</v>
      </c>
      <c r="L1" s="499"/>
      <c r="M1" s="499"/>
      <c r="N1" s="499" t="s">
        <v>1152</v>
      </c>
      <c r="O1" s="49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6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198</v>
      </c>
    </row>
    <row r="2" spans="1:11">
      <c r="A2">
        <v>2</v>
      </c>
      <c r="B2">
        <v>2</v>
      </c>
      <c r="C2" s="202">
        <v>28120504</v>
      </c>
      <c r="D2" s="202" t="s">
        <v>2659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2293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2294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-1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2662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2858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2862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2302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2300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2283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2296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2296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2284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2278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-15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-37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-11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-11</v>
      </c>
    </row>
    <row r="31" spans="1:9">
      <c r="A31">
        <v>32</v>
      </c>
      <c r="B31">
        <v>3</v>
      </c>
      <c r="C31" s="203" t="s">
        <v>1832</v>
      </c>
      <c r="D31" s="202" t="s">
        <v>2316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2602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-7</v>
      </c>
    </row>
    <row r="34" spans="1:9">
      <c r="A34">
        <v>35</v>
      </c>
      <c r="B34">
        <v>4</v>
      </c>
      <c r="C34" s="203" t="s">
        <v>2722</v>
      </c>
      <c r="D34" s="202" t="s">
        <v>2723</v>
      </c>
      <c r="E34" s="202" t="s">
        <v>2722</v>
      </c>
      <c r="F34" s="52">
        <v>1600000</v>
      </c>
      <c r="I34">
        <f>SUMIF(재고!E:E,제품!D34,재고!H:H)-SUMIF(주문_리스트!E:E,제품!D34,주문_리스트!H:H)</f>
        <v>0</v>
      </c>
    </row>
    <row r="35" spans="1:9">
      <c r="A35">
        <v>36</v>
      </c>
      <c r="B35">
        <v>4</v>
      </c>
      <c r="C35" s="203" t="s">
        <v>1257</v>
      </c>
      <c r="D35" s="202" t="s">
        <v>2277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2286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-7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-27</v>
      </c>
    </row>
    <row r="41" spans="1:9">
      <c r="A41">
        <v>42</v>
      </c>
      <c r="B41">
        <v>1</v>
      </c>
      <c r="C41" s="203">
        <v>2703900</v>
      </c>
      <c r="D41" s="202" t="s">
        <v>1311</v>
      </c>
      <c r="E41" s="202">
        <v>2703900</v>
      </c>
      <c r="F41" s="52">
        <v>1600000</v>
      </c>
      <c r="I41">
        <f>SUMIF(재고!E:E,제품!D41,재고!H:H)-SUMIF(주문_리스트!E:E,제품!D41,주문_리스트!H:H)</f>
        <v>0</v>
      </c>
    </row>
    <row r="42" spans="1:9">
      <c r="A42">
        <v>43</v>
      </c>
      <c r="B42">
        <v>2</v>
      </c>
      <c r="D42" s="202" t="s">
        <v>1426</v>
      </c>
      <c r="F42" s="52">
        <v>1000000</v>
      </c>
      <c r="I42">
        <f>SUMIF(재고!E:E,제품!D42,재고!H:H)-SUMIF(주문_리스트!E:E,제품!D42,주문_리스트!H:H)</f>
        <v>-1</v>
      </c>
    </row>
    <row r="43" spans="1:9">
      <c r="A43">
        <v>44</v>
      </c>
      <c r="B43">
        <v>8</v>
      </c>
      <c r="D43" s="202" t="s">
        <v>1516</v>
      </c>
      <c r="F43" s="52">
        <v>10000</v>
      </c>
      <c r="I43">
        <f>SUMIF(재고!E:E,제품!D43,재고!H:H)-SUMIF(주문_리스트!E:E,제품!D43,주문_리스트!H:H)</f>
        <v>-1</v>
      </c>
    </row>
    <row r="44" spans="1:9">
      <c r="A44">
        <v>45</v>
      </c>
      <c r="B44">
        <v>8</v>
      </c>
      <c r="D44" s="202" t="s">
        <v>1526</v>
      </c>
      <c r="F44" s="52">
        <v>140000</v>
      </c>
      <c r="I44">
        <f>SUMIF(재고!E:E,제품!D44,재고!H:H)-SUMIF(주문_리스트!E:E,제품!D44,주문_리스트!H:H)</f>
        <v>-3</v>
      </c>
    </row>
    <row r="45" spans="1:9">
      <c r="A45">
        <v>46</v>
      </c>
      <c r="B45">
        <v>2</v>
      </c>
      <c r="D45" s="202" t="s">
        <v>1532</v>
      </c>
      <c r="F45" s="52">
        <v>1600000</v>
      </c>
      <c r="I45">
        <f>SUMIF(재고!E:E,제품!D45,재고!H:H)-SUMIF(주문_리스트!E:E,제품!D45,주문_리스트!H:H)</f>
        <v>-1</v>
      </c>
    </row>
    <row r="46" spans="1:9">
      <c r="A46">
        <v>47</v>
      </c>
      <c r="B46">
        <v>7</v>
      </c>
      <c r="D46" s="202" t="s">
        <v>2303</v>
      </c>
      <c r="F46" s="52">
        <v>1600000</v>
      </c>
      <c r="I46">
        <f>SUMIF(재고!E:E,제품!D46,재고!H:H)-SUMIF(주문_리스트!E:E,제품!D46,주문_리스트!H:H)</f>
        <v>0</v>
      </c>
    </row>
    <row r="47" spans="1:9">
      <c r="A47">
        <v>48</v>
      </c>
      <c r="B47">
        <v>3</v>
      </c>
      <c r="D47" s="202" t="s">
        <v>2287</v>
      </c>
      <c r="F47" s="52">
        <v>100000</v>
      </c>
      <c r="I47">
        <f>SUMIF(재고!E:E,제품!D47,재고!H:H)-SUMIF(주문_리스트!E:E,제품!D47,주문_리스트!H:H)</f>
        <v>0</v>
      </c>
    </row>
    <row r="48" spans="1:9">
      <c r="A48">
        <v>49</v>
      </c>
      <c r="C48" s="203" t="s">
        <v>2855</v>
      </c>
      <c r="D48" s="202" t="s">
        <v>2445</v>
      </c>
      <c r="E48" s="202" t="s">
        <v>2855</v>
      </c>
      <c r="F48" s="52">
        <v>350000</v>
      </c>
      <c r="I48">
        <f>SUMIF(재고!E:E,제품!D48,재고!H:H)-SUMIF(주문_리스트!E:E,제품!D48,주문_리스트!H:H)</f>
        <v>-22</v>
      </c>
    </row>
    <row r="49" spans="1:9">
      <c r="A49">
        <v>50</v>
      </c>
      <c r="D49" s="202" t="s">
        <v>2304</v>
      </c>
      <c r="F49" s="52">
        <v>1600000</v>
      </c>
      <c r="I49">
        <f>SUMIF(재고!E:E,제품!D49,재고!H:H)-SUMIF(주문_리스트!E:E,제품!D49,주문_리스트!H:H)</f>
        <v>-2</v>
      </c>
    </row>
    <row r="50" spans="1:9">
      <c r="A50">
        <v>51</v>
      </c>
      <c r="D50" s="202" t="s">
        <v>1552</v>
      </c>
      <c r="F50" s="52">
        <v>200000</v>
      </c>
      <c r="I50">
        <f>SUMIF(재고!E:E,제품!D50,재고!H:H)-SUMIF(주문_리스트!E:E,제품!D50,주문_리스트!H:H)</f>
        <v>-1</v>
      </c>
    </row>
    <row r="51" spans="1:9">
      <c r="A51">
        <v>52</v>
      </c>
      <c r="D51" s="202" t="s">
        <v>1565</v>
      </c>
      <c r="F51" s="52">
        <v>20000</v>
      </c>
      <c r="I51">
        <f>SUMIF(재고!E:E,제품!D51,재고!H:H)-SUMIF(주문_리스트!E:E,제품!D51,주문_리스트!H:H)</f>
        <v>-8</v>
      </c>
    </row>
    <row r="52" spans="1:9">
      <c r="A52">
        <v>53</v>
      </c>
      <c r="D52" s="202" t="s">
        <v>1570</v>
      </c>
      <c r="F52" s="52">
        <v>250000</v>
      </c>
      <c r="I52">
        <f>SUMIF(재고!E:E,제품!D52,재고!H:H)-SUMIF(주문_리스트!E:E,제품!D52,주문_리스트!H:H)</f>
        <v>-2</v>
      </c>
    </row>
    <row r="53" spans="1:9">
      <c r="A53">
        <v>54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55</v>
      </c>
      <c r="B54">
        <v>1</v>
      </c>
      <c r="D54" s="202">
        <v>2703900</v>
      </c>
      <c r="F54" s="52">
        <v>1600000</v>
      </c>
      <c r="I54">
        <f>SUMIF(재고!E:E,제품!D54,재고!H:H)-SUMIF(주문_리스트!E:E,제품!D54,주문_리스트!H:H)</f>
        <v>-1</v>
      </c>
    </row>
    <row r="55" spans="1:9">
      <c r="A55">
        <v>56</v>
      </c>
      <c r="D55" s="202" t="s">
        <v>1581</v>
      </c>
      <c r="F55" s="52">
        <v>450000</v>
      </c>
      <c r="I55">
        <f>SUMIF(재고!E:E,제품!D55,재고!H:H)-SUMIF(주문_리스트!E:E,제품!D55,주문_리스트!H:H)</f>
        <v>-9</v>
      </c>
    </row>
    <row r="56" spans="1:9">
      <c r="A56">
        <v>57</v>
      </c>
      <c r="B56">
        <v>2</v>
      </c>
      <c r="C56" s="203">
        <v>24152333903</v>
      </c>
      <c r="D56" s="202" t="s">
        <v>1896</v>
      </c>
      <c r="E56" s="202">
        <v>24152333903</v>
      </c>
      <c r="F56" s="52">
        <v>50000</v>
      </c>
      <c r="H56" s="52" t="s">
        <v>1897</v>
      </c>
      <c r="I56">
        <f>SUMIF(재고!E:E,제품!D56,재고!H:H)-SUMIF(주문_리스트!E:E,제품!D56,주문_리스트!H:H)</f>
        <v>-7</v>
      </c>
    </row>
    <row r="57" spans="1:9">
      <c r="A57">
        <v>58</v>
      </c>
      <c r="B57">
        <v>10</v>
      </c>
      <c r="D57" s="202" t="s">
        <v>1601</v>
      </c>
      <c r="F57" s="52">
        <v>350000</v>
      </c>
      <c r="I57">
        <f>SUMIF(재고!E:E,제품!D57,재고!H:H)-SUMIF(주문_리스트!E:E,제품!D57,주문_리스트!H:H)</f>
        <v>-1</v>
      </c>
    </row>
    <row r="58" spans="1:9">
      <c r="A58">
        <v>59</v>
      </c>
      <c r="B58">
        <v>3</v>
      </c>
      <c r="C58" s="203" t="s">
        <v>1705</v>
      </c>
      <c r="D58" s="202" t="s">
        <v>2055</v>
      </c>
      <c r="E58" s="202" t="s">
        <v>1705</v>
      </c>
      <c r="F58" s="52">
        <v>1800000</v>
      </c>
      <c r="I58">
        <f>SUMIF(재고!E:E,제품!D58,재고!H:H)-SUMIF(주문_리스트!E:E,제품!D58,주문_리스트!H:H)</f>
        <v>2</v>
      </c>
    </row>
    <row r="59" spans="1:9">
      <c r="A59">
        <v>60</v>
      </c>
      <c r="C59" s="203" t="s">
        <v>1248</v>
      </c>
      <c r="D59" s="202" t="s">
        <v>1472</v>
      </c>
      <c r="E59" s="202" t="s">
        <v>1248</v>
      </c>
      <c r="F59" s="52">
        <v>1000000</v>
      </c>
      <c r="I59">
        <f>SUMIF(재고!E:E,제품!D59,재고!H:H)-SUMIF(주문_리스트!E:E,제품!D59,주문_리스트!H:H)</f>
        <v>-11</v>
      </c>
    </row>
    <row r="60" spans="1:9">
      <c r="A60">
        <v>62</v>
      </c>
      <c r="B60">
        <v>3</v>
      </c>
      <c r="D60" s="202" t="s">
        <v>2305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63</v>
      </c>
      <c r="B61">
        <v>1</v>
      </c>
      <c r="C61" s="203" t="s">
        <v>1709</v>
      </c>
      <c r="D61" s="202" t="s">
        <v>1708</v>
      </c>
      <c r="E61" s="202" t="s">
        <v>1709</v>
      </c>
      <c r="F61" s="52">
        <v>1100000</v>
      </c>
      <c r="I61">
        <f>SUMIF(재고!E:E,제품!D61,재고!H:H)-SUMIF(주문_리스트!E:E,제품!D61,주문_리스트!H:H)</f>
        <v>0</v>
      </c>
    </row>
    <row r="62" spans="1:9">
      <c r="A62">
        <v>64</v>
      </c>
      <c r="B62">
        <v>1</v>
      </c>
      <c r="C62" s="203" t="s">
        <v>1710</v>
      </c>
      <c r="D62" s="202" t="s">
        <v>1711</v>
      </c>
      <c r="E62" s="202" t="s">
        <v>1710</v>
      </c>
      <c r="F62" s="52">
        <v>3500000</v>
      </c>
      <c r="I62">
        <f>SUMIF(재고!E:E,제품!D62,재고!H:H)-SUMIF(주문_리스트!E:E,제품!D62,주문_리스트!H:H)</f>
        <v>0</v>
      </c>
    </row>
    <row r="63" spans="1:9">
      <c r="A63">
        <v>65</v>
      </c>
      <c r="B63">
        <v>3</v>
      </c>
      <c r="C63" s="203">
        <v>2820403</v>
      </c>
      <c r="D63" s="202" t="s">
        <v>2860</v>
      </c>
      <c r="E63" s="202">
        <v>2820403</v>
      </c>
      <c r="F63" s="52">
        <v>800000</v>
      </c>
      <c r="I63">
        <f>SUMIF(재고!E:E,제품!D63,재고!H:H)-SUMIF(주문_리스트!E:E,제품!D63,주문_리스트!H:H)</f>
        <v>0</v>
      </c>
    </row>
    <row r="64" spans="1:9">
      <c r="A64">
        <v>66</v>
      </c>
      <c r="B64">
        <v>9</v>
      </c>
      <c r="C64" s="203">
        <v>415090409</v>
      </c>
      <c r="D64" s="202" t="s">
        <v>2662</v>
      </c>
      <c r="E64" s="202">
        <v>415090409</v>
      </c>
      <c r="F64" s="52">
        <v>510000</v>
      </c>
      <c r="H64" s="52" t="s">
        <v>2663</v>
      </c>
      <c r="I64">
        <f>SUMIF(재고!E:E,제품!D64,재고!H:H)-SUMIF(주문_리스트!E:E,제품!D64,주문_리스트!H:H)</f>
        <v>-12</v>
      </c>
    </row>
    <row r="65" spans="1:9">
      <c r="A65">
        <v>67</v>
      </c>
      <c r="C65" s="203" t="s">
        <v>1677</v>
      </c>
      <c r="D65" s="202" t="s">
        <v>1678</v>
      </c>
      <c r="E65" s="202" t="s">
        <v>1677</v>
      </c>
      <c r="F65" s="52">
        <v>12000</v>
      </c>
      <c r="I65">
        <f>SUMIF(재고!E:E,제품!D65,재고!H:H)-SUMIF(주문_리스트!E:E,제품!D65,주문_리스트!H:H)</f>
        <v>-2</v>
      </c>
    </row>
    <row r="66" spans="1:9">
      <c r="A66">
        <v>68</v>
      </c>
      <c r="D66" s="202" t="s">
        <v>1680</v>
      </c>
      <c r="F66" s="52">
        <v>27000</v>
      </c>
      <c r="I66">
        <f>SUMIF(재고!E:E,제품!D66,재고!H:H)-SUMIF(주문_리스트!E:E,제품!D66,주문_리스트!H:H)</f>
        <v>-1</v>
      </c>
    </row>
    <row r="67" spans="1:9">
      <c r="A67">
        <v>69</v>
      </c>
      <c r="B67">
        <v>2</v>
      </c>
      <c r="D67" s="202" t="s">
        <v>1688</v>
      </c>
      <c r="F67" s="52">
        <v>850000</v>
      </c>
      <c r="I67">
        <f>SUMIF(재고!E:E,제품!D67,재고!H:H)-SUMIF(주문_리스트!E:E,제품!D67,주문_리스트!H:H)</f>
        <v>-1</v>
      </c>
    </row>
    <row r="68" spans="1:9">
      <c r="A68">
        <v>70</v>
      </c>
      <c r="B68">
        <v>4</v>
      </c>
      <c r="C68" s="203">
        <v>50228</v>
      </c>
      <c r="D68" s="202" t="s">
        <v>2288</v>
      </c>
      <c r="E68" s="202">
        <v>50228</v>
      </c>
      <c r="F68" s="52">
        <v>110000</v>
      </c>
      <c r="I68">
        <f>SUMIF(재고!E:E,제품!D68,재고!H:H)-SUMIF(주문_리스트!E:E,제품!D68,주문_리스트!H:H)</f>
        <v>-10</v>
      </c>
    </row>
    <row r="69" spans="1:9">
      <c r="A69">
        <v>71</v>
      </c>
      <c r="B69">
        <v>4</v>
      </c>
      <c r="C69" s="203">
        <v>50229</v>
      </c>
      <c r="D69" s="202" t="s">
        <v>2288</v>
      </c>
      <c r="E69" s="202">
        <v>50229</v>
      </c>
      <c r="F69" s="52">
        <v>75000</v>
      </c>
      <c r="I69">
        <f>SUMIF(재고!E:E,제품!D69,재고!H:H)-SUMIF(주문_리스트!E:E,제품!D69,주문_리스트!H:H)</f>
        <v>-10</v>
      </c>
    </row>
    <row r="70" spans="1:9">
      <c r="A70">
        <v>72</v>
      </c>
      <c r="D70" s="202" t="s">
        <v>1714</v>
      </c>
      <c r="F70" s="52">
        <v>150000</v>
      </c>
      <c r="I70">
        <f>SUMIF(재고!E:E,제품!D70,재고!H:H)-SUMIF(주문_리스트!E:E,제품!D70,주문_리스트!H:H)</f>
        <v>0</v>
      </c>
    </row>
    <row r="71" spans="1:9">
      <c r="A71">
        <v>73</v>
      </c>
      <c r="D71" s="202" t="s">
        <v>1714</v>
      </c>
      <c r="F71" s="52">
        <v>200000</v>
      </c>
      <c r="I71">
        <f>SUMIF(재고!E:E,제품!D71,재고!H:H)-SUMIF(주문_리스트!E:E,제품!D71,주문_리스트!H:H)</f>
        <v>0</v>
      </c>
    </row>
    <row r="72" spans="1:9">
      <c r="A72">
        <v>74</v>
      </c>
      <c r="D72" s="202" t="s">
        <v>1722</v>
      </c>
      <c r="F72" s="52">
        <v>250000</v>
      </c>
      <c r="I72">
        <f>SUMIF(재고!E:E,제품!D72,재고!H:H)-SUMIF(주문_리스트!E:E,제품!D72,주문_리스트!H:H)</f>
        <v>-1</v>
      </c>
    </row>
    <row r="73" spans="1:9">
      <c r="A73">
        <v>75</v>
      </c>
      <c r="B73">
        <v>2</v>
      </c>
      <c r="D73" s="202" t="s">
        <v>1729</v>
      </c>
      <c r="F73" s="52">
        <v>1850000</v>
      </c>
      <c r="I73">
        <f>SUMIF(재고!E:E,제품!D73,재고!H:H)-SUMIF(주문_리스트!E:E,제품!D73,주문_리스트!H:H)</f>
        <v>-1</v>
      </c>
    </row>
    <row r="74" spans="1:9">
      <c r="A74">
        <v>76</v>
      </c>
      <c r="B74">
        <v>4</v>
      </c>
      <c r="C74" s="203" t="s">
        <v>2724</v>
      </c>
      <c r="D74" s="202" t="s">
        <v>2725</v>
      </c>
      <c r="E74" s="202" t="s">
        <v>2724</v>
      </c>
      <c r="F74" s="52">
        <v>1500000</v>
      </c>
      <c r="I74">
        <f>SUMIF(재고!E:E,제품!D74,재고!H:H)-SUMIF(주문_리스트!E:E,제품!D74,주문_리스트!H:H)</f>
        <v>0</v>
      </c>
    </row>
    <row r="75" spans="1:9">
      <c r="A75">
        <v>77</v>
      </c>
      <c r="B75">
        <v>4</v>
      </c>
      <c r="C75" s="203" t="s">
        <v>1743</v>
      </c>
      <c r="D75" s="202" t="s">
        <v>2297</v>
      </c>
      <c r="E75" s="202" t="s">
        <v>1743</v>
      </c>
      <c r="F75" s="52">
        <v>50000</v>
      </c>
      <c r="G75" s="52">
        <v>14500</v>
      </c>
      <c r="I75">
        <f>SUMIF(재고!E:E,제품!D75,재고!H:H)-SUMIF(주문_리스트!E:E,제품!D75,주문_리스트!H:H)</f>
        <v>0</v>
      </c>
    </row>
    <row r="76" spans="1:9">
      <c r="A76">
        <v>78</v>
      </c>
      <c r="B76">
        <v>13</v>
      </c>
      <c r="C76" s="203">
        <v>28111601</v>
      </c>
      <c r="D76" s="202" t="s">
        <v>1842</v>
      </c>
      <c r="E76" s="202">
        <v>28111601</v>
      </c>
      <c r="F76" s="52">
        <v>220000</v>
      </c>
      <c r="G76" s="52">
        <v>105000</v>
      </c>
      <c r="H76" s="52" t="s">
        <v>1848</v>
      </c>
      <c r="I76">
        <f>SUMIF(재고!E:E,제품!D76,재고!H:H)-SUMIF(주문_리스트!E:E,제품!D76,주문_리스트!H:H)</f>
        <v>0</v>
      </c>
    </row>
    <row r="77" spans="1:9">
      <c r="A77">
        <v>79</v>
      </c>
      <c r="D77" s="202" t="s">
        <v>1844</v>
      </c>
      <c r="F77" s="52">
        <v>200000</v>
      </c>
      <c r="G77" s="52">
        <v>105000</v>
      </c>
      <c r="H77" s="52" t="s">
        <v>1843</v>
      </c>
      <c r="I77">
        <f>SUMIF(재고!E:E,제품!D77,재고!H:H)-SUMIF(주문_리스트!E:E,제품!D77,주문_리스트!H:H)</f>
        <v>0</v>
      </c>
    </row>
    <row r="78" spans="1:9">
      <c r="A78">
        <v>80</v>
      </c>
      <c r="D78" s="202" t="s">
        <v>2298</v>
      </c>
      <c r="F78" s="52">
        <v>130000</v>
      </c>
      <c r="G78" s="52">
        <v>53000</v>
      </c>
      <c r="I78">
        <f>SUMIF(재고!E:E,제품!D78,재고!H:H)-SUMIF(주문_리스트!E:E,제품!D78,주문_리스트!H:H)</f>
        <v>0</v>
      </c>
    </row>
    <row r="79" spans="1:9">
      <c r="A79">
        <v>81</v>
      </c>
      <c r="B79">
        <v>2</v>
      </c>
      <c r="C79" s="203" t="s">
        <v>1760</v>
      </c>
      <c r="D79" s="202" t="s">
        <v>1776</v>
      </c>
      <c r="E79" s="202" t="s">
        <v>1760</v>
      </c>
      <c r="F79" s="52">
        <v>20000</v>
      </c>
      <c r="G79" s="52">
        <v>12000</v>
      </c>
      <c r="H79" s="52" t="s">
        <v>1777</v>
      </c>
      <c r="I79">
        <f>SUMIF(재고!E:E,제품!D79,재고!H:H)-SUMIF(주문_리스트!E:E,제품!D79,주문_리스트!H:H)</f>
        <v>-6</v>
      </c>
    </row>
    <row r="80" spans="1:9">
      <c r="A80">
        <v>82</v>
      </c>
      <c r="D80" s="202" t="s">
        <v>1747</v>
      </c>
      <c r="F80" s="52">
        <v>20000</v>
      </c>
      <c r="G80" s="52">
        <v>10000</v>
      </c>
      <c r="I80">
        <f>SUMIF(재고!E:E,제품!D80,재고!H:H)-SUMIF(주문_리스트!E:E,제품!D80,주문_리스트!H:H)</f>
        <v>0</v>
      </c>
    </row>
    <row r="81" spans="1:9">
      <c r="A81">
        <v>83</v>
      </c>
      <c r="B81">
        <v>2</v>
      </c>
      <c r="D81" s="202" t="s">
        <v>1754</v>
      </c>
      <c r="F81" s="52">
        <v>35000</v>
      </c>
      <c r="G81" s="52">
        <v>13000</v>
      </c>
      <c r="H81" s="52" t="s">
        <v>1764</v>
      </c>
      <c r="I81">
        <f>SUMIF(재고!E:E,제품!D81,재고!H:H)-SUMIF(주문_리스트!E:E,제품!D81,주문_리스트!H:H)</f>
        <v>-3</v>
      </c>
    </row>
    <row r="82" spans="1:9">
      <c r="A82">
        <v>84</v>
      </c>
      <c r="D82" s="202" t="s">
        <v>2299</v>
      </c>
      <c r="F82" s="52">
        <v>10000</v>
      </c>
      <c r="I82">
        <f>SUMIF(재고!E:E,제품!D82,재고!H:H)-SUMIF(주문_리스트!E:E,제품!D82,주문_리스트!H:H)</f>
        <v>0</v>
      </c>
    </row>
    <row r="83" spans="1:9">
      <c r="A83">
        <v>85</v>
      </c>
      <c r="B83">
        <v>2</v>
      </c>
      <c r="D83" s="202" t="s">
        <v>1748</v>
      </c>
      <c r="F83" s="52">
        <v>130000</v>
      </c>
      <c r="G83" s="52">
        <v>53000</v>
      </c>
      <c r="H83" s="52" t="s">
        <v>1749</v>
      </c>
      <c r="I83">
        <f>SUMIF(재고!E:E,제품!D83,재고!H:H)-SUMIF(주문_리스트!E:E,제품!D83,주문_리스트!H:H)</f>
        <v>0</v>
      </c>
    </row>
    <row r="84" spans="1:9">
      <c r="A84">
        <v>86</v>
      </c>
      <c r="B84">
        <v>2</v>
      </c>
      <c r="D84" s="202" t="s">
        <v>1758</v>
      </c>
      <c r="F84" s="52">
        <v>280000</v>
      </c>
      <c r="I84">
        <f>SUMIF(재고!E:E,제품!D84,재고!H:H)-SUMIF(주문_리스트!E:E,제품!D84,주문_리스트!H:H)</f>
        <v>0</v>
      </c>
    </row>
    <row r="85" spans="1:9">
      <c r="A85">
        <v>87</v>
      </c>
      <c r="B85">
        <v>2</v>
      </c>
      <c r="C85" s="203">
        <v>24137542885</v>
      </c>
      <c r="D85" s="202" t="s">
        <v>1768</v>
      </c>
      <c r="E85" s="202">
        <v>24137542885</v>
      </c>
      <c r="H85" s="52" t="s">
        <v>1769</v>
      </c>
      <c r="I85">
        <f>SUMIF(재고!E:E,제품!D85,재고!H:H)-SUMIF(주문_리스트!E:E,제품!D85,주문_리스트!H:H)</f>
        <v>0</v>
      </c>
    </row>
    <row r="86" spans="1:9">
      <c r="A86">
        <v>88</v>
      </c>
      <c r="B86">
        <v>2</v>
      </c>
      <c r="C86" s="203">
        <v>24137519344</v>
      </c>
      <c r="D86" s="202" t="s">
        <v>1774</v>
      </c>
      <c r="E86" s="202">
        <v>24137519344</v>
      </c>
      <c r="H86" s="52" t="s">
        <v>1775</v>
      </c>
      <c r="I86">
        <f>SUMIF(재고!E:E,제품!D86,재고!H:H)-SUMIF(주문_리스트!E:E,제품!D86,주문_리스트!H:H)</f>
        <v>0</v>
      </c>
    </row>
    <row r="87" spans="1:9">
      <c r="A87">
        <v>89</v>
      </c>
      <c r="B87">
        <v>1</v>
      </c>
      <c r="C87" s="203">
        <v>7252703114</v>
      </c>
      <c r="D87" s="202" t="s">
        <v>1771</v>
      </c>
      <c r="E87" s="202">
        <v>7252703114</v>
      </c>
      <c r="F87" s="52">
        <v>129000</v>
      </c>
      <c r="G87" s="52">
        <v>70000</v>
      </c>
      <c r="I87">
        <f>SUMIF(재고!E:E,제품!D87,재고!H:H)-SUMIF(주문_리스트!E:E,제품!D87,주문_리스트!H:H)</f>
        <v>-8</v>
      </c>
    </row>
    <row r="88" spans="1:9">
      <c r="A88">
        <v>90</v>
      </c>
      <c r="B88">
        <v>1</v>
      </c>
      <c r="C88" s="203" t="s">
        <v>1772</v>
      </c>
      <c r="D88" s="202" t="s">
        <v>1773</v>
      </c>
      <c r="E88" s="202" t="s">
        <v>1772</v>
      </c>
      <c r="F88" s="52">
        <v>50000</v>
      </c>
      <c r="I88">
        <f>SUMIF(재고!E:E,제품!D88,재고!H:H)-SUMIF(주문_리스트!E:E,제품!D88,주문_리스트!H:H)</f>
        <v>-18</v>
      </c>
    </row>
    <row r="89" spans="1:9">
      <c r="A89">
        <v>91</v>
      </c>
      <c r="B89">
        <v>1</v>
      </c>
      <c r="C89" s="203" t="s">
        <v>1783</v>
      </c>
      <c r="D89" s="202" t="s">
        <v>1784</v>
      </c>
      <c r="E89" s="202" t="s">
        <v>1783</v>
      </c>
      <c r="F89" s="52">
        <v>20000</v>
      </c>
      <c r="G89" s="52">
        <v>9000</v>
      </c>
      <c r="I89">
        <f>SUMIF(재고!E:E,제품!D89,재고!H:H)-SUMIF(주문_리스트!E:E,제품!D89,주문_리스트!H:H)</f>
        <v>-2</v>
      </c>
    </row>
    <row r="90" spans="1:9">
      <c r="A90">
        <v>92</v>
      </c>
      <c r="B90">
        <v>2</v>
      </c>
      <c r="C90" s="203">
        <v>2800802</v>
      </c>
      <c r="D90" s="202" t="s">
        <v>1791</v>
      </c>
      <c r="E90" s="202">
        <v>2800802</v>
      </c>
      <c r="F90" s="52">
        <v>150000</v>
      </c>
      <c r="G90" s="52">
        <v>85000</v>
      </c>
      <c r="I90">
        <f>SUMIF(재고!E:E,제품!D90,재고!H:H)-SUMIF(주문_리스트!E:E,제품!D90,주문_리스트!H:H)</f>
        <v>-20</v>
      </c>
    </row>
    <row r="91" spans="1:9">
      <c r="A91">
        <v>93</v>
      </c>
      <c r="B91">
        <v>2</v>
      </c>
      <c r="C91" s="203">
        <v>2800801</v>
      </c>
      <c r="D91" s="202" t="s">
        <v>1792</v>
      </c>
      <c r="E91" s="202">
        <v>2800801</v>
      </c>
      <c r="F91" s="52">
        <v>150000</v>
      </c>
      <c r="G91" s="52">
        <v>85000</v>
      </c>
      <c r="I91">
        <f>SUMIF(재고!E:E,제품!D91,재고!H:H)-SUMIF(주문_리스트!E:E,제품!D91,주문_리스트!H:H)</f>
        <v>-5</v>
      </c>
    </row>
    <row r="92" spans="1:9">
      <c r="A92">
        <v>94</v>
      </c>
      <c r="B92">
        <v>3</v>
      </c>
      <c r="C92" s="203" t="s">
        <v>1786</v>
      </c>
      <c r="D92" s="202" t="s">
        <v>2324</v>
      </c>
      <c r="E92" s="202" t="s">
        <v>1786</v>
      </c>
      <c r="F92" s="52">
        <v>250000</v>
      </c>
      <c r="G92" s="52">
        <v>45000</v>
      </c>
      <c r="H92" s="52" t="s">
        <v>2325</v>
      </c>
      <c r="I92">
        <f>SUMIF(재고!E:E,제품!D92,재고!H:H)-SUMIF(주문_리스트!E:E,제품!D92,주문_리스트!H:H)</f>
        <v>-2</v>
      </c>
    </row>
    <row r="93" spans="1:9">
      <c r="A93">
        <v>95</v>
      </c>
      <c r="B93">
        <v>3</v>
      </c>
      <c r="C93" s="203" t="s">
        <v>1788</v>
      </c>
      <c r="D93" s="202" t="s">
        <v>2281</v>
      </c>
      <c r="E93" s="202" t="s">
        <v>1788</v>
      </c>
      <c r="F93" s="52">
        <v>60000</v>
      </c>
      <c r="G93" s="52">
        <v>40000</v>
      </c>
      <c r="I93">
        <f>SUMIF(재고!E:E,제품!D93,재고!H:H)-SUMIF(주문_리스트!E:E,제품!D93,주문_리스트!H:H)</f>
        <v>-1</v>
      </c>
    </row>
    <row r="94" spans="1:9">
      <c r="A94">
        <v>96</v>
      </c>
      <c r="D94" s="202" t="s">
        <v>1798</v>
      </c>
      <c r="F94" s="52">
        <v>200000</v>
      </c>
      <c r="G94" s="52">
        <v>25000</v>
      </c>
      <c r="I94">
        <f>SUMIF(재고!E:E,제품!D94,재고!H:H)-SUMIF(주문_리스트!E:E,제품!D94,주문_리스트!H:H)</f>
        <v>0</v>
      </c>
    </row>
    <row r="95" spans="1:9">
      <c r="A95">
        <v>97</v>
      </c>
      <c r="B95">
        <v>3</v>
      </c>
      <c r="C95" s="203" t="s">
        <v>1800</v>
      </c>
      <c r="D95" s="202" t="s">
        <v>2289</v>
      </c>
      <c r="E95" s="202" t="s">
        <v>1800</v>
      </c>
      <c r="F95" s="52">
        <v>30000</v>
      </c>
      <c r="G95" s="52">
        <v>16000</v>
      </c>
      <c r="I95">
        <f>SUMIF(재고!E:E,제품!D95,재고!H:H)-SUMIF(주문_리스트!E:E,제품!D95,주문_리스트!H:H)</f>
        <v>-4</v>
      </c>
    </row>
    <row r="96" spans="1:9">
      <c r="A96">
        <v>98</v>
      </c>
      <c r="B96">
        <v>3</v>
      </c>
      <c r="C96" s="203" t="s">
        <v>1802</v>
      </c>
      <c r="D96" s="202" t="s">
        <v>2290</v>
      </c>
      <c r="E96" s="202" t="s">
        <v>1802</v>
      </c>
      <c r="F96" s="52">
        <v>10000</v>
      </c>
      <c r="G96" s="52">
        <v>8500</v>
      </c>
      <c r="H96" s="52" t="s">
        <v>1856</v>
      </c>
      <c r="I96">
        <f>SUMIF(재고!E:E,제품!D96,재고!H:H)-SUMIF(주문_리스트!E:E,제품!D96,주문_리스트!H:H)</f>
        <v>-10</v>
      </c>
    </row>
    <row r="97" spans="1:9">
      <c r="A97">
        <v>99</v>
      </c>
      <c r="B97">
        <v>3</v>
      </c>
      <c r="C97" s="203" t="s">
        <v>1857</v>
      </c>
      <c r="D97" s="202" t="s">
        <v>2291</v>
      </c>
      <c r="E97" s="202" t="s">
        <v>1857</v>
      </c>
      <c r="F97" s="52">
        <v>10000</v>
      </c>
      <c r="G97" s="52">
        <v>5500</v>
      </c>
      <c r="I97">
        <f>SUMIF(재고!E:E,제품!D97,재고!H:H)-SUMIF(주문_리스트!E:E,제품!D97,주문_리스트!H:H)</f>
        <v>0</v>
      </c>
    </row>
    <row r="98" spans="1:9">
      <c r="A98">
        <v>100</v>
      </c>
      <c r="B98">
        <v>3</v>
      </c>
      <c r="C98" s="203" t="s">
        <v>1803</v>
      </c>
      <c r="D98" s="202" t="s">
        <v>1804</v>
      </c>
      <c r="E98" s="202" t="s">
        <v>1803</v>
      </c>
      <c r="F98" s="52">
        <v>20000</v>
      </c>
      <c r="G98" s="52">
        <v>13000</v>
      </c>
      <c r="I98">
        <f>SUMIF(재고!E:E,제품!D98,재고!H:H)-SUMIF(주문_리스트!E:E,제품!D98,주문_리스트!H:H)</f>
        <v>-3</v>
      </c>
    </row>
    <row r="99" spans="1:9">
      <c r="A99">
        <v>101</v>
      </c>
      <c r="B99">
        <v>6</v>
      </c>
      <c r="C99" s="203">
        <v>2850701</v>
      </c>
      <c r="D99" s="202" t="s">
        <v>1805</v>
      </c>
      <c r="E99" s="202">
        <v>2850701</v>
      </c>
      <c r="F99" s="52">
        <v>400000</v>
      </c>
      <c r="G99" s="52">
        <v>160000</v>
      </c>
      <c r="I99">
        <f>SUMIF(재고!E:E,제품!D99,재고!H:H)-SUMIF(주문_리스트!E:E,제품!D99,주문_리스트!H:H)</f>
        <v>-1</v>
      </c>
    </row>
    <row r="100" spans="1:9">
      <c r="A100">
        <v>102</v>
      </c>
      <c r="B100">
        <v>1</v>
      </c>
      <c r="C100" s="203">
        <v>2810701</v>
      </c>
      <c r="D100" s="202" t="s">
        <v>2636</v>
      </c>
      <c r="E100" s="202">
        <v>2810701</v>
      </c>
      <c r="F100" s="52">
        <v>450000</v>
      </c>
      <c r="G100" s="52">
        <v>250000</v>
      </c>
      <c r="I100">
        <f>SUMIF(재고!E:E,제품!D100,재고!H:H)-SUMIF(주문_리스트!E:E,제품!D100,주문_리스트!H:H)</f>
        <v>-1</v>
      </c>
    </row>
    <row r="101" spans="1:9">
      <c r="A101">
        <v>103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160000</v>
      </c>
      <c r="G101" s="52">
        <v>360000</v>
      </c>
      <c r="H101" s="52" t="s">
        <v>1808</v>
      </c>
      <c r="I101">
        <f>SUMIF(재고!E:E,제품!D101,재고!H:H)-SUMIF(주문_리스트!E:E,제품!D101,주문_리스트!H:H)</f>
        <v>0</v>
      </c>
    </row>
    <row r="102" spans="1:9">
      <c r="A102">
        <v>104</v>
      </c>
      <c r="B102">
        <v>2</v>
      </c>
      <c r="C102" s="203">
        <v>2830701</v>
      </c>
      <c r="D102" s="202" t="s">
        <v>1807</v>
      </c>
      <c r="E102" s="202">
        <v>2830701</v>
      </c>
      <c r="F102" s="52">
        <v>360000</v>
      </c>
      <c r="G102" s="52">
        <v>160000</v>
      </c>
      <c r="I102">
        <f>SUMIF(재고!E:E,제품!D102,재고!H:H)-SUMIF(주문_리스트!E:E,제품!D102,주문_리스트!H:H)</f>
        <v>0</v>
      </c>
    </row>
    <row r="103" spans="1:9">
      <c r="A103">
        <v>105</v>
      </c>
      <c r="B103">
        <v>3</v>
      </c>
      <c r="C103" s="203">
        <v>2801701</v>
      </c>
      <c r="D103" s="202" t="s">
        <v>1810</v>
      </c>
      <c r="E103" s="202">
        <v>2801701</v>
      </c>
      <c r="F103" s="52">
        <v>15000</v>
      </c>
      <c r="G103" s="52">
        <v>4500</v>
      </c>
      <c r="H103" s="52" t="s">
        <v>1811</v>
      </c>
      <c r="I103">
        <f>SUMIF(재고!E:E,제품!D103,재고!H:H)-SUMIF(주문_리스트!E:E,제품!D103,주문_리스트!H:H)</f>
        <v>0</v>
      </c>
    </row>
    <row r="104" spans="1:9">
      <c r="A104">
        <v>106</v>
      </c>
      <c r="B104">
        <v>3</v>
      </c>
      <c r="C104" s="203">
        <v>2801702</v>
      </c>
      <c r="D104" s="202" t="s">
        <v>1810</v>
      </c>
      <c r="E104" s="202">
        <v>2801702</v>
      </c>
      <c r="F104" s="52">
        <v>15000</v>
      </c>
      <c r="G104" s="52">
        <v>3300</v>
      </c>
      <c r="H104" s="52" t="s">
        <v>1812</v>
      </c>
      <c r="I104">
        <f>SUMIF(재고!E:E,제품!D104,재고!H:H)-SUMIF(주문_리스트!E:E,제품!D104,주문_리스트!H:H)</f>
        <v>0</v>
      </c>
    </row>
    <row r="105" spans="1:9">
      <c r="A105">
        <v>107</v>
      </c>
      <c r="B105">
        <v>3</v>
      </c>
      <c r="C105" s="203" t="s">
        <v>1825</v>
      </c>
      <c r="D105" s="202" t="s">
        <v>2279</v>
      </c>
      <c r="E105" s="202" t="s">
        <v>1825</v>
      </c>
      <c r="F105" s="52">
        <v>50000</v>
      </c>
      <c r="G105" s="52">
        <v>33000</v>
      </c>
      <c r="H105" s="52" t="s">
        <v>1827</v>
      </c>
      <c r="I105">
        <f>SUMIF(재고!E:E,제품!D105,재고!H:H)-SUMIF(주문_리스트!E:E,제품!D105,주문_리스트!H:H)</f>
        <v>-16</v>
      </c>
    </row>
    <row r="106" spans="1:9">
      <c r="A106">
        <v>108</v>
      </c>
      <c r="B106">
        <v>2</v>
      </c>
      <c r="C106" s="203">
        <v>2830501</v>
      </c>
      <c r="D106" s="202" t="s">
        <v>1906</v>
      </c>
      <c r="E106" s="202">
        <v>2830501</v>
      </c>
      <c r="F106" s="52">
        <v>1550000</v>
      </c>
      <c r="I106">
        <f>SUMIF(재고!E:E,제품!D106,재고!H:H)-SUMIF(주문_리스트!E:E,제품!D106,주문_리스트!H:H)</f>
        <v>-8</v>
      </c>
    </row>
    <row r="107" spans="1:9">
      <c r="A107">
        <v>109</v>
      </c>
      <c r="B107">
        <v>1</v>
      </c>
      <c r="C107" s="203" t="s">
        <v>1822</v>
      </c>
      <c r="D107" s="202" t="s">
        <v>1241</v>
      </c>
      <c r="E107" s="202" t="s">
        <v>1822</v>
      </c>
      <c r="F107" s="52">
        <v>1200000</v>
      </c>
      <c r="H107" s="52" t="s">
        <v>1823</v>
      </c>
      <c r="I107">
        <f>SUMIF(재고!E:E,제품!D107,재고!H:H)-SUMIF(주문_리스트!E:E,제품!D107,주문_리스트!H:H)</f>
        <v>-37</v>
      </c>
    </row>
    <row r="108" spans="1:9">
      <c r="A108">
        <v>110</v>
      </c>
      <c r="B108">
        <v>2</v>
      </c>
      <c r="C108" s="203">
        <v>24347544930</v>
      </c>
      <c r="D108" s="202" t="s">
        <v>1830</v>
      </c>
      <c r="E108" s="202">
        <v>24347544930</v>
      </c>
      <c r="F108" s="52">
        <v>250000</v>
      </c>
      <c r="G108" s="52">
        <v>0</v>
      </c>
      <c r="H108" s="52" t="s">
        <v>1829</v>
      </c>
      <c r="I108">
        <f>SUMIF(재고!E:E,제품!D108,재고!H:H)-SUMIF(주문_리스트!E:E,제품!D108,주문_리스트!H:H)</f>
        <v>0</v>
      </c>
    </row>
    <row r="109" spans="1:9">
      <c r="A109">
        <v>111</v>
      </c>
      <c r="B109">
        <v>14</v>
      </c>
      <c r="C109" s="203">
        <v>501220639</v>
      </c>
      <c r="D109" s="202" t="s">
        <v>2179</v>
      </c>
      <c r="E109" s="202">
        <v>501220639</v>
      </c>
      <c r="F109" s="52">
        <v>250000</v>
      </c>
      <c r="G109" s="52">
        <v>150000</v>
      </c>
      <c r="I109">
        <f>SUMIF(재고!E:E,제품!D109,재고!H:H)-SUMIF(주문_리스트!E:E,제품!D109,주문_리스트!H:H)</f>
        <v>-2</v>
      </c>
    </row>
    <row r="110" spans="1:9">
      <c r="A110">
        <v>112</v>
      </c>
      <c r="B110">
        <v>12</v>
      </c>
      <c r="C110" s="203" t="s">
        <v>1836</v>
      </c>
      <c r="D110" s="202" t="s">
        <v>1837</v>
      </c>
      <c r="E110" s="202" t="s">
        <v>1836</v>
      </c>
      <c r="F110" s="52">
        <v>25000</v>
      </c>
      <c r="G110" s="52">
        <v>11200</v>
      </c>
      <c r="H110" s="52" t="s">
        <v>1838</v>
      </c>
      <c r="I110">
        <f>SUMIF(재고!E:E,제품!D110,재고!H:H)-SUMIF(주문_리스트!E:E,제품!D110,주문_리스트!H:H)</f>
        <v>-4</v>
      </c>
    </row>
    <row r="111" spans="1:9">
      <c r="A111">
        <v>113</v>
      </c>
      <c r="B111">
        <v>12</v>
      </c>
      <c r="C111" s="203" t="s">
        <v>1839</v>
      </c>
      <c r="D111" s="202" t="s">
        <v>1837</v>
      </c>
      <c r="E111" s="202" t="s">
        <v>1839</v>
      </c>
      <c r="F111" s="52">
        <v>65000</v>
      </c>
      <c r="G111" s="52">
        <v>45000</v>
      </c>
      <c r="H111" s="52" t="s">
        <v>1840</v>
      </c>
      <c r="I111">
        <f>SUMIF(재고!E:E,제품!D111,재고!H:H)-SUMIF(주문_리스트!E:E,제품!D111,주문_리스트!H:H)</f>
        <v>-4</v>
      </c>
    </row>
    <row r="112" spans="1:9">
      <c r="A112">
        <v>114</v>
      </c>
      <c r="B112">
        <v>1</v>
      </c>
      <c r="C112" s="203" t="s">
        <v>1841</v>
      </c>
      <c r="D112" s="202" t="s">
        <v>1607</v>
      </c>
      <c r="E112" s="202" t="s">
        <v>1841</v>
      </c>
      <c r="F112" s="52">
        <v>1400000</v>
      </c>
      <c r="I112">
        <f>SUMIF(재고!E:E,제품!D112,재고!H:H)-SUMIF(주문_리스트!E:E,제품!D112,주문_리스트!H:H)</f>
        <v>0</v>
      </c>
    </row>
    <row r="113" spans="1:9">
      <c r="A113">
        <v>115</v>
      </c>
      <c r="B113">
        <v>2</v>
      </c>
      <c r="C113" s="203">
        <v>1068298046</v>
      </c>
      <c r="D113" s="202" t="s">
        <v>1894</v>
      </c>
      <c r="E113" s="202">
        <v>1068298046</v>
      </c>
      <c r="F113" s="52">
        <v>450000</v>
      </c>
      <c r="H113" s="52" t="s">
        <v>1895</v>
      </c>
      <c r="I113">
        <f>SUMIF(재고!E:E,제품!D113,재고!H:H)-SUMIF(주문_리스트!E:E,제품!D113,주문_리스트!H:H)</f>
        <v>-5</v>
      </c>
    </row>
    <row r="114" spans="1:9">
      <c r="A114">
        <v>116</v>
      </c>
      <c r="B114">
        <v>2</v>
      </c>
      <c r="C114" s="203">
        <v>1087298388</v>
      </c>
      <c r="D114" s="202" t="s">
        <v>2338</v>
      </c>
      <c r="E114" s="202">
        <v>1087298388</v>
      </c>
      <c r="F114" s="52">
        <v>550000</v>
      </c>
      <c r="H114" s="52" t="s">
        <v>2336</v>
      </c>
      <c r="I114">
        <f>SUMIF(재고!E:E,제품!D114,재고!H:H)-SUMIF(주문_리스트!E:E,제품!D114,주문_리스트!H:H)</f>
        <v>-2</v>
      </c>
    </row>
    <row r="115" spans="1:9">
      <c r="A115">
        <v>117</v>
      </c>
      <c r="B115">
        <v>2</v>
      </c>
      <c r="C115" s="203">
        <v>1068298044</v>
      </c>
      <c r="D115" s="202" t="s">
        <v>1894</v>
      </c>
      <c r="E115" s="202">
        <v>1068298044</v>
      </c>
      <c r="F115" s="52">
        <v>400000</v>
      </c>
      <c r="H115" s="52" t="s">
        <v>1899</v>
      </c>
      <c r="I115">
        <f>SUMIF(재고!E:E,제품!D115,재고!H:H)-SUMIF(주문_리스트!E:E,제품!D115,주문_리스트!H:H)</f>
        <v>-5</v>
      </c>
    </row>
    <row r="116" spans="1:9">
      <c r="A116">
        <v>118</v>
      </c>
      <c r="B116">
        <v>2</v>
      </c>
      <c r="C116" s="203">
        <v>24152333907</v>
      </c>
      <c r="D116" s="202" t="s">
        <v>1595</v>
      </c>
      <c r="E116" s="202">
        <v>24152333907</v>
      </c>
      <c r="F116" s="52">
        <v>50000</v>
      </c>
      <c r="H116" s="52" t="s">
        <v>1898</v>
      </c>
      <c r="I116">
        <f>SUMIF(재고!E:E,제품!D116,재고!H:H)-SUMIF(주문_리스트!E:E,제품!D116,주문_리스트!H:H)</f>
        <v>-7</v>
      </c>
    </row>
    <row r="117" spans="1:9">
      <c r="A117">
        <v>119</v>
      </c>
      <c r="B117">
        <v>3</v>
      </c>
      <c r="C117" s="203">
        <v>6058008122</v>
      </c>
      <c r="D117" s="202" t="s">
        <v>1909</v>
      </c>
      <c r="E117" s="202">
        <v>6058008122</v>
      </c>
      <c r="F117" s="52">
        <v>2500000</v>
      </c>
      <c r="I117">
        <f>SUMIF(재고!E:E,제품!D117,재고!H:H)-SUMIF(주문_리스트!E:E,제품!D117,주문_리스트!H:H)</f>
        <v>0</v>
      </c>
    </row>
    <row r="118" spans="1:9">
      <c r="A118">
        <v>120</v>
      </c>
      <c r="B118">
        <v>1</v>
      </c>
      <c r="C118" s="203" t="s">
        <v>1936</v>
      </c>
      <c r="D118" s="202" t="s">
        <v>1937</v>
      </c>
      <c r="E118" s="202" t="s">
        <v>1936</v>
      </c>
      <c r="F118" s="52">
        <v>210000</v>
      </c>
      <c r="G118" s="52">
        <v>150000</v>
      </c>
      <c r="H118" s="52" t="s">
        <v>1939</v>
      </c>
    </row>
    <row r="119" spans="1:9">
      <c r="A119">
        <v>121</v>
      </c>
      <c r="B119">
        <v>9</v>
      </c>
      <c r="C119" s="203">
        <v>415062109</v>
      </c>
      <c r="D119" s="202" t="s">
        <v>2662</v>
      </c>
      <c r="E119" s="202">
        <v>415062109</v>
      </c>
      <c r="F119" s="52">
        <v>680000</v>
      </c>
    </row>
    <row r="120" spans="1:9">
      <c r="A120">
        <v>122</v>
      </c>
      <c r="B120">
        <v>12</v>
      </c>
      <c r="D120" s="202" t="s">
        <v>1947</v>
      </c>
      <c r="F120" s="52">
        <v>3500000</v>
      </c>
    </row>
    <row r="121" spans="1:9">
      <c r="A121">
        <v>123</v>
      </c>
      <c r="B121">
        <v>2</v>
      </c>
      <c r="C121" s="203" t="s">
        <v>1958</v>
      </c>
      <c r="D121" s="202" t="s">
        <v>1959</v>
      </c>
      <c r="E121" s="202" t="s">
        <v>1958</v>
      </c>
      <c r="F121" s="52">
        <v>10000</v>
      </c>
      <c r="G121" s="52">
        <v>0</v>
      </c>
      <c r="H121" s="52" t="s">
        <v>1960</v>
      </c>
    </row>
    <row r="122" spans="1:9">
      <c r="A122">
        <v>124</v>
      </c>
      <c r="B122">
        <v>3</v>
      </c>
      <c r="D122" s="202" t="s">
        <v>1978</v>
      </c>
      <c r="F122" s="52">
        <v>250000</v>
      </c>
    </row>
    <row r="123" spans="1:9">
      <c r="A123">
        <v>125</v>
      </c>
      <c r="B123">
        <v>2</v>
      </c>
      <c r="C123" s="203">
        <v>501215718</v>
      </c>
      <c r="D123" s="202" t="s">
        <v>1998</v>
      </c>
      <c r="E123" s="202">
        <v>501215718</v>
      </c>
      <c r="F123" s="52">
        <v>15000</v>
      </c>
      <c r="G123" s="52">
        <v>8000</v>
      </c>
      <c r="H123" s="52" t="s">
        <v>1996</v>
      </c>
    </row>
    <row r="124" spans="1:9">
      <c r="A124">
        <v>126</v>
      </c>
      <c r="B124">
        <v>2</v>
      </c>
      <c r="C124" s="203">
        <v>501215783</v>
      </c>
      <c r="D124" s="202" t="s">
        <v>1998</v>
      </c>
      <c r="E124" s="202">
        <v>501215783</v>
      </c>
      <c r="F124" s="52">
        <v>15000</v>
      </c>
      <c r="G124" s="52">
        <v>8000</v>
      </c>
      <c r="H124" s="52" t="s">
        <v>1997</v>
      </c>
    </row>
    <row r="125" spans="1:9">
      <c r="A125">
        <v>127</v>
      </c>
      <c r="B125">
        <v>4</v>
      </c>
      <c r="C125" s="203" t="s">
        <v>2142</v>
      </c>
      <c r="D125" s="202" t="s">
        <v>2143</v>
      </c>
      <c r="E125" s="202" t="s">
        <v>2142</v>
      </c>
      <c r="F125" s="52">
        <v>1000000</v>
      </c>
    </row>
    <row r="126" spans="1:9">
      <c r="A126">
        <v>128</v>
      </c>
      <c r="B126">
        <v>14</v>
      </c>
      <c r="D126" s="202" t="s">
        <v>2004</v>
      </c>
      <c r="F126" s="52">
        <v>2000000</v>
      </c>
    </row>
    <row r="127" spans="1:9">
      <c r="A127">
        <v>129</v>
      </c>
      <c r="B127">
        <v>1</v>
      </c>
      <c r="C127" s="203" t="s">
        <v>2008</v>
      </c>
      <c r="D127" s="202" t="s">
        <v>1630</v>
      </c>
      <c r="E127" s="202" t="s">
        <v>2008</v>
      </c>
      <c r="F127" s="52">
        <v>1400000</v>
      </c>
    </row>
    <row r="128" spans="1:9">
      <c r="A128">
        <v>130</v>
      </c>
      <c r="B128">
        <v>13</v>
      </c>
      <c r="D128" s="202" t="s">
        <v>2011</v>
      </c>
      <c r="F128" s="52">
        <v>1200000</v>
      </c>
    </row>
    <row r="129" spans="1:8">
      <c r="A129">
        <v>131</v>
      </c>
      <c r="B129">
        <v>12</v>
      </c>
      <c r="C129" s="203" t="s">
        <v>2024</v>
      </c>
      <c r="D129" s="202" t="s">
        <v>2025</v>
      </c>
      <c r="E129" s="202" t="s">
        <v>2024</v>
      </c>
      <c r="F129" s="52">
        <v>1200000</v>
      </c>
      <c r="G129" s="52">
        <v>400000</v>
      </c>
      <c r="H129" s="52" t="s">
        <v>2026</v>
      </c>
    </row>
    <row r="130" spans="1:8">
      <c r="A130">
        <v>132</v>
      </c>
      <c r="B130">
        <v>12</v>
      </c>
      <c r="C130" s="203" t="s">
        <v>2022</v>
      </c>
      <c r="D130" s="202" t="s">
        <v>2023</v>
      </c>
      <c r="E130" s="202" t="s">
        <v>2022</v>
      </c>
      <c r="F130" s="52">
        <v>1000000</v>
      </c>
      <c r="G130" s="52">
        <v>380000</v>
      </c>
    </row>
    <row r="131" spans="1:8">
      <c r="A131">
        <v>133</v>
      </c>
      <c r="B131">
        <v>9</v>
      </c>
      <c r="C131" s="203">
        <v>415072909</v>
      </c>
      <c r="D131" s="202" t="s">
        <v>2662</v>
      </c>
      <c r="E131" s="202">
        <v>415072909</v>
      </c>
      <c r="F131" s="52">
        <v>380000</v>
      </c>
    </row>
    <row r="132" spans="1:8">
      <c r="A132">
        <v>134</v>
      </c>
      <c r="B132">
        <v>3</v>
      </c>
      <c r="C132" s="203" t="s">
        <v>2035</v>
      </c>
      <c r="D132" s="202" t="s">
        <v>2034</v>
      </c>
      <c r="E132" s="202" t="s">
        <v>2035</v>
      </c>
      <c r="F132" s="52">
        <v>250000</v>
      </c>
      <c r="G132" s="52">
        <v>120000</v>
      </c>
    </row>
    <row r="133" spans="1:8">
      <c r="A133">
        <v>135</v>
      </c>
      <c r="D133" s="202" t="s">
        <v>2038</v>
      </c>
      <c r="F133" s="52">
        <v>50000</v>
      </c>
    </row>
    <row r="134" spans="1:8">
      <c r="A134">
        <v>136</v>
      </c>
      <c r="B134">
        <v>4</v>
      </c>
      <c r="D134" s="202" t="s">
        <v>2044</v>
      </c>
      <c r="F134" s="52">
        <v>1600000</v>
      </c>
    </row>
    <row r="135" spans="1:8">
      <c r="A135">
        <v>137</v>
      </c>
      <c r="B135">
        <v>3</v>
      </c>
      <c r="D135" s="202" t="s">
        <v>2292</v>
      </c>
      <c r="F135" s="52">
        <v>600000</v>
      </c>
    </row>
    <row r="136" spans="1:8">
      <c r="A136">
        <v>138</v>
      </c>
      <c r="B136">
        <v>2</v>
      </c>
      <c r="C136" s="203">
        <v>7583332</v>
      </c>
      <c r="D136" s="202" t="s">
        <v>2069</v>
      </c>
      <c r="E136" s="202">
        <v>7583332</v>
      </c>
      <c r="F136" s="52">
        <v>450000</v>
      </c>
    </row>
    <row r="137" spans="1:8">
      <c r="A137">
        <v>139</v>
      </c>
      <c r="D137" s="202" t="s">
        <v>2071</v>
      </c>
      <c r="F137" s="52">
        <v>150000</v>
      </c>
    </row>
    <row r="138" spans="1:8">
      <c r="A138">
        <v>140</v>
      </c>
      <c r="B138">
        <v>1</v>
      </c>
      <c r="C138" s="203" t="s">
        <v>2078</v>
      </c>
      <c r="D138" s="202" t="s">
        <v>1243</v>
      </c>
      <c r="E138" s="202" t="s">
        <v>2078</v>
      </c>
      <c r="F138" s="52">
        <v>1700000</v>
      </c>
    </row>
    <row r="139" spans="1:8">
      <c r="A139">
        <v>141</v>
      </c>
      <c r="B139">
        <v>14</v>
      </c>
      <c r="D139" s="202" t="s">
        <v>2096</v>
      </c>
      <c r="F139" s="52">
        <v>2000000</v>
      </c>
    </row>
    <row r="140" spans="1:8">
      <c r="A140">
        <v>142</v>
      </c>
      <c r="B140">
        <v>14</v>
      </c>
      <c r="C140" s="203" t="s">
        <v>2108</v>
      </c>
      <c r="D140" s="202" t="s">
        <v>2109</v>
      </c>
      <c r="E140" s="202" t="s">
        <v>2108</v>
      </c>
      <c r="F140" s="52">
        <v>550000</v>
      </c>
    </row>
    <row r="141" spans="1:8">
      <c r="A141">
        <v>143</v>
      </c>
      <c r="D141" s="202" t="s">
        <v>2115</v>
      </c>
      <c r="F141" s="52">
        <v>84000</v>
      </c>
    </row>
    <row r="142" spans="1:8">
      <c r="A142">
        <v>144</v>
      </c>
      <c r="D142" s="202" t="s">
        <v>2118</v>
      </c>
      <c r="F142" s="52">
        <v>1000000</v>
      </c>
    </row>
    <row r="143" spans="1:8">
      <c r="A143">
        <v>145</v>
      </c>
      <c r="B143">
        <v>2</v>
      </c>
      <c r="C143" s="203">
        <v>2830406</v>
      </c>
      <c r="D143" s="202" t="s">
        <v>2861</v>
      </c>
      <c r="E143" s="202">
        <v>2830406</v>
      </c>
      <c r="F143" s="52">
        <v>1200000</v>
      </c>
    </row>
    <row r="144" spans="1:8">
      <c r="A144">
        <v>146</v>
      </c>
      <c r="B144">
        <v>14</v>
      </c>
      <c r="C144" s="203">
        <v>2830301</v>
      </c>
      <c r="D144" s="202" t="s">
        <v>2859</v>
      </c>
      <c r="E144" s="202">
        <v>2830301</v>
      </c>
      <c r="F144" s="52">
        <v>1000000</v>
      </c>
    </row>
    <row r="145" spans="1:8">
      <c r="A145">
        <v>147</v>
      </c>
      <c r="D145" s="202" t="s">
        <v>2135</v>
      </c>
      <c r="F145" s="52">
        <v>900000</v>
      </c>
    </row>
    <row r="146" spans="1:8">
      <c r="A146">
        <v>148</v>
      </c>
      <c r="B146">
        <v>8</v>
      </c>
      <c r="C146" s="203" t="s">
        <v>1996</v>
      </c>
      <c r="D146" s="202" t="s">
        <v>2237</v>
      </c>
      <c r="E146" s="202" t="s">
        <v>1996</v>
      </c>
      <c r="F146" s="52">
        <v>20000</v>
      </c>
      <c r="G146" s="52">
        <v>14500</v>
      </c>
    </row>
    <row r="147" spans="1:8">
      <c r="A147">
        <v>149</v>
      </c>
      <c r="B147">
        <v>8</v>
      </c>
      <c r="C147" s="203">
        <v>24347588724</v>
      </c>
      <c r="D147" s="202" t="s">
        <v>2150</v>
      </c>
      <c r="E147" s="202">
        <v>24347588724</v>
      </c>
      <c r="F147" s="52">
        <v>20000</v>
      </c>
      <c r="G147" s="52">
        <v>14500</v>
      </c>
    </row>
    <row r="148" spans="1:8">
      <c r="A148">
        <v>150</v>
      </c>
      <c r="B148">
        <v>14</v>
      </c>
      <c r="C148" s="203">
        <v>501220522</v>
      </c>
      <c r="D148" s="202" t="s">
        <v>2178</v>
      </c>
      <c r="E148" s="202">
        <v>501220522</v>
      </c>
      <c r="F148" s="52">
        <v>450000</v>
      </c>
    </row>
    <row r="149" spans="1:8">
      <c r="A149">
        <v>151</v>
      </c>
      <c r="C149" s="203">
        <v>2830401</v>
      </c>
      <c r="D149" s="202" t="s">
        <v>2311</v>
      </c>
      <c r="E149" s="202">
        <v>2830401</v>
      </c>
      <c r="F149" s="52">
        <v>1100000</v>
      </c>
    </row>
    <row r="150" spans="1:8">
      <c r="A150">
        <v>152</v>
      </c>
      <c r="B150">
        <v>13</v>
      </c>
      <c r="C150" s="203">
        <v>36050661</v>
      </c>
      <c r="D150" s="202" t="s">
        <v>2203</v>
      </c>
      <c r="E150" s="202">
        <v>36050661</v>
      </c>
      <c r="F150" s="52">
        <v>1200000</v>
      </c>
      <c r="G150" s="52">
        <v>440000</v>
      </c>
    </row>
    <row r="151" spans="1:8">
      <c r="A151">
        <v>153</v>
      </c>
      <c r="B151">
        <v>14</v>
      </c>
      <c r="C151" s="203" t="s">
        <v>2728</v>
      </c>
      <c r="D151" s="202" t="s">
        <v>2449</v>
      </c>
      <c r="E151" s="202" t="s">
        <v>2728</v>
      </c>
      <c r="F151" s="52">
        <v>65000</v>
      </c>
      <c r="G151" s="52">
        <v>35000</v>
      </c>
    </row>
    <row r="152" spans="1:8">
      <c r="A152">
        <v>154</v>
      </c>
      <c r="B152">
        <v>14</v>
      </c>
      <c r="C152" s="203">
        <v>6058008211</v>
      </c>
      <c r="D152" s="202" t="s">
        <v>2129</v>
      </c>
      <c r="E152" s="202">
        <v>6058008211</v>
      </c>
    </row>
    <row r="153" spans="1:8">
      <c r="A153">
        <v>155</v>
      </c>
      <c r="B153">
        <v>2</v>
      </c>
      <c r="D153" s="202" t="s">
        <v>2221</v>
      </c>
      <c r="F153" s="52">
        <v>200000</v>
      </c>
    </row>
    <row r="154" spans="1:8">
      <c r="A154">
        <v>156</v>
      </c>
      <c r="B154">
        <v>2</v>
      </c>
      <c r="D154" s="202" t="s">
        <v>2222</v>
      </c>
      <c r="F154" s="52">
        <v>250000</v>
      </c>
    </row>
    <row r="155" spans="1:8">
      <c r="A155">
        <v>157</v>
      </c>
      <c r="B155">
        <v>2</v>
      </c>
      <c r="C155" s="203">
        <v>2830502</v>
      </c>
      <c r="D155" s="202" t="s">
        <v>2863</v>
      </c>
      <c r="E155" s="202">
        <v>2830502</v>
      </c>
      <c r="F155" s="52">
        <v>1650000</v>
      </c>
    </row>
    <row r="156" spans="1:8">
      <c r="A156">
        <v>158</v>
      </c>
      <c r="B156">
        <v>14</v>
      </c>
      <c r="C156" s="203">
        <v>28120505</v>
      </c>
      <c r="D156" s="202" t="s">
        <v>2658</v>
      </c>
      <c r="E156" s="202">
        <v>28120505</v>
      </c>
      <c r="F156" s="52">
        <v>1550000</v>
      </c>
    </row>
    <row r="157" spans="1:8">
      <c r="A157">
        <v>159</v>
      </c>
      <c r="B157">
        <v>4</v>
      </c>
      <c r="D157" s="202" t="s">
        <v>2253</v>
      </c>
      <c r="F157" s="52">
        <v>990000</v>
      </c>
      <c r="G157" s="52">
        <v>940000</v>
      </c>
      <c r="H157" s="52" t="s">
        <v>2872</v>
      </c>
    </row>
    <row r="158" spans="1:8">
      <c r="A158">
        <v>160</v>
      </c>
      <c r="B158">
        <v>3</v>
      </c>
      <c r="D158" s="202" t="s">
        <v>2255</v>
      </c>
      <c r="F158" s="52">
        <v>1000000</v>
      </c>
    </row>
    <row r="159" spans="1:8">
      <c r="A159">
        <v>161</v>
      </c>
      <c r="B159">
        <v>2</v>
      </c>
      <c r="D159" s="202" t="s">
        <v>2257</v>
      </c>
      <c r="F159" s="52">
        <v>1200000</v>
      </c>
    </row>
    <row r="160" spans="1:8">
      <c r="A160">
        <v>162</v>
      </c>
      <c r="C160" s="203">
        <v>2295001282</v>
      </c>
      <c r="D160" s="202" t="s">
        <v>2662</v>
      </c>
      <c r="E160" s="202">
        <v>2295001282</v>
      </c>
      <c r="F160" s="52">
        <v>422000</v>
      </c>
    </row>
    <row r="161" spans="1:8">
      <c r="A161">
        <v>163</v>
      </c>
      <c r="D161" s="202" t="s">
        <v>2727</v>
      </c>
      <c r="F161" s="52">
        <v>500000</v>
      </c>
      <c r="G161" s="52">
        <v>250000</v>
      </c>
    </row>
    <row r="162" spans="1:8">
      <c r="A162">
        <v>164</v>
      </c>
      <c r="D162" s="202" t="s">
        <v>2330</v>
      </c>
      <c r="F162" s="52">
        <v>150000</v>
      </c>
    </row>
    <row r="163" spans="1:8">
      <c r="A163">
        <v>165</v>
      </c>
      <c r="B163">
        <v>6</v>
      </c>
      <c r="D163" s="202" t="s">
        <v>2341</v>
      </c>
      <c r="F163" s="52">
        <v>800000</v>
      </c>
    </row>
    <row r="164" spans="1:8">
      <c r="A164">
        <v>166</v>
      </c>
      <c r="D164" s="202" t="s">
        <v>2347</v>
      </c>
      <c r="F164" s="52">
        <v>900000</v>
      </c>
    </row>
    <row r="165" spans="1:8">
      <c r="A165">
        <v>167</v>
      </c>
      <c r="D165" s="202" t="s">
        <v>2358</v>
      </c>
      <c r="F165" s="52">
        <v>900000</v>
      </c>
      <c r="G165" s="52">
        <v>600000</v>
      </c>
    </row>
    <row r="166" spans="1:8">
      <c r="A166">
        <v>168</v>
      </c>
      <c r="B166">
        <v>14</v>
      </c>
      <c r="C166" s="203">
        <v>1068327224</v>
      </c>
      <c r="D166" s="202" t="s">
        <v>2377</v>
      </c>
      <c r="E166" s="202">
        <v>1068327224</v>
      </c>
      <c r="F166" s="52">
        <v>80000</v>
      </c>
      <c r="G166" s="52">
        <v>45000</v>
      </c>
    </row>
    <row r="167" spans="1:8">
      <c r="A167">
        <v>169</v>
      </c>
      <c r="C167" s="203">
        <v>1087327175</v>
      </c>
      <c r="D167" s="202" t="s">
        <v>2375</v>
      </c>
      <c r="E167" s="202">
        <v>1087327175</v>
      </c>
      <c r="F167" s="52">
        <v>90000</v>
      </c>
      <c r="G167" s="52">
        <v>65000</v>
      </c>
      <c r="H167" s="52" t="s">
        <v>2376</v>
      </c>
    </row>
    <row r="168" spans="1:8">
      <c r="A168">
        <v>170</v>
      </c>
      <c r="B168">
        <v>3</v>
      </c>
      <c r="C168" s="203" t="s">
        <v>2378</v>
      </c>
      <c r="D168" s="202" t="s">
        <v>2379</v>
      </c>
      <c r="E168" s="202" t="s">
        <v>2378</v>
      </c>
      <c r="F168" s="52">
        <v>350000</v>
      </c>
      <c r="G168" s="52">
        <v>155000</v>
      </c>
    </row>
    <row r="169" spans="1:8">
      <c r="A169">
        <v>171</v>
      </c>
      <c r="C169" s="203" t="s">
        <v>2610</v>
      </c>
      <c r="D169" s="202" t="s">
        <v>2611</v>
      </c>
      <c r="E169" s="202" t="s">
        <v>2610</v>
      </c>
      <c r="F169" s="52">
        <v>450000</v>
      </c>
      <c r="G169" s="52">
        <v>260000</v>
      </c>
    </row>
    <row r="170" spans="1:8">
      <c r="A170">
        <v>172</v>
      </c>
      <c r="C170" s="203">
        <v>4150862090</v>
      </c>
      <c r="D170" s="202" t="s">
        <v>2662</v>
      </c>
      <c r="E170" s="202">
        <v>4150862090</v>
      </c>
      <c r="F170" s="52">
        <v>445000</v>
      </c>
    </row>
    <row r="171" spans="1:8">
      <c r="A171">
        <v>173</v>
      </c>
      <c r="B171">
        <v>3</v>
      </c>
      <c r="D171" s="202" t="s">
        <v>2395</v>
      </c>
      <c r="F171" s="52">
        <v>1600000</v>
      </c>
    </row>
    <row r="172" spans="1:8">
      <c r="A172">
        <v>174</v>
      </c>
      <c r="D172" s="202" t="s">
        <v>2425</v>
      </c>
      <c r="F172" s="52">
        <v>1200000</v>
      </c>
    </row>
    <row r="173" spans="1:8">
      <c r="A173">
        <v>175</v>
      </c>
      <c r="D173" s="202" t="s">
        <v>2405</v>
      </c>
      <c r="F173" s="52">
        <v>650000</v>
      </c>
    </row>
    <row r="174" spans="1:8">
      <c r="A174">
        <v>176</v>
      </c>
      <c r="C174" s="203">
        <v>415089709</v>
      </c>
      <c r="D174" s="202" t="s">
        <v>2662</v>
      </c>
      <c r="E174" s="202">
        <v>415089709</v>
      </c>
      <c r="F174" s="52">
        <v>498000</v>
      </c>
    </row>
    <row r="175" spans="1:8">
      <c r="A175">
        <v>177</v>
      </c>
      <c r="B175">
        <v>1</v>
      </c>
      <c r="C175" s="203" t="s">
        <v>2434</v>
      </c>
      <c r="D175" s="202" t="s">
        <v>2435</v>
      </c>
      <c r="E175" s="202" t="s">
        <v>2434</v>
      </c>
      <c r="F175" s="52">
        <v>990000</v>
      </c>
      <c r="G175" s="52">
        <v>900000</v>
      </c>
    </row>
    <row r="176" spans="1:8">
      <c r="A176">
        <v>178</v>
      </c>
      <c r="B176">
        <v>14</v>
      </c>
      <c r="C176" s="203">
        <v>28120411</v>
      </c>
      <c r="D176" s="202" t="s">
        <v>2437</v>
      </c>
      <c r="E176" s="202">
        <v>28120411</v>
      </c>
      <c r="F176" s="52">
        <v>1500000</v>
      </c>
    </row>
    <row r="177" spans="1:7">
      <c r="A177">
        <v>179</v>
      </c>
      <c r="C177" s="203">
        <v>1087298437</v>
      </c>
      <c r="D177" s="202" t="s">
        <v>2447</v>
      </c>
      <c r="E177" s="202">
        <v>1087298437</v>
      </c>
      <c r="F177" s="52">
        <v>86000</v>
      </c>
      <c r="G177" s="52">
        <v>76000</v>
      </c>
    </row>
    <row r="178" spans="1:7">
      <c r="A178">
        <v>180</v>
      </c>
      <c r="D178" s="202" t="s">
        <v>2452</v>
      </c>
      <c r="F178" s="52">
        <v>150000</v>
      </c>
    </row>
    <row r="179" spans="1:7">
      <c r="A179">
        <v>181</v>
      </c>
      <c r="B179">
        <v>15</v>
      </c>
      <c r="C179" s="203">
        <v>24046895</v>
      </c>
      <c r="D179" s="202" t="s">
        <v>2456</v>
      </c>
      <c r="E179" s="202">
        <v>24046895</v>
      </c>
      <c r="F179" s="52">
        <v>120000</v>
      </c>
      <c r="G179" s="52">
        <v>55000</v>
      </c>
    </row>
    <row r="180" spans="1:7">
      <c r="A180">
        <v>182</v>
      </c>
      <c r="D180" s="202" t="s">
        <v>2519</v>
      </c>
      <c r="F180" s="52">
        <v>450000</v>
      </c>
    </row>
    <row r="181" spans="1:7">
      <c r="A181">
        <v>183</v>
      </c>
      <c r="D181" s="202" t="s">
        <v>2520</v>
      </c>
      <c r="F181" s="52">
        <v>600000</v>
      </c>
    </row>
    <row r="182" spans="1:7">
      <c r="A182">
        <v>184</v>
      </c>
      <c r="B182">
        <v>1</v>
      </c>
      <c r="C182" s="203" t="s">
        <v>2522</v>
      </c>
      <c r="D182" s="202" t="s">
        <v>2523</v>
      </c>
      <c r="E182" s="202" t="s">
        <v>2522</v>
      </c>
      <c r="F182" s="52">
        <v>850000</v>
      </c>
      <c r="G182" s="52">
        <v>520000</v>
      </c>
    </row>
    <row r="183" spans="1:7">
      <c r="A183">
        <v>185</v>
      </c>
      <c r="D183" s="202" t="s">
        <v>2527</v>
      </c>
      <c r="F183" s="52">
        <v>200000</v>
      </c>
    </row>
    <row r="184" spans="1:7">
      <c r="A184">
        <v>186</v>
      </c>
      <c r="B184">
        <v>1</v>
      </c>
      <c r="C184" s="203" t="s">
        <v>2540</v>
      </c>
      <c r="D184" s="202" t="s">
        <v>2503</v>
      </c>
      <c r="E184" s="202" t="s">
        <v>2540</v>
      </c>
      <c r="F184" s="52">
        <v>770000</v>
      </c>
    </row>
    <row r="185" spans="1:7">
      <c r="A185">
        <v>187</v>
      </c>
      <c r="B185">
        <v>3</v>
      </c>
      <c r="C185" s="203" t="s">
        <v>2547</v>
      </c>
      <c r="D185" s="202" t="s">
        <v>2548</v>
      </c>
      <c r="E185" s="202" t="s">
        <v>2547</v>
      </c>
      <c r="F185" s="52">
        <v>650000</v>
      </c>
      <c r="G185" s="52">
        <v>627000</v>
      </c>
    </row>
    <row r="186" spans="1:7">
      <c r="A186">
        <v>188</v>
      </c>
      <c r="B186">
        <v>3</v>
      </c>
      <c r="C186" s="203" t="s">
        <v>2549</v>
      </c>
      <c r="D186" s="202" t="s">
        <v>2550</v>
      </c>
      <c r="E186" s="202" t="s">
        <v>2549</v>
      </c>
      <c r="F186" s="52">
        <v>100000</v>
      </c>
      <c r="G186" s="52">
        <v>69000</v>
      </c>
    </row>
    <row r="187" spans="1:7">
      <c r="A187">
        <v>189</v>
      </c>
      <c r="D187" s="202" t="s">
        <v>2587</v>
      </c>
      <c r="F187" s="52">
        <v>850000</v>
      </c>
    </row>
    <row r="188" spans="1:7">
      <c r="A188">
        <v>190</v>
      </c>
      <c r="B188">
        <v>1</v>
      </c>
      <c r="D188" s="202" t="s">
        <v>2637</v>
      </c>
      <c r="F188" s="52">
        <v>500000</v>
      </c>
    </row>
    <row r="189" spans="1:7">
      <c r="A189">
        <v>191</v>
      </c>
      <c r="C189" s="203">
        <v>2463772400</v>
      </c>
      <c r="D189" s="202" t="s">
        <v>2653</v>
      </c>
      <c r="E189" s="202">
        <v>2463772400</v>
      </c>
      <c r="F189" s="52">
        <v>67500</v>
      </c>
    </row>
    <row r="190" spans="1:7">
      <c r="A190">
        <v>192</v>
      </c>
      <c r="C190" s="203">
        <v>2462500901</v>
      </c>
      <c r="D190" s="202" t="s">
        <v>2652</v>
      </c>
      <c r="E190" s="202">
        <v>2462500901</v>
      </c>
      <c r="F190" s="52">
        <v>1170000</v>
      </c>
    </row>
    <row r="191" spans="1:7">
      <c r="A191">
        <v>193</v>
      </c>
      <c r="B191">
        <v>3</v>
      </c>
      <c r="C191" s="203" t="s">
        <v>2708</v>
      </c>
      <c r="D191" s="202" t="s">
        <v>2709</v>
      </c>
      <c r="E191" s="202" t="s">
        <v>2708</v>
      </c>
      <c r="F191" s="52">
        <v>1000000</v>
      </c>
    </row>
    <row r="192" spans="1:7">
      <c r="A192">
        <v>194</v>
      </c>
      <c r="B192">
        <v>3</v>
      </c>
      <c r="C192" s="203" t="s">
        <v>2710</v>
      </c>
      <c r="D192" s="202" t="s">
        <v>2711</v>
      </c>
      <c r="E192" s="202" t="s">
        <v>2710</v>
      </c>
      <c r="F192" s="52">
        <v>1000000</v>
      </c>
    </row>
    <row r="193" spans="1:7">
      <c r="A193">
        <v>194</v>
      </c>
      <c r="B193">
        <v>12</v>
      </c>
      <c r="C193" s="203" t="s">
        <v>2770</v>
      </c>
      <c r="D193" s="202" t="s">
        <v>2771</v>
      </c>
      <c r="E193" s="202" t="s">
        <v>2770</v>
      </c>
      <c r="F193" s="52">
        <v>1500000</v>
      </c>
      <c r="G193" s="52">
        <v>1250000</v>
      </c>
    </row>
    <row r="194" spans="1:7">
      <c r="A194">
        <v>195</v>
      </c>
      <c r="B194">
        <v>2</v>
      </c>
      <c r="D194" s="202" t="s">
        <v>2779</v>
      </c>
      <c r="F194" s="52">
        <v>1100000</v>
      </c>
    </row>
    <row r="195" spans="1:7">
      <c r="A195">
        <v>196</v>
      </c>
      <c r="D195" s="202" t="s">
        <v>2809</v>
      </c>
      <c r="F195" s="52">
        <v>1700000</v>
      </c>
    </row>
    <row r="196" spans="1:7">
      <c r="A196">
        <v>197</v>
      </c>
      <c r="C196" s="203" t="s">
        <v>2866</v>
      </c>
      <c r="D196" s="202" t="s">
        <v>2867</v>
      </c>
      <c r="E196" s="202" t="s">
        <v>2866</v>
      </c>
      <c r="F196" s="52">
        <v>400000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2848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00" t="s">
        <v>12</v>
      </c>
      <c r="C4" s="50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2436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2582</v>
      </c>
    </row>
    <row r="14" spans="1:20">
      <c r="B14" t="s">
        <v>2250</v>
      </c>
      <c r="C14">
        <v>13</v>
      </c>
      <c r="D14" t="s">
        <v>1461</v>
      </c>
      <c r="I14">
        <v>13</v>
      </c>
      <c r="J14" t="s">
        <v>2800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2524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2525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2526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2025-06-28T00:06:37Z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