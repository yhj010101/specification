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E965B0-93A0-4C78-A925-3507D692E923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4" l="1"/>
  <c r="I112" i="4" l="1"/>
  <c r="I114" i="4"/>
  <c r="I115" i="4"/>
  <c r="I116" i="4"/>
  <c r="I154" i="4"/>
  <c r="I41" i="4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<sst xmlns="http://schemas.openxmlformats.org/spreadsheetml/2006/main" count="6561" uniqueCount="2965">
  <si>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</si>
  <si>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</si>
  <si>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</si>
  <si>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</si>
  <si>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</si>
  <si>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</si>
  <si>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</si>
  <si>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</si>
  <si>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</si>
  <si>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</si>
  <si>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</si>
  <si>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</si>
  <si>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</si>
  <si>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</si>
  <si>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</si>
  <si>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</si>
  <si>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</si>
  <si>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</si>
  <si>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</si>
  <si>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</si>
  <si>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</si>
  <si>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</si>
  <si>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</si>
  <si>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</si>
  <si>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</si>
  <si>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</si>
  <si>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</si>
  <si>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</si>
  <si>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</si>
  <si>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</si>
  <si>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</si>
  <si>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</si>
  <si>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</si>
  <si>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</si>
  <si>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</si>
  <si>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</si>
  <si>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</si>
  <si>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</si>
  <si>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</si>
  <si>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</si>
  <si>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</si>
  <si>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</si>
  <si>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</si>
  <si>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</si>
  <si>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</si>
  <si>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</si>
  <si>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</si>
  <si>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</si>
  <si>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</si>
  <si>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</si>
  <si>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</si>
  <si>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</si>
  <si>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</si>
  <si>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</si>
  <si>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</si>
  <si>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</si>
  <si>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</si>
  <si>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</si>
  <si>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</si>
  <si>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</si>
  <si>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</si>
  <si>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</si>
  <si>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</si>
  <si>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</si>
  <si>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</si>
  <si>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</si>
  <si>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</si>
  <si>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</si>
  <si>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</si>
  <si>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</si>
  <si>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</si>
  <si>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</si>
  <si>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</si>
  <si>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</si>
  <si>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</si>
  <si>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</si>
  <si>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</si>
  <si>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</si>
  <si>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</si>
  <si>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</si>
  <si>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</si>
  <si>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</si>
  <si>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</si>
  <si>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</si>
  <si>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</si>
  <si>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</si>
  <si>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</si>
  <si>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</si>
  <si>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</si>
  <si>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</si>
  <si>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</si>
  <si>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</si>
  <si>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</si>
  <si>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</si>
  <si>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</si>
  <si>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</si>
  <si>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</si>
  <si>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</si>
  <si>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</si>
  <si>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</si>
  <si>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</si>
  <si>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</si>
  <si>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</si>
  <si>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</si>
  <si>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</si>
  <si>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</si>
  <si>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</si>
  <si>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</si>
  <si>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</si>
  <si>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</si>
  <si>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</si>
  <si>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</si>
  <si>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</si>
  <si>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</si>
  <si>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</si>
  <si>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</si>
  <si>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</si>
  <si>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</si>
  <si>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</si>
  <si>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</si>
  <si>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</si>
  <si>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</si>
  <si>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</si>
  <si>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</si>
  <si>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</si>
  <si>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</si>
  <si>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</si>
  <si>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</si>
  <si>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</si>
  <si>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</si>
  <si>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</si>
  <si>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</si>
  <si>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</si>
  <si>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</si>
  <si>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</si>
  <si>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</si>
  <si>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</si>
  <si>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</si>
  <si>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</si>
  <si>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</si>
  <si>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</si>
  <si>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</si>
  <si>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</si>
  <si>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</si>
  <si>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</si>
  <si>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</si>
  <si>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</si>
  <si>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</si>
  <si>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</si>
  <si>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</si>
  <si>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</si>
  <si>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</si>
  <si>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</si>
  <si>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</si>
  <si>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</si>
  <si>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</si>
  <si>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</si>
  <si>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</si>
  <si>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</si>
  <si>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</si>
  <si>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</si>
  <si>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</si>
  <si>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</si>
  <si>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</si>
  <si>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</si>
  <si>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</si>
  <si>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</si>
  <si>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</si>
  <si>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</si>
  <si>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</si>
  <si>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</si>
  <si>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</si>
  <si>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</si>
  <si>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</si>
  <si>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</si>
  <si>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</si>
  <si>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</si>
  <si>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</si>
  <si>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</si>
  <si>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</si>
  <si>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</si>
  <si>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</si>
  <si>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</si>
  <si>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</si>
  <si>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</si>
  <si>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</si>
  <si>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</si>
  <si>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</si>
  <si>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</si>
  <si>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</si>
  <si>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</si>
  <si>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</si>
  <si>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</si>
  <si>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</si>
  <si>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</si>
  <si>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</si>
  <si>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</si>
  <si>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</si>
  <si>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</si>
  <si>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</si>
  <si>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</si>
  <si>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</si>
  <si>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</si>
  <si>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</si>
  <si>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</si>
  <si>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</si>
  <si>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</si>
  <si>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</si>
  <si>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</si>
  <si>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</si>
  <si>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</si>
  <si>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</si>
  <si>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</si>
  <si>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</si>
  <si>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</si>
  <si>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</si>
  <si>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</si>
  <si>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</si>
  <si>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</si>
  <si>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</si>
  <si>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</si>
  <si>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</si>
  <si>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</si>
  <si>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</si>
  <si>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</si>
  <si>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</si>
  <si>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</si>
  <si>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</si>
  <si>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</si>
  <si>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</si>
  <si>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</si>
  <si>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</si>
  <si>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</si>
  <si>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</si>
  <si>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</si>
  <si>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</si>
  <si>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</si>
  <si>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</si>
  <si>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</si>
  <si>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</si>
  <si>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</si>
  <si>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</si>
  <si>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</si>
  <si>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</si>
  <si>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</si>
  <si>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</si>
  <si>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</si>
  <si>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</si>
  <si>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</si>
  <si>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</si>
  <si>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</si>
  <si>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</si>
  <si>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</si>
  <si>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</si>
  <si>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</si>
  <si>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</si>
  <si>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</si>
  <si>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</si>
  <si>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</si>
  <si>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</si>
  <si>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</si>
  <si>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</si>
  <si>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</si>
  <si>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</si>
  <si>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</si>
  <si>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</si>
  <si>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</si>
  <si>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</si>
  <si>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</si>
  <si>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</si>
  <si>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</si>
  <si>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</si>
  <si>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</si>
  <si>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</si>
  <si>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</si>
  <si>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</si>
  <si>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</si>
  <si>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</si>
  <si>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</si>
  <si>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</si>
  <si>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</si>
  <si>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</si>
  <si>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</si>
  <si>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</si>
  <si>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</si>
  <si>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</si>
  <si>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</si>
  <si>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</si>
  <si>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</si>
  <si>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</si>
  <si>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</si>
  <si>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</si>
  <si>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</si>
  <si>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</si>
  <si>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</si>
  <si>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</si>
  <si>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</si>
  <si>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</si>
  <si>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</si>
  <si>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</si>
  <si>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</si>
  <si>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</si>
  <si>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</si>
  <si>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</si>
  <si>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</si>
  <si>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</si>
  <si>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</si>
  <si>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</si>
  <si>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</si>
  <si>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</si>
  <si>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</si>
  <si>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</si>
  <si>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</si>
  <si>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</si>
  <si>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</si>
  <si>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</si>
  <si>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</si>
  <si>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</si>
  <si>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</si>
  <si>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</si>
  <si>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</si>
  <si>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</si>
  <si>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</si>
  <si>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</si>
  <si>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</si>
  <si>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</si>
  <si>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</si>
  <si>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</si>
  <si>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</si>
  <si>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</si>
  <si>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</si>
  <si>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</si>
  <si>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</si>
  <si>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</si>
  <si>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</si>
  <si>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</si>
  <si>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</si>
  <si>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</si>
  <si>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</si>
  <si>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</si>
  <si>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</si>
  <si>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</si>
  <si>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</si>
  <si>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</si>
  <si>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</si>
  <si>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</si>
  <si>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</si>
  <si>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</si>
  <si>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</si>
  <si>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</si>
  <si>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</si>
  <si>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</si>
  <si>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</si>
  <si>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</si>
  <si>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</si>
  <si>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</si>
  <si>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</si>
  <si>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</si>
  <si>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</si>
  <si>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</si>
  <si>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</si>
  <si>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</si>
  <si>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</si>
  <si>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</si>
  <si>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</si>
  <si>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</si>
  <si>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</si>
  <si>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</si>
  <si>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</si>
  <si>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</si>
  <si>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</si>
  <si>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</si>
  <si>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</si>
  <si>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</si>
  <si>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</si>
  <si>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</si>
  <si>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</si>
  <si>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</si>
  <si>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</si>
  <si>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</si>
  <si>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</si>
  <si>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</si>
  <si>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</si>
  <si>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</si>
  <si>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</si>
  <si>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</si>
  <si>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</si>
  <si>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</si>
  <si>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</si>
  <si>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</si>
  <si>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</si>
  <si>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</si>
  <si>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</si>
  <si>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</si>
  <si>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</si>
  <si>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</si>
  <si>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</si>
  <si>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</si>
  <si>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</si>
  <si>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</si>
  <si>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</si>
  <si>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</si>
  <si>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</si>
  <si>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</si>
  <si>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</si>
  <si>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</si>
  <si>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</si>
  <si>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</si>
  <si>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</si>
  <si>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</si>
  <si>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</si>
  <si>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</si>
  <si>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</si>
  <si>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</si>
  <si>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</si>
  <si>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</si>
  <si>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</si>
  <si>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</si>
  <si>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</si>
  <si>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</si>
  <si>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</si>
  <si>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</si>
  <si>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</si>
  <si>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</si>
  <si>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</si>
  <si>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</si>
  <si>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</si>
  <si>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</si>
  <si>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</si>
  <si>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</si>
  <si>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</si>
  <si>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</si>
  <si>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</si>
  <si>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</si>
  <si>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</si>
  <si>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</si>
  <si>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</si>
  <si>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</si>
  <si>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</si>
  <si>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</si>
  <si>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</si>
  <si>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</si>
  <si>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</si>
  <si>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</si>
  <si>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</si>
  <si>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</si>
  <si>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</si>
  <si>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</si>
  <si>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</si>
  <si>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</si>
  <si>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</si>
  <si>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</si>
  <si>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</si>
  <si>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</si>
  <si>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</si>
  <si>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</si>
  <si>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</si>
  <si>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</si>
  <si>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</si>
  <si>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</si>
  <si>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</si>
  <si>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</si>
  <si>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</si>
  <si>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</si>
  <si>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</si>
  <si>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</si>
  <si>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</si>
  <si>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</si>
  <si>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</si>
  <si>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</si>
  <si>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</si>
  <si>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</si>
  <si>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</si>
  <si>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</si>
  <si>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</si>
  <si>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</si>
  <si>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</si>
  <si>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</si>
  <si>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</si>
  <si>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</si>
  <si>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</si>
  <si>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</si>
  <si>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</si>
  <si>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</si>
  <si>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</si>
  <si>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</si>
  <si>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</si>
  <si>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</si>
  <si>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</si>
  <si>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</si>
  <si>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</si>
  <si>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</si>
  <si>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</si>
  <si>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</si>
  <si>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</si>
  <si>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</si>
  <si>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</si>
  <si>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</si>
  <si>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</si>
  <si>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</si>
  <si>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</si>
  <si>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</si>
  <si>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</si>
  <si>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</si>
  <si>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</si>
  <si>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</si>
  <si>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</si>
  <si>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</si>
  <si>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</si>
  <si>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</si>
  <si>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</si>
  <si>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</si>
  <si>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</si>
  <si>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</si>
  <si>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</si>
  <si>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</si>
  <si>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</si>
  <si>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</si>
  <si>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</si>
  <si>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</si>
  <si>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</si>
  <si>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</si>
  <si>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</si>
  <si>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</si>
  <si>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</si>
  <si>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</si>
  <si>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</si>
  <si>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</si>
  <si>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</si>
  <si>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</si>
  <si>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</si>
  <si>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</si>
  <si>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</si>
  <si>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</si>
  <si>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</si>
  <si>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</si>
  <si>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</si>
  <si>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</si>
  <si>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</si>
  <si>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</si>
  <si>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</si>
  <si>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</si>
  <si>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</si>
  <si>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</si>
  <si>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</si>
  <si>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</si>
  <si>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</si>
  <si>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</si>
  <si>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</si>
  <si>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</si>
  <si>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</si>
  <si>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</si>
  <si>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</si>
  <si>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</si>
  <si>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</si>
  <si>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</si>
  <si>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</si>
  <si>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</si>
  <si>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</si>
  <si>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</si>
  <si>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</si>
  <si>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</si>
  <si>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</si>
  <si>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</si>
  <si>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</si>
  <si>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</si>
  <si>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</si>
  <si>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</si>
  <si>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</si>
  <si>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</si>
  <si>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</si>
  <si>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</si>
  <si>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</si>
  <si>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</si>
  <si>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</si>
  <si>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</si>
  <si>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</si>
  <si>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</si>
  <si>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</si>
  <si>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</si>
  <si>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</si>
  <si>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</si>
  <si>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</si>
  <si>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</si>
  <si>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</si>
  <si>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</si>
  <si>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</si>
  <si>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</si>
  <si>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</si>
  <si>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</si>
  <si>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</si>
  <si>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</si>
  <si>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</si>
  <si>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</si>
  <si>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</si>
  <si>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</si>
  <si>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</si>
  <si>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</si>
  <si>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</si>
  <si>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</si>
  <si>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</si>
  <si>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</si>
  <si>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</si>
  <si>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</si>
  <si>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</si>
  <si>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</si>
  <si>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</si>
  <si>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</si>
  <si>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</si>
  <si>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</si>
  <si>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</si>
  <si>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</si>
  <si>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</si>
  <si>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</si>
  <si>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</si>
  <si>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</si>
  <si>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</si>
  <si>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</si>
  <si>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</si>
  <si>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</si>
  <si>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</si>
  <si>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</si>
  <si>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</si>
  <si>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</si>
  <si>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</si>
  <si>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</si>
  <si>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</si>
  <si>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</si>
  <si>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</si>
  <si>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</si>
  <si>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</si>
  <si>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</si>
  <si>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</si>
  <si>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</si>
  <si>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</si>
  <si>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</si>
  <si>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</si>
  <si>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</si>
  <si>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</si>
  <si>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</si>
  <si>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</si>
  <si>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</si>
  <si>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</si>
  <si>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</si>
  <si>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</si>
  <si>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</si>
  <si>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</si>
  <si>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</si>
  <si>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</si>
  <si>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</si>
  <si>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</si>
  <si>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</si>
  <si>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</si>
  <si>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</si>
  <si>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</si>
  <si>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</si>
  <si>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</si>
  <si>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</si>
  <si>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</si>
  <si>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</si>
  <si>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</si>
  <si>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</si>
  <si>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</si>
  <si>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</si>
  <si>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</si>
  <si>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</si>
  <si>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</si>
  <si>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</si>
  <si>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</si>
  <si>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</si>
  <si>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</si>
  <si>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</si>
  <si>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</si>
  <si>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</si>
  <si>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</si>
  <si>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</si>
  <si>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</si>
  <si>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</si>
  <si>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</si>
  <si>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</si>
  <si>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</si>
  <si>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</si>
  <si>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</si>
  <si>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</si>
  <si>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</si>
  <si>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</si>
  <si>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</si>
  <si>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</si>
  <si>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</si>
  <si>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</si>
  <si>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</si>
  <si>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</si>
  <si>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</si>
  <si>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</si>
  <si>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</si>
  <si>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</si>
  <si>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</si>
  <si>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</si>
  <si>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</si>
  <si>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</si>
  <si>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</si>
  <si>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</si>
  <si>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</si>
  <si>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</si>
  <si>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</si>
  <si>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</si>
  <si>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</si>
  <si>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</si>
  <si>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</si>
  <si>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</si>
  <si>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</si>
  <si>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</si>
  <si>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</si>
  <si>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</si>
  <si>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</si>
  <si>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</si>
  <si>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</si>
  <si>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</si>
  <si>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</si>
  <si>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</si>
  <si>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</si>
  <si>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</si>
  <si>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</si>
  <si>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</si>
  <si>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</si>
  <si>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</si>
  <si>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</si>
  <si>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</si>
  <si>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</si>
  <si>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</si>
  <si>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</si>
  <si>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</si>
  <si>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</si>
  <si>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</si>
  <si>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</si>
  <si>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</si>
  <si>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</si>
  <si>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</si>
  <si>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</si>
  <si>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</si>
  <si>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</si>
  <si>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</si>
  <si>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</si>
  <si>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</si>
  <si>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</si>
  <si>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</si>
  <si>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</si>
  <si>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</si>
  <si>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</si>
  <si>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</si>
  <si>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</si>
  <si>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</si>
  <si>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</si>
  <si>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</si>
  <si>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</si>
  <si>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</si>
  <si>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</si>
  <si>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</si>
  <si>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</si>
  <si>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</si>
  <si>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</si>
  <si>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</si>
  <si>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</si>
  <si>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</si>
  <si>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</si>
  <si>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</si>
  <si>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</si>
  <si>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</si>
  <si>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</si>
  <si>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</si>
  <si>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</si>
  <si>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</si>
  <si>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</si>
  <si>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</si>
  <si>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</si>
  <si>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</si>
  <si>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</si>
  <si>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</si>
  <si>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</si>
  <si>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</si>
  <si>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</si>
  <si>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</si>
  <si>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</si>
  <si>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</si>
  <si>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</si>
  <si>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</si>
  <si>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</si>
  <si>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</si>
  <si>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</si>
  <si>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</si>
  <si>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</si>
  <si>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</si>
  <si>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</si>
  <si>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</si>
  <si>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</si>
  <si>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</si>
  <si>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</si>
  <si>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</si>
  <si>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</si>
  <si>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</si>
  <si>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</si>
  <si>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</si>
  <si>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</si>
  <si>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</si>
  <si>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</si>
  <si>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</si>
  <si>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</si>
  <si>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</si>
  <si>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</si>
  <si>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</si>
  <si>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</si>
  <si>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</si>
  <si>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</si>
  <si>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</si>
  <si>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</si>
  <si>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</si>
  <si>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</si>
  <si>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</si>
  <si>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</si>
  <si>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</si>
  <si>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</si>
  <si>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</si>
  <si>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</si>
  <si>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</si>
  <si>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</si>
  <si>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</si>
  <si>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</si>
  <si>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</si>
  <si>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</si>
  <si>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</si>
  <si>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</si>
  <si>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</si>
  <si>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</si>
  <si>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</si>
  <si>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</si>
  <si>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</si>
  <si>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</si>
  <si>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</si>
  <si>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</si>
  <si>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</si>
  <si>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</si>
  <si>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</si>
  <si>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</si>
  <si>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</si>
  <si>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</si>
  <si>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</si>
  <si>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</si>
  <si>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</si>
  <si>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</si>
  <si>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</si>
  <si>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</si>
  <si>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</si>
  <si>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</si>
  <si>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</si>
  <si>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</si>
  <si>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</si>
  <si>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</si>
  <si>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</si>
  <si>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</si>
  <si>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</si>
  <si>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</si>
  <si>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</si>
  <si>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</si>
  <si>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</si>
  <si>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</si>
  <si>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</si>
  <si>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</si>
  <si>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</si>
  <si>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</si>
  <si>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</si>
  <si>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</si>
  <si>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</si>
  <si>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</si>
  <si>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</si>
  <si>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</si>
  <si>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</si>
  <si>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</si>
  <si>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</si>
  <si>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</si>
  <si>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</si>
  <si>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</si>
  <si>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</si>
  <si>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</si>
  <si>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</si>
  <si>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</si>
  <si>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</si>
  <si>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</si>
  <si>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</si>
  <si>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</si>
  <si>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</si>
  <si>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</si>
  <si>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</si>
  <si>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</si>
  <si>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</si>
  <si>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</si>
  <si>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</si>
  <si>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</si>
  <si>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</si>
  <si>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</si>
  <si>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</si>
  <si>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</si>
  <si>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</si>
  <si>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</si>
  <si>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</si>
  <si>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</si>
  <si>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</si>
  <si>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</si>
  <si>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</si>
  <si>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</si>
  <si>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</si>
  <si>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</si>
  <si>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</si>
  <si>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</si>
  <si>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</si>
  <si>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</si>
  <si>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</si>
  <si>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</si>
  <si>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</si>
  <si>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</si>
  <si>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</si>
  <si>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</si>
  <si>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</si>
  <si>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</si>
  <si>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</si>
  <si>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</si>
  <si>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</si>
  <si>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</si>
  <si>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</si>
  <si>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</si>
  <si>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</si>
  <si>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</si>
  <si>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</si>
  <si>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</si>
  <si>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</si>
  <si>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</si>
  <si>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</si>
  <si>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</si>
  <si>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</si>
  <si>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</si>
  <si>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</si>
  <si>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</si>
  <si>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</si>
  <si>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</si>
  <si>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</si>
  <si>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</si>
  <si>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</si>
  <si>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</si>
  <si>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</si>
  <si>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</si>
  <si>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</si>
  <si>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</si>
  <si>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</si>
  <si>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</si>
  <si>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</si>
  <si>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</si>
  <si>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</si>
  <si>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</si>
  <si>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</si>
  <si>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</si>
  <si>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</si>
  <si>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</si>
  <si>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</si>
  <si>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</si>
  <si>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</si>
  <si>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</si>
  <si>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</si>
  <si>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</si>
  <si>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</si>
  <si>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</si>
  <si>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</si>
  <si>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</si>
  <si>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</si>
  <si>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</si>
  <si>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</si>
  <si>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</si>
  <si>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</si>
  <si>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</si>
  <si>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</si>
  <si>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</si>
  <si>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</si>
  <si>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</si>
  <si>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</si>
  <si>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</si>
  <si>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</si>
  <si>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</si>
  <si>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</si>
  <si>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</si>
  <si>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</si>
  <si>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</si>
  <si>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</si>
  <si>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</si>
  <si>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</si>
  <si>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</si>
  <si>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</si>
  <si>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</si>
  <si>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</si>
  <si>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</si>
  <si>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</si>
  <si>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</si>
  <si>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</si>
  <si>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</si>
  <si>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</si>
  <si>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</si>
  <si>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</si>
  <si>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</si>
  <si>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</si>
  <si>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</si>
  <si>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</si>
  <si>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</si>
  <si>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</si>
  <si>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</si>
  <si>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</si>
  <si>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</si>
  <si>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</si>
  <si>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</si>
  <si>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</si>
  <si>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</si>
  <si>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</si>
  <si>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</si>
  <si>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</si>
  <si>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</si>
  <si>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</si>
  <si>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</si>
  <si>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</si>
  <si>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</si>
  <si>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</si>
  <si>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</si>
  <si>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</si>
  <si>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</si>
  <si>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</si>
  <si>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</si>
  <si>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</si>
  <si>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</si>
  <si>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</si>
  <si>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</si>
  <si>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</si>
  <si>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</si>
  <si>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</si>
  <si>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</si>
  <si>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</si>
  <si>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</si>
  <si>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</si>
  <si>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</si>
  <si>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</si>
  <si>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</si>
  <si>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</si>
  <si>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</si>
  <si>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</si>
  <si>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</si>
  <si>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</si>
  <si>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</si>
  <si>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</si>
  <si>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</si>
  <si>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</si>
  <si>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</si>
  <si>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</si>
  <si>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</si>
  <si>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</si>
  <si>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</si>
  <si>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</si>
  <si>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</si>
  <si>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</si>
  <si>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</si>
  <si>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</si>
  <si>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</si>
  <si>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</si>
  <si>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</si>
  <si>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</si>
  <si>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</si>
  <si>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</si>
  <si>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</si>
  <si>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</si>
  <si>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</si>
  <si>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</si>
  <si>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</si>
  <si>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</si>
  <si>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</si>
  <si>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</si>
  <si>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</si>
  <si>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</si>
  <si>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</si>
  <si>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</si>
  <si>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</si>
  <si>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</si>
  <si>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</si>
  <si>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</si>
  <si>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</si>
  <si>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</si>
  <si>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</si>
  <si>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</si>
  <si>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</si>
  <si>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</si>
  <si>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</si>
  <si>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</si>
  <si>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</si>
  <si>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</si>
  <si>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</si>
  <si>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</si>
  <si>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</si>
  <si>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</si>
  <si>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</si>
  <si>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</si>
  <si>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</si>
  <si>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</si>
  <si>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</si>
  <si>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</si>
  <si>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</si>
  <si>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</si>
  <si>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</si>
  <si>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</si>
  <si>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</si>
  <si>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</si>
  <si>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</si>
  <si>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</si>
  <si>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</si>
  <si>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</si>
  <si>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</si>
  <si>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</si>
  <si>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</si>
  <si>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</si>
  <si>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</si>
  <si>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</si>
  <si>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</si>
  <si>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</si>
  <si>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</si>
  <si>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</si>
  <si>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</si>
  <si>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</si>
  <si>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</si>
  <si>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</si>
  <si>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</si>
  <si>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</si>
  <si>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</si>
  <si>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</si>
  <si>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</si>
  <si>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</si>
  <si>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</si>
  <si>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</si>
  <si>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</si>
  <si>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</si>
  <si>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</si>
  <si>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</si>
  <si>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</si>
  <si>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</si>
  <si>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</si>
  <si>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</si>
  <si>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</si>
  <si>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</si>
  <si>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</si>
  <si>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</si>
  <si>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</si>
  <si>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</si>
  <si>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</si>
  <si>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</si>
  <si>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</si>
  <si>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</si>
  <si>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</si>
  <si>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</si>
  <si>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</si>
  <si>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</si>
  <si>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</si>
  <si>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</si>
  <si>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</si>
  <si>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</si>
  <si>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</si>
  <si>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</si>
  <si>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</si>
  <si>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</si>
  <si>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</si>
  <si>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</si>
  <si>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</si>
  <si>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</si>
  <si>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</si>
  <si>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</si>
  <si>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</si>
  <si>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</si>
  <si>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</si>
  <si>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</si>
  <si>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</si>
  <si>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</si>
  <si>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</si>
  <si>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</si>
  <si>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</si>
  <si>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</si>
  <si>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</si>
  <si>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</si>
  <si>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</si>
  <si>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</si>
  <si>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</si>
  <si>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</si>
  <si>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</si>
  <si>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</si>
  <si>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</si>
  <si>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</si>
  <si>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</si>
  <si>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</si>
  <si>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</si>
  <si>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</si>
  <si>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</si>
  <si>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</si>
  <si>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</si>
  <si>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</si>
  <si>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</si>
  <si>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</si>
  <si>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</si>
  <si>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</si>
  <si>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</si>
  <si>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</si>
  <si>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</si>
  <si>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</si>
  <si>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</si>
  <si>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</si>
  <si>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</si>
  <si>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</si>
  <si>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</si>
  <si>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</si>
  <si>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</si>
  <si>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</si>
  <si>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</si>
  <si>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</si>
  <si>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</si>
  <si>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</si>
  <si>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</si>
  <si>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</si>
  <si>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</si>
  <si>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</si>
  <si>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</si>
  <si>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</si>
  <si>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</si>
  <si>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</si>
  <si>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</si>
  <si>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</si>
  <si>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</si>
  <si>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</si>
  <si>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</si>
  <si>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</si>
  <si>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</si>
  <si>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</si>
  <si>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</si>
  <si>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</si>
  <si>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</si>
  <si>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</si>
  <si>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</si>
  <si>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</si>
  <si>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</si>
  <si>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</si>
  <si>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</si>
  <si>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</si>
  <si>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</si>
  <si>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</si>
  <si>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</si>
  <si>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</si>
  <si>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</si>
  <si>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</si>
  <si>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</si>
  <si>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</si>
  <si>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</si>
  <si>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</si>
  <si>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</si>
  <si>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</si>
  <si>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</si>
  <si>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</si>
  <si>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</si>
  <si>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</si>
  <si>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</si>
  <si>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</si>
  <si>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</si>
  <si>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</si>
  <si>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</si>
  <si>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</si>
  <si>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</si>
  <si>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</si>
  <si>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</si>
  <si>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</si>
  <si>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</si>
  <si>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</si>
  <si>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</si>
  <si>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</si>
  <si>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</si>
  <si>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</si>
  <si>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</si>
  <si>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</si>
  <si>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</si>
  <si>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</si>
  <si>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</si>
  <si>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</si>
  <si>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</si>
  <si>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</si>
  <si>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</si>
  <si>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</si>
  <si>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</si>
  <si>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</si>
  <si>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</si>
  <si>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</si>
  <si>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</si>
  <si>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</si>
  <si>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</si>
  <si>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</si>
  <si>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</si>
  <si>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</si>
  <si>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</si>
  <si>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</si>
  <si>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</si>
  <si>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</si>
  <si>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</si>
  <si>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</si>
  <si>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</si>
  <si>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</si>
  <si>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</si>
  <si>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</si>
  <si>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</si>
  <si>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</si>
  <si>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</si>
  <si>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</si>
  <si>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</si>
  <si>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</si>
  <si>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</si>
  <si>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</si>
  <si>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</si>
  <si>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</si>
  <si>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</si>
  <si>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</si>
  <si>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</si>
  <si>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</si>
  <si>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</si>
  <si>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</si>
  <si>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</si>
  <si>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</si>
  <si>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</si>
  <si>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</si>
  <si>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</si>
  <si>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</si>
  <si>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</si>
  <si>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</si>
  <si>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</si>
  <si>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</si>
  <si>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</si>
  <si>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</si>
  <si>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</si>
  <si>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</si>
  <si>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</si>
  <si>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</si>
  <si>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</si>
  <si>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</si>
  <si>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</si>
  <si>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</si>
  <si>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</si>
  <si>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</si>
  <si>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</si>
  <si>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</si>
  <si>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</si>
  <si>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</si>
  <si>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</si>
  <si>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</si>
  <si>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</si>
  <si>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</si>
  <si>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</si>
  <si>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</si>
  <si>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</si>
  <si>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</si>
  <si>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</si>
  <si>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</si>
  <si>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</si>
  <si>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</si>
  <si>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</si>
  <si>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</si>
  <si>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</si>
  <si>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</si>
  <si>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</si>
  <si>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</si>
  <si>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</si>
  <si>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</si>
  <si>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</si>
  <si>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</si>
  <si>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</si>
  <si>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</si>
  <si>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</si>
  <si>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</si>
  <si>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</si>
  <si>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</si>
  <si>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</si>
  <si>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</si>
  <si>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</si>
  <si>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</si>
  <si>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</si>
  <si>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</si>
  <si>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</si>
  <si>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</si>
  <si>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</si>
  <si>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</si>
  <si>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</si>
  <si>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</si>
  <si>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</si>
  <si>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</si>
  <si>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</si>
  <si>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</si>
  <si>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</si>
  <si>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</si>
  <si>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</si>
  <si>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</si>
  <si>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</si>
  <si>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</si>
  <si>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</si>
  <si>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</si>
  <si>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</si>
  <si>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</si>
  <si>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</si>
  <si>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</si>
  <si>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</si>
  <si>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</si>
  <si>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</si>
  <si>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</si>
  <si>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</si>
  <si>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</si>
  <si>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</si>
  <si>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</si>
  <si>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</si>
  <si>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</si>
  <si>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</si>
  <si>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</si>
  <si>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</si>
  <si>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</si>
  <si>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</si>
  <si>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</si>
  <si>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</si>
  <si>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</si>
  <si>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</si>
  <si>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</si>
  <si>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</si>
  <si>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</si>
  <si>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</si>
  <si>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</si>
  <si>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</si>
  <si>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</si>
  <si>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</si>
  <si>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</si>
  <si>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</si>
  <si>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</si>
  <si>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</si>
  <si>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</si>
  <si>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</si>
  <si>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</si>
  <si>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</si>
  <si>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</si>
  <si>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</si>
  <si>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</si>
  <si>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</si>
  <si>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</si>
  <si>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</si>
  <si>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</si>
  <si>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</si>
  <si>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</si>
  <si>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</si>
  <si>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</si>
  <si>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</si>
  <si>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</si>
  <si>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</si>
  <si>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</si>
  <si>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</si>
  <si>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</si>
  <si>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</si>
  <si>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</si>
  <si>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</si>
  <si>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</si>
  <si>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</si>
  <si>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</si>
  <si>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</si>
  <si>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</si>
  <si>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</si>
  <si>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</si>
  <si>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</si>
  <si>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</si>
  <si>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</si>
  <si>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</si>
  <si>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</si>
  <si>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</si>
  <si>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</si>
  <si>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</si>
  <si>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</si>
  <si>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</si>
  <si>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</si>
  <si>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</si>
  <si>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</si>
  <si>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</si>
  <si>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</si>
  <si>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</si>
  <si>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</si>
  <si>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</si>
  <si>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</si>
  <si>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</si>
  <si>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</si>
  <si>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</si>
  <si>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</si>
  <si>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</si>
  <si>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</si>
  <si>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</si>
  <si>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</si>
  <si>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</si>
  <si>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</si>
  <si>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</si>
  <si>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</si>
  <si>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</si>
  <si>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</si>
  <si>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</si>
  <si>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</si>
  <si>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</si>
  <si>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</si>
  <si>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</si>
  <si>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</si>
  <si>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</si>
  <si>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</si>
  <si>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</si>
  <si>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</si>
  <si>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</si>
  <si>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</si>
  <si>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</si>
  <si>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</si>
  <si>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</si>
  <si>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</si>
  <si>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</si>
  <si>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</si>
  <si>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</si>
  <si>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</si>
  <si>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</si>
  <si>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</si>
  <si>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</si>
  <si>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</si>
  <si>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</si>
  <si>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</si>
  <si>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</si>
  <si>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</si>
  <si>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</si>
  <si>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</si>
  <si>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</si>
  <si>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</si>
  <si>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</si>
  <si>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</si>
  <si>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</si>
  <si>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</si>
  <si>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</si>
  <si>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</si>
  <si>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</si>
  <si>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</si>
  <si>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</si>
  <si>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</si>
  <si>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</si>
  <si>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</si>
  <si>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</si>
  <si>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</si>
  <si>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</si>
  <si>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</si>
  <si>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</si>
  <si>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</si>
  <si>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</si>
  <si>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</si>
  <si>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</si>
  <si>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</si>
  <si>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</si>
  <si>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</si>
  <si>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</si>
  <si>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</si>
  <si>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</si>
  <si>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</si>
  <si>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</si>
  <si>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</si>
  <si>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</si>
  <si>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</si>
  <si>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</si>
  <si>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</si>
  <si>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</si>
  <si>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</si>
  <si>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</si>
  <si>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</si>
  <si>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</si>
  <si>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</si>
  <si>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</si>
  <si>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</si>
  <si>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</si>
  <si>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</si>
  <si>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</si>
  <si>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</si>
  <si>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</si>
  <si>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</si>
  <si>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</si>
  <si>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</si>
  <si>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</si>
  <si>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</si>
  <si>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</si>
  <si>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</si>
  <si>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</si>
  <si>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</si>
  <si>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</si>
  <si>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</si>
  <si>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</si>
  <si>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</si>
  <si>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</si>
  <si>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</si>
  <si>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</si>
  <si>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</si>
  <si>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</si>
  <si>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</si>
  <si>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</si>
  <si>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</si>
  <si>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</si>
  <si>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</si>
  <si>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</si>
  <si>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</si>
  <si>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</si>
  <si>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</si>
  <si>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</si>
  <si>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</si>
  <si>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</si>
  <si>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</si>
  <si>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</si>
  <si>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</si>
  <si>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</si>
  <si>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</si>
  <si>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</si>
  <si>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</si>
  <si>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</si>
  <si>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</si>
  <si>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</si>
  <si>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</si>
  <si>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</si>
  <si>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</si>
  <si>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</si>
  <si>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</si>
  <si>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</si>
  <si>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</si>
  <si>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</si>
  <si>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</si>
  <si>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</si>
  <si>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</si>
  <si>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</si>
  <si>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</si>
  <si>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</si>
  <si>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</si>
  <si>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</si>
  <si>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</si>
  <si>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</si>
  <si>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</si>
  <si>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</si>
  <si>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</si>
  <si>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</si>
  <si>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</si>
  <si>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</si>
  <si>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</si>
  <si>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</si>
  <si>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</si>
  <si>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</si>
  <si>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</si>
  <si>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</si>
  <si>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</si>
  <si>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</si>
  <si>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</si>
  <si>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</si>
  <si>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</si>
  <si>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</si>
  <si>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</si>
  <si>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</si>
  <si>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</si>
  <si>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</si>
  <si>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</si>
  <si>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</si>
  <si>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</si>
  <si>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</si>
  <si>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</si>
  <si>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</si>
  <si>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</si>
  <si>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</si>
  <si>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</si>
  <si>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</si>
  <si>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</si>
  <si>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</si>
  <si>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</si>
  <si>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</si>
  <si>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</si>
  <si>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</si>
  <si>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</si>
  <si>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</si>
  <si>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</si>
  <si>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</si>
  <si>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</si>
  <si>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</si>
  <si>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</si>
  <si>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</si>
  <si>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</si>
  <si>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</si>
  <si>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</si>
  <si>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</si>
  <si>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</si>
  <si>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</si>
  <si>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</si>
  <si>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</si>
  <si>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</si>
  <si>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</si>
  <si>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</si>
  <si>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</si>
  <si>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</si>
  <si>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</si>
  <si>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</si>
  <si>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</si>
  <si>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</si>
  <si>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</si>
  <si>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</si>
  <si>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</si>
  <si>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</si>
  <si>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</si>
  <si>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</si>
  <si>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</si>
  <si>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</si>
  <si>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</si>
  <si>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</si>
  <si>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</si>
  <si>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</si>
  <si>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</si>
  <si>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</si>
  <si>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</si>
  <si>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</si>
  <si>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</si>
  <si>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</si>
  <si>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</si>
  <si>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</si>
  <si>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</si>
  <si>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</si>
  <si>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</si>
  <si>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</si>
  <si>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</si>
  <si>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</si>
  <si>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</si>
  <si>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</si>
  <si>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</si>
  <si>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</si>
  <si>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</si>
  <si>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</si>
  <si>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</si>
  <si>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</si>
  <si>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</si>
  <si>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</si>
  <si>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</si>
  <si>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</si>
  <si>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</si>
  <si>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</si>
  <si>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</si>
  <si>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</si>
  <si>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</si>
  <si>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</si>
  <si>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</si>
  <si>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</si>
  <si>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</si>
  <si>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</si>
  <si>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</si>
  <si>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</si>
  <si>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</si>
  <si>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</si>
  <si>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</si>
  <si>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</si>
  <si>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</si>
  <si>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</si>
  <si>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</si>
  <si>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</si>
  <si>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</si>
  <si>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</si>
  <si>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</si>
  <si>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</si>
  <si>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</si>
  <si>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</si>
  <si>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</si>
  <si>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</si>
  <si>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</si>
  <si>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</si>
  <si>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</si>
  <si>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</si>
  <si>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</si>
  <si>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</si>
  <si>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</si>
  <si>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</si>
  <si>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</si>
  <si>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</si>
  <si>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</si>
  <si>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</si>
  <si>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</si>
  <si>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</si>
  <si>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</si>
  <si>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</si>
  <si>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</si>
  <si>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</si>
  <si>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</si>
  <si>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</si>
  <si>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</si>
  <si>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</si>
  <si>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</si>
  <si>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</si>
  <si>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</si>
  <si>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</si>
  <si>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</si>
  <si>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</si>
  <si>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</si>
  <si>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</si>
  <si>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</si>
  <si>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</si>
  <si>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</si>
  <si>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</si>
  <si>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</si>
  <si>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</si>
  <si>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</si>
  <si>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</si>
  <si>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</si>
  <si>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</si>
  <si>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</si>
  <si>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</si>
  <si>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</si>
  <si>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</si>
  <si>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</si>
  <si>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</si>
  <si>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</si>
  <si>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</si>
  <si>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</si>
  <si>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</si>
  <si>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</si>
  <si>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</si>
  <si>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</si>
  <si>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</si>
  <si>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</si>
  <si>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</si>
  <si>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</si>
  <si>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</si>
  <si>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</si>
  <si>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</si>
  <si>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</si>
  <si>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</si>
  <si>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</si>
  <si>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</si>
  <si>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</si>
  <si>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</si>
  <si>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</si>
  <si>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</si>
  <si>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</si>
  <si>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</si>
  <si>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</si>
  <si>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</si>
  <si>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</si>
  <si>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</si>
  <si>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</si>
  <si>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</si>
  <si>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</si>
  <si>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</si>
  <si>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</si>
  <si>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</si>
  <si>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</si>
  <si>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</si>
  <si>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</si>
  <si>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</si>
  <si>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</si>
  <si>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</si>
  <si>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</si>
  <si>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</si>
  <si>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</si>
  <si>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</si>
  <si>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</si>
  <si>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</si>
  <si>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</si>
  <si>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</si>
  <si>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</si>
  <si>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</si>
  <si>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</si>
  <si>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</si>
  <si>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</si>
  <si>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</si>
  <si>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</si>
  <si>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</si>
  <si>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</si>
  <si>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</si>
  <si>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</si>
  <si>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</si>
  <si>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</si>
  <si>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</si>
  <si>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</si>
  <si>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</si>
  <si>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</si>
  <si>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</si>
  <si>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</si>
  <si>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</si>
  <si>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</si>
  <si>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</si>
  <si>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</si>
  <si>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</si>
  <si>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</si>
  <si>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</si>
  <si>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</si>
  <si>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</si>
  <si>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</si>
  <si>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</si>
  <si>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</si>
  <si>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</si>
  <si>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</si>
  <si>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</si>
  <si>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</si>
  <si>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</si>
  <si>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</si>
  <si>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</si>
  <si>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</si>
  <si>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</si>
  <si>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</si>
  <si>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</si>
  <si>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</si>
  <si>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</si>
  <si>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</si>
  <si>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</si>
  <si>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</si>
  <si>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</si>
  <si>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</si>
  <si>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</si>
  <si>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</si>
  <si>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</si>
  <si>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</si>
  <si>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</si>
  <si>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</si>
  <si>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</si>
  <si>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</si>
  <si>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</si>
  <si>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</si>
  <si>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</si>
  <si>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</si>
  <si>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</si>
  <si>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</si>
  <si>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</si>
  <si>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</si>
  <si>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</si>
  <si>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</si>
  <si>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</si>
  <si>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</si>
  <si>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</si>
  <si>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</si>
  <si>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</si>
  <si>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</si>
  <si>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</si>
  <si>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</si>
  <si>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</si>
  <si>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</si>
  <si>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</si>
  <si>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</si>
  <si>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</si>
  <si>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</si>
  <si>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</si>
  <si>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</si>
  <si>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</si>
  <si>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</si>
  <si>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</si>
  <si>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</si>
  <si>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</si>
  <si>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</si>
  <si>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</si>
  <si>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</si>
  <si>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</si>
  <si>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</si>
  <si>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</si>
  <si>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</si>
  <si>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</si>
  <si>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</si>
  <si>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</si>
  <si>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</si>
  <si>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</si>
  <si>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</si>
  <si>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</si>
  <si>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</si>
  <si>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</si>
  <si>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</si>
  <si>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</si>
  <si>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</si>
  <si>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</si>
  <si>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</si>
  <si>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</si>
  <si>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</si>
  <si>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</si>
  <si>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</si>
  <si>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</si>
  <si>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</si>
  <si>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</si>
  <si>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</si>
  <si>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</si>
  <si>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</si>
  <si>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</si>
  <si>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</si>
  <si>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</si>
  <si>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</si>
  <si>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</si>
  <si>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</si>
  <si>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</si>
  <si>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</si>
  <si>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</si>
  <si>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</si>
  <si>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</si>
  <si>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</si>
  <si>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</si>
  <si>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</si>
  <si>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</si>
  <si>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</si>
  <si>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</si>
  <si>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</si>
  <si>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</si>
  <si>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</si>
  <si>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</si>
  <si>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</si>
  <si>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</si>
  <si>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</si>
  <si>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</si>
  <si>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</si>
  <si>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</si>
  <si>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</si>
  <si>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</si>
  <si>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</si>
  <si>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</si>
  <si>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</si>
  <si>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</si>
  <si>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</si>
  <si>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</si>
  <si>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</si>
  <si>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</si>
  <si>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</si>
  <si>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</si>
  <si>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</si>
  <si>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</si>
  <si>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</si>
  <si>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</si>
  <si>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</si>
  <si>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</si>
  <si>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</si>
  <si>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</si>
  <si>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</si>
  <si>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</si>
  <si>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</si>
  <si>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</si>
  <si>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</si>
  <si>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</si>
  <si>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</si>
  <si>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</si>
  <si>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</si>
  <si>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</si>
  <si>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</si>
  <si>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</si>
  <si>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</si>
  <si>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</si>
  <si>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</si>
  <si>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</si>
  <si>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</si>
  <si>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</si>
  <si>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</si>
  <si>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</si>
  <si>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</si>
  <si>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</si>
  <si>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</si>
  <si>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</si>
  <si>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</si>
  <si>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</si>
  <si>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</si>
  <si>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</si>
  <si>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</si>
  <si>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</si>
  <si>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</si>
  <si>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</si>
  <si>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</si>
  <si>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</si>
  <si>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</si>
  <si>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</si>
  <si>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</si>
  <si>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</si>
  <si>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</si>
  <si>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</si>
  <si>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</si>
  <si>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</si>
  <si>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</si>
  <si>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</si>
  <si>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</si>
  <si>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</si>
  <si>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</si>
  <si>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</si>
  <si>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</si>
  <si>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</si>
  <si>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</si>
  <si>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</si>
  <si>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</si>
  <si>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</si>
  <si>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</si>
  <si>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</si>
  <si>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</si>
  <si>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</si>
  <si>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</si>
  <si>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</si>
  <si>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</si>
  <si>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</si>
  <si>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</si>
  <si>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</si>
  <si>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</si>
  <si>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</si>
  <si>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</si>
  <si>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</si>
  <si>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</si>
  <si>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</si>
  <si>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</si>
  <si>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</si>
  <si>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</si>
  <si>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</si>
  <si>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</si>
  <si>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</si>
  <si>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</si>
  <si>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</si>
  <si>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</si>
  <si>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</si>
  <si>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</si>
  <si>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</si>
  <si>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</si>
  <si>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</si>
  <si>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</si>
  <si>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</si>
  <si>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</si>
  <si>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</si>
  <si>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</si>
  <si>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</si>
  <si>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</si>
  <si>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</si>
  <si>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</si>
  <si>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</si>
  <si>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</si>
  <si>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</si>
  <si>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</si>
  <si>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</si>
  <si>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</si>
  <si>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</si>
  <si>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</si>
  <si>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</si>
  <si>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</si>
  <si>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</si>
  <si>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</si>
  <si>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</si>
  <si>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</si>
  <si>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</si>
  <si>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</si>
  <si>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</si>
  <si>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</si>
  <si>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</si>
  <si>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</si>
  <si>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</si>
  <si>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</si>
  <si>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</si>
  <si>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</si>
  <si>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</si>
  <si>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</si>
  <si>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</si>
  <si>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</si>
  <si>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</si>
  <si>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</si>
  <si>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</si>
  <si>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</si>
  <si>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</si>
  <si>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</si>
  <si>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</si>
  <si>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</si>
  <si>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</si>
  <si>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</si>
  <si>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</si>
  <si>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</si>
  <si>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</si>
  <si>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</si>
  <si>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</si>
  <si>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</si>
  <si>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</si>
  <si>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</si>
  <si>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</si>
  <si>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</si>
  <si>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</si>
  <si>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</si>
  <si>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</si>
  <si>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</si>
  <si>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</si>
  <si>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</si>
  <si>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</si>
  <si>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</si>
  <si>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</si>
  <si>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</si>
  <si>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</si>
  <si>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</si>
  <si>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</si>
  <si>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</si>
  <si>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</si>
  <si>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</si>
  <si>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</si>
  <si>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</si>
  <si>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</si>
  <si>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</si>
  <si>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</si>
  <si>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</si>
  <si>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</si>
  <si>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</si>
  <si>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</si>
  <si>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</si>
  <si>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</si>
  <si>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</si>
  <si>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</si>
  <si>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</si>
  <si>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</si>
  <si>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</si>
  <si>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</si>
  <si>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</si>
  <si>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</si>
  <si>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</si>
  <si>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</si>
  <si>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</si>
  <si>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</si>
  <si>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</si>
  <si>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</si>
  <si>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</si>
  <si>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</si>
  <si>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</si>
  <si>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</si>
  <si>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</si>
  <si>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</si>
  <si>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</si>
  <si>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</si>
  <si>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</si>
  <si>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</si>
  <si>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</si>
  <si>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</si>
  <si>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</si>
  <si>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</si>
  <si>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</si>
  <si>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</si>
  <si>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</si>
  <si>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</si>
  <si>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</si>
  <si>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</si>
  <si>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</si>
  <si>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</si>
  <si>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</si>
  <si>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</si>
  <si>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</si>
  <si>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</si>
  <si>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</si>
  <si>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</si>
  <si>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</si>
  <si>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</si>
  <si>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</si>
  <si>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</si>
  <si>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</si>
  <si>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</si>
  <si>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</si>
  <si>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</si>
  <si>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</si>
  <si>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</si>
  <si>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</si>
  <si>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</si>
  <si>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</si>
  <si>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</si>
  <si>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</si>
  <si>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</si>
  <si>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</si>
  <si>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</si>
  <si>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</si>
  <si>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</si>
  <si>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</si>
  <si>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</si>
  <si>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</si>
  <si>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</si>
  <si>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</si>
  <si>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</si>
  <si>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</si>
  <si>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</si>
  <si>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</si>
  <si>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</si>
  <si>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</si>
  <si>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</si>
  <si>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</si>
  <si>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</si>
  <si>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</si>
  <si>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</si>
  <si>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</si>
  <si>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</si>
  <si>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</si>
  <si>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</si>
  <si>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</si>
  <si>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</si>
  <si>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</si>
  <si>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</si>
  <si>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</si>
  <si>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</si>
  <si>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</si>
  <si>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</si>
  <si>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</si>
  <si>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</si>
  <si>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</si>
  <si>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</si>
  <si>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</si>
  <si>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</si>
  <si>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</si>
  <si>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</si>
  <si>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</si>
  <si>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</si>
  <si>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</si>
  <si>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</si>
  <si>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</si>
  <si>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</si>
  <si>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</si>
  <si>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</si>
  <si>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</si>
  <si>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</si>
  <si>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</si>
  <si>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</si>
  <si>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</si>
  <si>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</si>
  <si>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</si>
  <si>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</si>
  <si>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</si>
  <si>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</si>
  <si>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</si>
  <si>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</si>
  <si>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</si>
  <si>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</si>
  <si>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</si>
  <si>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</si>
  <si>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</si>
  <si>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</si>
  <si>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</si>
  <si>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</si>
  <si>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</si>
  <si>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</si>
  <si>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</si>
  <si>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</si>
  <si>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</si>
  <si>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</si>
  <si>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</si>
  <si>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</si>
  <si>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</si>
  <si>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</si>
  <si>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</si>
  <si>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</si>
  <si>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</si>
  <si>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</si>
  <si>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</si>
  <si>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</si>
  <si>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</si>
  <si>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</si>
  <si>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</si>
  <si>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</si>
  <si>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</si>
  <si>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</si>
  <si>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</si>
  <si>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</si>
  <si>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</si>
  <si>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</si>
  <si>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</si>
  <si>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</si>
  <si>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</si>
  <si>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</si>
  <si>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</si>
  <si>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</si>
  <si>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</si>
  <si>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</si>
  <si>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</si>
  <si>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</si>
  <si>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</si>
  <si>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</si>
  <si>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</si>
  <si>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</si>
  <si>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</si>
  <si>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</si>
  <si>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</si>
  <si>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</si>
  <si>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</si>
  <si>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</si>
  <si>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</si>
  <si>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</si>
  <si>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</si>
  <si>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</si>
  <si>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</si>
  <si>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</si>
  <si>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</si>
  <si>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</si>
  <si>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</si>
  <si>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</si>
  <si>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</si>
  <si>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</si>
  <si>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</si>
  <si>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</si>
  <si>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</si>
  <si>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</si>
  <si>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</si>
  <si>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</si>
  <si>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</si>
  <si>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</si>
  <si>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</si>
  <si>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</si>
  <si>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</si>
  <si>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</si>
  <si>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</si>
  <si>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</si>
  <si>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</si>
  <si>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</si>
  <si>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</si>
  <si>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</si>
  <si>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</si>
  <si>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</si>
  <si>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</si>
  <si>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</si>
  <si>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</si>
  <si>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</si>
  <si>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</si>
  <si>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</si>
  <si>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</si>
  <si>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</si>
  <si>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</si>
  <si>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</si>
  <si>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</si>
  <si>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</si>
  <si>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</si>
  <si>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</si>
  <si>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</si>
  <si>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</si>
  <si>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</si>
  <si>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</si>
  <si>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</si>
  <si>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</si>
  <si>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</si>
  <si>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</si>
  <si>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</si>
  <si>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</si>
  <si>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</si>
  <si>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</si>
  <si>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</si>
  <si>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</si>
  <si>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</si>
  <si>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</si>
  <si>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</si>
  <si>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</si>
  <si>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</si>
  <si>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</si>
  <si>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</si>
  <si>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</si>
  <si>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</si>
  <si>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</si>
  <si>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</si>
  <si>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</si>
  <si>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</si>
  <si>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</si>
  <si>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</si>
  <si>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</si>
  <si>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</si>
  <si>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</si>
  <si>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</si>
  <si>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</si>
  <si>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</si>
  <si>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</si>
  <si>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</si>
  <si>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</si>
  <si>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</si>
  <si>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</si>
  <si>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</si>
  <si>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</si>
  <si>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</si>
  <si>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</si>
  <si>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</si>
  <si>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</si>
  <si>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</si>
  <si>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</si>
  <si>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</si>
  <si>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</si>
  <si>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</si>
  <si>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</si>
  <si>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</si>
  <si>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</si>
  <si>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</si>
  <si>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</si>
  <si>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</si>
  <si>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</si>
  <si>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</si>
  <si>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</si>
  <si>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</si>
  <si>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</si>
  <si>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</si>
  <si>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</si>
  <si>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</si>
  <si>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</si>
  <si>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</si>
  <si>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</si>
  <si>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</si>
  <si>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</si>
  <si>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</si>
  <si>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</si>
  <si>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</si>
  <si>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</si>
  <si>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</si>
  <si>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</si>
  <si>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</si>
  <si>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</si>
  <si>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</si>
  <si>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</si>
  <si>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</si>
  <si>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</si>
  <si>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</si>
  <si>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</si>
  <si>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</si>
  <si>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</si>
  <si>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</si>
  <si>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</si>
  <si>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</si>
  <si>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</si>
  <si>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</si>
  <si>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</si>
  <si>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</si>
  <si>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</si>
  <si>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</si>
  <si>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</si>
  <si>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</si>
  <si>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</si>
  <si>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</si>
  <si>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</si>
  <si>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</si>
  <si>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</si>
  <si>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</si>
  <si>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</si>
  <si>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</si>
  <si>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</si>
  <si>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</si>
  <si>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</si>
  <si>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</si>
  <si>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</si>
  <si>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</si>
  <si>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</si>
  <si>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</si>
  <si>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</si>
  <si>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</si>
  <si>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</si>
  <si>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</si>
  <si>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</si>
  <si>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</si>
  <si>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</si>
  <si>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</si>
  <si>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</si>
  <si>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</si>
  <si>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</si>
  <si>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</si>
  <si>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</si>
  <si>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</si>
  <si>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</si>
  <si>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</si>
  <si>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</si>
  <si>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</si>
  <si>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</si>
  <si>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</si>
  <si>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</si>
  <si>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</si>
  <si>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</si>
  <si>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</si>
  <si>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</si>
  <si>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</si>
  <si>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</si>
  <si>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</si>
  <si>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</si>
  <si>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</si>
  <si>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</si>
  <si>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</si>
  <si>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</si>
  <si>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</si>
  <si>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</si>
  <si>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</si>
  <si>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</si>
  <si>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</si>
  <si>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</si>
  <si>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</si>
  <si>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</si>
  <si>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</si>
  <si>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</si>
  <si>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</si>
  <si>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</si>
  <si>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</si>
  <si>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</si>
  <si>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</si>
  <si>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</si>
  <si>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</si>
  <si>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</si>
  <si>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</si>
  <si>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</si>
  <si>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</si>
  <si>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</si>
  <si>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</si>
  <si>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</si>
  <si>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</si>
  <si>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</si>
  <si>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</si>
  <si>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</si>
  <si>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</si>
  <si>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</si>
  <si>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</si>
  <si>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</si>
  <si>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</si>
  <si>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</si>
  <si>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</si>
  <si>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</si>
  <si>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</si>
  <si>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</si>
  <si>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</si>
  <si>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</si>
  <si>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</si>
  <si>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</si>
  <si>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</si>
  <si>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</si>
  <si>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</si>
  <si>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</si>
  <si>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</si>
  <si>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</si>
  <si>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</si>
  <si>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</si>
  <si>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</si>
  <si>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</si>
  <si>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</si>
  <si>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</si>
  <si>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</si>
  <si>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</si>
  <si>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</si>
  <si>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</si>
  <si>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</si>
  <si>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</si>
  <si>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</si>
  <si>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</si>
  <si>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</si>
  <si>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</si>
  <si>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</si>
  <si>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</si>
  <si>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</si>
  <si>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</si>
  <si>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</si>
  <si>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</si>
  <si>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</si>
  <si>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</si>
  <si>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</si>
  <si>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</si>
  <si>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</si>
  <si>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</si>
  <si>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</si>
  <si>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</si>
  <si>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</si>
  <si>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</si>
  <si>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</si>
  <si>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</si>
  <si>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</si>
  <si>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</si>
  <si>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</si>
  <si>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</si>
  <si>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</si>
  <si>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</si>
  <si>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</si>
  <si>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</si>
  <si>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</si>
  <si>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</si>
  <si>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</si>
  <si>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</si>
  <si>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</si>
  <si>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</si>
  <si>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</si>
  <si>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</si>
  <si>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</si>
  <si>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</si>
  <si>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</si>
  <si>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</si>
  <si>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</si>
  <si>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</si>
  <si>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</si>
  <si>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</si>
  <si>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</si>
  <si>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</si>
  <si>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</si>
  <si>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</si>
  <si>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</si>
  <si>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</si>
  <si>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</si>
  <si>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</si>
  <si>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</si>
  <si>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</si>
  <si>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</si>
  <si>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</si>
  <si>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</si>
  <si>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</si>
  <si>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</si>
  <si>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</si>
  <si>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</si>
  <si>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</si>
  <si>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</si>
  <si>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</si>
  <si>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</si>
  <si>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</si>
  <si>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</si>
  <si>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</si>
  <si>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</si>
  <si>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</si>
  <si>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</si>
  <si>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</si>
  <si>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</si>
  <si>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</si>
  <si>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</si>
  <si>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</si>
  <si>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</si>
  <si>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</si>
  <si>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</si>
  <si>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</si>
  <si>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</si>
  <si>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</si>
  <si>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</si>
  <si>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</si>
  <si>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</si>
  <si>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</si>
  <si>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</si>
  <si>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</si>
  <si>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</si>
  <si>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</si>
  <si>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</si>
  <si>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</si>
  <si>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</si>
  <si>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</si>
  <si>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</si>
  <si>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</si>
  <si>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</si>
  <si>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</si>
  <si>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</si>
  <si>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</si>
  <si>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</si>
  <si>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</si>
  <si>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</si>
  <si>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</si>
  <si>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</si>
  <si>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</si>
  <si>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</si>
  <si>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</si>
  <si>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</si>
  <si>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</si>
  <si>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</si>
  <si>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</si>
  <si>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</si>
  <si>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</si>
  <si>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</si>
  <si>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</si>
  <si>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</si>
  <si>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</si>
  <si>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</si>
  <si>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</si>
  <si>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</si>
  <si>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</si>
  <si>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</si>
  <si>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</si>
  <si>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</si>
  <si>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</si>
  <si>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</si>
  <si>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</si>
  <si>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</si>
  <si>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</si>
  <si>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</si>
  <si>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</si>
  <si>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</si>
  <si>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</si>
  <si>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</si>
  <si>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</si>
  <si>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</si>
  <si>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</si>
  <si>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</si>
  <si>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</si>
  <si>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</si>
  <si>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</si>
  <si>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</si>
  <si>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</si>
  <si>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</si>
  <si>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</si>
  <si>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</si>
  <si>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</si>
  <si>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</si>
  <si>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</si>
  <si>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</si>
  <si>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</si>
  <si>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</si>
  <si>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</si>
  <si>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</si>
  <si>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</si>
  <si>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</si>
  <si>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</si>
  <si>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</si>
  <si>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</si>
  <si>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</si>
  <si>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</si>
  <si>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</si>
  <si>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</si>
  <si>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</si>
  <si>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</si>
  <si>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</si>
  <si>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</si>
  <si>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</si>
  <si>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</si>
  <si>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</si>
  <si>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</si>
  <si>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</si>
  <si>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</si>
  <si>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</si>
  <si>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</si>
  <si>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</si>
  <si>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</si>
  <si>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</si>
  <si>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</si>
  <si>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</si>
  <si>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</si>
  <si>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</si>
  <si>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</si>
  <si>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</si>
  <si>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</si>
  <si>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</si>
  <si>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</si>
  <si>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</si>
  <si>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</si>
  <si>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</si>
  <si>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</si>
  <si>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</si>
  <si>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</si>
  <si>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</si>
  <si>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</si>
  <si>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</si>
  <si>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</si>
  <si>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</si>
  <si>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</si>
  <si>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</si>
  <si>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</si>
  <si>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</si>
  <si>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</si>
  <si>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</si>
  <si>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</si>
  <si>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</si>
  <si>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</si>
  <si>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</si>
  <si>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</si>
  <si>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</si>
  <si>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</si>
  <si>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</si>
  <si>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</si>
  <si>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</si>
  <si>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</si>
  <si>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</si>
  <si>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</si>
  <si>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</si>
  <si>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</si>
  <si>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</si>
  <si>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</si>
  <si>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</si>
  <si>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</si>
  <si>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</si>
  <si>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</si>
  <si>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</si>
  <si>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</si>
  <si>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</si>
  <si>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</si>
  <si>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</si>
  <si>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</si>
  <si>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</si>
  <si>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</si>
  <si>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</si>
  <si>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</si>
  <si>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</si>
  <si>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</si>
  <si>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</si>
  <si>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</si>
  <si>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</si>
  <si>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</si>
  <si>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</si>
  <si>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</si>
  <si>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</si>
  <si>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</si>
  <si>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</si>
  <si>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</si>
  <si>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</si>
  <si>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</si>
  <si>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</si>
  <si>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</si>
  <si>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</si>
  <si>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</si>
  <si>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</si>
  <si>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</si>
  <si>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</si>
  <si>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</si>
  <si>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</si>
  <si>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</si>
  <si>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</si>
  <si>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</si>
  <si>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</si>
  <si>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</si>
  <si>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</si>
  <si>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</si>
  <si>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</si>
  <si>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</si>
  <si>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</si>
  <si>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</si>
  <si>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</si>
  <si>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</si>
  <si>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</si>
  <si>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</si>
  <si>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농협 3520106511413</t>
    <phoneticPr fontId="2" type="noConversion"/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</si>
  <si>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</si>
  <si>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</si>
  <si>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</si>
  <si>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</si>
  <si>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</si>
  <si>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</si>
  <si>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</si>
  <si>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</si>
  <si>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</si>
  <si>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</si>
  <si>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</si>
  <si>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</si>
  <si>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</si>
  <si>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</si>
  <si>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</si>
  <si>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</si>
  <si>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</si>
  <si>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</si>
  <si>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</si>
  <si>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</si>
  <si>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</si>
  <si>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</si>
  <si>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</si>
  <si>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</si>
  <si>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</si>
  <si>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</si>
  <si>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</si>
  <si>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</si>
  <si>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</si>
  <si>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</si>
  <si>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</si>
  <si>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</si>
  <si>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</si>
  <si>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</si>
  <si>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</si>
  <si>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</si>
  <si>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</si>
  <si>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</si>
  <si>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</si>
  <si>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</si>
  <si>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</si>
  <si>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</si>
  <si>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</si>
  <si>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</si>
  <si>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</si>
  <si>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</si>
  <si>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</si>
  <si>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</si>
  <si>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</si>
  <si>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</si>
  <si>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</si>
  <si>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</si>
  <si>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</si>
  <si>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</si>
  <si>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</si>
  <si>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</si>
  <si>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</si>
  <si>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2025-07-04</t>
  </si>
  <si>
    <t>스카이오토미션(천안)_250704_152752.xlsx</t>
  </si>
  <si>
    <t>대구오토(대구)_250704_152827.xlsx</t>
  </si>
  <si>
    <t>0D9_AQ</t>
  </si>
  <si>
    <t>Warranty 6 month_x000D_
Clone 필수_x000D_
Clone 후 Basic setting 하지마세요_x000D_
0D9 300 041 H_x000D_
퀵버스</t>
  </si>
  <si>
    <t>대명오토(서울서초)_250704_152938.xlsx</t>
  </si>
  <si>
    <t>P073E 후진기어 삽입안됨</t>
    <phoneticPr fontId="2" type="noConversion"/>
  </si>
  <si>
    <t>엠모터스(구미)_250704_153024.xlsx</t>
  </si>
  <si>
    <t>엠모터스(구미)_250704_153024.xlsx</t>
    <phoneticPr fontId="2" type="noConversion"/>
  </si>
  <si>
    <t>1,2100,00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</si>
</sst>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2483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2483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4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114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2405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2406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2433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2526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2526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2572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2573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2574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2575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2608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2527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2643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2650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2650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2527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2527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2699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2574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2711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2729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2748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2633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2633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2773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2789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2793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2793</v>
      </c>
    </row>
    <row r="106" spans="1:6">
      <c r="A106">
        <v>105</v>
      </c>
      <c r="B106" s="13">
        <v>45833</v>
      </c>
      <c r="C106" t="s">
        <v>2808</v>
      </c>
      <c r="D106" t="s">
        <v>2809</v>
      </c>
      <c r="E106">
        <v>24800</v>
      </c>
      <c r="F106" t="s">
        <v>2810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2851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2896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2911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2912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2211</v>
      </c>
      <c r="D114" t="s">
        <v>2086</v>
      </c>
      <c r="E114">
        <v>24000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2" sqref="C2:G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2897</v>
      </c>
      <c r="D2" s="309"/>
      <c r="E2" s="309"/>
      <c r="F2" s="309"/>
      <c r="G2" s="310"/>
      <c r="H2" s="308" t="s">
        <v>83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45842</v>
      </c>
      <c r="U2" s="314"/>
    </row>
    <row r="3" spans="1:21" ht="24.95" customHeight="1">
      <c r="A3" s="324" t="s">
        <v>1203</v>
      </c>
      <c r="B3" s="37" t="s">
        <v>65</v>
      </c>
      <c r="C3" s="327" t="s">
        <v>1184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24.95" customHeight="1">
      <c r="A5" s="325"/>
      <c r="B5" s="38" t="s">
        <v>10</v>
      </c>
      <c r="C5" s="315" t="s">
        <v>2771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24.95" customHeight="1">
      <c r="A6" s="326"/>
      <c r="B6" s="38" t="s">
        <v>81</v>
      </c>
      <c r="C6" s="315" t="s">
        <v>1865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36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.6" customHeight="1">
      <c r="A8" s="348" t="s">
        <v>1261</v>
      </c>
      <c r="B8" s="349"/>
      <c r="C8" s="349"/>
      <c r="D8" s="349"/>
      <c r="E8" s="350"/>
      <c r="F8" s="351" t="s">
        <v>1919</v>
      </c>
      <c r="G8" s="349"/>
      <c r="H8" s="349"/>
      <c r="I8" s="350"/>
      <c r="J8" s="357">
        <v>1200000</v>
      </c>
      <c r="K8" s="357"/>
      <c r="L8" s="357"/>
      <c r="M8" s="357"/>
      <c r="N8" s="357"/>
      <c r="O8" s="358">
        <v>1</v>
      </c>
      <c r="P8" s="358"/>
      <c r="Q8" s="352"/>
      <c r="R8" s="353"/>
      <c r="S8" s="354"/>
      <c r="T8" s="355">
        <v>1200000</v>
      </c>
      <c r="U8" s="356"/>
    </row>
    <row r="9" spans="1:21" ht="15.6" customHeight="1">
      <c r="A9" s="339"/>
      <c r="B9" s="340"/>
      <c r="C9" s="340"/>
      <c r="D9" s="340"/>
      <c r="E9" s="341"/>
      <c r="F9" s="342"/>
      <c r="G9" s="340"/>
      <c r="H9" s="340"/>
      <c r="I9" s="341"/>
      <c r="J9" s="359"/>
      <c r="K9" s="359"/>
      <c r="L9" s="359"/>
      <c r="M9" s="359"/>
      <c r="N9" s="359"/>
      <c r="O9" s="360"/>
      <c r="P9" s="360"/>
      <c r="Q9" s="343"/>
      <c r="R9" s="344"/>
      <c r="S9" s="345"/>
      <c r="T9" s="346"/>
      <c r="U9" s="347"/>
    </row>
    <row r="10" spans="1:21" ht="15.6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.6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.6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.6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.6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.6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2419</v>
      </c>
      <c r="B16" s="373"/>
      <c r="C16" s="373"/>
      <c r="D16" s="373"/>
      <c r="E16" s="374"/>
      <c r="F16" s="381" t="s">
        <v>2961</v>
      </c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 ht="20.100000000000001" customHeight="1">
      <c r="A20" s="319" t="s">
        <v>87</v>
      </c>
      <c r="B20" s="320"/>
      <c r="C20" s="320"/>
      <c r="D20" s="320"/>
      <c r="E20" s="320"/>
      <c r="F20" s="396">
        <v>0</v>
      </c>
      <c r="G20" s="396"/>
      <c r="H20" s="396"/>
      <c r="I20" s="397"/>
      <c r="J20" s="392">
        <f>SUM(J8:N19)</f>
        <v>1200000</v>
      </c>
      <c r="K20" s="393"/>
      <c r="L20" s="393"/>
      <c r="M20" s="393"/>
      <c r="N20" s="394"/>
      <c r="O20" s="430">
        <f>SUM(O8:P19)</f>
        <v>1</v>
      </c>
      <c r="P20" s="430"/>
      <c r="Q20" s="395">
        <f>SUM(Q8:S19)</f>
        <v>0</v>
      </c>
      <c r="R20" s="396"/>
      <c r="S20" s="397"/>
      <c r="T20" s="396">
        <f>SUM(T8:U15)</f>
        <v>1200000</v>
      </c>
      <c r="U20" s="398"/>
    </row>
    <row r="21" spans="1:21" ht="20.100000000000001" customHeight="1" thickBot="1">
      <c r="A21" s="420" t="s">
        <v>97</v>
      </c>
      <c r="B21" s="421"/>
      <c r="C21" s="421"/>
      <c r="D21" s="421"/>
      <c r="E21" s="421"/>
      <c r="F21" s="422">
        <f>F20+T20+Q20</f>
        <v>1200000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1"/>
      <c r="Q21" s="390" t="str">
        <f>C3</f>
        <v>엠모터스(구미)</v>
      </c>
      <c r="R21" s="390"/>
      <c r="S21" s="390"/>
      <c r="T21" s="390"/>
      <c r="U21" s="391"/>
    </row>
    <row r="22" spans="1:21" ht="20.100000000000001" customHeight="1">
      <c r="A22" s="431" t="s">
        <v>2963</v>
      </c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20.100000000000001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433">
        <f>S1</f>
        <v>0</v>
      </c>
      <c r="T24" s="433"/>
      <c r="U24" s="434"/>
    </row>
    <row r="25" spans="1:21">
      <c r="A25" s="306" t="s">
        <v>71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45842</v>
      </c>
      <c r="U25" s="314"/>
    </row>
    <row r="26" spans="1:21" ht="24.95" customHeight="1">
      <c r="A26" s="324" t="s">
        <v>1203</v>
      </c>
      <c r="B26" s="37" t="s">
        <v>65</v>
      </c>
      <c r="C26" s="327" t="str">
        <f>C3</f>
        <v>엠모터스(구미)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24.95" customHeight="1">
      <c r="A28" s="325"/>
      <c r="B28" s="38" t="s">
        <v>10</v>
      </c>
      <c r="C28" s="315" t="str">
        <f>C5</f>
        <v>경북구미시 고아읍 송평로1길 20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24.95" customHeight="1">
      <c r="A29" s="326"/>
      <c r="B29" s="38" t="s">
        <v>81</v>
      </c>
      <c r="C29" s="315" t="str">
        <f>C6</f>
        <v>010-5698-1136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경동(화물)</v>
      </c>
      <c r="U29" s="318"/>
    </row>
    <row r="30" spans="1:21" ht="15.6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.6" customHeight="1">
      <c r="A31" s="407" t="str">
        <f>A8</f>
        <v>VGSNAG3</v>
      </c>
      <c r="B31" s="408"/>
      <c r="C31" s="408"/>
      <c r="D31" s="408"/>
      <c r="E31" s="408"/>
      <c r="F31" s="408" t="str">
        <f>F8</f>
        <v>A7252709011-1</v>
      </c>
      <c r="G31" s="408"/>
      <c r="H31" s="408"/>
      <c r="I31" s="408"/>
      <c r="J31" s="412">
        <f>J8</f>
        <v>1200000</v>
      </c>
      <c r="K31" s="412"/>
      <c r="L31" s="412"/>
      <c r="M31" s="412"/>
      <c r="N31" s="412"/>
      <c r="O31" s="412">
        <f>O8</f>
        <v>1</v>
      </c>
      <c r="P31" s="412"/>
      <c r="Q31" s="409">
        <f>Q8</f>
        <v>0</v>
      </c>
      <c r="R31" s="409"/>
      <c r="S31" s="409"/>
      <c r="T31" s="410">
        <f>T8</f>
        <v>1200000</v>
      </c>
      <c r="U31" s="411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414">
        <f t="shared" si="0"/>
        <v>0</v>
      </c>
      <c r="B38" s="415"/>
      <c r="C38" s="415"/>
      <c r="D38" s="415"/>
      <c r="E38" s="415"/>
      <c r="F38" s="415">
        <f t="shared" si="1"/>
        <v>0</v>
      </c>
      <c r="G38" s="415"/>
      <c r="H38" s="415"/>
      <c r="I38" s="415"/>
      <c r="J38" s="419">
        <f t="shared" si="2"/>
        <v>0</v>
      </c>
      <c r="K38" s="419"/>
      <c r="L38" s="419"/>
      <c r="M38" s="419"/>
      <c r="N38" s="419"/>
      <c r="O38" s="419">
        <f t="shared" si="3"/>
        <v>0</v>
      </c>
      <c r="P38" s="419"/>
      <c r="Q38" s="416">
        <f t="shared" si="4"/>
        <v>0</v>
      </c>
      <c r="R38" s="416"/>
      <c r="S38" s="416"/>
      <c r="T38" s="417">
        <f t="shared" si="5"/>
        <v>0</v>
      </c>
      <c r="U38" s="418"/>
    </row>
    <row r="39" spans="1:21" ht="15" customHeight="1" thickTop="1">
      <c r="A39" s="372" t="s">
        <v>2419</v>
      </c>
      <c r="B39" s="373"/>
      <c r="C39" s="373"/>
      <c r="D39" s="373"/>
      <c r="E39" s="374"/>
      <c r="F39" s="381" t="str">
        <f>F16</f>
        <v>P073E 후진기어 삽입안됨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 ht="20.100000000000001" customHeight="1">
      <c r="A43" s="319" t="s">
        <v>87</v>
      </c>
      <c r="B43" s="320"/>
      <c r="C43" s="320"/>
      <c r="D43" s="320"/>
      <c r="E43" s="320"/>
      <c r="F43" s="396">
        <f>F20</f>
        <v>0</v>
      </c>
      <c r="G43" s="396"/>
      <c r="H43" s="396"/>
      <c r="I43" s="397"/>
      <c r="J43" s="392">
        <f>J20</f>
        <v>1200000</v>
      </c>
      <c r="K43" s="393"/>
      <c r="L43" s="393"/>
      <c r="M43" s="393"/>
      <c r="N43" s="394"/>
      <c r="O43" s="430">
        <f>O20</f>
        <v>1</v>
      </c>
      <c r="P43" s="430"/>
      <c r="Q43" s="395">
        <f>Q20</f>
        <v>0</v>
      </c>
      <c r="R43" s="396"/>
      <c r="S43" s="396"/>
      <c r="T43" s="396">
        <f>T20</f>
        <v>1200000</v>
      </c>
      <c r="U43" s="398"/>
    </row>
    <row r="44" spans="1:21" ht="20.100000000000001" customHeight="1" thickBot="1">
      <c r="A44" s="420" t="s">
        <v>97</v>
      </c>
      <c r="B44" s="421"/>
      <c r="C44" s="421"/>
      <c r="D44" s="421"/>
      <c r="E44" s="421"/>
      <c r="F44" s="422">
        <f>F21</f>
        <v>1200000</v>
      </c>
      <c r="G44" s="422"/>
      <c r="H44" s="422"/>
      <c r="I44" s="423"/>
      <c r="J44" s="424" t="s">
        <v>972</v>
      </c>
      <c r="K44" s="421"/>
      <c r="L44" s="425" t="str">
        <f>T27</f>
        <v>장효주</v>
      </c>
      <c r="M44" s="425"/>
      <c r="N44" s="425"/>
      <c r="O44" s="424" t="s">
        <v>70</v>
      </c>
      <c r="P44" s="426"/>
      <c r="Q44" s="427" t="str">
        <f>Q21</f>
        <v>엠모터스(구미)</v>
      </c>
      <c r="R44" s="428"/>
      <c r="S44" s="428"/>
      <c r="T44" s="428"/>
      <c r="U44" s="42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 ht="165">
      <c r="A2" s="47">
        <v>1</v>
      </c>
      <c r="B2" s="47" t="s">
        <v>2955</v>
      </c>
      <c r="C2" s="47" t="s">
        <v>1183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8"/>
      <c r="J2" s="238">
        <v>1200000</v>
      </c>
      <c r="K2" s="289" t="s">
        <v>2959</v>
      </c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37"/>
  <sheetViews>
    <sheetView workbookViewId="0">
      <pane xSplit="1" ySplit="1" topLeftCell="B806" activePane="bottomRight" state="frozen"/>
      <selection activeCell="N26" sqref="N26"/>
      <selection pane="topRight" activeCell="N26" sqref="N26"/>
      <selection pane="bottomLeft" activeCell="N26" sqref="N26"/>
      <selection pane="bottomRight" activeCell="L838" sqref="L838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840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2863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2655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2657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2657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2657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2657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2657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2657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2657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2443</v>
      </c>
      <c r="E353" s="284" t="s">
        <v>2444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2443</v>
      </c>
      <c r="D354" s="278" t="s">
        <v>2445</v>
      </c>
      <c r="E354" s="284" t="s">
        <v>2446</v>
      </c>
      <c r="F354" s="284" t="s">
        <v>2445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2408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2408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2657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2452</v>
      </c>
      <c r="D433" s="278" t="s">
        <v>2453</v>
      </c>
      <c r="E433" s="284" t="s">
        <v>2454</v>
      </c>
      <c r="F433" s="284" t="s">
        <v>2453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2368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2561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2657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2657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2391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2393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2393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2408</v>
      </c>
      <c r="D479" s="278" t="s">
        <v>1822</v>
      </c>
      <c r="E479" s="284" t="s">
        <v>2401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2408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2408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2418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2420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2422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2421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2421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2423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2377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2423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2401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2657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2460</v>
      </c>
      <c r="E514" s="284" t="s">
        <v>2461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2592</v>
      </c>
      <c r="E516" s="284" t="s">
        <v>2430</v>
      </c>
      <c r="F516" s="284" t="s">
        <v>2429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2440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2447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2458</v>
      </c>
      <c r="E525" s="284" t="s">
        <v>2459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2435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2470</v>
      </c>
      <c r="E532" s="284" t="s">
        <v>2471</v>
      </c>
      <c r="F532" s="284" t="s">
        <v>2472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2393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2393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2393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2503</v>
      </c>
      <c r="E544" s="284" t="s">
        <v>2504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2476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2491</v>
      </c>
      <c r="E546" s="284" t="s">
        <v>2487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2495</v>
      </c>
      <c r="E550" s="284" t="s">
        <v>2500</v>
      </c>
      <c r="F550" s="284" t="s">
        <v>2501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2502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2494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2506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2513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2514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2522</v>
      </c>
      <c r="E570" s="284" t="s">
        <v>2521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2546</v>
      </c>
      <c r="E572" s="284" t="s">
        <v>2547</v>
      </c>
      <c r="F572" s="284" t="s">
        <v>2548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2553</v>
      </c>
      <c r="E573" s="284" t="s">
        <v>2554</v>
      </c>
      <c r="F573" s="284" t="s">
        <v>2555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2553</v>
      </c>
      <c r="E574" s="284" t="s">
        <v>2556</v>
      </c>
      <c r="F574" s="284" t="s">
        <v>2557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2530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2531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2535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2558</v>
      </c>
      <c r="E583" s="284" t="s">
        <v>2559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2540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2542</v>
      </c>
      <c r="F585" s="284" t="s">
        <v>2541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2544</v>
      </c>
      <c r="F586" s="284" t="s">
        <v>2543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2527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2549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2550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2551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2552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2442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2478</v>
      </c>
      <c r="E599" s="284" t="s">
        <v>2577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2887</v>
      </c>
      <c r="E602" s="284" t="s">
        <v>2888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2581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2584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2421</v>
      </c>
      <c r="E608" s="284" t="s">
        <v>2588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2591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2594</v>
      </c>
      <c r="D612" s="278" t="s">
        <v>1254</v>
      </c>
      <c r="E612" s="284" t="s">
        <v>2595</v>
      </c>
      <c r="F612" s="284" t="s">
        <v>2596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2606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2597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2478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2597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2421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2614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2614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2606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2617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2627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2627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2848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2631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2401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2627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2617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2644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2860</v>
      </c>
      <c r="E653" s="284" t="s">
        <v>2862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2689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2691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2692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2692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2860</v>
      </c>
      <c r="E668" s="284" t="s">
        <v>2861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2702</v>
      </c>
      <c r="F669" s="284" t="s">
        <v>2701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2337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2964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2393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2393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2432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2692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2692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2806</v>
      </c>
      <c r="E688" s="284" t="s">
        <v>2807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2527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2725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2207</v>
      </c>
      <c r="F692" s="284" t="s">
        <v>2720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2727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2751</v>
      </c>
      <c r="E696" s="284" t="s">
        <v>2752</v>
      </c>
      <c r="F696" s="284" t="s">
        <v>2753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2751</v>
      </c>
      <c r="E697" s="284" t="s">
        <v>2754</v>
      </c>
      <c r="F697" s="284" t="s">
        <v>2755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2527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2824</v>
      </c>
      <c r="E702" s="284" t="s">
        <v>2825</v>
      </c>
      <c r="F702" s="284" t="s">
        <v>2826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2824</v>
      </c>
      <c r="E703" s="284" t="s">
        <v>2827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2740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2740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2749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2735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2831</v>
      </c>
      <c r="E716" s="284" t="s">
        <v>2832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2759</v>
      </c>
      <c r="F717" s="284" t="s">
        <v>2758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2740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2761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2761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2768</v>
      </c>
      <c r="E722" s="284" t="s">
        <v>2767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2802</v>
      </c>
      <c r="E723" s="284" t="s">
        <v>2803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2770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2774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2828</v>
      </c>
      <c r="E729" s="284" t="s">
        <v>2825</v>
      </c>
      <c r="F729" s="284" t="s">
        <v>2826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2828</v>
      </c>
      <c r="E730" s="284" t="s">
        <v>2829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2777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2800</v>
      </c>
      <c r="E738" s="284" t="s">
        <v>2801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2789</v>
      </c>
      <c r="E739" s="284" t="s">
        <v>2401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2789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2777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2819</v>
      </c>
      <c r="E745" s="284" t="s">
        <v>2820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2813</v>
      </c>
      <c r="E746" s="284" t="s">
        <v>2814</v>
      </c>
      <c r="F746" s="284" t="s">
        <v>2815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2816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2822</v>
      </c>
      <c r="E752" s="284" t="s">
        <v>2823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2830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2633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2606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2391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2840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2857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2393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2768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2884</v>
      </c>
      <c r="E773" s="284" t="s">
        <v>2885</v>
      </c>
      <c r="F773" s="284" t="s">
        <v>2886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2874</v>
      </c>
      <c r="F774" s="284" t="s">
        <v>2873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2880</v>
      </c>
      <c r="E775" s="284" t="s">
        <v>2881</v>
      </c>
      <c r="F775" s="284" t="s">
        <v>2882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2865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2393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2890</v>
      </c>
      <c r="E789" s="284" t="s">
        <v>2891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2889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2893</v>
      </c>
      <c r="E792" s="284" t="s">
        <v>2892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2899</v>
      </c>
      <c r="E796" s="284" t="s">
        <v>2901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2902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2903</v>
      </c>
      <c r="E799" s="284" t="s">
        <v>2447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2909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2903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2913</v>
      </c>
      <c r="E804" s="284" t="s">
        <v>2401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2915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2915</v>
      </c>
      <c r="E806" s="284" t="s">
        <v>2920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2277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2278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2279</v>
      </c>
      <c r="F811" s="284" t="s">
        <v>2316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2280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2195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2277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2278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2893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2936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2839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2362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2943</v>
      </c>
      <c r="E820" s="284" t="s">
        <v>2944</v>
      </c>
      <c r="F820" s="284" t="s">
        <v>2945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2936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2362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2947</v>
      </c>
      <c r="E824" s="284" t="s">
        <v>2948</v>
      </c>
      <c r="F824" s="284" t="s">
        <v>2949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2947</v>
      </c>
      <c r="E825" s="284" t="s">
        <v>2950</v>
      </c>
      <c r="F825" s="284" t="s">
        <v>2951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2954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2902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2958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2913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45842</v>
      </c>
      <c r="B3" s="247" t="s">
        <v>1162</v>
      </c>
      <c r="C3" s="248">
        <f>SUMIF($B:$B,A3,I:I)</f>
        <v>5570000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20387000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20387000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2893</v>
      </c>
      <c r="D11" s="124" t="s">
        <v>2892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2900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2902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2903</v>
      </c>
      <c r="D18" s="124" t="s">
        <v>2447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2929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2903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2913</v>
      </c>
      <c r="D23" s="124" t="s">
        <v>2401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2915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2915</v>
      </c>
      <c r="D25" s="124" t="s">
        <v>2920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2278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2279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2280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2195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2277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2278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2893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2936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2362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2936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2362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2954</v>
      </c>
      <c r="D43" s="124" t="s">
        <v>2277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2954</v>
      </c>
      <c r="D44" s="124" t="s">
        <v>2278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2954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2902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2958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2913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838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839</v>
      </c>
      <c r="B56" s="102">
        <v>45842</v>
      </c>
      <c r="C56" s="91" t="s">
        <v>1790</v>
      </c>
      <c r="D56" s="125" t="s">
        <v>1161</v>
      </c>
      <c r="J56" s="88">
        <v>-11870000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2424</v>
      </c>
      <c r="C1" s="447" t="s">
        <v>2658</v>
      </c>
      <c r="D1" s="444" t="s">
        <v>2687</v>
      </c>
      <c r="E1" s="444" t="s">
        <v>40</v>
      </c>
      <c r="F1" s="444" t="s">
        <v>2869</v>
      </c>
      <c r="G1" s="444"/>
      <c r="H1" s="444" t="s">
        <v>2870</v>
      </c>
      <c r="I1" s="444"/>
      <c r="J1" s="444" t="s">
        <v>2871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2659</v>
      </c>
      <c r="G2" s="298" t="s">
        <v>2660</v>
      </c>
      <c r="H2" s="298" t="s">
        <v>2661</v>
      </c>
      <c r="I2" s="298" t="s">
        <v>2662</v>
      </c>
      <c r="J2" s="298" t="s">
        <v>2661</v>
      </c>
      <c r="K2" s="298" t="s">
        <v>2662</v>
      </c>
      <c r="L2" s="298"/>
    </row>
    <row r="3" spans="1:15" ht="18" customHeight="1">
      <c r="A3" s="288">
        <v>1</v>
      </c>
      <c r="B3" s="293">
        <v>45659</v>
      </c>
      <c r="C3" s="294" t="s">
        <v>2663</v>
      </c>
      <c r="D3" s="294" t="s">
        <v>2664</v>
      </c>
      <c r="E3" s="294" t="s">
        <v>2665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2666</v>
      </c>
      <c r="D4" s="264" t="s">
        <v>2667</v>
      </c>
      <c r="E4" s="264" t="s">
        <v>2665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2663</v>
      </c>
      <c r="D5" s="264" t="s">
        <v>2664</v>
      </c>
      <c r="E5" s="264" t="s">
        <v>2665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2663</v>
      </c>
      <c r="D6" s="264" t="s">
        <v>2664</v>
      </c>
      <c r="E6" s="264" t="s">
        <v>2665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2663</v>
      </c>
      <c r="D7" s="264" t="s">
        <v>2664</v>
      </c>
      <c r="E7" s="264" t="s">
        <v>2668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2669</v>
      </c>
      <c r="D8" s="264" t="s">
        <v>2670</v>
      </c>
      <c r="E8" s="264" t="s">
        <v>2665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2671</v>
      </c>
      <c r="D9" s="264" t="s">
        <v>2672</v>
      </c>
      <c r="E9" s="264" t="s">
        <v>2665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2673</v>
      </c>
      <c r="D10" s="264" t="s">
        <v>2664</v>
      </c>
      <c r="E10" s="264" t="s">
        <v>2668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2674</v>
      </c>
      <c r="D11" s="264" t="s">
        <v>2664</v>
      </c>
      <c r="E11" s="264" t="s">
        <v>2668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2663</v>
      </c>
      <c r="D12" s="264" t="s">
        <v>2664</v>
      </c>
      <c r="E12" s="264" t="s">
        <v>2665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2663</v>
      </c>
      <c r="D13" s="264" t="s">
        <v>2664</v>
      </c>
      <c r="E13" s="264" t="s">
        <v>2665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2666</v>
      </c>
      <c r="D14" s="264" t="s">
        <v>2667</v>
      </c>
      <c r="E14" s="264" t="s">
        <v>2668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2663</v>
      </c>
      <c r="D15" s="264" t="s">
        <v>2664</v>
      </c>
      <c r="E15" s="264" t="s">
        <v>2668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2675</v>
      </c>
      <c r="D16" s="264" t="s">
        <v>2676</v>
      </c>
      <c r="E16" s="264" t="s">
        <v>2668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2663</v>
      </c>
      <c r="D17" s="264" t="s">
        <v>2664</v>
      </c>
      <c r="E17" s="264" t="s">
        <v>2668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2674</v>
      </c>
      <c r="D18" s="264" t="s">
        <v>2664</v>
      </c>
      <c r="E18" s="264" t="s">
        <v>2665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2677</v>
      </c>
      <c r="D19" s="264" t="s">
        <v>2678</v>
      </c>
      <c r="E19" s="264" t="s">
        <v>2668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2673</v>
      </c>
      <c r="D20" s="264" t="s">
        <v>2664</v>
      </c>
      <c r="E20" s="264" t="s">
        <v>2668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2679</v>
      </c>
      <c r="D21" s="264" t="s">
        <v>2676</v>
      </c>
      <c r="E21" s="264" t="s">
        <v>2668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2680</v>
      </c>
      <c r="D22" s="264" t="s">
        <v>2681</v>
      </c>
      <c r="E22" s="264" t="s">
        <v>2668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2682</v>
      </c>
      <c r="D23" s="264" t="s">
        <v>2683</v>
      </c>
      <c r="E23" s="264" t="s">
        <v>2668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2666</v>
      </c>
      <c r="D24" s="264" t="s">
        <v>2667</v>
      </c>
      <c r="E24" s="264" t="s">
        <v>2668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2663</v>
      </c>
      <c r="D25" s="264" t="s">
        <v>2664</v>
      </c>
      <c r="E25" s="264" t="s">
        <v>2668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2663</v>
      </c>
      <c r="D26" s="264" t="s">
        <v>2684</v>
      </c>
      <c r="E26" s="264" t="s">
        <v>2668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2685</v>
      </c>
      <c r="D27" s="264" t="s">
        <v>2664</v>
      </c>
      <c r="E27" s="264" t="s">
        <v>2668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2663</v>
      </c>
      <c r="D28" s="264" t="s">
        <v>2664</v>
      </c>
      <c r="E28" s="264" t="s">
        <v>2668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2663</v>
      </c>
      <c r="D29" s="264" t="s">
        <v>2664</v>
      </c>
      <c r="E29" s="264" t="s">
        <v>2668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2673</v>
      </c>
      <c r="D30" s="264" t="s">
        <v>2664</v>
      </c>
      <c r="E30" s="264" t="s">
        <v>2668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2677</v>
      </c>
      <c r="D31" s="264" t="s">
        <v>2678</v>
      </c>
      <c r="E31" s="264" t="s">
        <v>2668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2675</v>
      </c>
      <c r="D32" s="264" t="s">
        <v>2676</v>
      </c>
      <c r="E32" s="264" t="s">
        <v>2668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2674</v>
      </c>
      <c r="D33" s="264" t="s">
        <v>2664</v>
      </c>
      <c r="E33" s="264" t="s">
        <v>2668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2679</v>
      </c>
      <c r="D34" s="264" t="s">
        <v>2676</v>
      </c>
      <c r="E34" s="264" t="s">
        <v>2668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2666</v>
      </c>
      <c r="D35" s="264" t="s">
        <v>2667</v>
      </c>
      <c r="E35" s="264" t="s">
        <v>2668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2663</v>
      </c>
      <c r="D36" s="264" t="s">
        <v>2664</v>
      </c>
      <c r="E36" s="264" t="s">
        <v>2668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2666</v>
      </c>
      <c r="D37" s="264" t="s">
        <v>2667</v>
      </c>
      <c r="E37" s="264" t="s">
        <v>2668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2682</v>
      </c>
      <c r="D38" s="264" t="s">
        <v>2683</v>
      </c>
      <c r="E38" s="264" t="s">
        <v>2668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2663</v>
      </c>
      <c r="D39" s="264" t="s">
        <v>2664</v>
      </c>
      <c r="E39" s="264" t="s">
        <v>2668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2666</v>
      </c>
      <c r="D40" s="264" t="s">
        <v>2667</v>
      </c>
      <c r="E40" s="264" t="s">
        <v>2668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2680</v>
      </c>
      <c r="D41" s="264" t="s">
        <v>2681</v>
      </c>
      <c r="E41" s="264" t="s">
        <v>2668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2682</v>
      </c>
      <c r="D42" s="264" t="s">
        <v>2683</v>
      </c>
      <c r="E42" s="264" t="s">
        <v>2668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2663</v>
      </c>
      <c r="D43" s="264" t="s">
        <v>2664</v>
      </c>
      <c r="E43" s="264" t="s">
        <v>2668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2673</v>
      </c>
      <c r="D44" s="264" t="s">
        <v>2664</v>
      </c>
      <c r="E44" s="264" t="s">
        <v>2668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2679</v>
      </c>
      <c r="D45" s="264" t="s">
        <v>2676</v>
      </c>
      <c r="E45" s="264" t="s">
        <v>2668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2674</v>
      </c>
      <c r="D46" s="264" t="s">
        <v>2664</v>
      </c>
      <c r="E46" s="264" t="s">
        <v>2668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2675</v>
      </c>
      <c r="D47" s="264" t="s">
        <v>2676</v>
      </c>
      <c r="E47" s="264" t="s">
        <v>2668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2668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2668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2668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2668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2668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2668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2668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2668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2668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2668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2668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2668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2668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2668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2668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2668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2668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2668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2668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2668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2668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2668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2668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2668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2668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2668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2668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2668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2668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2668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2668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2668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2668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2668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2668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2668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2668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2668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2668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2668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2668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2668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2665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2668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2668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2668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2668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2668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2668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2668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2668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2668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2668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2668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2668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2668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2668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2668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2668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2668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2668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2668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2668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2668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2668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2668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2668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2668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2668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2668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2668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2668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2668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2668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2668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2668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2668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2668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2668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2668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2668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2668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2668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2668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2668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2668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2668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2668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2686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2687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2688</v>
      </c>
      <c r="K8" s="84" t="s">
        <v>1676</v>
      </c>
      <c r="L8" s="84" t="s">
        <v>2688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82" t="s">
        <v>1587</v>
      </c>
      <c r="D3" s="483"/>
      <c r="E3" s="483"/>
      <c r="F3" s="483"/>
      <c r="G3" s="483"/>
      <c r="H3" s="483"/>
      <c r="I3" s="483"/>
      <c r="J3" s="484"/>
      <c r="K3" s="330" t="s">
        <v>1204</v>
      </c>
      <c r="L3" s="37" t="s">
        <v>65</v>
      </c>
      <c r="M3" s="479" t="s">
        <v>971</v>
      </c>
      <c r="N3" s="480"/>
      <c r="O3" s="480"/>
      <c r="P3" s="480"/>
      <c r="Q3" s="480"/>
      <c r="R3" s="480"/>
      <c r="S3" s="480"/>
      <c r="T3" s="480"/>
      <c r="U3" s="481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5" t="s">
        <v>79</v>
      </c>
      <c r="U4" s="486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7" t="s">
        <v>1167</v>
      </c>
      <c r="B8" s="488"/>
      <c r="C8" s="488"/>
      <c r="D8" s="488"/>
      <c r="E8" s="489"/>
      <c r="F8" s="490"/>
      <c r="G8" s="488"/>
      <c r="H8" s="488"/>
      <c r="I8" s="489"/>
      <c r="J8" s="351">
        <v>1</v>
      </c>
      <c r="K8" s="350"/>
      <c r="L8" s="469">
        <v>1000000</v>
      </c>
      <c r="M8" s="470"/>
      <c r="N8" s="470"/>
      <c r="O8" s="470"/>
      <c r="P8" s="471"/>
      <c r="Q8" s="469">
        <v>1000000</v>
      </c>
      <c r="R8" s="470"/>
      <c r="S8" s="471"/>
      <c r="T8" s="355"/>
      <c r="U8" s="356"/>
    </row>
    <row r="9" spans="1:21" ht="15" customHeight="1">
      <c r="A9" s="472"/>
      <c r="B9" s="473"/>
      <c r="C9" s="473"/>
      <c r="D9" s="473"/>
      <c r="E9" s="474"/>
      <c r="F9" s="475"/>
      <c r="G9" s="473"/>
      <c r="H9" s="473"/>
      <c r="I9" s="474"/>
      <c r="J9" s="342"/>
      <c r="K9" s="341"/>
      <c r="L9" s="476"/>
      <c r="M9" s="477"/>
      <c r="N9" s="477"/>
      <c r="O9" s="477"/>
      <c r="P9" s="478"/>
      <c r="Q9" s="476"/>
      <c r="R9" s="477"/>
      <c r="S9" s="478"/>
      <c r="T9" s="346"/>
      <c r="U9" s="347"/>
    </row>
    <row r="10" spans="1:21" ht="15" customHeight="1">
      <c r="A10" s="472"/>
      <c r="B10" s="473"/>
      <c r="C10" s="473"/>
      <c r="D10" s="473"/>
      <c r="E10" s="474"/>
      <c r="F10" s="475"/>
      <c r="G10" s="473"/>
      <c r="H10" s="473"/>
      <c r="I10" s="474"/>
      <c r="J10" s="342"/>
      <c r="K10" s="341"/>
      <c r="L10" s="476"/>
      <c r="M10" s="477"/>
      <c r="N10" s="477"/>
      <c r="O10" s="477"/>
      <c r="P10" s="478"/>
      <c r="Q10" s="476"/>
      <c r="R10" s="477"/>
      <c r="S10" s="478"/>
      <c r="T10" s="346"/>
      <c r="U10" s="347"/>
    </row>
    <row r="11" spans="1:21" ht="15" customHeight="1">
      <c r="A11" s="472"/>
      <c r="B11" s="473"/>
      <c r="C11" s="473"/>
      <c r="D11" s="473"/>
      <c r="E11" s="474"/>
      <c r="F11" s="475"/>
      <c r="G11" s="473"/>
      <c r="H11" s="473"/>
      <c r="I11" s="474"/>
      <c r="J11" s="342"/>
      <c r="K11" s="341"/>
      <c r="L11" s="476"/>
      <c r="M11" s="477"/>
      <c r="N11" s="477"/>
      <c r="O11" s="477"/>
      <c r="P11" s="478"/>
      <c r="Q11" s="476"/>
      <c r="R11" s="477"/>
      <c r="S11" s="478"/>
      <c r="T11" s="346"/>
      <c r="U11" s="347"/>
    </row>
    <row r="12" spans="1:21" ht="15" customHeight="1">
      <c r="A12" s="472"/>
      <c r="B12" s="473"/>
      <c r="C12" s="473"/>
      <c r="D12" s="473"/>
      <c r="E12" s="474"/>
      <c r="F12" s="475"/>
      <c r="G12" s="473"/>
      <c r="H12" s="473"/>
      <c r="I12" s="474"/>
      <c r="J12" s="342"/>
      <c r="K12" s="341"/>
      <c r="L12" s="476"/>
      <c r="M12" s="477"/>
      <c r="N12" s="477"/>
      <c r="O12" s="477"/>
      <c r="P12" s="478"/>
      <c r="Q12" s="476"/>
      <c r="R12" s="477"/>
      <c r="S12" s="478"/>
      <c r="T12" s="346"/>
      <c r="U12" s="347"/>
    </row>
    <row r="13" spans="1:21" ht="15" customHeight="1">
      <c r="A13" s="472"/>
      <c r="B13" s="473"/>
      <c r="C13" s="473"/>
      <c r="D13" s="473"/>
      <c r="E13" s="474"/>
      <c r="F13" s="491"/>
      <c r="G13" s="492"/>
      <c r="H13" s="492"/>
      <c r="I13" s="493"/>
      <c r="J13" s="342"/>
      <c r="K13" s="341"/>
      <c r="L13" s="476"/>
      <c r="M13" s="477"/>
      <c r="N13" s="477"/>
      <c r="O13" s="477"/>
      <c r="P13" s="478"/>
      <c r="Q13" s="476"/>
      <c r="R13" s="477"/>
      <c r="S13" s="478"/>
      <c r="T13" s="346"/>
      <c r="U13" s="347"/>
    </row>
    <row r="14" spans="1:21" ht="15" customHeight="1">
      <c r="A14" s="472"/>
      <c r="B14" s="473"/>
      <c r="C14" s="473"/>
      <c r="D14" s="473"/>
      <c r="E14" s="474"/>
      <c r="F14" s="475"/>
      <c r="G14" s="473"/>
      <c r="H14" s="473"/>
      <c r="I14" s="474"/>
      <c r="J14" s="342"/>
      <c r="K14" s="341"/>
      <c r="L14" s="476"/>
      <c r="M14" s="477"/>
      <c r="N14" s="477"/>
      <c r="O14" s="477"/>
      <c r="P14" s="478"/>
      <c r="Q14" s="476"/>
      <c r="R14" s="477"/>
      <c r="S14" s="478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4"/>
      <c r="M15" s="495"/>
      <c r="N15" s="495"/>
      <c r="O15" s="495"/>
      <c r="P15" s="496"/>
      <c r="Q15" s="494"/>
      <c r="R15" s="495"/>
      <c r="S15" s="496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4"/>
      <c r="M16" s="495"/>
      <c r="N16" s="495"/>
      <c r="O16" s="495"/>
      <c r="P16" s="496"/>
      <c r="Q16" s="494"/>
      <c r="R16" s="495"/>
      <c r="S16" s="49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4"/>
      <c r="M17" s="495"/>
      <c r="N17" s="495"/>
      <c r="O17" s="495"/>
      <c r="P17" s="496"/>
      <c r="Q17" s="494"/>
      <c r="R17" s="495"/>
      <c r="S17" s="496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4"/>
      <c r="M18" s="495"/>
      <c r="N18" s="495"/>
      <c r="O18" s="495"/>
      <c r="P18" s="496"/>
      <c r="Q18" s="494"/>
      <c r="R18" s="495"/>
      <c r="S18" s="496"/>
      <c r="T18" s="346"/>
      <c r="U18" s="347"/>
    </row>
    <row r="19" spans="1:21" ht="15" customHeight="1">
      <c r="A19" s="517"/>
      <c r="B19" s="518"/>
      <c r="C19" s="518"/>
      <c r="D19" s="518"/>
      <c r="E19" s="514"/>
      <c r="F19" s="513"/>
      <c r="G19" s="518"/>
      <c r="H19" s="518"/>
      <c r="I19" s="514"/>
      <c r="J19" s="513"/>
      <c r="K19" s="514"/>
      <c r="L19" s="465"/>
      <c r="M19" s="466"/>
      <c r="N19" s="466"/>
      <c r="O19" s="466"/>
      <c r="P19" s="467"/>
      <c r="Q19" s="465"/>
      <c r="R19" s="466"/>
      <c r="S19" s="467"/>
      <c r="T19" s="515"/>
      <c r="U19" s="516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8">
        <f>SUM(J8:K19)</f>
        <v>1</v>
      </c>
      <c r="K20" s="468"/>
      <c r="L20" s="451" t="s">
        <v>966</v>
      </c>
      <c r="M20" s="452"/>
      <c r="N20" s="452"/>
      <c r="O20" s="452"/>
      <c r="P20" s="453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20" t="s">
        <v>97</v>
      </c>
      <c r="B21" s="421"/>
      <c r="C21" s="421"/>
      <c r="D21" s="421"/>
      <c r="E21" s="421"/>
      <c r="F21" s="422">
        <f>F20+Q20</f>
        <v>3450000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6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510" t="s">
        <v>77</v>
      </c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2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500" t="str">
        <f>C3</f>
        <v>제이오토(대구)</v>
      </c>
      <c r="D26" s="501"/>
      <c r="E26" s="501"/>
      <c r="F26" s="501"/>
      <c r="G26" s="501"/>
      <c r="H26" s="501"/>
      <c r="I26" s="501"/>
      <c r="J26" s="502"/>
      <c r="K26" s="330" t="s">
        <v>1204</v>
      </c>
      <c r="L26" s="37" t="s">
        <v>65</v>
      </c>
      <c r="M26" s="479" t="str">
        <f>M3</f>
        <v>BTS&amp;P</v>
      </c>
      <c r="N26" s="480"/>
      <c r="O26" s="480"/>
      <c r="P26" s="480"/>
      <c r="Q26" s="480"/>
      <c r="R26" s="480"/>
      <c r="S26" s="480"/>
      <c r="T26" s="480"/>
      <c r="U26" s="481"/>
    </row>
    <row r="27" spans="1:21" ht="24.95" customHeight="1">
      <c r="A27" s="325"/>
      <c r="B27" s="37" t="s">
        <v>67</v>
      </c>
      <c r="C27" s="462">
        <f>C4</f>
        <v>0</v>
      </c>
      <c r="D27" s="463"/>
      <c r="E27" s="463"/>
      <c r="F27" s="463"/>
      <c r="G27" s="463"/>
      <c r="H27" s="463"/>
      <c r="I27" s="463"/>
      <c r="J27" s="464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5" t="str">
        <f>T4</f>
        <v>장효주</v>
      </c>
      <c r="U27" s="486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5" t="str">
        <f>A8</f>
        <v>8HP70 VALBEBODY</v>
      </c>
      <c r="B31" s="503"/>
      <c r="C31" s="503"/>
      <c r="D31" s="503"/>
      <c r="E31" s="503"/>
      <c r="F31" s="503">
        <f>F8</f>
        <v>0</v>
      </c>
      <c r="G31" s="503"/>
      <c r="H31" s="503"/>
      <c r="I31" s="503"/>
      <c r="J31" s="503">
        <f>J8</f>
        <v>1</v>
      </c>
      <c r="K31" s="503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503">
        <f>T8</f>
        <v>0</v>
      </c>
      <c r="U31" s="504"/>
    </row>
    <row r="32" spans="1:21" ht="15" customHeight="1">
      <c r="A32" s="499">
        <f t="shared" ref="A32:A42" si="0">A9</f>
        <v>0</v>
      </c>
      <c r="B32" s="497"/>
      <c r="C32" s="497"/>
      <c r="D32" s="497"/>
      <c r="E32" s="497"/>
      <c r="F32" s="497">
        <f t="shared" ref="F32:F42" si="1">F9</f>
        <v>0</v>
      </c>
      <c r="G32" s="497"/>
      <c r="H32" s="497"/>
      <c r="I32" s="497"/>
      <c r="J32" s="497">
        <f t="shared" ref="J32:J42" si="2">J9</f>
        <v>0</v>
      </c>
      <c r="K32" s="497"/>
      <c r="L32" s="461">
        <f t="shared" ref="L32:L42" si="3">L9</f>
        <v>0</v>
      </c>
      <c r="M32" s="461"/>
      <c r="N32" s="461"/>
      <c r="O32" s="461"/>
      <c r="P32" s="461"/>
      <c r="Q32" s="461">
        <f t="shared" ref="Q32:Q42" si="4">Q9</f>
        <v>0</v>
      </c>
      <c r="R32" s="461"/>
      <c r="S32" s="461"/>
      <c r="T32" s="497">
        <f t="shared" ref="T32:T42" si="5">T9</f>
        <v>0</v>
      </c>
      <c r="U32" s="498"/>
    </row>
    <row r="33" spans="1:21" ht="15" customHeight="1">
      <c r="A33" s="499">
        <f t="shared" si="0"/>
        <v>0</v>
      </c>
      <c r="B33" s="497"/>
      <c r="C33" s="497"/>
      <c r="D33" s="497"/>
      <c r="E33" s="497"/>
      <c r="F33" s="497">
        <f t="shared" si="1"/>
        <v>0</v>
      </c>
      <c r="G33" s="497"/>
      <c r="H33" s="497"/>
      <c r="I33" s="497"/>
      <c r="J33" s="497">
        <f t="shared" si="2"/>
        <v>0</v>
      </c>
      <c r="K33" s="497"/>
      <c r="L33" s="461">
        <f t="shared" si="3"/>
        <v>0</v>
      </c>
      <c r="M33" s="461"/>
      <c r="N33" s="461"/>
      <c r="O33" s="461"/>
      <c r="P33" s="461"/>
      <c r="Q33" s="461">
        <f t="shared" si="4"/>
        <v>0</v>
      </c>
      <c r="R33" s="461"/>
      <c r="S33" s="461"/>
      <c r="T33" s="497">
        <f t="shared" si="5"/>
        <v>0</v>
      </c>
      <c r="U33" s="498"/>
    </row>
    <row r="34" spans="1:21" ht="15" customHeight="1">
      <c r="A34" s="499">
        <f t="shared" si="0"/>
        <v>0</v>
      </c>
      <c r="B34" s="497"/>
      <c r="C34" s="497"/>
      <c r="D34" s="497"/>
      <c r="E34" s="497"/>
      <c r="F34" s="497">
        <f t="shared" si="1"/>
        <v>0</v>
      </c>
      <c r="G34" s="497"/>
      <c r="H34" s="497"/>
      <c r="I34" s="497"/>
      <c r="J34" s="497">
        <v>1</v>
      </c>
      <c r="K34" s="497"/>
      <c r="L34" s="461">
        <f t="shared" si="3"/>
        <v>0</v>
      </c>
      <c r="M34" s="461"/>
      <c r="N34" s="461"/>
      <c r="O34" s="461"/>
      <c r="P34" s="461"/>
      <c r="Q34" s="461">
        <f t="shared" si="4"/>
        <v>0</v>
      </c>
      <c r="R34" s="461"/>
      <c r="S34" s="461"/>
      <c r="T34" s="497">
        <f t="shared" si="5"/>
        <v>0</v>
      </c>
      <c r="U34" s="498"/>
    </row>
    <row r="35" spans="1:21" ht="15" customHeight="1">
      <c r="A35" s="499">
        <f t="shared" si="0"/>
        <v>0</v>
      </c>
      <c r="B35" s="497"/>
      <c r="C35" s="497"/>
      <c r="D35" s="497"/>
      <c r="E35" s="497"/>
      <c r="F35" s="497">
        <f t="shared" si="1"/>
        <v>0</v>
      </c>
      <c r="G35" s="497"/>
      <c r="H35" s="497"/>
      <c r="I35" s="497"/>
      <c r="J35" s="497">
        <f t="shared" si="2"/>
        <v>0</v>
      </c>
      <c r="K35" s="497"/>
      <c r="L35" s="461">
        <f t="shared" si="3"/>
        <v>0</v>
      </c>
      <c r="M35" s="461"/>
      <c r="N35" s="461"/>
      <c r="O35" s="461"/>
      <c r="P35" s="461"/>
      <c r="Q35" s="461">
        <f t="shared" si="4"/>
        <v>0</v>
      </c>
      <c r="R35" s="461"/>
      <c r="S35" s="461"/>
      <c r="T35" s="497">
        <f t="shared" si="5"/>
        <v>0</v>
      </c>
      <c r="U35" s="498"/>
    </row>
    <row r="36" spans="1:21" ht="15" customHeight="1">
      <c r="A36" s="499">
        <f t="shared" si="0"/>
        <v>0</v>
      </c>
      <c r="B36" s="497"/>
      <c r="C36" s="497"/>
      <c r="D36" s="497"/>
      <c r="E36" s="497"/>
      <c r="F36" s="497">
        <f t="shared" si="1"/>
        <v>0</v>
      </c>
      <c r="G36" s="497"/>
      <c r="H36" s="497"/>
      <c r="I36" s="497"/>
      <c r="J36" s="497">
        <f t="shared" si="2"/>
        <v>0</v>
      </c>
      <c r="K36" s="497"/>
      <c r="L36" s="461">
        <f t="shared" si="3"/>
        <v>0</v>
      </c>
      <c r="M36" s="461"/>
      <c r="N36" s="461"/>
      <c r="O36" s="461"/>
      <c r="P36" s="461"/>
      <c r="Q36" s="461">
        <f t="shared" si="4"/>
        <v>0</v>
      </c>
      <c r="R36" s="461"/>
      <c r="S36" s="461"/>
      <c r="T36" s="497">
        <f t="shared" si="5"/>
        <v>0</v>
      </c>
      <c r="U36" s="498"/>
    </row>
    <row r="37" spans="1:21" ht="15" customHeight="1">
      <c r="A37" s="499">
        <f t="shared" si="0"/>
        <v>0</v>
      </c>
      <c r="B37" s="497"/>
      <c r="C37" s="497"/>
      <c r="D37" s="497"/>
      <c r="E37" s="497"/>
      <c r="F37" s="497">
        <f t="shared" si="1"/>
        <v>0</v>
      </c>
      <c r="G37" s="497"/>
      <c r="H37" s="497"/>
      <c r="I37" s="497"/>
      <c r="J37" s="497">
        <f t="shared" si="2"/>
        <v>0</v>
      </c>
      <c r="K37" s="497"/>
      <c r="L37" s="461">
        <f t="shared" si="3"/>
        <v>0</v>
      </c>
      <c r="M37" s="461"/>
      <c r="N37" s="461"/>
      <c r="O37" s="461"/>
      <c r="P37" s="461"/>
      <c r="Q37" s="461">
        <f t="shared" si="4"/>
        <v>0</v>
      </c>
      <c r="R37" s="461"/>
      <c r="S37" s="461"/>
      <c r="T37" s="497">
        <f t="shared" si="5"/>
        <v>0</v>
      </c>
      <c r="U37" s="498"/>
    </row>
    <row r="38" spans="1:21" ht="15" customHeight="1">
      <c r="A38" s="499">
        <f t="shared" si="0"/>
        <v>0</v>
      </c>
      <c r="B38" s="497"/>
      <c r="C38" s="497"/>
      <c r="D38" s="497"/>
      <c r="E38" s="497"/>
      <c r="F38" s="497">
        <f t="shared" si="1"/>
        <v>0</v>
      </c>
      <c r="G38" s="497"/>
      <c r="H38" s="497"/>
      <c r="I38" s="497"/>
      <c r="J38" s="497">
        <f t="shared" si="2"/>
        <v>0</v>
      </c>
      <c r="K38" s="497"/>
      <c r="L38" s="461">
        <f t="shared" si="3"/>
        <v>0</v>
      </c>
      <c r="M38" s="461"/>
      <c r="N38" s="461"/>
      <c r="O38" s="461"/>
      <c r="P38" s="461"/>
      <c r="Q38" s="461">
        <f t="shared" si="4"/>
        <v>0</v>
      </c>
      <c r="R38" s="461"/>
      <c r="S38" s="461"/>
      <c r="T38" s="497">
        <f t="shared" si="5"/>
        <v>0</v>
      </c>
      <c r="U38" s="498"/>
    </row>
    <row r="39" spans="1:21" ht="15" customHeight="1">
      <c r="A39" s="499">
        <f t="shared" si="0"/>
        <v>0</v>
      </c>
      <c r="B39" s="497"/>
      <c r="C39" s="497"/>
      <c r="D39" s="497"/>
      <c r="E39" s="497"/>
      <c r="F39" s="497">
        <f t="shared" si="1"/>
        <v>0</v>
      </c>
      <c r="G39" s="497"/>
      <c r="H39" s="497"/>
      <c r="I39" s="497"/>
      <c r="J39" s="497">
        <f t="shared" si="2"/>
        <v>0</v>
      </c>
      <c r="K39" s="497"/>
      <c r="L39" s="461">
        <f t="shared" si="3"/>
        <v>0</v>
      </c>
      <c r="M39" s="461"/>
      <c r="N39" s="461"/>
      <c r="O39" s="461"/>
      <c r="P39" s="461"/>
      <c r="Q39" s="461">
        <f t="shared" si="4"/>
        <v>0</v>
      </c>
      <c r="R39" s="461"/>
      <c r="S39" s="461"/>
      <c r="T39" s="497">
        <f t="shared" si="5"/>
        <v>0</v>
      </c>
      <c r="U39" s="498"/>
    </row>
    <row r="40" spans="1:21" ht="15" customHeight="1">
      <c r="A40" s="499">
        <f t="shared" si="0"/>
        <v>0</v>
      </c>
      <c r="B40" s="497"/>
      <c r="C40" s="497"/>
      <c r="D40" s="497"/>
      <c r="E40" s="497"/>
      <c r="F40" s="497">
        <f t="shared" si="1"/>
        <v>0</v>
      </c>
      <c r="G40" s="497"/>
      <c r="H40" s="497"/>
      <c r="I40" s="497"/>
      <c r="J40" s="497">
        <f t="shared" si="2"/>
        <v>0</v>
      </c>
      <c r="K40" s="497"/>
      <c r="L40" s="461">
        <f t="shared" si="3"/>
        <v>0</v>
      </c>
      <c r="M40" s="461"/>
      <c r="N40" s="461"/>
      <c r="O40" s="461"/>
      <c r="P40" s="461"/>
      <c r="Q40" s="461">
        <f t="shared" si="4"/>
        <v>0</v>
      </c>
      <c r="R40" s="461"/>
      <c r="S40" s="461"/>
      <c r="T40" s="497">
        <f t="shared" si="5"/>
        <v>0</v>
      </c>
      <c r="U40" s="498"/>
    </row>
    <row r="41" spans="1:21" ht="15" customHeight="1">
      <c r="A41" s="499">
        <f t="shared" si="0"/>
        <v>0</v>
      </c>
      <c r="B41" s="497"/>
      <c r="C41" s="497"/>
      <c r="D41" s="497"/>
      <c r="E41" s="497"/>
      <c r="F41" s="497">
        <f t="shared" si="1"/>
        <v>0</v>
      </c>
      <c r="G41" s="497"/>
      <c r="H41" s="497"/>
      <c r="I41" s="497"/>
      <c r="J41" s="497">
        <f t="shared" si="2"/>
        <v>0</v>
      </c>
      <c r="K41" s="497"/>
      <c r="L41" s="461">
        <f t="shared" si="3"/>
        <v>0</v>
      </c>
      <c r="M41" s="461"/>
      <c r="N41" s="461"/>
      <c r="O41" s="461"/>
      <c r="P41" s="461"/>
      <c r="Q41" s="461">
        <f t="shared" si="4"/>
        <v>0</v>
      </c>
      <c r="R41" s="461"/>
      <c r="S41" s="461"/>
      <c r="T41" s="497">
        <f t="shared" si="5"/>
        <v>0</v>
      </c>
      <c r="U41" s="498"/>
    </row>
    <row r="42" spans="1:21" ht="15" customHeight="1">
      <c r="A42" s="506">
        <f t="shared" si="0"/>
        <v>0</v>
      </c>
      <c r="B42" s="507"/>
      <c r="C42" s="507"/>
      <c r="D42" s="507"/>
      <c r="E42" s="507"/>
      <c r="F42" s="507">
        <f t="shared" si="1"/>
        <v>0</v>
      </c>
      <c r="G42" s="507"/>
      <c r="H42" s="507"/>
      <c r="I42" s="507"/>
      <c r="J42" s="507">
        <f t="shared" si="2"/>
        <v>0</v>
      </c>
      <c r="K42" s="507"/>
      <c r="L42" s="508">
        <f t="shared" si="3"/>
        <v>0</v>
      </c>
      <c r="M42" s="508"/>
      <c r="N42" s="508"/>
      <c r="O42" s="508"/>
      <c r="P42" s="508"/>
      <c r="Q42" s="508">
        <f t="shared" si="4"/>
        <v>0</v>
      </c>
      <c r="R42" s="508"/>
      <c r="S42" s="508"/>
      <c r="T42" s="507">
        <f t="shared" si="5"/>
        <v>0</v>
      </c>
      <c r="U42" s="509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8">
        <f>J20</f>
        <v>1</v>
      </c>
      <c r="K43" s="468"/>
      <c r="L43" s="451" t="s">
        <v>966</v>
      </c>
      <c r="M43" s="452"/>
      <c r="N43" s="452"/>
      <c r="O43" s="452"/>
      <c r="P43" s="453"/>
      <c r="Q43" s="454">
        <f>Q20</f>
        <v>1000000</v>
      </c>
      <c r="R43" s="455"/>
      <c r="S43" s="455"/>
      <c r="T43" s="455"/>
      <c r="U43" s="456"/>
    </row>
    <row r="44" spans="1:21" ht="17.25" thickBot="1">
      <c r="A44" s="420" t="s">
        <v>97</v>
      </c>
      <c r="B44" s="421"/>
      <c r="C44" s="421"/>
      <c r="D44" s="421"/>
      <c r="E44" s="421"/>
      <c r="F44" s="422">
        <f>F21</f>
        <v>3450000</v>
      </c>
      <c r="G44" s="422"/>
      <c r="H44" s="422"/>
      <c r="I44" s="423"/>
      <c r="J44" s="424" t="s">
        <v>972</v>
      </c>
      <c r="K44" s="421"/>
      <c r="L44" s="390" t="str">
        <f>L21</f>
        <v>장효주</v>
      </c>
      <c r="M44" s="390"/>
      <c r="N44" s="390"/>
      <c r="O44" s="424" t="s">
        <v>70</v>
      </c>
      <c r="P44" s="426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78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503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2363</v>
      </c>
    </row>
    <row r="294" spans="1:4">
      <c r="A294">
        <v>290</v>
      </c>
      <c r="B294" s="13">
        <v>45798</v>
      </c>
      <c r="C294" t="s">
        <v>1946</v>
      </c>
      <c r="D294" t="s">
        <v>2364</v>
      </c>
    </row>
    <row r="295" spans="1:4">
      <c r="A295">
        <v>291</v>
      </c>
      <c r="B295" s="13">
        <v>45799</v>
      </c>
      <c r="C295" t="s">
        <v>1445</v>
      </c>
      <c r="D295" t="s">
        <v>2365</v>
      </c>
    </row>
    <row r="296" spans="1:4">
      <c r="A296">
        <v>292</v>
      </c>
      <c r="B296" s="13">
        <v>45799</v>
      </c>
      <c r="C296" t="s">
        <v>1069</v>
      </c>
      <c r="D296" t="s">
        <v>2366</v>
      </c>
    </row>
    <row r="297" spans="1:4">
      <c r="A297">
        <v>293</v>
      </c>
      <c r="B297" s="13">
        <v>45799</v>
      </c>
      <c r="C297" t="s">
        <v>1600</v>
      </c>
      <c r="D297" t="s">
        <v>2367</v>
      </c>
    </row>
    <row r="298" spans="1:4">
      <c r="A298">
        <v>294</v>
      </c>
      <c r="B298" s="13">
        <v>45799</v>
      </c>
      <c r="C298" t="s">
        <v>1495</v>
      </c>
      <c r="D298" t="s">
        <v>2369</v>
      </c>
    </row>
    <row r="299" spans="1:4">
      <c r="A299">
        <v>295</v>
      </c>
      <c r="B299" s="13">
        <v>45799</v>
      </c>
      <c r="C299" t="s">
        <v>1525</v>
      </c>
      <c r="D299" t="s">
        <v>2370</v>
      </c>
    </row>
    <row r="300" spans="1:4">
      <c r="A300">
        <v>296</v>
      </c>
      <c r="B300" s="13">
        <v>45800</v>
      </c>
      <c r="C300" t="s">
        <v>1069</v>
      </c>
      <c r="D300" t="s">
        <v>2376</v>
      </c>
    </row>
    <row r="301" spans="1:4">
      <c r="A301">
        <v>297</v>
      </c>
      <c r="B301" s="13">
        <v>45800</v>
      </c>
      <c r="C301" t="s">
        <v>2377</v>
      </c>
      <c r="D301" t="s">
        <v>2381</v>
      </c>
    </row>
    <row r="302" spans="1:4">
      <c r="A302">
        <v>298</v>
      </c>
      <c r="B302" s="13">
        <v>45800</v>
      </c>
      <c r="C302" t="s">
        <v>1069</v>
      </c>
      <c r="D302" t="s">
        <v>2382</v>
      </c>
    </row>
    <row r="303" spans="1:4">
      <c r="A303">
        <v>299</v>
      </c>
      <c r="B303" s="13">
        <v>45800</v>
      </c>
      <c r="C303" t="s">
        <v>1790</v>
      </c>
      <c r="D303" t="s">
        <v>2383</v>
      </c>
    </row>
    <row r="304" spans="1:4">
      <c r="A304">
        <v>300</v>
      </c>
      <c r="B304" s="13">
        <v>45801</v>
      </c>
      <c r="C304" t="s">
        <v>1498</v>
      </c>
      <c r="D304" t="s">
        <v>2389</v>
      </c>
    </row>
    <row r="305" spans="1:4">
      <c r="A305">
        <v>301</v>
      </c>
      <c r="B305" s="13">
        <v>45801</v>
      </c>
      <c r="C305" t="s">
        <v>1030</v>
      </c>
      <c r="D305" t="s">
        <v>2390</v>
      </c>
    </row>
    <row r="306" spans="1:4">
      <c r="A306">
        <v>302</v>
      </c>
      <c r="B306" s="13">
        <v>45801</v>
      </c>
      <c r="C306" t="s">
        <v>1590</v>
      </c>
      <c r="D306" t="s">
        <v>2392</v>
      </c>
    </row>
    <row r="307" spans="1:4">
      <c r="A307">
        <v>303</v>
      </c>
      <c r="B307" s="13">
        <v>45803</v>
      </c>
      <c r="C307" t="s">
        <v>2393</v>
      </c>
      <c r="D307" t="s">
        <v>2398</v>
      </c>
    </row>
    <row r="308" spans="1:4">
      <c r="A308">
        <v>304</v>
      </c>
      <c r="B308" s="13">
        <v>45803</v>
      </c>
      <c r="C308" t="s">
        <v>1445</v>
      </c>
      <c r="D308" t="s">
        <v>2399</v>
      </c>
    </row>
    <row r="309" spans="1:4">
      <c r="A309">
        <v>305</v>
      </c>
      <c r="B309" s="13">
        <v>45803</v>
      </c>
      <c r="C309" t="s">
        <v>1626</v>
      </c>
      <c r="D309" t="s">
        <v>2400</v>
      </c>
    </row>
    <row r="310" spans="1:4">
      <c r="A310">
        <v>306</v>
      </c>
      <c r="B310" s="13">
        <v>45803</v>
      </c>
      <c r="C310" t="s">
        <v>2214</v>
      </c>
      <c r="D310" t="s">
        <v>2402</v>
      </c>
    </row>
    <row r="311" spans="1:4">
      <c r="A311">
        <v>307</v>
      </c>
      <c r="B311" s="13">
        <v>45803</v>
      </c>
      <c r="C311" t="s">
        <v>1030</v>
      </c>
      <c r="D311" t="s">
        <v>2403</v>
      </c>
    </row>
    <row r="312" spans="1:4">
      <c r="A312">
        <v>308</v>
      </c>
      <c r="B312" s="13">
        <v>45803</v>
      </c>
      <c r="C312" t="s">
        <v>1734</v>
      </c>
      <c r="D312" t="s">
        <v>2404</v>
      </c>
    </row>
    <row r="313" spans="1:4">
      <c r="A313">
        <v>309</v>
      </c>
      <c r="B313" s="13">
        <v>45803</v>
      </c>
      <c r="C313" t="s">
        <v>1635</v>
      </c>
      <c r="D313" t="s">
        <v>2407</v>
      </c>
    </row>
    <row r="314" spans="1:4">
      <c r="A314">
        <v>310</v>
      </c>
      <c r="B314" s="13">
        <v>45804</v>
      </c>
      <c r="C314" t="s">
        <v>1525</v>
      </c>
      <c r="D314" t="s">
        <v>2410</v>
      </c>
    </row>
    <row r="315" spans="1:4">
      <c r="A315">
        <v>311</v>
      </c>
      <c r="B315" s="13">
        <v>45804</v>
      </c>
      <c r="C315" t="s">
        <v>1790</v>
      </c>
      <c r="D315" t="s">
        <v>2411</v>
      </c>
    </row>
    <row r="316" spans="1:4">
      <c r="A316">
        <v>312</v>
      </c>
      <c r="B316" s="13">
        <v>45804</v>
      </c>
      <c r="C316" t="s">
        <v>1626</v>
      </c>
      <c r="D316" t="s">
        <v>2412</v>
      </c>
    </row>
    <row r="317" spans="1:4">
      <c r="A317">
        <v>313</v>
      </c>
      <c r="B317" s="13">
        <v>45804</v>
      </c>
      <c r="C317" t="s">
        <v>1418</v>
      </c>
      <c r="D317" t="s">
        <v>2413</v>
      </c>
    </row>
    <row r="318" spans="1:4">
      <c r="A318">
        <v>314</v>
      </c>
      <c r="B318" s="13">
        <v>45804</v>
      </c>
      <c r="C318" t="s">
        <v>1587</v>
      </c>
      <c r="D318" t="s">
        <v>2416</v>
      </c>
    </row>
    <row r="319" spans="1:4">
      <c r="A319">
        <v>343</v>
      </c>
      <c r="B319" s="13">
        <v>45806</v>
      </c>
      <c r="C319" t="s">
        <v>2362</v>
      </c>
      <c r="D319" t="s">
        <v>2425</v>
      </c>
    </row>
    <row r="320" spans="1:4">
      <c r="A320">
        <v>344</v>
      </c>
      <c r="B320" s="13">
        <v>45806</v>
      </c>
      <c r="C320" t="s">
        <v>1437</v>
      </c>
      <c r="D320" t="s">
        <v>2426</v>
      </c>
    </row>
    <row r="321" spans="1:4">
      <c r="A321">
        <v>345</v>
      </c>
      <c r="B321" s="13">
        <v>45806</v>
      </c>
      <c r="C321" t="s">
        <v>1445</v>
      </c>
      <c r="D321" t="s">
        <v>2427</v>
      </c>
    </row>
    <row r="322" spans="1:4">
      <c r="A322">
        <v>346</v>
      </c>
      <c r="B322" s="13">
        <v>45807</v>
      </c>
      <c r="C322" t="s">
        <v>1567</v>
      </c>
      <c r="D322" t="s">
        <v>2428</v>
      </c>
    </row>
    <row r="323" spans="1:4">
      <c r="A323">
        <v>347</v>
      </c>
      <c r="B323" s="13">
        <v>45807</v>
      </c>
      <c r="C323" t="s">
        <v>1525</v>
      </c>
      <c r="D323" t="s">
        <v>2434</v>
      </c>
    </row>
    <row r="324" spans="1:4">
      <c r="A324">
        <v>348</v>
      </c>
      <c r="B324" s="13">
        <v>45807</v>
      </c>
      <c r="C324" t="s">
        <v>2435</v>
      </c>
      <c r="D324" t="s">
        <v>2436</v>
      </c>
    </row>
    <row r="325" spans="1:4">
      <c r="A325">
        <v>349</v>
      </c>
      <c r="B325" s="13">
        <v>45807</v>
      </c>
      <c r="C325" t="s">
        <v>1069</v>
      </c>
      <c r="D325" t="s">
        <v>2437</v>
      </c>
    </row>
    <row r="326" spans="1:4">
      <c r="A326">
        <v>350</v>
      </c>
      <c r="B326" s="13">
        <v>45807</v>
      </c>
      <c r="C326" t="s">
        <v>2421</v>
      </c>
      <c r="D326" t="s">
        <v>2438</v>
      </c>
    </row>
    <row r="327" spans="1:4">
      <c r="A327">
        <v>351</v>
      </c>
      <c r="B327" s="13">
        <v>45807</v>
      </c>
      <c r="C327" t="s">
        <v>2195</v>
      </c>
      <c r="D327" t="s">
        <v>2439</v>
      </c>
    </row>
    <row r="328" spans="1:4">
      <c r="A328">
        <v>352</v>
      </c>
      <c r="B328" s="13">
        <v>45807</v>
      </c>
      <c r="C328" t="s">
        <v>1488</v>
      </c>
      <c r="D328" t="s">
        <v>2441</v>
      </c>
    </row>
    <row r="329" spans="1:4">
      <c r="A329">
        <v>353</v>
      </c>
      <c r="B329" s="13">
        <v>45808</v>
      </c>
      <c r="C329" t="s">
        <v>1281</v>
      </c>
      <c r="D329" t="s">
        <v>2448</v>
      </c>
    </row>
    <row r="330" spans="1:4">
      <c r="A330">
        <v>354</v>
      </c>
      <c r="B330" s="13">
        <v>45808</v>
      </c>
      <c r="C330" t="s">
        <v>1351</v>
      </c>
      <c r="D330" t="s">
        <v>2449</v>
      </c>
    </row>
    <row r="331" spans="1:4">
      <c r="A331">
        <v>355</v>
      </c>
      <c r="B331" s="13">
        <v>45808</v>
      </c>
      <c r="C331" t="s">
        <v>1790</v>
      </c>
      <c r="D331" t="s">
        <v>2457</v>
      </c>
    </row>
    <row r="332" spans="1:4">
      <c r="A332">
        <v>356</v>
      </c>
      <c r="B332" s="13">
        <v>45810</v>
      </c>
      <c r="C332" t="s">
        <v>997</v>
      </c>
      <c r="D332" t="s">
        <v>2462</v>
      </c>
    </row>
    <row r="333" spans="1:4">
      <c r="A333">
        <v>357</v>
      </c>
      <c r="B333" s="13">
        <v>45810</v>
      </c>
      <c r="C333" t="s">
        <v>1587</v>
      </c>
      <c r="D333" t="s">
        <v>2463</v>
      </c>
    </row>
    <row r="334" spans="1:4">
      <c r="A334">
        <v>358</v>
      </c>
      <c r="B334" s="13">
        <v>45810</v>
      </c>
      <c r="C334" t="s">
        <v>2393</v>
      </c>
      <c r="D334" t="s">
        <v>2464</v>
      </c>
    </row>
    <row r="335" spans="1:4">
      <c r="A335">
        <v>359</v>
      </c>
      <c r="B335" s="13">
        <v>45810</v>
      </c>
      <c r="C335" t="s">
        <v>1502</v>
      </c>
      <c r="D335" t="s">
        <v>2465</v>
      </c>
    </row>
    <row r="336" spans="1:4">
      <c r="A336">
        <v>360</v>
      </c>
      <c r="B336" s="13">
        <v>45810</v>
      </c>
      <c r="C336" t="s">
        <v>1587</v>
      </c>
      <c r="D336" t="s">
        <v>2466</v>
      </c>
    </row>
    <row r="337" spans="1:4">
      <c r="A337">
        <v>361</v>
      </c>
      <c r="B337" s="13">
        <v>45810</v>
      </c>
      <c r="C337" t="s">
        <v>2359</v>
      </c>
      <c r="D337" t="s">
        <v>2469</v>
      </c>
    </row>
    <row r="338" spans="1:4">
      <c r="A338">
        <v>362</v>
      </c>
      <c r="B338" s="13">
        <v>45811</v>
      </c>
      <c r="C338" t="s">
        <v>1645</v>
      </c>
      <c r="D338" t="s">
        <v>2475</v>
      </c>
    </row>
    <row r="339" spans="1:4">
      <c r="A339">
        <v>363</v>
      </c>
      <c r="B339" s="13">
        <v>45811</v>
      </c>
      <c r="C339" t="s">
        <v>1495</v>
      </c>
      <c r="D339" t="s">
        <v>2477</v>
      </c>
    </row>
    <row r="340" spans="1:4">
      <c r="A340">
        <v>364</v>
      </c>
      <c r="B340" s="13">
        <v>45811</v>
      </c>
      <c r="C340" t="s">
        <v>2478</v>
      </c>
      <c r="D340" t="s">
        <v>2481</v>
      </c>
    </row>
    <row r="341" spans="1:4">
      <c r="A341">
        <v>365</v>
      </c>
      <c r="B341" s="13">
        <v>45811</v>
      </c>
      <c r="C341" t="s">
        <v>2478</v>
      </c>
      <c r="D341" t="s">
        <v>2482</v>
      </c>
    </row>
    <row r="342" spans="1:4">
      <c r="A342">
        <v>366</v>
      </c>
      <c r="B342" s="13">
        <v>45807</v>
      </c>
      <c r="C342" t="s">
        <v>1027</v>
      </c>
      <c r="D342" t="s">
        <v>2492</v>
      </c>
    </row>
    <row r="343" spans="1:4">
      <c r="A343">
        <v>367</v>
      </c>
      <c r="B343" s="13">
        <v>45812</v>
      </c>
      <c r="C343" t="s">
        <v>1647</v>
      </c>
      <c r="D343" t="s">
        <v>2493</v>
      </c>
    </row>
    <row r="344" spans="1:4">
      <c r="A344">
        <v>368</v>
      </c>
      <c r="B344" s="13">
        <v>45812</v>
      </c>
      <c r="C344" t="s">
        <v>2494</v>
      </c>
      <c r="D344" t="s">
        <v>2499</v>
      </c>
    </row>
    <row r="345" spans="1:4">
      <c r="A345">
        <v>369</v>
      </c>
      <c r="B345" s="13">
        <v>45812</v>
      </c>
      <c r="C345" t="s">
        <v>1629</v>
      </c>
      <c r="D345" t="s">
        <v>2505</v>
      </c>
    </row>
    <row r="346" spans="1:4">
      <c r="A346">
        <v>370</v>
      </c>
      <c r="B346" s="13">
        <v>45813</v>
      </c>
      <c r="C346" t="s">
        <v>1587</v>
      </c>
      <c r="D346" t="s">
        <v>2510</v>
      </c>
    </row>
    <row r="347" spans="1:4">
      <c r="A347">
        <v>371</v>
      </c>
      <c r="B347" s="13">
        <v>45813</v>
      </c>
      <c r="C347" t="s">
        <v>1587</v>
      </c>
      <c r="D347" t="s">
        <v>2511</v>
      </c>
    </row>
    <row r="348" spans="1:4">
      <c r="A348">
        <v>372</v>
      </c>
      <c r="B348" s="13">
        <v>45813</v>
      </c>
      <c r="C348" t="s">
        <v>1502</v>
      </c>
      <c r="D348" t="s">
        <v>2512</v>
      </c>
    </row>
    <row r="349" spans="1:4">
      <c r="A349">
        <v>373</v>
      </c>
      <c r="B349" s="13">
        <v>45813</v>
      </c>
      <c r="C349" t="s">
        <v>1183</v>
      </c>
      <c r="D349" t="s">
        <v>2515</v>
      </c>
    </row>
    <row r="350" spans="1:4">
      <c r="A350">
        <v>374</v>
      </c>
      <c r="B350" s="13">
        <v>45813</v>
      </c>
      <c r="C350" t="s">
        <v>2522</v>
      </c>
      <c r="D350" t="s">
        <v>2523</v>
      </c>
    </row>
    <row r="351" spans="1:4">
      <c r="A351">
        <v>375</v>
      </c>
      <c r="B351" s="13">
        <v>45814</v>
      </c>
      <c r="C351" t="s">
        <v>1790</v>
      </c>
      <c r="D351" t="s">
        <v>2524</v>
      </c>
    </row>
    <row r="352" spans="1:4">
      <c r="A352">
        <v>376</v>
      </c>
      <c r="B352" s="13">
        <v>45815</v>
      </c>
      <c r="C352" t="s">
        <v>1790</v>
      </c>
      <c r="D352" t="s">
        <v>2525</v>
      </c>
    </row>
    <row r="353" spans="1:4">
      <c r="A353">
        <v>377</v>
      </c>
      <c r="B353" s="13">
        <v>45817</v>
      </c>
      <c r="C353" t="s">
        <v>2527</v>
      </c>
      <c r="D353" t="s">
        <v>2528</v>
      </c>
    </row>
    <row r="354" spans="1:4">
      <c r="A354">
        <v>378</v>
      </c>
      <c r="B354" s="13">
        <v>45817</v>
      </c>
      <c r="C354" t="s">
        <v>997</v>
      </c>
      <c r="D354" t="s">
        <v>2529</v>
      </c>
    </row>
    <row r="355" spans="1:4">
      <c r="A355">
        <v>379</v>
      </c>
      <c r="B355" s="13">
        <v>45817</v>
      </c>
      <c r="C355" t="s">
        <v>1183</v>
      </c>
      <c r="D355" t="s">
        <v>2532</v>
      </c>
    </row>
    <row r="356" spans="1:4">
      <c r="A356">
        <v>380</v>
      </c>
      <c r="B356" s="13">
        <v>45817</v>
      </c>
      <c r="C356" t="s">
        <v>1790</v>
      </c>
      <c r="D356" t="s">
        <v>2533</v>
      </c>
    </row>
    <row r="357" spans="1:4">
      <c r="A357">
        <v>381</v>
      </c>
      <c r="B357" s="13">
        <v>45817</v>
      </c>
      <c r="C357" t="s">
        <v>1030</v>
      </c>
      <c r="D357" t="s">
        <v>2536</v>
      </c>
    </row>
    <row r="358" spans="1:4">
      <c r="A358">
        <v>382</v>
      </c>
      <c r="B358" s="13">
        <v>45817</v>
      </c>
      <c r="C358" t="s">
        <v>1490</v>
      </c>
      <c r="D358" t="s">
        <v>2537</v>
      </c>
    </row>
    <row r="359" spans="1:4">
      <c r="A359">
        <v>383</v>
      </c>
      <c r="B359" s="13">
        <v>45817</v>
      </c>
      <c r="C359" t="s">
        <v>1445</v>
      </c>
      <c r="D359" t="s">
        <v>2538</v>
      </c>
    </row>
    <row r="360" spans="1:4">
      <c r="A360">
        <v>384</v>
      </c>
      <c r="B360" s="13">
        <v>45817</v>
      </c>
      <c r="C360" t="s">
        <v>1629</v>
      </c>
      <c r="D360" t="s">
        <v>2539</v>
      </c>
    </row>
    <row r="361" spans="1:4">
      <c r="A361">
        <v>385</v>
      </c>
      <c r="B361" s="13">
        <v>45817</v>
      </c>
      <c r="C361" t="s">
        <v>1626</v>
      </c>
      <c r="D361" t="s">
        <v>2545</v>
      </c>
    </row>
    <row r="362" spans="1:4">
      <c r="A362">
        <v>386</v>
      </c>
      <c r="B362" s="13">
        <v>45817</v>
      </c>
      <c r="C362" t="s">
        <v>1790</v>
      </c>
      <c r="D362" t="s">
        <v>2560</v>
      </c>
    </row>
    <row r="363" spans="1:4">
      <c r="A363">
        <v>387</v>
      </c>
      <c r="B363" s="13">
        <v>45817</v>
      </c>
      <c r="C363" t="s">
        <v>1445</v>
      </c>
      <c r="D363" t="s">
        <v>2562</v>
      </c>
    </row>
    <row r="364" spans="1:4">
      <c r="A364">
        <v>388</v>
      </c>
      <c r="B364" s="13">
        <v>45818</v>
      </c>
      <c r="C364" t="s">
        <v>2478</v>
      </c>
      <c r="D364" t="s">
        <v>2578</v>
      </c>
    </row>
    <row r="365" spans="1:4">
      <c r="A365">
        <v>389</v>
      </c>
      <c r="B365" s="13">
        <v>45818</v>
      </c>
      <c r="C365" t="s">
        <v>1817</v>
      </c>
      <c r="D365" t="s">
        <v>2579</v>
      </c>
    </row>
    <row r="366" spans="1:4">
      <c r="A366">
        <v>390</v>
      </c>
      <c r="B366" s="13">
        <v>45818</v>
      </c>
      <c r="C366" t="s">
        <v>1445</v>
      </c>
      <c r="D366" t="s">
        <v>2580</v>
      </c>
    </row>
    <row r="367" spans="1:4">
      <c r="A367">
        <v>391</v>
      </c>
      <c r="B367" s="13">
        <v>45818</v>
      </c>
      <c r="C367" t="s">
        <v>1351</v>
      </c>
      <c r="D367" t="s">
        <v>2582</v>
      </c>
    </row>
    <row r="368" spans="1:4">
      <c r="A368">
        <v>392</v>
      </c>
      <c r="B368" s="13">
        <v>45818</v>
      </c>
      <c r="C368" t="s">
        <v>1626</v>
      </c>
      <c r="D368" t="s">
        <v>2583</v>
      </c>
    </row>
    <row r="369" spans="1:4">
      <c r="A369">
        <v>393</v>
      </c>
      <c r="B369" s="13">
        <v>45818</v>
      </c>
      <c r="C369" t="s">
        <v>1490</v>
      </c>
      <c r="D369" t="s">
        <v>2585</v>
      </c>
    </row>
    <row r="370" spans="1:4">
      <c r="A370">
        <v>394</v>
      </c>
      <c r="B370" s="13">
        <v>45818</v>
      </c>
      <c r="C370" t="s">
        <v>2421</v>
      </c>
      <c r="D370" t="s">
        <v>2589</v>
      </c>
    </row>
    <row r="371" spans="1:4">
      <c r="A371">
        <v>395</v>
      </c>
      <c r="B371" s="13">
        <v>45818</v>
      </c>
      <c r="C371" t="s">
        <v>1979</v>
      </c>
      <c r="D371" t="s">
        <v>2590</v>
      </c>
    </row>
    <row r="372" spans="1:4">
      <c r="A372">
        <v>396</v>
      </c>
      <c r="B372" s="13">
        <v>45819</v>
      </c>
      <c r="C372" t="s">
        <v>1495</v>
      </c>
      <c r="D372" t="s">
        <v>2593</v>
      </c>
    </row>
    <row r="373" spans="1:4">
      <c r="A373">
        <v>397</v>
      </c>
      <c r="B373" s="13">
        <v>45819</v>
      </c>
      <c r="C373" t="s">
        <v>2484</v>
      </c>
      <c r="D373" t="s">
        <v>2605</v>
      </c>
    </row>
    <row r="374" spans="1:4">
      <c r="A374">
        <v>398</v>
      </c>
      <c r="B374" s="13">
        <v>45819</v>
      </c>
      <c r="C374" t="s">
        <v>2606</v>
      </c>
      <c r="D374" t="s">
        <v>2607</v>
      </c>
    </row>
    <row r="375" spans="1:4">
      <c r="A375">
        <v>399</v>
      </c>
      <c r="B375" s="13">
        <v>45819</v>
      </c>
      <c r="C375" t="s">
        <v>1498</v>
      </c>
      <c r="D375" t="s">
        <v>2609</v>
      </c>
    </row>
    <row r="376" spans="1:4">
      <c r="A376">
        <v>400</v>
      </c>
      <c r="B376" s="13">
        <v>45819</v>
      </c>
      <c r="C376" t="s">
        <v>1418</v>
      </c>
      <c r="D376" t="s">
        <v>2610</v>
      </c>
    </row>
    <row r="377" spans="1:4">
      <c r="A377">
        <v>401</v>
      </c>
      <c r="B377" s="13">
        <v>45819</v>
      </c>
      <c r="C377" t="s">
        <v>2597</v>
      </c>
      <c r="D377" t="s">
        <v>2611</v>
      </c>
    </row>
    <row r="378" spans="1:4">
      <c r="A378">
        <v>402</v>
      </c>
      <c r="B378" s="13">
        <v>45819</v>
      </c>
      <c r="C378" t="s">
        <v>1495</v>
      </c>
      <c r="D378" t="s">
        <v>2612</v>
      </c>
    </row>
    <row r="379" spans="1:4">
      <c r="A379">
        <v>403</v>
      </c>
      <c r="B379" s="13">
        <v>45820</v>
      </c>
      <c r="C379" t="s">
        <v>1519</v>
      </c>
      <c r="D379" t="s">
        <v>2613</v>
      </c>
    </row>
    <row r="380" spans="1:4">
      <c r="A380">
        <v>404</v>
      </c>
      <c r="B380" s="13">
        <v>45820</v>
      </c>
      <c r="C380" t="s">
        <v>1519</v>
      </c>
      <c r="D380" t="s">
        <v>2615</v>
      </c>
    </row>
    <row r="381" spans="1:4">
      <c r="A381">
        <v>405</v>
      </c>
      <c r="B381" s="13">
        <v>45820</v>
      </c>
      <c r="C381" t="s">
        <v>1525</v>
      </c>
      <c r="D381" t="s">
        <v>2616</v>
      </c>
    </row>
    <row r="382" spans="1:4">
      <c r="A382">
        <v>406</v>
      </c>
      <c r="B382" s="13">
        <v>45821</v>
      </c>
      <c r="C382" t="s">
        <v>2617</v>
      </c>
      <c r="D382" t="s">
        <v>2623</v>
      </c>
    </row>
    <row r="383" spans="1:4">
      <c r="A383">
        <v>407</v>
      </c>
      <c r="B383" s="13">
        <v>45821</v>
      </c>
      <c r="C383" t="s">
        <v>1030</v>
      </c>
      <c r="D383" t="s">
        <v>2624</v>
      </c>
    </row>
    <row r="384" spans="1:4">
      <c r="A384">
        <v>408</v>
      </c>
      <c r="B384" s="13">
        <v>45821</v>
      </c>
      <c r="C384" t="s">
        <v>1885</v>
      </c>
      <c r="D384" t="s">
        <v>2625</v>
      </c>
    </row>
    <row r="385" spans="1:4">
      <c r="A385">
        <v>409</v>
      </c>
      <c r="B385" s="13">
        <v>45821</v>
      </c>
      <c r="C385" t="s">
        <v>2066</v>
      </c>
      <c r="D385" t="s">
        <v>2626</v>
      </c>
    </row>
    <row r="386" spans="1:4">
      <c r="A386">
        <v>410</v>
      </c>
      <c r="B386" s="13">
        <v>45821</v>
      </c>
      <c r="C386" t="s">
        <v>2627</v>
      </c>
      <c r="D386" t="s">
        <v>2628</v>
      </c>
    </row>
    <row r="387" spans="1:4">
      <c r="A387">
        <v>411</v>
      </c>
      <c r="B387" s="13">
        <v>45821</v>
      </c>
      <c r="C387" t="s">
        <v>1515</v>
      </c>
      <c r="D387" t="s">
        <v>2632</v>
      </c>
    </row>
    <row r="388" spans="1:4">
      <c r="A388">
        <v>412</v>
      </c>
      <c r="B388" s="13">
        <v>45821</v>
      </c>
      <c r="C388" t="s">
        <v>1540</v>
      </c>
      <c r="D388" t="s">
        <v>2639</v>
      </c>
    </row>
    <row r="389" spans="1:4">
      <c r="A389">
        <v>413</v>
      </c>
      <c r="B389" s="13">
        <v>45822</v>
      </c>
      <c r="C389" t="s">
        <v>1445</v>
      </c>
      <c r="D389" t="s">
        <v>2640</v>
      </c>
    </row>
    <row r="390" spans="1:4">
      <c r="A390">
        <v>414</v>
      </c>
      <c r="B390" s="13">
        <v>45822</v>
      </c>
      <c r="C390" t="s">
        <v>1587</v>
      </c>
      <c r="D390" t="s">
        <v>2641</v>
      </c>
    </row>
    <row r="391" spans="1:4">
      <c r="A391">
        <v>415</v>
      </c>
      <c r="B391" s="13">
        <v>45824</v>
      </c>
      <c r="C391" t="s">
        <v>1500</v>
      </c>
      <c r="D391" t="s">
        <v>2642</v>
      </c>
    </row>
    <row r="392" spans="1:4">
      <c r="A392">
        <v>416</v>
      </c>
      <c r="B392" s="13">
        <v>45824</v>
      </c>
      <c r="C392" t="s">
        <v>1030</v>
      </c>
      <c r="D392" t="s">
        <v>2647</v>
      </c>
    </row>
    <row r="393" spans="1:4">
      <c r="A393">
        <v>417</v>
      </c>
      <c r="B393" s="13">
        <v>45824</v>
      </c>
      <c r="C393" t="s">
        <v>1445</v>
      </c>
      <c r="D393" t="s">
        <v>2648</v>
      </c>
    </row>
    <row r="394" spans="1:4">
      <c r="A394">
        <v>418</v>
      </c>
      <c r="B394" s="13">
        <v>45825</v>
      </c>
      <c r="C394" t="s">
        <v>1424</v>
      </c>
      <c r="D394" t="s">
        <v>2649</v>
      </c>
    </row>
    <row r="395" spans="1:4">
      <c r="A395">
        <v>419</v>
      </c>
      <c r="B395" s="13">
        <v>45825</v>
      </c>
      <c r="C395" t="s">
        <v>1587</v>
      </c>
      <c r="D395" t="s">
        <v>2690</v>
      </c>
    </row>
    <row r="396" spans="1:4">
      <c r="A396">
        <v>420</v>
      </c>
      <c r="B396" s="13">
        <v>45825</v>
      </c>
      <c r="C396" t="s">
        <v>1445</v>
      </c>
      <c r="D396" t="s">
        <v>2693</v>
      </c>
    </row>
    <row r="397" spans="1:4">
      <c r="A397">
        <v>421</v>
      </c>
      <c r="B397" s="13">
        <v>45825</v>
      </c>
      <c r="C397" t="s">
        <v>2692</v>
      </c>
      <c r="D397" t="s">
        <v>2694</v>
      </c>
    </row>
    <row r="398" spans="1:4">
      <c r="A398">
        <v>422</v>
      </c>
      <c r="B398" s="13">
        <v>45826</v>
      </c>
      <c r="C398" t="s">
        <v>1030</v>
      </c>
      <c r="D398" t="s">
        <v>2700</v>
      </c>
    </row>
    <row r="399" spans="1:4">
      <c r="A399">
        <v>423</v>
      </c>
      <c r="B399" s="13">
        <v>45826</v>
      </c>
      <c r="C399" t="s">
        <v>1445</v>
      </c>
      <c r="D399" t="s">
        <v>2705</v>
      </c>
    </row>
    <row r="400" spans="1:4">
      <c r="A400">
        <v>424</v>
      </c>
      <c r="B400" s="13">
        <v>45826</v>
      </c>
      <c r="C400" t="s">
        <v>2606</v>
      </c>
      <c r="D400" t="s">
        <v>2706</v>
      </c>
    </row>
    <row r="401" spans="1:4">
      <c r="A401">
        <v>425</v>
      </c>
      <c r="B401" s="13">
        <v>45826</v>
      </c>
      <c r="C401" t="s">
        <v>2063</v>
      </c>
      <c r="D401" t="s">
        <v>2707</v>
      </c>
    </row>
    <row r="402" spans="1:4">
      <c r="A402">
        <v>426</v>
      </c>
      <c r="B402" s="13">
        <v>45826</v>
      </c>
      <c r="C402" t="s">
        <v>2393</v>
      </c>
      <c r="D402" t="s">
        <v>2708</v>
      </c>
    </row>
    <row r="403" spans="1:4">
      <c r="A403">
        <v>427</v>
      </c>
      <c r="B403" s="13">
        <v>45826</v>
      </c>
      <c r="C403" t="s">
        <v>1790</v>
      </c>
      <c r="D403" t="s">
        <v>2709</v>
      </c>
    </row>
    <row r="404" spans="1:4">
      <c r="A404">
        <v>428</v>
      </c>
      <c r="B404" s="13">
        <v>45826</v>
      </c>
      <c r="C404" t="s">
        <v>1445</v>
      </c>
      <c r="D404" t="s">
        <v>2710</v>
      </c>
    </row>
    <row r="405" spans="1:4">
      <c r="A405">
        <v>429</v>
      </c>
      <c r="B405" s="13">
        <v>45827</v>
      </c>
      <c r="C405" t="s">
        <v>2063</v>
      </c>
      <c r="D405" t="s">
        <v>2712</v>
      </c>
    </row>
    <row r="406" spans="1:4">
      <c r="A406">
        <v>430</v>
      </c>
      <c r="B406" s="13">
        <v>45827</v>
      </c>
      <c r="C406" t="s">
        <v>1495</v>
      </c>
      <c r="D406" t="s">
        <v>2713</v>
      </c>
    </row>
    <row r="407" spans="1:4">
      <c r="A407">
        <v>431</v>
      </c>
      <c r="B407" s="13">
        <v>45827</v>
      </c>
      <c r="C407" t="s">
        <v>2692</v>
      </c>
      <c r="D407" t="s">
        <v>2718</v>
      </c>
    </row>
    <row r="408" spans="1:4">
      <c r="A408">
        <v>432</v>
      </c>
      <c r="B408" s="13">
        <v>45827</v>
      </c>
      <c r="C408" t="s">
        <v>1445</v>
      </c>
      <c r="D408" t="s">
        <v>2721</v>
      </c>
    </row>
    <row r="409" spans="1:4">
      <c r="A409">
        <v>433</v>
      </c>
      <c r="B409" s="13">
        <v>45827</v>
      </c>
      <c r="C409" t="s">
        <v>1490</v>
      </c>
      <c r="D409" t="s">
        <v>2722</v>
      </c>
    </row>
    <row r="410" spans="1:4">
      <c r="A410">
        <v>434</v>
      </c>
      <c r="B410" s="13">
        <v>45827</v>
      </c>
      <c r="C410" t="s">
        <v>1790</v>
      </c>
      <c r="D410" t="s">
        <v>2723</v>
      </c>
    </row>
    <row r="411" spans="1:4">
      <c r="A411">
        <v>435</v>
      </c>
      <c r="B411" s="13">
        <v>45827</v>
      </c>
      <c r="C411" t="s">
        <v>2527</v>
      </c>
      <c r="D411" t="s">
        <v>2724</v>
      </c>
    </row>
    <row r="412" spans="1:4">
      <c r="A412">
        <v>436</v>
      </c>
      <c r="B412" s="13">
        <v>45827</v>
      </c>
      <c r="C412" t="s">
        <v>1626</v>
      </c>
      <c r="D412" t="s">
        <v>2726</v>
      </c>
    </row>
    <row r="413" spans="1:4">
      <c r="A413">
        <v>437</v>
      </c>
      <c r="B413" s="13">
        <v>45827</v>
      </c>
      <c r="C413" t="s">
        <v>1626</v>
      </c>
      <c r="D413" t="s">
        <v>2728</v>
      </c>
    </row>
    <row r="414" spans="1:4">
      <c r="A414">
        <v>438</v>
      </c>
      <c r="B414" s="13">
        <v>45828</v>
      </c>
      <c r="C414" t="s">
        <v>2735</v>
      </c>
      <c r="D414" t="s">
        <v>2736</v>
      </c>
    </row>
    <row r="415" spans="1:4">
      <c r="A415">
        <v>439</v>
      </c>
      <c r="B415" s="13">
        <v>45828</v>
      </c>
      <c r="C415" t="s">
        <v>1629</v>
      </c>
      <c r="D415" t="s">
        <v>2737</v>
      </c>
    </row>
    <row r="416" spans="1:4">
      <c r="A416">
        <v>440</v>
      </c>
      <c r="B416" s="13">
        <v>45828</v>
      </c>
      <c r="C416" t="s">
        <v>1027</v>
      </c>
      <c r="D416" t="s">
        <v>2738</v>
      </c>
    </row>
    <row r="417" spans="1:4">
      <c r="A417">
        <v>441</v>
      </c>
      <c r="B417" s="13">
        <v>45828</v>
      </c>
      <c r="C417" t="s">
        <v>1587</v>
      </c>
      <c r="D417" t="s">
        <v>2739</v>
      </c>
    </row>
    <row r="418" spans="1:4">
      <c r="A418">
        <v>442</v>
      </c>
      <c r="B418" s="13">
        <v>45828</v>
      </c>
      <c r="C418" t="s">
        <v>2740</v>
      </c>
      <c r="D418" t="s">
        <v>2741</v>
      </c>
    </row>
    <row r="419" spans="1:4">
      <c r="A419">
        <v>443</v>
      </c>
      <c r="B419" s="13">
        <v>45828</v>
      </c>
      <c r="C419" t="s">
        <v>1629</v>
      </c>
      <c r="D419" t="s">
        <v>2742</v>
      </c>
    </row>
    <row r="420" spans="1:4">
      <c r="A420">
        <v>444</v>
      </c>
      <c r="B420" s="13">
        <v>45828</v>
      </c>
      <c r="C420" t="s">
        <v>2749</v>
      </c>
      <c r="D420" t="s">
        <v>2750</v>
      </c>
    </row>
    <row r="421" spans="1:4">
      <c r="A421">
        <v>445</v>
      </c>
      <c r="B421" s="13">
        <v>45829</v>
      </c>
      <c r="C421" t="s">
        <v>1635</v>
      </c>
      <c r="D421" t="s">
        <v>2756</v>
      </c>
    </row>
    <row r="422" spans="1:4">
      <c r="A422">
        <v>446</v>
      </c>
      <c r="B422" s="13">
        <v>45829</v>
      </c>
      <c r="C422" t="s">
        <v>2633</v>
      </c>
      <c r="D422" t="s">
        <v>2757</v>
      </c>
    </row>
    <row r="423" spans="1:4">
      <c r="A423">
        <v>447</v>
      </c>
      <c r="B423" s="13">
        <v>45829</v>
      </c>
      <c r="C423" t="s">
        <v>1790</v>
      </c>
      <c r="D423" t="s">
        <v>2760</v>
      </c>
    </row>
    <row r="424" spans="1:4">
      <c r="A424">
        <v>448</v>
      </c>
      <c r="B424" s="13">
        <v>45831</v>
      </c>
      <c r="C424" t="s">
        <v>2761</v>
      </c>
      <c r="D424" t="s">
        <v>2762</v>
      </c>
    </row>
    <row r="425" spans="1:4">
      <c r="A425">
        <v>449</v>
      </c>
      <c r="B425" s="13">
        <v>45831</v>
      </c>
      <c r="C425" t="s">
        <v>2768</v>
      </c>
      <c r="D425" t="s">
        <v>2769</v>
      </c>
    </row>
    <row r="426" spans="1:4">
      <c r="A426">
        <v>450</v>
      </c>
      <c r="B426" s="13">
        <v>45832</v>
      </c>
      <c r="C426" t="s">
        <v>1183</v>
      </c>
      <c r="D426" t="s">
        <v>2775</v>
      </c>
    </row>
    <row r="427" spans="1:4">
      <c r="A427">
        <v>451</v>
      </c>
      <c r="B427" s="13">
        <v>45832</v>
      </c>
      <c r="C427" t="s">
        <v>1629</v>
      </c>
      <c r="D427" t="s">
        <v>2776</v>
      </c>
    </row>
    <row r="428" spans="1:4">
      <c r="A428">
        <v>452</v>
      </c>
      <c r="B428" s="13">
        <v>45832</v>
      </c>
      <c r="C428" t="s">
        <v>2606</v>
      </c>
      <c r="D428" t="s">
        <v>2784</v>
      </c>
    </row>
    <row r="429" spans="1:4">
      <c r="A429">
        <v>453</v>
      </c>
      <c r="B429" s="13">
        <v>45832</v>
      </c>
      <c r="C429" t="s">
        <v>2777</v>
      </c>
      <c r="D429" t="s">
        <v>2785</v>
      </c>
    </row>
    <row r="430" spans="1:4">
      <c r="A430">
        <v>454</v>
      </c>
      <c r="B430" s="13">
        <v>45832</v>
      </c>
      <c r="C430" t="s">
        <v>1790</v>
      </c>
      <c r="D430" t="s">
        <v>2786</v>
      </c>
    </row>
    <row r="431" spans="1:4">
      <c r="A431">
        <v>455</v>
      </c>
      <c r="B431" s="13">
        <v>45832</v>
      </c>
      <c r="C431" t="s">
        <v>1587</v>
      </c>
      <c r="D431" t="s">
        <v>2787</v>
      </c>
    </row>
    <row r="432" spans="1:4">
      <c r="A432">
        <v>456</v>
      </c>
      <c r="B432" s="13">
        <v>45833</v>
      </c>
      <c r="C432" t="s">
        <v>1060</v>
      </c>
      <c r="D432" t="s">
        <v>2794</v>
      </c>
    </row>
    <row r="433" spans="1:4">
      <c r="A433">
        <v>457</v>
      </c>
      <c r="B433" s="13">
        <v>45833</v>
      </c>
      <c r="C433" t="s">
        <v>987</v>
      </c>
      <c r="D433" t="s">
        <v>2795</v>
      </c>
    </row>
    <row r="434" spans="1:4">
      <c r="A434">
        <v>458</v>
      </c>
      <c r="B434" s="13">
        <v>45833</v>
      </c>
      <c r="C434" t="s">
        <v>1979</v>
      </c>
      <c r="D434" t="s">
        <v>2796</v>
      </c>
    </row>
    <row r="435" spans="1:4">
      <c r="A435">
        <v>459</v>
      </c>
      <c r="B435" s="13">
        <v>45833</v>
      </c>
      <c r="C435" t="s">
        <v>1647</v>
      </c>
      <c r="D435" t="s">
        <v>2798</v>
      </c>
    </row>
    <row r="436" spans="1:4">
      <c r="A436">
        <v>460</v>
      </c>
      <c r="B436" s="13">
        <v>45833</v>
      </c>
      <c r="C436" t="s">
        <v>2789</v>
      </c>
      <c r="D436" t="s">
        <v>2799</v>
      </c>
    </row>
    <row r="437" spans="1:4">
      <c r="A437">
        <v>461</v>
      </c>
      <c r="B437" s="13">
        <v>45833</v>
      </c>
      <c r="C437" t="s">
        <v>1069</v>
      </c>
      <c r="D437" t="s">
        <v>2804</v>
      </c>
    </row>
    <row r="438" spans="1:4">
      <c r="A438">
        <v>462</v>
      </c>
      <c r="B438" s="13">
        <v>45833</v>
      </c>
      <c r="C438" t="s">
        <v>1635</v>
      </c>
      <c r="D438" t="s">
        <v>2805</v>
      </c>
    </row>
    <row r="439" spans="1:4">
      <c r="A439">
        <v>463</v>
      </c>
      <c r="B439" s="13">
        <v>45833</v>
      </c>
      <c r="C439" t="s">
        <v>1525</v>
      </c>
      <c r="D439" t="s">
        <v>2811</v>
      </c>
    </row>
    <row r="440" spans="1:4">
      <c r="A440">
        <v>464</v>
      </c>
      <c r="B440" s="13">
        <v>45834</v>
      </c>
      <c r="C440" t="s">
        <v>1515</v>
      </c>
      <c r="D440" t="s">
        <v>2812</v>
      </c>
    </row>
    <row r="441" spans="1:4">
      <c r="A441">
        <v>465</v>
      </c>
      <c r="B441" s="13">
        <v>45834</v>
      </c>
      <c r="C441" t="s">
        <v>1790</v>
      </c>
      <c r="D441" t="s">
        <v>2817</v>
      </c>
    </row>
    <row r="442" spans="1:4">
      <c r="A442">
        <v>466</v>
      </c>
      <c r="B442" s="13">
        <v>45834</v>
      </c>
      <c r="C442" t="s">
        <v>1445</v>
      </c>
      <c r="D442" t="s">
        <v>2818</v>
      </c>
    </row>
    <row r="443" spans="1:4">
      <c r="A443">
        <v>467</v>
      </c>
      <c r="B443" s="13">
        <v>45834</v>
      </c>
      <c r="C443" t="s">
        <v>1445</v>
      </c>
      <c r="D443" t="s">
        <v>2821</v>
      </c>
    </row>
    <row r="444" spans="1:4">
      <c r="A444">
        <v>468</v>
      </c>
      <c r="B444" s="13">
        <v>45834</v>
      </c>
      <c r="C444" t="s">
        <v>1445</v>
      </c>
      <c r="D444" t="s">
        <v>2838</v>
      </c>
    </row>
    <row r="445" spans="1:4">
      <c r="A445">
        <v>469</v>
      </c>
      <c r="B445" s="13">
        <v>45834</v>
      </c>
      <c r="C445" t="s">
        <v>1069</v>
      </c>
      <c r="D445" t="s">
        <v>2841</v>
      </c>
    </row>
    <row r="446" spans="1:4">
      <c r="A446">
        <v>470</v>
      </c>
      <c r="B446" s="13">
        <v>45835</v>
      </c>
      <c r="C446" t="s">
        <v>1424</v>
      </c>
      <c r="D446" t="s">
        <v>2852</v>
      </c>
    </row>
    <row r="447" spans="1:4">
      <c r="A447">
        <v>471</v>
      </c>
      <c r="B447" s="13">
        <v>45835</v>
      </c>
      <c r="C447" t="s">
        <v>1513</v>
      </c>
      <c r="D447" t="s">
        <v>2853</v>
      </c>
    </row>
    <row r="448" spans="1:4">
      <c r="A448">
        <v>472</v>
      </c>
      <c r="B448" s="13">
        <v>45835</v>
      </c>
      <c r="C448" t="s">
        <v>1069</v>
      </c>
      <c r="D448" t="s">
        <v>2855</v>
      </c>
    </row>
    <row r="449" spans="1:4">
      <c r="A449">
        <v>473</v>
      </c>
      <c r="B449" s="13">
        <v>45835</v>
      </c>
      <c r="C449" t="s">
        <v>1626</v>
      </c>
      <c r="D449" t="s">
        <v>2856</v>
      </c>
    </row>
    <row r="450" spans="1:4">
      <c r="A450">
        <v>474</v>
      </c>
      <c r="B450" s="13">
        <v>45835</v>
      </c>
      <c r="C450" t="s">
        <v>1790</v>
      </c>
      <c r="D450" t="s">
        <v>2858</v>
      </c>
    </row>
    <row r="451" spans="1:4">
      <c r="A451">
        <v>475</v>
      </c>
      <c r="B451" s="13">
        <v>45835</v>
      </c>
      <c r="C451" t="s">
        <v>1519</v>
      </c>
      <c r="D451" t="s">
        <v>2859</v>
      </c>
    </row>
    <row r="452" spans="1:4">
      <c r="A452">
        <v>476</v>
      </c>
      <c r="B452" s="13">
        <v>45838</v>
      </c>
      <c r="C452" t="s">
        <v>2393</v>
      </c>
      <c r="D452" t="s">
        <v>2864</v>
      </c>
    </row>
    <row r="453" spans="1:4">
      <c r="A453">
        <v>477</v>
      </c>
      <c r="B453" s="13">
        <v>45838</v>
      </c>
      <c r="C453" t="s">
        <v>1790</v>
      </c>
      <c r="D453" t="s">
        <v>2872</v>
      </c>
    </row>
    <row r="454" spans="1:4">
      <c r="A454">
        <v>478</v>
      </c>
      <c r="B454" s="13">
        <v>45838</v>
      </c>
      <c r="C454" t="s">
        <v>1105</v>
      </c>
      <c r="D454" t="s">
        <v>2875</v>
      </c>
    </row>
    <row r="455" spans="1:4">
      <c r="A455">
        <v>479</v>
      </c>
      <c r="B455" s="13">
        <v>45838</v>
      </c>
      <c r="C455" t="s">
        <v>2865</v>
      </c>
      <c r="D455" t="s">
        <v>2876</v>
      </c>
    </row>
    <row r="456" spans="1:4">
      <c r="A456">
        <v>480</v>
      </c>
      <c r="B456" s="13">
        <v>45838</v>
      </c>
      <c r="C456" t="s">
        <v>1490</v>
      </c>
      <c r="D456" t="s">
        <v>2877</v>
      </c>
    </row>
    <row r="457" spans="1:4">
      <c r="A457">
        <v>481</v>
      </c>
      <c r="B457" s="13">
        <v>45838</v>
      </c>
      <c r="C457" t="s">
        <v>1790</v>
      </c>
      <c r="D457" t="s">
        <v>2878</v>
      </c>
    </row>
    <row r="458" spans="1:4">
      <c r="A458">
        <v>482</v>
      </c>
      <c r="B458" s="13">
        <v>45838</v>
      </c>
      <c r="C458" t="s">
        <v>2066</v>
      </c>
      <c r="D458" t="s">
        <v>2879</v>
      </c>
    </row>
    <row r="459" spans="1:4">
      <c r="A459">
        <v>483</v>
      </c>
      <c r="B459" s="13">
        <v>45838</v>
      </c>
      <c r="C459" t="s">
        <v>1513</v>
      </c>
      <c r="D459" t="s">
        <v>2883</v>
      </c>
    </row>
    <row r="460" spans="1:4">
      <c r="A460">
        <v>484</v>
      </c>
      <c r="B460" s="13">
        <v>45839</v>
      </c>
      <c r="C460" t="s">
        <v>2893</v>
      </c>
      <c r="D460" t="s">
        <v>2894</v>
      </c>
    </row>
    <row r="461" spans="1:4">
      <c r="A461">
        <v>485</v>
      </c>
      <c r="B461" s="13">
        <v>45839</v>
      </c>
      <c r="C461" t="s">
        <v>1525</v>
      </c>
      <c r="D461" t="s">
        <v>2895</v>
      </c>
    </row>
    <row r="462" spans="1:4">
      <c r="A462">
        <v>486</v>
      </c>
      <c r="B462" s="13">
        <v>45839</v>
      </c>
      <c r="C462" t="s">
        <v>1629</v>
      </c>
      <c r="D462" t="s">
        <v>2898</v>
      </c>
    </row>
    <row r="463" spans="1:4">
      <c r="A463">
        <v>487</v>
      </c>
      <c r="B463" s="13">
        <v>45839</v>
      </c>
      <c r="C463" t="s">
        <v>2903</v>
      </c>
      <c r="D463" t="s">
        <v>2906</v>
      </c>
    </row>
    <row r="464" spans="1:4">
      <c r="A464">
        <v>488</v>
      </c>
      <c r="B464" s="13">
        <v>45839</v>
      </c>
      <c r="C464" t="s">
        <v>1490</v>
      </c>
      <c r="D464" t="s">
        <v>2907</v>
      </c>
    </row>
    <row r="465" spans="1:4">
      <c r="A465">
        <v>489</v>
      </c>
      <c r="B465" s="13">
        <v>45840</v>
      </c>
      <c r="C465" t="s">
        <v>2913</v>
      </c>
      <c r="D465" t="s">
        <v>2914</v>
      </c>
    </row>
    <row r="466" spans="1:4">
      <c r="A466">
        <v>490</v>
      </c>
      <c r="B466" s="13">
        <v>45840</v>
      </c>
      <c r="C466" t="s">
        <v>2915</v>
      </c>
      <c r="D466" t="s">
        <v>2919</v>
      </c>
    </row>
    <row r="467" spans="1:4">
      <c r="A467">
        <v>491</v>
      </c>
      <c r="B467" s="13">
        <v>45840</v>
      </c>
      <c r="C467" t="s">
        <v>1629</v>
      </c>
      <c r="D467" t="s">
        <v>2926</v>
      </c>
    </row>
    <row r="468" spans="1:4">
      <c r="A468">
        <v>492</v>
      </c>
      <c r="B468" s="13">
        <v>45840</v>
      </c>
      <c r="C468" t="s">
        <v>2046</v>
      </c>
      <c r="D468" t="s">
        <v>2927</v>
      </c>
    </row>
    <row r="469" spans="1:4">
      <c r="A469">
        <v>493</v>
      </c>
      <c r="B469" s="13">
        <v>45840</v>
      </c>
      <c r="C469" t="s">
        <v>2195</v>
      </c>
      <c r="D469" t="s">
        <v>2928</v>
      </c>
    </row>
    <row r="470" spans="1:4">
      <c r="A470">
        <v>494</v>
      </c>
      <c r="B470" s="13">
        <v>45841</v>
      </c>
      <c r="C470" t="s">
        <v>1060</v>
      </c>
      <c r="D470" t="s">
        <v>2930</v>
      </c>
    </row>
    <row r="471" spans="1:4">
      <c r="A471">
        <v>495</v>
      </c>
      <c r="B471" s="13">
        <v>45841</v>
      </c>
      <c r="C471" t="s">
        <v>2936</v>
      </c>
      <c r="D471" t="s">
        <v>2939</v>
      </c>
    </row>
    <row r="472" spans="1:4">
      <c r="A472">
        <v>496</v>
      </c>
      <c r="B472" s="13">
        <v>45841</v>
      </c>
      <c r="C472" t="s">
        <v>1885</v>
      </c>
      <c r="D472" t="s">
        <v>2940</v>
      </c>
    </row>
    <row r="473" spans="1:4">
      <c r="A473">
        <v>497</v>
      </c>
      <c r="B473" s="13">
        <v>45841</v>
      </c>
      <c r="C473" t="s">
        <v>2362</v>
      </c>
      <c r="D473" t="s">
        <v>2941</v>
      </c>
    </row>
    <row r="474" spans="1:4">
      <c r="A474">
        <v>498</v>
      </c>
      <c r="B474" s="13">
        <v>45841</v>
      </c>
      <c r="C474" t="s">
        <v>1629</v>
      </c>
      <c r="D474" t="s">
        <v>2942</v>
      </c>
    </row>
    <row r="475" spans="1:4">
      <c r="A475">
        <v>499</v>
      </c>
      <c r="B475" s="13">
        <v>45842</v>
      </c>
      <c r="C475" t="s">
        <v>1647</v>
      </c>
      <c r="D475" t="s">
        <v>2956</v>
      </c>
    </row>
    <row r="476" spans="1:4">
      <c r="A476">
        <v>500</v>
      </c>
      <c r="B476" s="13">
        <v>45842</v>
      </c>
      <c r="C476" t="s">
        <v>1629</v>
      </c>
      <c r="D476" t="s">
        <v>2957</v>
      </c>
    </row>
    <row r="477" spans="1:4">
      <c r="A477">
        <v>501</v>
      </c>
      <c r="B477" s="13">
        <v>45842</v>
      </c>
      <c r="C477" t="s">
        <v>1513</v>
      </c>
      <c r="D477" t="s">
        <v>2960</v>
      </c>
    </row>
    <row r="478" spans="1:4">
      <c r="A478">
        <v>502</v>
      </c>
      <c r="B478" s="13">
        <v>45842</v>
      </c>
      <c r="C478" t="s">
        <v>1183</v>
      </c>
      <c r="D478" t="s">
        <v>2962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tabSelected="1"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154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2730</v>
      </c>
      <c r="C3" t="s">
        <v>2731</v>
      </c>
      <c r="F3" t="s">
        <v>2732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2733</v>
      </c>
      <c r="F6" t="s">
        <v>2734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2473</v>
      </c>
      <c r="H13" t="s">
        <v>2474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2634</v>
      </c>
      <c r="F14" t="s">
        <v>2635</v>
      </c>
      <c r="G14" t="s">
        <v>970</v>
      </c>
      <c r="H14" t="s">
        <v>2636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15931000.199999999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2910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2946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2455</v>
      </c>
      <c r="H43" t="s">
        <v>2456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2790</v>
      </c>
      <c r="F44" t="s">
        <v>2791</v>
      </c>
      <c r="G44" t="s">
        <v>970</v>
      </c>
      <c r="H44" t="s">
        <v>2792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2568</v>
      </c>
      <c r="F46" t="s">
        <v>2570</v>
      </c>
      <c r="G46" t="s">
        <v>1218</v>
      </c>
      <c r="H46" t="s">
        <v>2569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2771</v>
      </c>
      <c r="G54" t="s">
        <v>36</v>
      </c>
      <c r="H54" t="s">
        <v>2772</v>
      </c>
      <c r="I54" s="206">
        <f>SUMIF(주문_리스트!C:C,거래처!B54,주문_리스트!K:K)+SUMIF(주문_리스트!C:C,거래처!B54,주문_리스트!L:L)-4015000</f>
        <v>1200000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2743</v>
      </c>
      <c r="D62" t="s">
        <v>2744</v>
      </c>
      <c r="F62" t="s">
        <v>2745</v>
      </c>
      <c r="G62" t="s">
        <v>2746</v>
      </c>
      <c r="H62" t="s">
        <v>2747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2763</v>
      </c>
      <c r="F65" t="s">
        <v>2764</v>
      </c>
      <c r="G65" t="s">
        <v>2765</v>
      </c>
      <c r="H65" t="s">
        <v>2766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2571</v>
      </c>
      <c r="I70" s="206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2637</v>
      </c>
      <c r="F71" t="s">
        <v>2638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1870000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2946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2507</v>
      </c>
      <c r="F91" t="s">
        <v>2508</v>
      </c>
      <c r="G91" t="s">
        <v>2509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2567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2563</v>
      </c>
      <c r="C100" t="s">
        <v>2564</v>
      </c>
      <c r="F100" t="s">
        <v>2565</v>
      </c>
      <c r="G100" t="s">
        <v>2566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2394</v>
      </c>
      <c r="D105" t="s">
        <v>2395</v>
      </c>
      <c r="F105" t="s">
        <v>2396</v>
      </c>
      <c r="G105" t="s">
        <v>2397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2946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2622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2384</v>
      </c>
      <c r="C122" t="s">
        <v>2385</v>
      </c>
      <c r="F122" t="s">
        <v>2386</v>
      </c>
      <c r="G122" t="s">
        <v>2387</v>
      </c>
      <c r="H122" t="s">
        <v>2388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2409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2378</v>
      </c>
      <c r="C137" t="s">
        <v>2379</v>
      </c>
      <c r="F137" t="s">
        <v>2380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2931</v>
      </c>
      <c r="C138" t="s">
        <v>2932</v>
      </c>
      <c r="F138" t="s">
        <v>2933</v>
      </c>
      <c r="G138" t="s">
        <v>2934</v>
      </c>
      <c r="H138" t="s">
        <v>2935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2488</v>
      </c>
      <c r="C139" t="s">
        <v>2489</v>
      </c>
      <c r="F139" t="s">
        <v>2490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2467</v>
      </c>
      <c r="F140" t="s">
        <v>2468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2478</v>
      </c>
      <c r="C141" t="s">
        <v>2479</v>
      </c>
      <c r="F141" t="s">
        <v>2480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2484</v>
      </c>
      <c r="C142" t="s">
        <v>2485</v>
      </c>
      <c r="F142" t="s">
        <v>2486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2495</v>
      </c>
      <c r="C143" t="s">
        <v>2496</v>
      </c>
      <c r="F143" t="s">
        <v>2497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2598</v>
      </c>
      <c r="C144" t="s">
        <v>2599</v>
      </c>
      <c r="F144" t="s">
        <v>2601</v>
      </c>
      <c r="G144" t="s">
        <v>2600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2602</v>
      </c>
      <c r="C145" t="s">
        <v>2586</v>
      </c>
      <c r="F145" t="s">
        <v>2587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2618</v>
      </c>
      <c r="C146" t="s">
        <v>2619</v>
      </c>
      <c r="F146" t="s">
        <v>2620</v>
      </c>
      <c r="G146" t="s">
        <v>970</v>
      </c>
      <c r="H146" t="s">
        <v>2621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2836</v>
      </c>
      <c r="C147" t="s">
        <v>2834</v>
      </c>
      <c r="D147" t="s">
        <v>2837</v>
      </c>
      <c r="F147" t="s">
        <v>2835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2695</v>
      </c>
      <c r="C148" t="s">
        <v>2696</v>
      </c>
      <c r="F148" t="s">
        <v>2697</v>
      </c>
      <c r="G148" t="s">
        <v>984</v>
      </c>
      <c r="H148" t="s">
        <v>2698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2778</v>
      </c>
      <c r="C149" t="s">
        <v>2779</v>
      </c>
      <c r="E149" t="s">
        <v>2780</v>
      </c>
      <c r="F149" t="s">
        <v>2781</v>
      </c>
      <c r="G149" t="s">
        <v>2782</v>
      </c>
      <c r="H149" t="s">
        <v>2783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2865</v>
      </c>
      <c r="C150" t="s">
        <v>2866</v>
      </c>
      <c r="F150" t="s">
        <v>2867</v>
      </c>
      <c r="G150" t="s">
        <v>970</v>
      </c>
      <c r="H150" t="s">
        <v>2868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2903</v>
      </c>
      <c r="C151" t="s">
        <v>2904</v>
      </c>
      <c r="F151" t="s">
        <v>2905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2915</v>
      </c>
      <c r="C152" t="s">
        <v>2916</v>
      </c>
      <c r="F152" t="s">
        <v>2917</v>
      </c>
      <c r="G152" t="s">
        <v>970</v>
      </c>
      <c r="H152" t="s">
        <v>2918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2936</v>
      </c>
      <c r="C153" t="s">
        <v>2937</v>
      </c>
      <c r="F153" t="s">
        <v>2938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2947</v>
      </c>
      <c r="C154" t="s">
        <v>2952</v>
      </c>
      <c r="F154" t="s">
        <v>2953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2652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2655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2842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2846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-21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-43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2595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2714</v>
      </c>
      <c r="D34" s="202" t="s">
        <v>2715</v>
      </c>
      <c r="E34" s="202" t="s">
        <v>2714</v>
      </c>
      <c r="F34" s="52">
        <v>1600000</v>
      </c>
      <c r="I34">
        <f>SUMIF(재고!E:E,제품!D34,재고!H:H)-SUMIF(주문_리스트!E:E,제품!D34,주문_리스트!H:H)</f>
        <v>-1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-28</v>
      </c>
    </row>
    <row r="41" spans="1:9">
      <c r="A41">
        <v>43</v>
      </c>
      <c r="B41">
        <v>2</v>
      </c>
      <c r="D41" s="202" t="s">
        <v>1426</v>
      </c>
      <c r="F41" s="52">
        <v>1000000</v>
      </c>
      <c r="I41">
        <f>SUMIF(재고!E:E,제품!D41,재고!H:H)-SUMIF(주문_리스트!E:E,제품!D41,주문_리스트!H:H)</f>
        <v>-1</v>
      </c>
    </row>
    <row r="42" spans="1:9">
      <c r="A42">
        <v>44</v>
      </c>
      <c r="B42">
        <v>8</v>
      </c>
      <c r="D42" s="202" t="s">
        <v>1516</v>
      </c>
      <c r="F42" s="52">
        <v>10000</v>
      </c>
      <c r="I42">
        <f>SUMIF(재고!E:E,제품!D42,재고!H:H)-SUMIF(주문_리스트!E:E,제품!D42,주문_리스트!H:H)</f>
        <v>-1</v>
      </c>
    </row>
    <row r="43" spans="1:9">
      <c r="A43">
        <v>45</v>
      </c>
      <c r="B43">
        <v>8</v>
      </c>
      <c r="D43" s="202" t="s">
        <v>1526</v>
      </c>
      <c r="F43" s="52">
        <v>140000</v>
      </c>
      <c r="I43">
        <f>SUMIF(재고!E:E,제품!D43,재고!H:H)-SUMIF(주문_리스트!E:E,제품!D43,주문_리스트!H:H)</f>
        <v>-3</v>
      </c>
    </row>
    <row r="44" spans="1:9">
      <c r="A44">
        <v>46</v>
      </c>
      <c r="B44">
        <v>2</v>
      </c>
      <c r="D44" s="202" t="s">
        <v>1532</v>
      </c>
      <c r="F44" s="52">
        <v>1600000</v>
      </c>
      <c r="I44">
        <f>SUMIF(재고!E:E,제품!D44,재고!H:H)-SUMIF(주문_리스트!E:E,제품!D44,주문_리스트!H:H)</f>
        <v>-1</v>
      </c>
    </row>
    <row r="45" spans="1:9">
      <c r="A45">
        <v>47</v>
      </c>
      <c r="B45">
        <v>7</v>
      </c>
      <c r="D45" s="202" t="s">
        <v>2302</v>
      </c>
      <c r="F45" s="52">
        <v>1600000</v>
      </c>
      <c r="I45">
        <f>SUMIF(재고!E:E,제품!D45,재고!H:H)-SUMIF(주문_리스트!E:E,제품!D45,주문_리스트!H:H)</f>
        <v>0</v>
      </c>
    </row>
    <row r="46" spans="1:9">
      <c r="A46">
        <v>48</v>
      </c>
      <c r="B46">
        <v>3</v>
      </c>
      <c r="D46" s="202" t="s">
        <v>2286</v>
      </c>
      <c r="F46" s="52">
        <v>100000</v>
      </c>
      <c r="I46">
        <f>SUMIF(재고!E:E,제품!D46,재고!H:H)-SUMIF(주문_리스트!E:E,제품!D46,주문_리스트!H:H)</f>
        <v>0</v>
      </c>
    </row>
    <row r="47" spans="1:9">
      <c r="A47">
        <v>49</v>
      </c>
      <c r="B47">
        <v>1</v>
      </c>
      <c r="C47" s="203" t="s">
        <v>2882</v>
      </c>
      <c r="D47" s="202" t="s">
        <v>2440</v>
      </c>
      <c r="E47" s="202" t="s">
        <v>2882</v>
      </c>
      <c r="F47" s="52">
        <v>350000</v>
      </c>
      <c r="I47">
        <f>SUMIF(재고!E:E,제품!D47,재고!H:H)-SUMIF(주문_리스트!E:E,제품!D47,주문_리스트!H:H)</f>
        <v>-24</v>
      </c>
    </row>
    <row r="48" spans="1:9">
      <c r="A48">
        <v>50</v>
      </c>
      <c r="D48" s="202" t="s">
        <v>2303</v>
      </c>
      <c r="F48" s="52">
        <v>1600000</v>
      </c>
      <c r="I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I49">
        <f>SUMIF(재고!E:E,제품!D49,재고!H:H)-SUMIF(주문_리스트!E:E,제품!D49,주문_리스트!H:H)</f>
        <v>-1</v>
      </c>
    </row>
    <row r="50" spans="1:9">
      <c r="A50">
        <v>52</v>
      </c>
      <c r="D50" s="202" t="s">
        <v>1565</v>
      </c>
      <c r="F50" s="52">
        <v>20000</v>
      </c>
      <c r="I50">
        <f>SUMIF(재고!E:E,제품!D50,재고!H:H)-SUMIF(주문_리스트!E:E,제품!D50,주문_리스트!H:H)</f>
        <v>-8</v>
      </c>
    </row>
    <row r="51" spans="1:9">
      <c r="A51">
        <v>53</v>
      </c>
      <c r="D51" s="202" t="s">
        <v>1570</v>
      </c>
      <c r="F51" s="52">
        <v>250000</v>
      </c>
      <c r="I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I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I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 s="52" t="s">
        <v>1897</v>
      </c>
      <c r="I55">
        <f>SUMIF(재고!E:E,제품!D55,재고!H:H)-SUMIF(주문_리스트!E:E,제품!D55,주문_리스트!H:H)</f>
        <v>-7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I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I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I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2921</v>
      </c>
      <c r="D59" s="202" t="s">
        <v>2304</v>
      </c>
      <c r="E59" s="202" t="s">
        <v>2921</v>
      </c>
      <c r="F59" s="52">
        <v>1100000</v>
      </c>
      <c r="I59">
        <f>SUMIF(재고!E:E,제품!D59,재고!H:H)-SUMIF(주문_리스트!E:E,제품!D59,주문_리스트!H:H)</f>
        <v>-1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I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2844</v>
      </c>
      <c r="E62" s="202">
        <v>2820403</v>
      </c>
      <c r="F62" s="52">
        <v>800000</v>
      </c>
      <c r="I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2655</v>
      </c>
      <c r="E63" s="202">
        <v>415090409</v>
      </c>
      <c r="F63" s="52">
        <v>510000</v>
      </c>
      <c r="H63" s="52" t="s">
        <v>2656</v>
      </c>
      <c r="I63">
        <f>SUMIF(재고!E:E,제품!D63,재고!H:H)-SUMIF(주문_리스트!E:E,제품!D63,주문_리스트!H:H)</f>
        <v>-12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I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I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I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2287</v>
      </c>
      <c r="E67" s="202">
        <v>50228</v>
      </c>
      <c r="F67" s="52">
        <v>110000</v>
      </c>
      <c r="I67">
        <f>SUMIF(재고!E:E,제품!D67,재고!H:H)-SUMIF(주문_리스트!E:E,제품!D67,주문_리스트!H:H)</f>
        <v>-10</v>
      </c>
    </row>
    <row r="68" spans="1:9">
      <c r="A68">
        <v>71</v>
      </c>
      <c r="B68">
        <v>4</v>
      </c>
      <c r="C68" s="203">
        <v>50229</v>
      </c>
      <c r="D68" s="202" t="s">
        <v>2287</v>
      </c>
      <c r="E68" s="202">
        <v>50229</v>
      </c>
      <c r="F68" s="52">
        <v>75000</v>
      </c>
      <c r="I68">
        <f>SUMIF(재고!E:E,제품!D68,재고!H:H)-SUMIF(주문_리스트!E:E,제품!D68,주문_리스트!H:H)</f>
        <v>-10</v>
      </c>
    </row>
    <row r="69" spans="1:9">
      <c r="A69">
        <v>72</v>
      </c>
      <c r="D69" s="202" t="s">
        <v>1714</v>
      </c>
      <c r="F69" s="52">
        <v>150000</v>
      </c>
      <c r="I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I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I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I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2716</v>
      </c>
      <c r="D73" s="202" t="s">
        <v>2717</v>
      </c>
      <c r="E73" s="202" t="s">
        <v>2716</v>
      </c>
      <c r="F73" s="52">
        <v>1500000</v>
      </c>
      <c r="I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2296</v>
      </c>
      <c r="E74" s="202" t="s">
        <v>1743</v>
      </c>
      <c r="F74" s="52">
        <v>50000</v>
      </c>
      <c r="G74" s="52">
        <v>14500</v>
      </c>
      <c r="I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 s="52" t="s">
        <v>1848</v>
      </c>
      <c r="I75">
        <f>SUMIF(재고!E:E,제품!D75,재고!H:H)-SUMIF(주문_리스트!E:E,제품!D75,주문_리스트!H:H)</f>
        <v>0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 s="52" t="s">
        <v>1843</v>
      </c>
      <c r="I76">
        <f>SUMIF(재고!E:E,제품!D76,재고!H:H)-SUMIF(주문_리스트!E:E,제품!D76,주문_리스트!H:H)</f>
        <v>0</v>
      </c>
    </row>
    <row r="77" spans="1:9">
      <c r="A77">
        <v>80</v>
      </c>
      <c r="D77" s="202" t="s">
        <v>2297</v>
      </c>
      <c r="F77" s="52">
        <v>130000</v>
      </c>
      <c r="G77" s="52">
        <v>53000</v>
      </c>
      <c r="I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 s="52" t="s">
        <v>1777</v>
      </c>
      <c r="I78">
        <f>SUMIF(재고!E:E,제품!D78,재고!H:H)-SUMIF(주문_리스트!E:E,제품!D78,주문_리스트!H:H)</f>
        <v>-6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I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 s="52" t="s">
        <v>1764</v>
      </c>
      <c r="I80">
        <f>SUMIF(재고!E:E,제품!D80,재고!H:H)-SUMIF(주문_리스트!E:E,제품!D80,주문_리스트!H:H)</f>
        <v>-3</v>
      </c>
    </row>
    <row r="81" spans="1:9">
      <c r="A81">
        <v>84</v>
      </c>
      <c r="D81" s="202" t="s">
        <v>2298</v>
      </c>
      <c r="F81" s="52">
        <v>10000</v>
      </c>
      <c r="I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 s="52" t="s">
        <v>1749</v>
      </c>
      <c r="I82">
        <f>SUMIF(재고!E:E,제품!D82,재고!H:H)-SUMIF(주문_리스트!E:E,제품!D82,주문_리스트!H:H)</f>
        <v>0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I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 s="52" t="s">
        <v>1769</v>
      </c>
      <c r="I84">
        <f>SUMIF(재고!E:E,제품!D84,재고!H:H)-SUMIF(주문_리스트!E:E,제품!D84,주문_리스트!H:H)</f>
        <v>0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 s="52" t="s">
        <v>1775</v>
      </c>
      <c r="I85">
        <f>SUMIF(재고!E:E,제품!D85,재고!H:H)-SUMIF(주문_리스트!E:E,제품!D85,주문_리스트!H:H)</f>
        <v>0</v>
      </c>
    </row>
    <row r="86" spans="1:9">
      <c r="A86">
        <v>89</v>
      </c>
      <c r="B86">
        <v>1</v>
      </c>
      <c r="C86" s="203" t="s">
        <v>2923</v>
      </c>
      <c r="D86" s="202" t="s">
        <v>2908</v>
      </c>
      <c r="E86" s="202" t="s">
        <v>2923</v>
      </c>
      <c r="F86" s="52">
        <v>129000</v>
      </c>
      <c r="G86" s="52">
        <v>70000</v>
      </c>
      <c r="I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I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I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I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I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2323</v>
      </c>
      <c r="E91" s="202" t="s">
        <v>1786</v>
      </c>
      <c r="F91" s="52">
        <v>250000</v>
      </c>
      <c r="G91" s="52">
        <v>45000</v>
      </c>
      <c r="H91" s="52" t="s">
        <v>2324</v>
      </c>
      <c r="I91">
        <f>SUMIF(재고!E:E,제품!D91,재고!H:H)-SUMIF(주문_리스트!E:E,제품!D91,주문_리스트!H:H)</f>
        <v>-3</v>
      </c>
    </row>
    <row r="92" spans="1:9">
      <c r="A92">
        <v>95</v>
      </c>
      <c r="B92">
        <v>3</v>
      </c>
      <c r="C92" s="203" t="s">
        <v>1788</v>
      </c>
      <c r="D92" s="202" t="s">
        <v>2280</v>
      </c>
      <c r="E92" s="202" t="s">
        <v>1788</v>
      </c>
      <c r="F92" s="52">
        <v>60000</v>
      </c>
      <c r="G92" s="52">
        <v>40000</v>
      </c>
      <c r="I92">
        <f>SUMIF(재고!E:E,제품!D92,재고!H:H)-SUMIF(주문_리스트!E:E,제품!D92,주문_리스트!H:H)</f>
        <v>-2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I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2288</v>
      </c>
      <c r="E94" s="202" t="s">
        <v>1800</v>
      </c>
      <c r="F94" s="52">
        <v>30000</v>
      </c>
      <c r="G94" s="52">
        <v>16000</v>
      </c>
      <c r="I94">
        <f>SUMIF(재고!E:E,제품!D94,재고!H:H)-SUMIF(주문_리스트!E:E,제품!D94,주문_리스트!H:H)</f>
        <v>-4</v>
      </c>
    </row>
    <row r="95" spans="1:9">
      <c r="A95">
        <v>98</v>
      </c>
      <c r="B95">
        <v>3</v>
      </c>
      <c r="C95" s="203" t="s">
        <v>1802</v>
      </c>
      <c r="D95" s="202" t="s">
        <v>2289</v>
      </c>
      <c r="E95" s="202" t="s">
        <v>1802</v>
      </c>
      <c r="F95" s="52">
        <v>10000</v>
      </c>
      <c r="G95" s="52">
        <v>8500</v>
      </c>
      <c r="H95" s="52" t="s">
        <v>1856</v>
      </c>
      <c r="I95">
        <f>SUMIF(재고!E:E,제품!D95,재고!H:H)-SUMIF(주문_리스트!E:E,제품!D95,주문_리스트!H:H)</f>
        <v>-10</v>
      </c>
    </row>
    <row r="96" spans="1:9">
      <c r="A96">
        <v>99</v>
      </c>
      <c r="B96">
        <v>3</v>
      </c>
      <c r="C96" s="203" t="s">
        <v>1857</v>
      </c>
      <c r="D96" s="202" t="s">
        <v>2290</v>
      </c>
      <c r="E96" s="202" t="s">
        <v>1857</v>
      </c>
      <c r="F96" s="52">
        <v>10000</v>
      </c>
      <c r="G96" s="52">
        <v>5500</v>
      </c>
      <c r="I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I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I98">
        <f>SUMIF(재고!E:E,제품!D98,재고!H:H)-SUMIF(주문_리스트!E:E,제품!D98,주문_리스트!H:H)</f>
        <v>-1</v>
      </c>
    </row>
    <row r="99" spans="1:9">
      <c r="A99">
        <v>102</v>
      </c>
      <c r="B99">
        <v>1</v>
      </c>
      <c r="C99" s="203">
        <v>2810701</v>
      </c>
      <c r="D99" s="202" t="s">
        <v>2629</v>
      </c>
      <c r="E99" s="202">
        <v>2810701</v>
      </c>
      <c r="F99" s="52">
        <v>450000</v>
      </c>
      <c r="G99" s="52">
        <v>250000</v>
      </c>
      <c r="I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 s="52" t="s">
        <v>1808</v>
      </c>
      <c r="I100">
        <f>SUMIF(재고!E:E,제품!D100,재고!H:H)-SUMIF(주문_리스트!E:E,제품!D100,주문_리스트!H:H)</f>
        <v>0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I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 s="52" t="s">
        <v>1811</v>
      </c>
      <c r="I102">
        <f>SUMIF(재고!E:E,제품!D102,재고!H:H)-SUMIF(주문_리스트!E:E,제품!D102,주문_리스트!H:H)</f>
        <v>0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 s="52" t="s">
        <v>1812</v>
      </c>
      <c r="I103">
        <f>SUMIF(재고!E:E,제품!D103,재고!H:H)-SUMIF(주문_리스트!E:E,제품!D103,주문_리스트!H:H)</f>
        <v>0</v>
      </c>
    </row>
    <row r="104" spans="1:9">
      <c r="A104">
        <v>107</v>
      </c>
      <c r="B104">
        <v>3</v>
      </c>
      <c r="C104" s="203" t="s">
        <v>1825</v>
      </c>
      <c r="D104" s="202" t="s">
        <v>2278</v>
      </c>
      <c r="E104" s="202" t="s">
        <v>1825</v>
      </c>
      <c r="F104" s="52">
        <v>50000</v>
      </c>
      <c r="G104" s="52">
        <v>33000</v>
      </c>
      <c r="H104" s="52" t="s">
        <v>1827</v>
      </c>
      <c r="I104">
        <f>SUMIF(재고!E:E,제품!D104,재고!H:H)-SUMIF(주문_리스트!E:E,제품!D104,주문_리스트!H:H)</f>
        <v>-21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I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 s="52" t="s">
        <v>1823</v>
      </c>
      <c r="I106">
        <f>SUMIF(재고!E:E,제품!D106,재고!H:H)-SUMIF(주문_리스트!E:E,제품!D106,주문_리스트!H:H)</f>
        <v>-43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 s="52" t="s">
        <v>1829</v>
      </c>
      <c r="I107">
        <f>SUMIF(재고!E:E,제품!D107,재고!H:H)-SUMIF(주문_리스트!E:E,제품!D107,주문_리스트!H:H)</f>
        <v>0</v>
      </c>
    </row>
    <row r="108" spans="1:9">
      <c r="A108">
        <v>111</v>
      </c>
      <c r="B108">
        <v>14</v>
      </c>
      <c r="C108" s="203">
        <v>501220639</v>
      </c>
      <c r="D108" s="202" t="s">
        <v>2179</v>
      </c>
      <c r="E108" s="202">
        <v>501220639</v>
      </c>
      <c r="F108" s="52">
        <v>250000</v>
      </c>
      <c r="G108" s="52">
        <v>150000</v>
      </c>
      <c r="I108">
        <f>SUMIF(재고!E:E,제품!D108,재고!H:H)-SUMIF(주문_리스트!E:E,제품!D108,주문_리스트!H:H)</f>
        <v>-2</v>
      </c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 s="52" t="s">
        <v>1838</v>
      </c>
      <c r="I109">
        <f>SUMIF(재고!E:E,제품!D109,재고!H:H)-SUMIF(주문_리스트!E:E,제품!D109,주문_리스트!H:H)</f>
        <v>-4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 s="52" t="s">
        <v>1840</v>
      </c>
      <c r="I110">
        <f>SUMIF(재고!E:E,제품!D110,재고!H:H)-SUMIF(주문_리스트!E:E,제품!D110,주문_리스트!H:H)</f>
        <v>-4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I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 s="52" t="s">
        <v>1895</v>
      </c>
      <c r="I112">
        <f>SUMIF(재고!E:E,제품!D112,재고!H:H)-SUMIF(주문_리스트!E:E,제품!D112,주문_리스트!H:H)</f>
        <v>-5</v>
      </c>
    </row>
    <row r="113" spans="1:9">
      <c r="A113">
        <v>116</v>
      </c>
      <c r="B113">
        <v>2</v>
      </c>
      <c r="C113" s="203">
        <v>1087298388</v>
      </c>
      <c r="D113" s="202" t="s">
        <v>2337</v>
      </c>
      <c r="E113" s="202">
        <v>1087298388</v>
      </c>
      <c r="F113" s="52">
        <v>550000</v>
      </c>
      <c r="H113" s="52" t="s">
        <v>2335</v>
      </c>
      <c r="I113">
        <f>SUMIF(재고!E:E,제품!D113,재고!H:H)-SUMIF(주문_리스트!E:E,제품!D113,주문_리스트!H:H)</f>
        <v>-2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 s="52" t="s">
        <v>1899</v>
      </c>
      <c r="I114">
        <f>SUMIF(재고!E:E,제품!D114,재고!H:H)-SUMIF(주문_리스트!E:E,제품!D114,주문_리스트!H:H)</f>
        <v>-5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 s="52" t="s">
        <v>1898</v>
      </c>
      <c r="I115">
        <f>SUMIF(재고!E:E,제품!D115,재고!H:H)-SUMIF(주문_리스트!E:E,제품!D115,주문_리스트!H:H)</f>
        <v>-7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I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H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2655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H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H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H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H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2655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2291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2845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2843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8">
      <c r="A145">
        <v>148</v>
      </c>
      <c r="B145">
        <v>8</v>
      </c>
      <c r="C145" s="203" t="s">
        <v>1996</v>
      </c>
      <c r="D145" s="202" t="s">
        <v>2236</v>
      </c>
      <c r="E145" s="202" t="s">
        <v>1996</v>
      </c>
      <c r="F145" s="52">
        <v>20000</v>
      </c>
      <c r="G145" s="52">
        <v>14500</v>
      </c>
    </row>
    <row r="146" spans="1:8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8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8">
      <c r="A148">
        <v>151</v>
      </c>
      <c r="C148" s="203">
        <v>2830401</v>
      </c>
      <c r="D148" s="202" t="s">
        <v>2310</v>
      </c>
      <c r="E148" s="202">
        <v>2830401</v>
      </c>
      <c r="F148" s="52">
        <v>1100000</v>
      </c>
    </row>
    <row r="149" spans="1:8">
      <c r="A149">
        <v>152</v>
      </c>
      <c r="B149">
        <v>13</v>
      </c>
      <c r="C149" s="203">
        <v>36050661</v>
      </c>
      <c r="D149" s="202" t="s">
        <v>2203</v>
      </c>
      <c r="E149" s="202">
        <v>36050661</v>
      </c>
      <c r="F149" s="52">
        <v>1200000</v>
      </c>
      <c r="G149" s="52">
        <v>440000</v>
      </c>
    </row>
    <row r="150" spans="1:8">
      <c r="A150">
        <v>153</v>
      </c>
      <c r="B150">
        <v>14</v>
      </c>
      <c r="C150" s="203" t="s">
        <v>2720</v>
      </c>
      <c r="D150" s="202" t="s">
        <v>2444</v>
      </c>
      <c r="E150" s="202" t="s">
        <v>2720</v>
      </c>
      <c r="F150" s="52">
        <v>65000</v>
      </c>
      <c r="G150" s="52">
        <v>35000</v>
      </c>
    </row>
    <row r="151" spans="1:8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8">
      <c r="A152">
        <v>155</v>
      </c>
      <c r="B152">
        <v>2</v>
      </c>
      <c r="D152" s="202" t="s">
        <v>2221</v>
      </c>
      <c r="F152" s="52">
        <v>200000</v>
      </c>
    </row>
    <row r="153" spans="1:8">
      <c r="A153">
        <v>156</v>
      </c>
      <c r="B153">
        <v>2</v>
      </c>
      <c r="D153" s="202" t="s">
        <v>2222</v>
      </c>
      <c r="F153" s="52">
        <v>250000</v>
      </c>
    </row>
    <row r="154" spans="1:8">
      <c r="A154">
        <v>157</v>
      </c>
      <c r="B154">
        <v>2</v>
      </c>
      <c r="C154" s="203">
        <v>2830502</v>
      </c>
      <c r="D154" s="202" t="s">
        <v>2847</v>
      </c>
      <c r="E154" s="202">
        <v>2830502</v>
      </c>
      <c r="F154" s="52">
        <v>1650000</v>
      </c>
    </row>
    <row r="155" spans="1:8">
      <c r="A155">
        <v>158</v>
      </c>
      <c r="B155">
        <v>14</v>
      </c>
      <c r="C155" s="203">
        <v>28120505</v>
      </c>
      <c r="D155" s="202" t="s">
        <v>2651</v>
      </c>
      <c r="E155" s="202">
        <v>28120505</v>
      </c>
      <c r="F155" s="52">
        <v>1550000</v>
      </c>
    </row>
    <row r="156" spans="1:8">
      <c r="A156">
        <v>159</v>
      </c>
      <c r="B156">
        <v>4</v>
      </c>
      <c r="D156" s="202" t="s">
        <v>2252</v>
      </c>
      <c r="F156" s="52">
        <v>990000</v>
      </c>
      <c r="G156" s="52">
        <v>940000</v>
      </c>
      <c r="H156" s="52" t="s">
        <v>2854</v>
      </c>
    </row>
    <row r="157" spans="1:8">
      <c r="A157">
        <v>160</v>
      </c>
      <c r="B157">
        <v>3</v>
      </c>
      <c r="D157" s="202" t="s">
        <v>2254</v>
      </c>
      <c r="F157" s="52">
        <v>1000000</v>
      </c>
    </row>
    <row r="158" spans="1:8">
      <c r="A158">
        <v>161</v>
      </c>
      <c r="B158">
        <v>2</v>
      </c>
      <c r="D158" s="202" t="s">
        <v>2256</v>
      </c>
      <c r="F158" s="52">
        <v>1200000</v>
      </c>
    </row>
    <row r="159" spans="1:8">
      <c r="A159">
        <v>162</v>
      </c>
      <c r="C159" s="203">
        <v>2295001282</v>
      </c>
      <c r="D159" s="202" t="s">
        <v>2655</v>
      </c>
      <c r="E159" s="202">
        <v>2295001282</v>
      </c>
      <c r="F159" s="52">
        <v>422000</v>
      </c>
    </row>
    <row r="160" spans="1:8">
      <c r="A160">
        <v>163</v>
      </c>
      <c r="D160" s="202" t="s">
        <v>2719</v>
      </c>
      <c r="F160" s="52">
        <v>500000</v>
      </c>
      <c r="G160" s="52">
        <v>250000</v>
      </c>
    </row>
    <row r="161" spans="1:8">
      <c r="A161">
        <v>164</v>
      </c>
      <c r="D161" s="202" t="s">
        <v>2329</v>
      </c>
      <c r="F161" s="52">
        <v>150000</v>
      </c>
    </row>
    <row r="162" spans="1:8">
      <c r="A162">
        <v>165</v>
      </c>
      <c r="B162">
        <v>6</v>
      </c>
      <c r="D162" s="202" t="s">
        <v>2340</v>
      </c>
      <c r="F162" s="52">
        <v>800000</v>
      </c>
    </row>
    <row r="163" spans="1:8">
      <c r="A163">
        <v>166</v>
      </c>
      <c r="D163" s="202" t="s">
        <v>2346</v>
      </c>
      <c r="F163" s="52">
        <v>900000</v>
      </c>
    </row>
    <row r="164" spans="1:8">
      <c r="A164">
        <v>167</v>
      </c>
      <c r="D164" s="202" t="s">
        <v>2357</v>
      </c>
      <c r="F164" s="52">
        <v>900000</v>
      </c>
      <c r="G164" s="52">
        <v>600000</v>
      </c>
    </row>
    <row r="165" spans="1:8">
      <c r="A165">
        <v>168</v>
      </c>
      <c r="B165">
        <v>14</v>
      </c>
      <c r="C165" s="203">
        <v>1068327224</v>
      </c>
      <c r="D165" s="202" t="s">
        <v>2373</v>
      </c>
      <c r="E165" s="202">
        <v>1068327224</v>
      </c>
      <c r="F165" s="52">
        <v>80000</v>
      </c>
      <c r="G165" s="52">
        <v>45000</v>
      </c>
    </row>
    <row r="166" spans="1:8">
      <c r="A166">
        <v>169</v>
      </c>
      <c r="C166" s="203">
        <v>1087327175</v>
      </c>
      <c r="D166" s="202" t="s">
        <v>2371</v>
      </c>
      <c r="E166" s="202">
        <v>1087327175</v>
      </c>
      <c r="F166" s="52">
        <v>90000</v>
      </c>
      <c r="G166" s="52">
        <v>65000</v>
      </c>
      <c r="H166" s="52" t="s">
        <v>2372</v>
      </c>
    </row>
    <row r="167" spans="1:8">
      <c r="A167">
        <v>170</v>
      </c>
      <c r="B167">
        <v>3</v>
      </c>
      <c r="C167" s="203" t="s">
        <v>2374</v>
      </c>
      <c r="D167" s="202" t="s">
        <v>2375</v>
      </c>
      <c r="E167" s="202" t="s">
        <v>2374</v>
      </c>
      <c r="F167" s="52">
        <v>350000</v>
      </c>
      <c r="G167" s="52">
        <v>155000</v>
      </c>
    </row>
    <row r="168" spans="1:8">
      <c r="A168">
        <v>171</v>
      </c>
      <c r="C168" s="203" t="s">
        <v>2603</v>
      </c>
      <c r="D168" s="202" t="s">
        <v>2604</v>
      </c>
      <c r="E168" s="202" t="s">
        <v>2603</v>
      </c>
      <c r="F168" s="52">
        <v>450000</v>
      </c>
      <c r="G168" s="52">
        <v>260000</v>
      </c>
    </row>
    <row r="169" spans="1:8">
      <c r="A169">
        <v>172</v>
      </c>
      <c r="C169" s="203">
        <v>4150862090</v>
      </c>
      <c r="D169" s="202" t="s">
        <v>2655</v>
      </c>
      <c r="E169" s="202">
        <v>4150862090</v>
      </c>
      <c r="F169" s="52">
        <v>445000</v>
      </c>
    </row>
    <row r="170" spans="1:8">
      <c r="A170">
        <v>173</v>
      </c>
      <c r="B170">
        <v>3</v>
      </c>
      <c r="D170" s="202" t="s">
        <v>2391</v>
      </c>
      <c r="F170" s="52">
        <v>1600000</v>
      </c>
    </row>
    <row r="171" spans="1:8">
      <c r="A171">
        <v>174</v>
      </c>
      <c r="D171" s="202" t="s">
        <v>2420</v>
      </c>
      <c r="F171" s="52">
        <v>1200000</v>
      </c>
    </row>
    <row r="172" spans="1:8">
      <c r="A172">
        <v>175</v>
      </c>
      <c r="D172" s="202" t="s">
        <v>2401</v>
      </c>
      <c r="F172" s="52">
        <v>650000</v>
      </c>
    </row>
    <row r="173" spans="1:8">
      <c r="A173">
        <v>176</v>
      </c>
      <c r="C173" s="203">
        <v>415089709</v>
      </c>
      <c r="D173" s="202" t="s">
        <v>2655</v>
      </c>
      <c r="E173" s="202">
        <v>415089709</v>
      </c>
      <c r="F173" s="52">
        <v>498000</v>
      </c>
    </row>
    <row r="174" spans="1:8">
      <c r="A174">
        <v>177</v>
      </c>
      <c r="B174">
        <v>1</v>
      </c>
      <c r="C174" s="203" t="s">
        <v>2429</v>
      </c>
      <c r="D174" s="202" t="s">
        <v>2430</v>
      </c>
      <c r="E174" s="202" t="s">
        <v>2429</v>
      </c>
      <c r="F174" s="52">
        <v>990000</v>
      </c>
      <c r="G174" s="52">
        <v>900000</v>
      </c>
    </row>
    <row r="175" spans="1:8">
      <c r="A175">
        <v>178</v>
      </c>
      <c r="B175">
        <v>14</v>
      </c>
      <c r="C175" s="203">
        <v>28120411</v>
      </c>
      <c r="D175" s="202" t="s">
        <v>2432</v>
      </c>
      <c r="E175" s="202">
        <v>28120411</v>
      </c>
      <c r="F175" s="52">
        <v>1500000</v>
      </c>
    </row>
    <row r="176" spans="1:8">
      <c r="A176">
        <v>179</v>
      </c>
      <c r="B176">
        <v>9</v>
      </c>
      <c r="C176" s="203">
        <v>1087298437</v>
      </c>
      <c r="D176" s="202" t="s">
        <v>2820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2447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2451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2513</v>
      </c>
      <c r="F179" s="52">
        <v>450000</v>
      </c>
    </row>
    <row r="180" spans="1:7">
      <c r="A180">
        <v>183</v>
      </c>
      <c r="D180" s="202" t="s">
        <v>2514</v>
      </c>
      <c r="F180" s="52">
        <v>600000</v>
      </c>
    </row>
    <row r="181" spans="1:7">
      <c r="A181">
        <v>184</v>
      </c>
      <c r="B181">
        <v>1</v>
      </c>
      <c r="C181" s="203" t="s">
        <v>2516</v>
      </c>
      <c r="D181" s="202" t="s">
        <v>2517</v>
      </c>
      <c r="E181" s="202" t="s">
        <v>2516</v>
      </c>
      <c r="F181" s="52">
        <v>850000</v>
      </c>
      <c r="G181" s="52">
        <v>520000</v>
      </c>
    </row>
    <row r="182" spans="1:7">
      <c r="A182">
        <v>185</v>
      </c>
      <c r="D182" s="202" t="s">
        <v>2521</v>
      </c>
      <c r="F182" s="52">
        <v>200000</v>
      </c>
    </row>
    <row r="183" spans="1:7">
      <c r="A183">
        <v>186</v>
      </c>
      <c r="B183">
        <v>1</v>
      </c>
      <c r="C183" s="203" t="s">
        <v>2534</v>
      </c>
      <c r="D183" s="202" t="s">
        <v>2498</v>
      </c>
      <c r="E183" s="202" t="s">
        <v>2534</v>
      </c>
      <c r="F183" s="52">
        <v>770000</v>
      </c>
    </row>
    <row r="184" spans="1:7">
      <c r="A184">
        <v>187</v>
      </c>
      <c r="B184">
        <v>3</v>
      </c>
      <c r="C184" s="203" t="s">
        <v>2541</v>
      </c>
      <c r="D184" s="202" t="s">
        <v>2542</v>
      </c>
      <c r="E184" s="202" t="s">
        <v>2541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100000</v>
      </c>
      <c r="G185" s="52">
        <v>69000</v>
      </c>
    </row>
    <row r="186" spans="1:7">
      <c r="A186">
        <v>189</v>
      </c>
      <c r="D186" s="202" t="s">
        <v>2581</v>
      </c>
      <c r="F186" s="52">
        <v>850000</v>
      </c>
    </row>
    <row r="187" spans="1:7">
      <c r="A187">
        <v>190</v>
      </c>
      <c r="B187">
        <v>1</v>
      </c>
      <c r="D187" s="202" t="s">
        <v>2630</v>
      </c>
      <c r="F187" s="52">
        <v>500000</v>
      </c>
    </row>
    <row r="188" spans="1:7">
      <c r="A188">
        <v>191</v>
      </c>
      <c r="C188" s="203">
        <v>2463772400</v>
      </c>
      <c r="D188" s="202" t="s">
        <v>2646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2645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2701</v>
      </c>
      <c r="D190" s="202" t="s">
        <v>2702</v>
      </c>
      <c r="E190" s="202" t="s">
        <v>2701</v>
      </c>
      <c r="F190" s="52">
        <v>1000000</v>
      </c>
    </row>
    <row r="191" spans="1:7">
      <c r="A191">
        <v>194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12</v>
      </c>
      <c r="C192" s="203" t="s">
        <v>2758</v>
      </c>
      <c r="D192" s="202" t="s">
        <v>2759</v>
      </c>
      <c r="E192" s="202" t="s">
        <v>2758</v>
      </c>
      <c r="F192" s="52">
        <v>1500000</v>
      </c>
      <c r="G192" s="52">
        <v>1250000</v>
      </c>
    </row>
    <row r="193" spans="1:8">
      <c r="A193">
        <v>195</v>
      </c>
      <c r="B193">
        <v>2</v>
      </c>
      <c r="D193" s="202" t="s">
        <v>2767</v>
      </c>
      <c r="F193" s="52">
        <v>1100000</v>
      </c>
    </row>
    <row r="194" spans="1:8">
      <c r="A194">
        <v>196</v>
      </c>
      <c r="D194" s="202" t="s">
        <v>2797</v>
      </c>
      <c r="F194" s="52">
        <v>1700000</v>
      </c>
    </row>
    <row r="195" spans="1:8">
      <c r="A195">
        <v>197</v>
      </c>
      <c r="C195" s="203" t="s">
        <v>2849</v>
      </c>
      <c r="D195" s="202" t="s">
        <v>2850</v>
      </c>
      <c r="E195" s="202" t="s">
        <v>2849</v>
      </c>
      <c r="F195" s="52">
        <v>400000</v>
      </c>
    </row>
    <row r="196" spans="1:8">
      <c r="A196">
        <v>198</v>
      </c>
      <c r="C196" s="203" t="s">
        <v>2873</v>
      </c>
      <c r="D196" s="202" t="s">
        <v>2874</v>
      </c>
      <c r="E196" s="202" t="s">
        <v>2873</v>
      </c>
      <c r="F196" s="52">
        <v>1500000</v>
      </c>
    </row>
    <row r="197" spans="1:8">
      <c r="A197">
        <v>199</v>
      </c>
      <c r="B197">
        <v>2</v>
      </c>
      <c r="D197" s="202" t="s">
        <v>2892</v>
      </c>
      <c r="F197" s="52">
        <v>150000</v>
      </c>
    </row>
    <row r="198" spans="1:8">
      <c r="A198">
        <v>200</v>
      </c>
      <c r="B198">
        <v>1</v>
      </c>
      <c r="C198" s="203">
        <v>7252703114</v>
      </c>
      <c r="D198" s="202" t="s">
        <v>2922</v>
      </c>
      <c r="E198" s="202">
        <v>7252703114</v>
      </c>
      <c r="F198" s="52">
        <v>198000</v>
      </c>
      <c r="G198" s="52">
        <v>135000</v>
      </c>
    </row>
    <row r="199" spans="1:8">
      <c r="A199">
        <v>201</v>
      </c>
      <c r="B199">
        <v>14</v>
      </c>
      <c r="C199" s="203">
        <v>1094302044</v>
      </c>
      <c r="D199" s="202" t="s">
        <v>2924</v>
      </c>
      <c r="E199" s="202">
        <v>1094302044</v>
      </c>
      <c r="F199" s="52">
        <v>300000</v>
      </c>
      <c r="G199" s="52">
        <v>150000</v>
      </c>
      <c r="H199" s="52" t="s">
        <v>2925</v>
      </c>
    </row>
    <row r="200" spans="1:8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2431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2576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2788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2518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2519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2520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2025-07-04T06:29:38Z</cp:lastPrinted>
  <dcterms:created xsi:type="dcterms:W3CDTF">2020-10-02T11:51:16Z</dcterms:created>
  <dcterms:modified xsi:type="dcterms:W3CDTF">2025-07-04T10:05:18Z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