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84332ED-A038-4A7C-9DD1-A6D07A724619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FastGarage_매출관리" sheetId="55" state="hidden" r:id="rId10"/>
    <sheet name="식비구분" sheetId="51" state="hidden" r:id="rId11"/>
    <sheet name="거래명세서_NEW" sheetId="11" state="hidden" r:id="rId12"/>
    <sheet name="Sheet1" sheetId="26" state="veryHidden" r:id="rId13"/>
    <sheet name="거래내역서" sheetId="34" r:id="rId14"/>
    <sheet name="거래처" sheetId="4" r:id="rId15"/>
    <sheet name="Sheet2" sheetId="27" state="veryHidden" r:id="rId16"/>
    <sheet name="temp" sheetId="30" state="veryHidden" r:id="rId17"/>
    <sheet name="매출" sheetId="32" state="hidden" r:id="rId18"/>
    <sheet name="제품" sheetId="1" r:id="rId19"/>
    <sheet name="재고" sheetId="5" state="hidden" r:id="rId20"/>
    <sheet name="Sheet3" sheetId="28" state="veryHidden" r:id="rId21"/>
    <sheet name="배송" sheetId="14" state="veryHidden" r:id="rId22"/>
    <sheet name="구분" sheetId="13" state="hidden" r:id="rId23"/>
    <sheet name="제품구분" sheetId="10" state="hidden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state="hidden" r:id="rId30"/>
    <sheet name="Sheet6" sheetId="40" r:id="rId31"/>
    <sheet name="Sheet7" sheetId="49" r:id="rId32"/>
    <sheet name="업무일지" sheetId="38" state="hidden" r:id="rId33"/>
  </sheets>
  <functionGroups builtInGroupCount="19">
    <functionGroup name="Commands"/>
  </functionGroups>
  <definedNames>
    <definedName name="_xlnm._FilterDatabase" localSheetId="7" hidden="1">BTS_매출관리!$A$8:$P$179</definedName>
    <definedName name="_xlnm._FilterDatabase" localSheetId="14" hidden="1">거래처!$A$1:$J$224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1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13" i="4" l="1"/>
  <c r="I112" i="4" l="1"/>
  <c r="I114" i="4"/>
  <c r="I115" i="4"/>
  <c r="I116" i="4"/>
  <c r="I154" i="4"/>
  <c r="I41" i="4"/>
  <c r="I49" i="4" l="1"/>
  <c r="I120" i="4"/>
  <c r="I46" i="4"/>
  <c r="J42" i="54"/>
  <c r="K42" i="54" s="1"/>
  <c r="H42" i="54"/>
  <c r="I42" i="54" s="1"/>
  <c r="G42" i="54"/>
  <c r="J38" i="54"/>
  <c r="K38" i="54" s="1"/>
  <c r="G38" i="54"/>
  <c r="H38" i="54" s="1"/>
  <c r="I3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K44" i="54" s="1"/>
  <c r="G44" i="54"/>
  <c r="H44" i="54" s="1"/>
  <c r="I44" i="54" s="1"/>
  <c r="J43" i="54"/>
  <c r="K43" i="54" s="1"/>
  <c r="G43" i="54"/>
  <c r="H43" i="54" s="1"/>
  <c r="I43" i="54" s="1"/>
  <c r="I2" i="4"/>
  <c r="I38" i="4"/>
  <c r="I3" i="4"/>
  <c r="C25" i="53"/>
  <c r="T25" i="53"/>
  <c r="S24" i="53"/>
  <c r="A5" i="55"/>
  <c r="G4" i="55"/>
  <c r="A4" i="55"/>
  <c r="G3" i="55"/>
  <c r="E3" i="55"/>
  <c r="C3" i="55"/>
  <c r="L150" i="54"/>
  <c r="J149" i="54"/>
  <c r="K149" i="54" s="1"/>
  <c r="G149" i="54"/>
  <c r="H149" i="54" s="1"/>
  <c r="I149" i="54" s="1"/>
  <c r="J148" i="54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K143" i="54" s="1"/>
  <c r="G143" i="54"/>
  <c r="H143" i="54" s="1"/>
  <c r="I143" i="54" s="1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H139" i="54" s="1"/>
  <c r="I139" i="54" s="1"/>
  <c r="J138" i="54"/>
  <c r="G138" i="54"/>
  <c r="H138" i="54" s="1"/>
  <c r="I138" i="54" s="1"/>
  <c r="J137" i="54"/>
  <c r="K137" i="54" s="1"/>
  <c r="G137" i="54"/>
  <c r="H137" i="54" s="1"/>
  <c r="I137" i="54" s="1"/>
  <c r="J136" i="54"/>
  <c r="G136" i="54"/>
  <c r="H136" i="54" s="1"/>
  <c r="I136" i="54" s="1"/>
  <c r="J135" i="54"/>
  <c r="G135" i="54"/>
  <c r="H135" i="54" s="1"/>
  <c r="I135" i="54" s="1"/>
  <c r="J134" i="54"/>
  <c r="G134" i="54"/>
  <c r="H134" i="54" s="1"/>
  <c r="I134" i="54" s="1"/>
  <c r="J133" i="54"/>
  <c r="G133" i="54"/>
  <c r="H133" i="54" s="1"/>
  <c r="I133" i="54" s="1"/>
  <c r="J132" i="54"/>
  <c r="G132" i="54"/>
  <c r="H132" i="54" s="1"/>
  <c r="I132" i="54" s="1"/>
  <c r="J131" i="54"/>
  <c r="K131" i="54" s="1"/>
  <c r="G131" i="54"/>
  <c r="H131" i="54" s="1"/>
  <c r="I131" i="54" s="1"/>
  <c r="J130" i="54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K125" i="54" s="1"/>
  <c r="G125" i="54"/>
  <c r="H125" i="54" s="1"/>
  <c r="I125" i="54" s="1"/>
  <c r="J124" i="54"/>
  <c r="G124" i="54"/>
  <c r="H124" i="54" s="1"/>
  <c r="I124" i="54" s="1"/>
  <c r="J123" i="54"/>
  <c r="G123" i="54"/>
  <c r="H123" i="54" s="1"/>
  <c r="I123" i="54" s="1"/>
  <c r="J122" i="54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K119" i="54" s="1"/>
  <c r="G119" i="54"/>
  <c r="H119" i="54" s="1"/>
  <c r="I119" i="54" s="1"/>
  <c r="J118" i="54"/>
  <c r="G118" i="54"/>
  <c r="H118" i="54" s="1"/>
  <c r="I118" i="54" s="1"/>
  <c r="J117" i="54"/>
  <c r="G117" i="54"/>
  <c r="H117" i="54" s="1"/>
  <c r="I117" i="54" s="1"/>
  <c r="J116" i="54"/>
  <c r="G116" i="54"/>
  <c r="H116" i="54" s="1"/>
  <c r="I116" i="54" s="1"/>
  <c r="J115" i="54"/>
  <c r="G115" i="54"/>
  <c r="H115" i="54" s="1"/>
  <c r="I115" i="54" s="1"/>
  <c r="J114" i="54"/>
  <c r="G114" i="54"/>
  <c r="H114" i="54" s="1"/>
  <c r="I114" i="54" s="1"/>
  <c r="J113" i="54"/>
  <c r="K113" i="54" s="1"/>
  <c r="G113" i="54"/>
  <c r="H113" i="54" s="1"/>
  <c r="I113" i="54" s="1"/>
  <c r="J112" i="54"/>
  <c r="G112" i="54"/>
  <c r="H112" i="54" s="1"/>
  <c r="I112" i="54" s="1"/>
  <c r="J111" i="54"/>
  <c r="G111" i="54"/>
  <c r="H111" i="54" s="1"/>
  <c r="I111" i="54" s="1"/>
  <c r="J110" i="54"/>
  <c r="G110" i="54"/>
  <c r="H110" i="54" s="1"/>
  <c r="I110" i="54" s="1"/>
  <c r="J109" i="54"/>
  <c r="G109" i="54"/>
  <c r="H109" i="54" s="1"/>
  <c r="I109" i="54" s="1"/>
  <c r="J108" i="54"/>
  <c r="G108" i="54"/>
  <c r="H108" i="54" s="1"/>
  <c r="I108" i="54" s="1"/>
  <c r="J107" i="54"/>
  <c r="K107" i="54" s="1"/>
  <c r="G107" i="54"/>
  <c r="H107" i="54" s="1"/>
  <c r="I107" i="54" s="1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K101" i="54" s="1"/>
  <c r="G101" i="54"/>
  <c r="H101" i="54" s="1"/>
  <c r="I101" i="54" s="1"/>
  <c r="J100" i="54"/>
  <c r="G100" i="54"/>
  <c r="H100" i="54" s="1"/>
  <c r="I100" i="54" s="1"/>
  <c r="J99" i="54"/>
  <c r="G99" i="54"/>
  <c r="H99" i="54" s="1"/>
  <c r="I99" i="54" s="1"/>
  <c r="J98" i="54"/>
  <c r="G98" i="54"/>
  <c r="H98" i="54" s="1"/>
  <c r="I98" i="54" s="1"/>
  <c r="J97" i="54"/>
  <c r="G97" i="54"/>
  <c r="H97" i="54" s="1"/>
  <c r="I97" i="54" s="1"/>
  <c r="J96" i="54"/>
  <c r="G96" i="54"/>
  <c r="H96" i="54" s="1"/>
  <c r="I96" i="54" s="1"/>
  <c r="J95" i="54"/>
  <c r="K95" i="54" s="1"/>
  <c r="G95" i="54"/>
  <c r="H95" i="54" s="1"/>
  <c r="I95" i="54" s="1"/>
  <c r="J94" i="54"/>
  <c r="G94" i="54"/>
  <c r="H94" i="54" s="1"/>
  <c r="I94" i="54" s="1"/>
  <c r="J93" i="54"/>
  <c r="G93" i="54"/>
  <c r="H93" i="54" s="1"/>
  <c r="I93" i="54" s="1"/>
  <c r="J92" i="54"/>
  <c r="G92" i="54"/>
  <c r="H92" i="54" s="1"/>
  <c r="I92" i="54" s="1"/>
  <c r="J91" i="54"/>
  <c r="G91" i="54"/>
  <c r="H91" i="54" s="1"/>
  <c r="I91" i="54" s="1"/>
  <c r="J90" i="54"/>
  <c r="G90" i="54"/>
  <c r="H90" i="54" s="1"/>
  <c r="I90" i="54" s="1"/>
  <c r="J89" i="54"/>
  <c r="K89" i="54" s="1"/>
  <c r="G89" i="54"/>
  <c r="H89" i="54" s="1"/>
  <c r="I89" i="54" s="1"/>
  <c r="J88" i="54"/>
  <c r="G88" i="54"/>
  <c r="H88" i="54" s="1"/>
  <c r="I88" i="54" s="1"/>
  <c r="J87" i="54"/>
  <c r="G87" i="54"/>
  <c r="H87" i="54" s="1"/>
  <c r="I87" i="54" s="1"/>
  <c r="J86" i="54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K83" i="54" s="1"/>
  <c r="G83" i="54"/>
  <c r="H83" i="54" s="1"/>
  <c r="I83" i="54" s="1"/>
  <c r="J82" i="54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K77" i="54" s="1"/>
  <c r="G77" i="54"/>
  <c r="H77" i="54" s="1"/>
  <c r="I77" i="54" s="1"/>
  <c r="J76" i="54"/>
  <c r="G76" i="54"/>
  <c r="H76" i="54" s="1"/>
  <c r="I76" i="54" s="1"/>
  <c r="J75" i="54"/>
  <c r="G75" i="54"/>
  <c r="H75" i="54" s="1"/>
  <c r="I75" i="54" s="1"/>
  <c r="J74" i="54"/>
  <c r="G74" i="54"/>
  <c r="H74" i="54" s="1"/>
  <c r="I74" i="54" s="1"/>
  <c r="J73" i="54"/>
  <c r="G73" i="54"/>
  <c r="H73" i="54" s="1"/>
  <c r="I73" i="54" s="1"/>
  <c r="J72" i="54"/>
  <c r="G72" i="54"/>
  <c r="H72" i="54" s="1"/>
  <c r="I72" i="54" s="1"/>
  <c r="J71" i="54"/>
  <c r="K71" i="54" s="1"/>
  <c r="G71" i="54"/>
  <c r="H71" i="54" s="1"/>
  <c r="I71" i="54" s="1"/>
  <c r="J70" i="54"/>
  <c r="G70" i="54"/>
  <c r="H70" i="54" s="1"/>
  <c r="I70" i="54" s="1"/>
  <c r="J69" i="54"/>
  <c r="G69" i="54"/>
  <c r="H69" i="54" s="1"/>
  <c r="I69" i="54" s="1"/>
  <c r="J68" i="54"/>
  <c r="G68" i="54"/>
  <c r="H68" i="54" s="1"/>
  <c r="I68" i="54" s="1"/>
  <c r="J67" i="54"/>
  <c r="G67" i="54"/>
  <c r="H67" i="54" s="1"/>
  <c r="I67" i="54" s="1"/>
  <c r="J66" i="54"/>
  <c r="G66" i="54"/>
  <c r="H66" i="54" s="1"/>
  <c r="I66" i="54" s="1"/>
  <c r="J65" i="54"/>
  <c r="K65" i="54" s="1"/>
  <c r="G65" i="54"/>
  <c r="H65" i="54" s="1"/>
  <c r="I65" i="54" s="1"/>
  <c r="J64" i="54"/>
  <c r="G64" i="54"/>
  <c r="H64" i="54" s="1"/>
  <c r="I64" i="54" s="1"/>
  <c r="J63" i="54"/>
  <c r="G63" i="54"/>
  <c r="H63" i="54" s="1"/>
  <c r="I63" i="54" s="1"/>
  <c r="J62" i="54"/>
  <c r="G62" i="54"/>
  <c r="H62" i="54" s="1"/>
  <c r="I62" i="54" s="1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1" i="54"/>
  <c r="K41" i="54" s="1"/>
  <c r="G41" i="54"/>
  <c r="H41" i="54" s="1"/>
  <c r="I41" i="54" s="1"/>
  <c r="J40" i="54"/>
  <c r="K40" i="54" s="1"/>
  <c r="G40" i="54"/>
  <c r="H40" i="54" s="1"/>
  <c r="I40" i="54" s="1"/>
  <c r="J39" i="54"/>
  <c r="K39" i="54" s="1"/>
  <c r="G39" i="54"/>
  <c r="H39" i="54" s="1"/>
  <c r="I39" i="54" s="1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K29" i="54" s="1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H26" i="54" s="1"/>
  <c r="I26" i="54" s="1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K16" i="54" s="1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K8" i="54" s="1"/>
  <c r="G8" i="54"/>
  <c r="H8" i="54" s="1"/>
  <c r="I8" i="54" s="1"/>
  <c r="J7" i="54"/>
  <c r="K7" i="54" s="1"/>
  <c r="G7" i="54"/>
  <c r="H7" i="54" s="1"/>
  <c r="I7" i="54" s="1"/>
  <c r="J6" i="54"/>
  <c r="K6" i="54" s="1"/>
  <c r="G6" i="54"/>
  <c r="H6" i="54" s="1"/>
  <c r="I6" i="54" s="1"/>
  <c r="J5" i="54"/>
  <c r="K5" i="54" s="1"/>
  <c r="G5" i="54"/>
  <c r="H5" i="54" s="1"/>
  <c r="I5" i="54" s="1"/>
  <c r="J4" i="54"/>
  <c r="K4" i="54" s="1"/>
  <c r="G4" i="54"/>
  <c r="H4" i="54" s="1"/>
  <c r="I4" i="54" s="1"/>
  <c r="J3" i="54"/>
  <c r="K3" i="54" s="1"/>
  <c r="G3" i="54"/>
  <c r="H3" i="54" s="1"/>
  <c r="A5" i="33"/>
  <c r="A4" i="33"/>
  <c r="G4" i="33"/>
  <c r="G3" i="33"/>
  <c r="C5" i="55" l="1"/>
  <c r="C4" i="55"/>
  <c r="I3" i="54"/>
  <c r="I150" i="54" s="1"/>
  <c r="H150" i="54"/>
  <c r="K150" i="54"/>
  <c r="J150" i="5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C3" i="33" l="1"/>
  <c r="I57" i="4" l="1"/>
  <c r="I73" i="4"/>
  <c r="I218" i="4"/>
  <c r="I219" i="4"/>
  <c r="I220" i="4"/>
  <c r="I221" i="4"/>
  <c r="I222" i="4"/>
  <c r="I223" i="4"/>
  <c r="I224" i="4"/>
  <c r="I225" i="4"/>
  <c r="I226" i="4"/>
  <c r="I227" i="4"/>
  <c r="I20" i="4"/>
  <c r="I119" i="4"/>
  <c r="I118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4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2" i="4"/>
  <c r="I44" i="4"/>
  <c r="I45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C27" i="11" l="1"/>
  <c r="I28" i="19"/>
  <c r="J28" i="19"/>
  <c r="J4" i="19" s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<sst xmlns="http://schemas.openxmlformats.org/spreadsheetml/2006/main" count="6564" uniqueCount="2963">
  <si>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</si>
  <si>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</si>
  <si>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</si>
  <si>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</si>
  <si>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</si>
  <si>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</si>
  <si>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</si>
  <si>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</si>
  <si>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</si>
  <si>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</si>
  <si>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</si>
  <si>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</si>
  <si>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</si>
  <si>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</si>
  <si>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</si>
  <si>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</si>
  <si>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</si>
  <si>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</si>
  <si>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</si>
  <si>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</si>
  <si>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</si>
  <si>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</si>
  <si>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</si>
  <si>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</si>
  <si>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</si>
  <si>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</si>
  <si>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</si>
  <si>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</si>
  <si>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</si>
  <si>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</si>
  <si>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</si>
  <si>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</si>
  <si>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</si>
  <si>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</si>
  <si>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</si>
  <si>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</si>
  <si>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</si>
  <si>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</si>
  <si>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</si>
  <si>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</si>
  <si>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</si>
  <si>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</si>
  <si>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</si>
  <si>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</si>
  <si>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</si>
  <si>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</si>
  <si>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</si>
  <si>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</si>
  <si>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</si>
  <si>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</si>
  <si>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</si>
  <si>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</si>
  <si>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</si>
  <si>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</si>
  <si>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</si>
  <si>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</si>
  <si>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</si>
  <si>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</si>
  <si>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</si>
  <si>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</si>
  <si>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</si>
  <si>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</si>
  <si>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</si>
  <si>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</si>
  <si>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</si>
  <si>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</si>
  <si>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</si>
  <si>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</si>
  <si>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</si>
  <si>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</si>
  <si>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</si>
  <si>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</si>
  <si>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</si>
  <si>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</si>
  <si>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</si>
  <si>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</si>
  <si>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</si>
  <si>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</si>
  <si>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</si>
  <si>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</si>
  <si>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</si>
  <si>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</si>
  <si>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</si>
  <si>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</si>
  <si>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</si>
  <si>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</si>
  <si>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</si>
  <si>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</si>
  <si>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</si>
  <si>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</si>
  <si>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</si>
  <si>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</si>
  <si>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</si>
  <si>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</si>
  <si>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</si>
  <si>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</si>
  <si>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</si>
  <si>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</si>
  <si>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</si>
  <si>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</si>
  <si>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</si>
  <si>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</si>
  <si>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</si>
  <si>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</si>
  <si>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</si>
  <si>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</si>
  <si>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</si>
  <si>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</si>
  <si>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</si>
  <si>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</si>
  <si>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</si>
  <si>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</si>
  <si>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</si>
  <si>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</si>
  <si>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</si>
  <si>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</si>
  <si>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</si>
  <si>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</si>
  <si>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</si>
  <si>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</si>
  <si>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</si>
  <si>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</si>
  <si>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</si>
  <si>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</si>
  <si>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</si>
  <si>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</si>
  <si>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</si>
  <si>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</si>
  <si>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</si>
  <si>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</si>
  <si>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</si>
  <si>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</si>
  <si>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</si>
  <si>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</si>
  <si>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</si>
  <si>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</si>
  <si>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</si>
  <si>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</si>
  <si>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</si>
  <si>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</si>
  <si>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</si>
  <si>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</si>
  <si>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</si>
  <si>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</si>
  <si>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</si>
  <si>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</si>
  <si>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</si>
  <si>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</si>
  <si>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</si>
  <si>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</si>
  <si>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</si>
  <si>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</si>
  <si>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</si>
  <si>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</si>
  <si>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</si>
  <si>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</si>
  <si>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</si>
  <si>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</si>
  <si>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</si>
  <si>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</si>
  <si>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</si>
  <si>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</si>
  <si>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</si>
  <si>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</si>
  <si>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</si>
  <si>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</si>
  <si>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</si>
  <si>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</si>
  <si>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</si>
  <si>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</si>
  <si>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</si>
  <si>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</si>
  <si>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</si>
  <si>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</si>
  <si>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</si>
  <si>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</si>
  <si>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</si>
  <si>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</si>
  <si>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</si>
  <si>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</si>
  <si>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</si>
  <si>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</si>
  <si>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</si>
  <si>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</si>
  <si>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</si>
  <si>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</si>
  <si>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</si>
  <si>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</si>
  <si>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</si>
  <si>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</si>
  <si>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</si>
  <si>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</si>
  <si>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</si>
  <si>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</si>
  <si>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</si>
  <si>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</si>
  <si>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</si>
  <si>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</si>
  <si>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</si>
  <si>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</si>
  <si>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</si>
  <si>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</si>
  <si>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</si>
  <si>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</si>
  <si>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</si>
  <si>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</si>
  <si>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</si>
  <si>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</si>
  <si>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</si>
  <si>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</si>
  <si>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</si>
  <si>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</si>
  <si>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</si>
  <si>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</si>
  <si>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</si>
  <si>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</si>
  <si>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</si>
  <si>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</si>
  <si>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</si>
  <si>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</si>
  <si>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</si>
  <si>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</si>
  <si>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</si>
  <si>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</si>
  <si>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</si>
  <si>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</si>
  <si>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</si>
  <si>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</si>
  <si>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</si>
  <si>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</si>
  <si>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</si>
  <si>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</si>
  <si>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</si>
  <si>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</si>
  <si>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</si>
  <si>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</si>
  <si>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</si>
  <si>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</si>
  <si>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</si>
  <si>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</si>
  <si>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</si>
  <si>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</si>
  <si>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</si>
  <si>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</si>
  <si>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</si>
  <si>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</si>
  <si>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</si>
  <si>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</si>
  <si>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</si>
  <si>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</si>
  <si>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</si>
  <si>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</si>
  <si>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</si>
  <si>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</si>
  <si>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</si>
  <si>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</si>
  <si>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</si>
  <si>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</si>
  <si>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</si>
  <si>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</si>
  <si>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</si>
  <si>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</si>
  <si>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</si>
  <si>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</si>
  <si>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</si>
  <si>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</si>
  <si>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</si>
  <si>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</si>
  <si>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</si>
  <si>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</si>
  <si>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</si>
  <si>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</si>
  <si>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</si>
  <si>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</si>
  <si>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</si>
  <si>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</si>
  <si>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</si>
  <si>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</si>
  <si>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</si>
  <si>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</si>
  <si>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</si>
  <si>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</si>
  <si>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</si>
  <si>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</si>
  <si>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</si>
  <si>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</si>
  <si>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</si>
  <si>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</si>
  <si>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</si>
  <si>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</si>
  <si>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</si>
  <si>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</si>
  <si>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</si>
  <si>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</si>
  <si>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</si>
  <si>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</si>
  <si>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</si>
  <si>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</si>
  <si>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</si>
  <si>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</si>
  <si>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</si>
  <si>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</si>
  <si>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</si>
  <si>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</si>
  <si>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</si>
  <si>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</si>
  <si>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</si>
  <si>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</si>
  <si>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</si>
  <si>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</si>
  <si>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</si>
  <si>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</si>
  <si>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</si>
  <si>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</si>
  <si>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</si>
  <si>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</si>
  <si>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</si>
  <si>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</si>
  <si>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</si>
  <si>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</si>
  <si>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</si>
  <si>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</si>
  <si>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</si>
  <si>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</si>
  <si>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</si>
  <si>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</si>
  <si>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</si>
  <si>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</si>
  <si>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</si>
  <si>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</si>
  <si>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</si>
  <si>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</si>
  <si>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</si>
  <si>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</si>
  <si>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</si>
  <si>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</si>
  <si>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</si>
  <si>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</si>
  <si>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</si>
  <si>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</si>
  <si>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</si>
  <si>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</si>
  <si>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</si>
  <si>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</si>
  <si>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</si>
  <si>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</si>
  <si>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</si>
  <si>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</si>
  <si>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</si>
  <si>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</si>
  <si>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</si>
  <si>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</si>
  <si>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</si>
  <si>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</si>
  <si>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</si>
  <si>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</si>
  <si>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</si>
  <si>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</si>
  <si>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</si>
  <si>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</si>
  <si>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</si>
  <si>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</si>
  <si>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</si>
  <si>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</si>
  <si>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</si>
  <si>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</si>
  <si>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</si>
  <si>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</si>
  <si>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</si>
  <si>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</si>
  <si>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</si>
  <si>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</si>
  <si>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</si>
  <si>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</si>
  <si>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</si>
  <si>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</si>
  <si>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</si>
  <si>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</si>
  <si>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</si>
  <si>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</si>
  <si>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</si>
  <si>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</si>
  <si>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</si>
  <si>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</si>
  <si>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</si>
  <si>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</si>
  <si>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</si>
  <si>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</si>
  <si>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</si>
  <si>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</si>
  <si>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</si>
  <si>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</si>
  <si>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</si>
  <si>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</si>
  <si>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</si>
  <si>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</si>
  <si>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</si>
  <si>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</si>
  <si>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</si>
  <si>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</si>
  <si>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</si>
  <si>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</si>
  <si>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</si>
  <si>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</si>
  <si>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</si>
  <si>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</si>
  <si>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</si>
  <si>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</si>
  <si>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</si>
  <si>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</si>
  <si>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</si>
  <si>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</si>
  <si>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</si>
  <si>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</si>
  <si>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</si>
  <si>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</si>
  <si>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</si>
  <si>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</si>
  <si>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</si>
  <si>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</si>
  <si>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</si>
  <si>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</si>
  <si>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</si>
  <si>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</si>
  <si>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</si>
  <si>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</si>
  <si>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</si>
  <si>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</si>
  <si>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</si>
  <si>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</si>
  <si>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</si>
  <si>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</si>
  <si>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</si>
  <si>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</si>
  <si>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</si>
  <si>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</si>
  <si>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</si>
  <si>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</si>
  <si>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</si>
  <si>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</si>
  <si>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</si>
  <si>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</si>
  <si>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</si>
  <si>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</si>
  <si>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</si>
  <si>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</si>
  <si>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</si>
  <si>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</si>
  <si>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</si>
  <si>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</si>
  <si>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</si>
  <si>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</si>
  <si>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</si>
  <si>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</si>
  <si>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</si>
  <si>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</si>
  <si>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</si>
  <si>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</si>
  <si>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</si>
  <si>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</si>
  <si>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</si>
  <si>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</si>
  <si>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</si>
  <si>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</si>
  <si>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</si>
  <si>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</si>
  <si>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</si>
  <si>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</si>
  <si>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</si>
  <si>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</si>
  <si>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</si>
  <si>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</si>
  <si>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</si>
  <si>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</si>
  <si>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</si>
  <si>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</si>
  <si>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</si>
  <si>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</si>
  <si>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</si>
  <si>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</si>
  <si>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</si>
  <si>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</si>
  <si>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</si>
  <si>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</si>
  <si>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</si>
  <si>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</si>
  <si>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</si>
  <si>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</si>
  <si>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</si>
  <si>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</si>
  <si>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</si>
  <si>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</si>
  <si>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</si>
  <si>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</si>
  <si>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</si>
  <si>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</si>
  <si>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</si>
  <si>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</si>
  <si>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</si>
  <si>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</si>
  <si>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</si>
  <si>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</si>
  <si>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</si>
  <si>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</si>
  <si>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</si>
  <si>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</si>
  <si>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</si>
  <si>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</si>
  <si>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</si>
  <si>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</si>
  <si>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</si>
  <si>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</si>
  <si>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</si>
  <si>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</si>
  <si>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</si>
  <si>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</si>
  <si>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</si>
  <si>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</si>
  <si>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</si>
  <si>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</si>
  <si>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</si>
  <si>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</si>
  <si>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</si>
  <si>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</si>
  <si>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</si>
  <si>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</si>
  <si>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</si>
  <si>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</si>
  <si>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</si>
  <si>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</si>
  <si>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</si>
  <si>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</si>
  <si>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</si>
  <si>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</si>
  <si>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</si>
  <si>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</si>
  <si>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</si>
  <si>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</si>
  <si>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</si>
  <si>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</si>
  <si>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</si>
  <si>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</si>
  <si>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</si>
  <si>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</si>
  <si>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</si>
  <si>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</si>
  <si>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</si>
  <si>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</si>
  <si>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</si>
  <si>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</si>
  <si>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</si>
  <si>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</si>
  <si>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</si>
  <si>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</si>
  <si>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</si>
  <si>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</si>
  <si>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</si>
  <si>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</si>
  <si>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</si>
  <si>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</si>
  <si>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</si>
  <si>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</si>
  <si>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</si>
  <si>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</si>
  <si>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</si>
  <si>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</si>
  <si>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</si>
  <si>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</si>
  <si>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</si>
  <si>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</si>
  <si>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</si>
  <si>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</si>
  <si>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</si>
  <si>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</si>
  <si>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</si>
  <si>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</si>
  <si>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</si>
  <si>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</si>
  <si>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</si>
  <si>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</si>
  <si>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</si>
  <si>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</si>
  <si>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</si>
  <si>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</si>
  <si>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</si>
  <si>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</si>
  <si>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</si>
  <si>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</si>
  <si>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</si>
  <si>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</si>
  <si>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</si>
  <si>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</si>
  <si>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</si>
  <si>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</si>
  <si>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</si>
  <si>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</si>
  <si>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</si>
  <si>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</si>
  <si>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</si>
  <si>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</si>
  <si>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</si>
  <si>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</si>
  <si>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</si>
  <si>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</si>
  <si>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</si>
  <si>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</si>
  <si>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</si>
  <si>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</si>
  <si>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</si>
  <si>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</si>
  <si>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</si>
  <si>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</si>
  <si>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</si>
  <si>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</si>
  <si>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</si>
  <si>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</si>
  <si>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</si>
  <si>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</si>
  <si>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</si>
  <si>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</si>
  <si>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</si>
  <si>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</si>
  <si>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</si>
  <si>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</si>
  <si>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</si>
  <si>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</si>
  <si>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</si>
  <si>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</si>
  <si>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</si>
  <si>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</si>
  <si>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</si>
  <si>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</si>
  <si>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</si>
  <si>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</si>
  <si>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</si>
  <si>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</si>
  <si>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</si>
  <si>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</si>
  <si>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</si>
  <si>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</si>
  <si>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</si>
  <si>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</si>
  <si>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</si>
  <si>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</si>
  <si>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</si>
  <si>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</si>
  <si>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</si>
  <si>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</si>
  <si>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</si>
  <si>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</si>
  <si>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</si>
  <si>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</si>
  <si>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</si>
  <si>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</si>
  <si>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</si>
  <si>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</si>
  <si>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</si>
  <si>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</si>
  <si>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</si>
  <si>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</si>
  <si>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</si>
  <si>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</si>
  <si>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</si>
  <si>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</si>
  <si>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</si>
  <si>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</si>
  <si>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</si>
  <si>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</si>
  <si>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</si>
  <si>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</si>
  <si>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</si>
  <si>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</si>
  <si>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</si>
  <si>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</si>
  <si>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</si>
  <si>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</si>
  <si>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</si>
  <si>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</si>
  <si>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</si>
  <si>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</si>
  <si>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</si>
  <si>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</si>
  <si>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</si>
  <si>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</si>
  <si>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</si>
  <si>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</si>
  <si>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</si>
  <si>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</si>
  <si>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</si>
  <si>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</si>
  <si>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</si>
  <si>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</si>
  <si>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</si>
  <si>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</si>
  <si>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</si>
  <si>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</si>
  <si>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</si>
  <si>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</si>
  <si>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</si>
  <si>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</si>
  <si>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</si>
  <si>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</si>
  <si>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</si>
  <si>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</si>
  <si>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</si>
  <si>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</si>
  <si>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</si>
  <si>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</si>
  <si>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</si>
  <si>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</si>
  <si>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</si>
  <si>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</si>
  <si>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</si>
  <si>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</si>
  <si>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</si>
  <si>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</si>
  <si>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</si>
  <si>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</si>
  <si>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</si>
  <si>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</si>
  <si>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</si>
  <si>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</si>
  <si>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</si>
  <si>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</si>
  <si>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</si>
  <si>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</si>
  <si>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</si>
  <si>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</si>
  <si>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</si>
  <si>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</si>
  <si>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</si>
  <si>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</si>
  <si>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</si>
  <si>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</si>
  <si>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</si>
  <si>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</si>
  <si>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</si>
  <si>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</si>
  <si>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</si>
  <si>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</si>
  <si>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</si>
  <si>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</si>
  <si>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</si>
  <si>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</si>
  <si>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</si>
  <si>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</si>
  <si>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</si>
  <si>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</si>
  <si>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</si>
  <si>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</si>
  <si>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</si>
  <si>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</si>
  <si>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</si>
  <si>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</si>
  <si>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</si>
  <si>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</si>
  <si>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</si>
  <si>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</si>
  <si>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</si>
  <si>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</si>
  <si>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</si>
  <si>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</si>
  <si>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</si>
  <si>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</si>
  <si>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</si>
  <si>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</si>
  <si>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</si>
  <si>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</si>
  <si>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</si>
  <si>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</si>
  <si>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</si>
  <si>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</si>
  <si>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</si>
  <si>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</si>
  <si>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</si>
  <si>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</si>
  <si>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</si>
  <si>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</si>
  <si>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</si>
  <si>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</si>
  <si>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</si>
  <si>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</si>
  <si>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</si>
  <si>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</si>
  <si>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</si>
  <si>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</si>
  <si>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</si>
  <si>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</si>
  <si>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</si>
  <si>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</si>
  <si>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</si>
  <si>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</si>
  <si>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</si>
  <si>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</si>
  <si>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</si>
  <si>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</si>
  <si>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</si>
  <si>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</si>
  <si>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</si>
  <si>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</si>
  <si>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</si>
  <si>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</si>
  <si>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</si>
  <si>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</si>
  <si>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</si>
  <si>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</si>
  <si>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</si>
  <si>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</si>
  <si>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</si>
  <si>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</si>
  <si>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</si>
  <si>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</si>
  <si>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</si>
  <si>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</si>
  <si>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</si>
  <si>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</si>
  <si>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</si>
  <si>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</si>
  <si>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</si>
  <si>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</si>
  <si>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</si>
  <si>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</si>
  <si>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</si>
  <si>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</si>
  <si>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</si>
  <si>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</si>
  <si>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</si>
  <si>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</si>
  <si>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</si>
  <si>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</si>
  <si>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</si>
  <si>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</si>
  <si>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</si>
  <si>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</si>
  <si>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</si>
  <si>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</si>
  <si>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</si>
  <si>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</si>
  <si>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</si>
  <si>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</si>
  <si>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</si>
  <si>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</si>
  <si>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</si>
  <si>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</si>
  <si>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</si>
  <si>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</si>
  <si>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</si>
  <si>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</si>
  <si>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</si>
  <si>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</si>
  <si>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</si>
  <si>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</si>
  <si>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</si>
  <si>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</si>
  <si>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</si>
  <si>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</si>
  <si>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</si>
  <si>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</si>
  <si>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</si>
  <si>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</si>
  <si>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</si>
  <si>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</si>
  <si>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</si>
  <si>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</si>
  <si>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</si>
  <si>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</si>
  <si>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</si>
  <si>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</si>
  <si>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</si>
  <si>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</si>
  <si>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</si>
  <si>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</si>
  <si>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</si>
  <si>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</si>
  <si>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</si>
  <si>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</si>
  <si>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</si>
  <si>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</si>
  <si>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</si>
  <si>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</si>
  <si>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</si>
  <si>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</si>
  <si>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</si>
  <si>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</si>
  <si>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</si>
  <si>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</si>
  <si>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</si>
  <si>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</si>
  <si>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</si>
  <si>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</si>
  <si>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</si>
  <si>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</si>
  <si>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</si>
  <si>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</si>
  <si>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</si>
  <si>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</si>
  <si>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</si>
  <si>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</si>
  <si>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</si>
  <si>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</si>
  <si>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</si>
  <si>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</si>
  <si>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</si>
  <si>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</si>
  <si>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</si>
  <si>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</si>
  <si>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</si>
  <si>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</si>
  <si>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</si>
  <si>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</si>
  <si>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</si>
  <si>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</si>
  <si>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</si>
  <si>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</si>
  <si>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</si>
  <si>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</si>
  <si>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</si>
  <si>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</si>
  <si>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</si>
  <si>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</si>
  <si>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</si>
  <si>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</si>
  <si>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</si>
  <si>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</si>
  <si>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</si>
  <si>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</si>
  <si>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</si>
  <si>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</si>
  <si>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</si>
  <si>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</si>
  <si>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</si>
  <si>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</si>
  <si>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</si>
  <si>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</si>
  <si>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</si>
  <si>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</si>
  <si>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</si>
  <si>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</si>
  <si>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</si>
  <si>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</si>
  <si>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</si>
  <si>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</si>
  <si>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</si>
  <si>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</si>
  <si>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</si>
  <si>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</si>
  <si>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</si>
  <si>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</si>
  <si>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</si>
  <si>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</si>
  <si>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</si>
  <si>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</si>
  <si>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</si>
  <si>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</si>
  <si>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</si>
  <si>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</si>
  <si>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</si>
  <si>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</si>
  <si>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</si>
  <si>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</si>
  <si>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</si>
  <si>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</si>
  <si>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</si>
  <si>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</si>
  <si>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</si>
  <si>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</si>
  <si>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</si>
  <si>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</si>
  <si>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</si>
  <si>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</si>
  <si>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</si>
  <si>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</si>
  <si>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</si>
  <si>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</si>
  <si>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</si>
  <si>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</si>
  <si>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</si>
  <si>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</si>
  <si>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</si>
  <si>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</si>
  <si>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</si>
  <si>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</si>
  <si>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</si>
  <si>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</si>
  <si>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</si>
  <si>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</si>
  <si>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</si>
  <si>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</si>
  <si>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</si>
  <si>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</si>
  <si>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</si>
  <si>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</si>
  <si>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</si>
  <si>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</si>
  <si>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</si>
  <si>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</si>
  <si>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</si>
  <si>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</si>
  <si>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</si>
  <si>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</si>
  <si>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</si>
  <si>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</si>
  <si>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</si>
  <si>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</si>
  <si>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</si>
  <si>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</si>
  <si>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</si>
  <si>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</si>
  <si>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</si>
  <si>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</si>
  <si>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</si>
  <si>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</si>
  <si>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</si>
  <si>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</si>
  <si>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</si>
  <si>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</si>
  <si>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</si>
  <si>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</si>
  <si>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</si>
  <si>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</si>
  <si>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</si>
  <si>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</si>
  <si>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</si>
  <si>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</si>
  <si>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</si>
  <si>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</si>
  <si>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</si>
  <si>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</si>
  <si>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</si>
  <si>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</si>
  <si>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</si>
  <si>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</si>
  <si>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</si>
  <si>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</si>
  <si>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</si>
  <si>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</si>
  <si>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</si>
  <si>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</si>
  <si>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</si>
  <si>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</si>
  <si>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</si>
  <si>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</si>
  <si>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</si>
  <si>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</si>
  <si>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</si>
  <si>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</si>
  <si>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</si>
  <si>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</si>
  <si>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</si>
  <si>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</si>
  <si>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</si>
  <si>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</si>
  <si>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</si>
  <si>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</si>
  <si>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</si>
  <si>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</si>
  <si>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</si>
  <si>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</si>
  <si>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</si>
  <si>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</si>
  <si>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</si>
  <si>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</si>
  <si>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</si>
  <si>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</si>
  <si>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</si>
  <si>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</si>
  <si>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</si>
  <si>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</si>
  <si>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</si>
  <si>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</si>
  <si>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</si>
  <si>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</si>
  <si>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</si>
  <si>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</si>
  <si>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</si>
  <si>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</si>
  <si>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</si>
  <si>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</si>
  <si>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</si>
  <si>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</si>
  <si>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</si>
  <si>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</si>
  <si>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</si>
  <si>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</si>
  <si>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</si>
  <si>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</si>
  <si>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</si>
  <si>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</si>
  <si>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</si>
  <si>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</si>
  <si>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</si>
  <si>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</si>
  <si>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</si>
  <si>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</si>
  <si>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</si>
  <si>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</si>
  <si>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</si>
  <si>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</si>
  <si>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</si>
  <si>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</si>
  <si>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</si>
  <si>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</si>
  <si>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</si>
  <si>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</si>
  <si>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</si>
  <si>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</si>
  <si>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</si>
  <si>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</si>
  <si>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</si>
  <si>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</si>
  <si>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</si>
  <si>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</si>
  <si>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</si>
  <si>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</si>
  <si>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</si>
  <si>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</si>
  <si>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</si>
  <si>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</si>
  <si>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</si>
  <si>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</si>
  <si>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</si>
  <si>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</si>
  <si>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</si>
  <si>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</si>
  <si>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</si>
  <si>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</si>
  <si>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</si>
  <si>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</si>
  <si>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</si>
  <si>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</si>
  <si>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</si>
  <si>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</si>
  <si>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</si>
  <si>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</si>
  <si>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</si>
  <si>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</si>
  <si>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</si>
  <si>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</si>
  <si>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</si>
  <si>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</si>
  <si>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</si>
  <si>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</si>
  <si>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</si>
  <si>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</si>
  <si>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</si>
  <si>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</si>
  <si>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</si>
  <si>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</si>
  <si>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</si>
  <si>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</si>
  <si>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</si>
  <si>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</si>
  <si>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</si>
  <si>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</si>
  <si>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</si>
  <si>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</si>
  <si>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</si>
  <si>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</si>
  <si>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</si>
  <si>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</si>
  <si>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</si>
  <si>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</si>
  <si>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</si>
  <si>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</si>
  <si>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</si>
  <si>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</si>
  <si>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</si>
  <si>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</si>
  <si>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</si>
  <si>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</si>
  <si>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</si>
  <si>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</si>
  <si>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</si>
  <si>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</si>
  <si>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</si>
  <si>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</si>
  <si>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</si>
  <si>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</si>
  <si>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</si>
  <si>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</si>
  <si>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</si>
  <si>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</si>
  <si>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</si>
  <si>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</si>
  <si>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</si>
  <si>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</si>
  <si>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</si>
  <si>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</si>
  <si>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</si>
  <si>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</si>
  <si>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</si>
  <si>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</si>
  <si>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</si>
  <si>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</si>
  <si>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</si>
  <si>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</si>
  <si>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</si>
  <si>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</si>
  <si>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</si>
  <si>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</si>
  <si>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</si>
  <si>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</si>
  <si>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</si>
  <si>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</si>
  <si>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</si>
  <si>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</si>
  <si>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</si>
  <si>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</si>
  <si>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</si>
  <si>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</si>
  <si>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</si>
  <si>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</si>
  <si>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</si>
  <si>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</si>
  <si>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</si>
  <si>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</si>
  <si>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</si>
  <si>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</si>
  <si>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</si>
  <si>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</si>
  <si>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</si>
  <si>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</si>
  <si>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</si>
  <si>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</si>
  <si>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</si>
  <si>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</si>
  <si>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</si>
  <si>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</si>
  <si>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</si>
  <si>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</si>
  <si>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</si>
  <si>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</si>
  <si>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</si>
  <si>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</si>
  <si>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</si>
  <si>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</si>
  <si>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</si>
  <si>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</si>
  <si>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</si>
  <si>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</si>
  <si>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</si>
  <si>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</si>
  <si>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</si>
  <si>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</si>
  <si>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</si>
  <si>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</si>
  <si>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</si>
  <si>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</si>
  <si>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</si>
  <si>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</si>
  <si>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</si>
  <si>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</si>
  <si>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</si>
  <si>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</si>
  <si>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</si>
  <si>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</si>
  <si>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</si>
  <si>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</si>
  <si>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</si>
  <si>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</si>
  <si>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</si>
  <si>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</si>
  <si>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</si>
  <si>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</si>
  <si>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</si>
  <si>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</si>
  <si>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</si>
  <si>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</si>
  <si>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</si>
  <si>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</si>
  <si>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</si>
  <si>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</si>
  <si>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</si>
  <si>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</si>
  <si>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</si>
  <si>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</si>
  <si>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</si>
  <si>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</si>
  <si>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</si>
  <si>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</si>
  <si>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</si>
  <si>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</si>
  <si>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</si>
  <si>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</si>
  <si>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</si>
  <si>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</si>
  <si>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</si>
  <si>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</si>
  <si>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</si>
  <si>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</si>
  <si>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</si>
  <si>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</si>
  <si>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</si>
  <si>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</si>
  <si>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</si>
  <si>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</si>
  <si>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</si>
  <si>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</si>
  <si>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</si>
  <si>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</si>
  <si>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</si>
  <si>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</si>
  <si>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</si>
  <si>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</si>
  <si>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</si>
  <si>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</si>
  <si>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</si>
  <si>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</si>
  <si>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</si>
  <si>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</si>
  <si>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</si>
  <si>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</si>
  <si>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</si>
  <si>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</si>
  <si>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</si>
  <si>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</si>
  <si>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</si>
  <si>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</si>
  <si>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</si>
  <si>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</si>
  <si>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</si>
  <si>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</si>
  <si>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</si>
  <si>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</si>
  <si>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</si>
  <si>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</si>
  <si>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</si>
  <si>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</si>
  <si>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</si>
  <si>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</si>
  <si>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</si>
  <si>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</si>
  <si>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</si>
  <si>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</si>
  <si>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</si>
  <si>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</si>
  <si>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</si>
  <si>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</si>
  <si>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</si>
  <si>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</si>
  <si>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</si>
  <si>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</si>
  <si>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</si>
  <si>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</si>
  <si>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</si>
  <si>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</si>
  <si>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</si>
  <si>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</si>
  <si>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</si>
  <si>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</si>
  <si>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</si>
  <si>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</si>
  <si>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</si>
  <si>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</si>
  <si>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</si>
  <si>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</si>
  <si>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</si>
  <si>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</si>
  <si>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</si>
  <si>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</si>
  <si>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</si>
  <si>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</si>
  <si>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</si>
  <si>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</si>
  <si>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</si>
  <si>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</si>
  <si>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</si>
  <si>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</si>
  <si>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</si>
  <si>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</si>
  <si>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</si>
  <si>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</si>
  <si>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</si>
  <si>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</si>
  <si>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</si>
  <si>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</si>
  <si>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</si>
  <si>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</si>
  <si>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</si>
  <si>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</si>
  <si>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</si>
  <si>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</si>
  <si>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</si>
  <si>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</si>
  <si>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</si>
  <si>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</si>
  <si>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</si>
  <si>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</si>
  <si>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</si>
  <si>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</si>
  <si>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</si>
  <si>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</si>
  <si>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</si>
  <si>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</si>
  <si>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</si>
  <si>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</si>
  <si>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</si>
  <si>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</si>
  <si>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</si>
  <si>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</si>
  <si>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</si>
  <si>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</si>
  <si>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</si>
  <si>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</si>
  <si>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</si>
  <si>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</si>
  <si>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</si>
  <si>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</si>
  <si>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</si>
  <si>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</si>
  <si>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</si>
  <si>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</si>
  <si>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</si>
  <si>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</si>
  <si>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</si>
  <si>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</si>
  <si>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</si>
  <si>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</si>
  <si>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</si>
  <si>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</si>
  <si>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</si>
  <si>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</si>
  <si>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</si>
  <si>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</si>
  <si>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</si>
  <si>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</si>
  <si>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</si>
  <si>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</si>
  <si>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</si>
  <si>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</si>
  <si>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</si>
  <si>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</si>
  <si>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</si>
  <si>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</si>
  <si>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</si>
  <si>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</si>
  <si>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</si>
  <si>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</si>
  <si>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</si>
  <si>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</si>
  <si>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</si>
  <si>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</si>
  <si>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</si>
  <si>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</si>
  <si>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</si>
  <si>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</si>
  <si>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</si>
  <si>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</si>
  <si>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</si>
  <si>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</si>
  <si>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</si>
  <si>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</si>
  <si>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</si>
  <si>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</si>
  <si>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</si>
  <si>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</si>
  <si>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</si>
  <si>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</si>
  <si>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</si>
  <si>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</si>
  <si>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</si>
  <si>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</si>
  <si>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</si>
  <si>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</si>
  <si>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</si>
  <si>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</si>
  <si>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</si>
  <si>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</si>
  <si>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</si>
  <si>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</si>
  <si>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</si>
  <si>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</si>
  <si>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</si>
  <si>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</si>
  <si>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</si>
  <si>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</si>
  <si>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</si>
  <si>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</si>
  <si>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</si>
  <si>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</si>
  <si>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</si>
  <si>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</si>
  <si>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</si>
  <si>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</si>
  <si>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</si>
  <si>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</si>
  <si>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</si>
  <si>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</si>
  <si>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</si>
  <si>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</si>
  <si>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</si>
  <si>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</si>
  <si>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</si>
  <si>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</si>
  <si>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</si>
  <si>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</si>
  <si>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</si>
  <si>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</si>
  <si>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</si>
  <si>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</si>
  <si>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</si>
  <si>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</si>
  <si>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</si>
  <si>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</si>
  <si>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</si>
  <si>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</si>
  <si>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</si>
  <si>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</si>
  <si>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</si>
  <si>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</si>
  <si>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</si>
  <si>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</si>
  <si>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</si>
  <si>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</si>
  <si>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</si>
  <si>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</si>
  <si>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</si>
  <si>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</si>
  <si>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</si>
  <si>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</si>
  <si>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</si>
  <si>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</si>
  <si>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</si>
  <si>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</si>
  <si>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</si>
  <si>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</si>
  <si>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</si>
  <si>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</si>
  <si>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</si>
  <si>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</si>
  <si>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</si>
  <si>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</si>
  <si>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</si>
  <si>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</si>
  <si>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</si>
  <si>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</si>
  <si>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</si>
  <si>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</si>
  <si>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</si>
  <si>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</si>
  <si>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</si>
  <si>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</si>
  <si>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</si>
  <si>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</si>
  <si>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</si>
  <si>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</si>
  <si>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</si>
  <si>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</si>
  <si>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</si>
  <si>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</si>
  <si>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</si>
  <si>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</si>
  <si>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</si>
  <si>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</si>
  <si>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</si>
  <si>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</si>
  <si>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</si>
  <si>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</si>
  <si>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</si>
  <si>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</si>
  <si>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</si>
  <si>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</si>
  <si>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</si>
  <si>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</si>
  <si>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</si>
  <si>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</si>
  <si>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</si>
  <si>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</si>
  <si>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</si>
  <si>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</si>
  <si>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</si>
  <si>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</si>
  <si>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</si>
  <si>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</si>
  <si>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</si>
  <si>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</si>
  <si>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</si>
  <si>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</si>
  <si>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</si>
  <si>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</si>
  <si>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</si>
  <si>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</si>
  <si>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</si>
  <si>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</si>
  <si>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</si>
  <si>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</si>
  <si>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</si>
  <si>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</si>
  <si>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</si>
  <si>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</si>
  <si>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</si>
  <si>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</si>
  <si>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</si>
  <si>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</si>
  <si>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</si>
  <si>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</si>
  <si>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</si>
  <si>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</si>
  <si>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</si>
  <si>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</si>
  <si>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</si>
  <si>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</si>
  <si>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</si>
  <si>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</si>
  <si>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</si>
  <si>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</si>
  <si>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</si>
  <si>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</si>
  <si>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</si>
  <si>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</si>
  <si>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</si>
  <si>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</si>
  <si>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</si>
  <si>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</si>
  <si>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</si>
  <si>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</si>
  <si>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</si>
  <si>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</si>
  <si>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</si>
  <si>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</si>
  <si>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</si>
  <si>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</si>
  <si>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</si>
  <si>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</si>
  <si>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</si>
  <si>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</si>
  <si>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</si>
  <si>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</si>
  <si>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</si>
  <si>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</si>
  <si>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</si>
  <si>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</si>
  <si>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</si>
  <si>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</si>
  <si>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</si>
  <si>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</si>
  <si>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</si>
  <si>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</si>
  <si>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</si>
  <si>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</si>
  <si>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</si>
  <si>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</si>
  <si>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</si>
  <si>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</si>
  <si>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</si>
  <si>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</si>
  <si>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</si>
  <si>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</si>
  <si>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</si>
  <si>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</si>
  <si>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</si>
  <si>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</si>
  <si>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</si>
  <si>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</si>
  <si>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</si>
  <si>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</si>
  <si>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</si>
  <si>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</si>
  <si>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</si>
  <si>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</si>
  <si>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</si>
  <si>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</si>
  <si>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</si>
  <si>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</si>
  <si>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</si>
  <si>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</si>
  <si>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</si>
  <si>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</si>
  <si>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</si>
  <si>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</si>
  <si>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</si>
  <si>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</si>
  <si>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</si>
  <si>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</si>
  <si>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</si>
  <si>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</si>
  <si>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</si>
  <si>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</si>
  <si>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</si>
  <si>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</si>
  <si>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</si>
  <si>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</si>
  <si>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</si>
  <si>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</si>
  <si>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</si>
  <si>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</si>
  <si>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</si>
  <si>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</si>
  <si>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</si>
  <si>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</si>
  <si>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</si>
  <si>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</si>
  <si>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</si>
  <si>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</si>
  <si>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</si>
  <si>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</si>
  <si>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</si>
  <si>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</si>
  <si>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</si>
  <si>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</si>
  <si>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</si>
  <si>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</si>
  <si>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</si>
  <si>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</si>
  <si>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</si>
  <si>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</si>
  <si>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</si>
  <si>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</si>
  <si>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</si>
  <si>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</si>
  <si>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</si>
  <si>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</si>
  <si>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</si>
  <si>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</si>
  <si>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</si>
  <si>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</si>
  <si>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</si>
  <si>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</si>
  <si>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</si>
  <si>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</si>
  <si>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</si>
  <si>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</si>
  <si>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</si>
  <si>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</si>
  <si>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</si>
  <si>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</si>
  <si>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</si>
  <si>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</si>
  <si>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</si>
  <si>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</si>
  <si>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</si>
  <si>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</si>
  <si>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</si>
  <si>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</si>
  <si>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</si>
  <si>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</si>
  <si>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</si>
  <si>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</si>
  <si>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</si>
  <si>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</si>
  <si>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</si>
  <si>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</si>
  <si>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</si>
  <si>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</si>
  <si>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</si>
  <si>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</si>
  <si>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</si>
  <si>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</si>
  <si>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</si>
  <si>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</si>
  <si>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</si>
  <si>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</si>
  <si>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</si>
  <si>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</si>
  <si>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</si>
  <si>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</si>
  <si>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</si>
  <si>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</si>
  <si>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</si>
  <si>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</si>
  <si>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</si>
  <si>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</si>
  <si>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</si>
  <si>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</si>
  <si>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</si>
  <si>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</si>
  <si>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</si>
  <si>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</si>
  <si>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</si>
  <si>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</si>
  <si>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</si>
  <si>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</si>
  <si>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</si>
  <si>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</si>
  <si>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</si>
  <si>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</si>
  <si>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</si>
  <si>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</si>
  <si>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</si>
  <si>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</si>
  <si>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</si>
  <si>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</si>
  <si>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</si>
  <si>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</si>
  <si>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</si>
  <si>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</si>
  <si>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</si>
  <si>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</si>
  <si>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</si>
  <si>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</si>
  <si>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</si>
  <si>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</si>
  <si>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</si>
  <si>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</si>
  <si>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</si>
  <si>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</si>
  <si>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</si>
  <si>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</si>
  <si>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</si>
  <si>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</si>
  <si>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</si>
  <si>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</si>
  <si>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</si>
  <si>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</si>
  <si>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</si>
  <si>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</si>
  <si>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</si>
  <si>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</si>
  <si>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</si>
  <si>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</si>
  <si>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</si>
  <si>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</si>
  <si>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</si>
  <si>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</si>
  <si>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</si>
  <si>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</si>
  <si>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</si>
  <si>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</si>
  <si>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</si>
  <si>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</si>
  <si>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</si>
  <si>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</si>
  <si>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</si>
  <si>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</si>
  <si>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</si>
  <si>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</si>
  <si>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</si>
  <si>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</si>
  <si>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</si>
  <si>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</si>
  <si>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</si>
  <si>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</si>
  <si>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</si>
  <si>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</si>
  <si>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</si>
  <si>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</si>
  <si>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</si>
  <si>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</si>
  <si>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</si>
  <si>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</si>
  <si>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</si>
  <si>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</si>
  <si>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</si>
  <si>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</si>
  <si>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</si>
  <si>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</si>
  <si>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</si>
  <si>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</si>
  <si>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</si>
  <si>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</si>
  <si>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</si>
  <si>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</si>
  <si>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</si>
  <si>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</si>
  <si>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</si>
  <si>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</si>
  <si>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</si>
  <si>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</si>
  <si>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</si>
  <si>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</si>
  <si>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</si>
  <si>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</si>
  <si>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</si>
  <si>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</si>
  <si>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</si>
  <si>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</si>
  <si>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</si>
  <si>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</si>
  <si>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</si>
  <si>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</si>
  <si>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</si>
  <si>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</si>
  <si>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</si>
  <si>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</si>
  <si>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</si>
  <si>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</si>
  <si>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</si>
  <si>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</si>
  <si>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</si>
  <si>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</si>
  <si>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</si>
  <si>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</si>
  <si>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</si>
  <si>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</si>
  <si>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</si>
  <si>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</si>
  <si>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</si>
  <si>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</si>
  <si>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</si>
  <si>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</si>
  <si>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</si>
  <si>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</si>
  <si>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</si>
  <si>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</si>
  <si>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</si>
  <si>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</si>
  <si>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</si>
  <si>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</si>
  <si>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</si>
  <si>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</si>
  <si>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</si>
  <si>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</si>
  <si>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</si>
  <si>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</si>
  <si>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</si>
  <si>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</si>
  <si>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</si>
  <si>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</si>
  <si>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</si>
  <si>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</si>
  <si>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</si>
  <si>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</si>
  <si>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</si>
  <si>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</si>
  <si>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</si>
  <si>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</si>
  <si>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</si>
  <si>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</si>
  <si>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</si>
  <si>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</si>
  <si>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</si>
  <si>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</si>
  <si>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</si>
  <si>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</si>
  <si>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</si>
  <si>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</si>
  <si>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</si>
  <si>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</si>
  <si>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</si>
  <si>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</si>
  <si>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</si>
  <si>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</si>
  <si>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</si>
  <si>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</si>
  <si>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</si>
  <si>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</si>
  <si>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</si>
  <si>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</si>
  <si>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</si>
  <si>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</si>
  <si>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</si>
  <si>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</si>
  <si>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</si>
  <si>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</si>
  <si>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</si>
  <si>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</si>
  <si>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</si>
  <si>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</si>
  <si>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</si>
  <si>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</si>
  <si>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</si>
  <si>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</si>
  <si>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</si>
  <si>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</si>
  <si>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</si>
  <si>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</si>
  <si>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</si>
  <si>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</si>
  <si>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</si>
  <si>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</si>
  <si>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</si>
  <si>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</si>
  <si>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</si>
  <si>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</si>
  <si>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</si>
  <si>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</si>
  <si>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</si>
  <si>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</si>
  <si>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</si>
  <si>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</si>
  <si>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</si>
  <si>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</si>
  <si>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</si>
  <si>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</si>
  <si>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</si>
  <si>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</si>
  <si>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</si>
  <si>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</si>
  <si>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</si>
  <si>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</si>
  <si>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</si>
  <si>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</si>
  <si>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</si>
  <si>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</si>
  <si>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</si>
  <si>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</si>
  <si>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</si>
  <si>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</si>
  <si>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</si>
  <si>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</si>
  <si>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</si>
  <si>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</si>
  <si>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</si>
  <si>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</si>
  <si>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</si>
  <si>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</si>
  <si>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</si>
  <si>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</si>
  <si>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</si>
  <si>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</si>
  <si>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</si>
  <si>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</si>
  <si>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</si>
  <si>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</si>
  <si>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</si>
  <si>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</si>
  <si>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</si>
  <si>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</si>
  <si>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</si>
  <si>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</si>
  <si>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</si>
  <si>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</si>
  <si>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</si>
  <si>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</si>
  <si>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</si>
  <si>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</si>
  <si>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</si>
  <si>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</si>
  <si>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</si>
  <si>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</si>
  <si>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</si>
  <si>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</si>
  <si>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</si>
  <si>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</si>
  <si>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</si>
  <si>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</si>
  <si>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</si>
  <si>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</si>
  <si>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</si>
  <si>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</si>
  <si>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</si>
  <si>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</si>
  <si>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</si>
  <si>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</si>
  <si>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</si>
  <si>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</si>
  <si>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</si>
  <si>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</si>
  <si>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</si>
  <si>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</si>
  <si>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</si>
  <si>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</si>
  <si>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</si>
  <si>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</si>
  <si>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</si>
  <si>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</si>
  <si>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</si>
  <si>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</si>
  <si>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</si>
  <si>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</si>
  <si>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</si>
  <si>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</si>
  <si>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</si>
  <si>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</si>
  <si>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</si>
  <si>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</si>
  <si>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</si>
  <si>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</si>
  <si>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</si>
  <si>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</si>
  <si>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</si>
  <si>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</si>
  <si>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</si>
  <si>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</si>
  <si>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</si>
  <si>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</si>
  <si>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</si>
  <si>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</si>
  <si>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</si>
  <si>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</si>
  <si>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</si>
  <si>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</si>
  <si>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</si>
  <si>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</si>
  <si>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</si>
  <si>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</si>
  <si>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</si>
  <si>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</si>
  <si>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</si>
  <si>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</si>
  <si>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</si>
  <si>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</si>
  <si>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</si>
  <si>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</si>
  <si>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</si>
  <si>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</si>
  <si>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</si>
  <si>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</si>
  <si>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</si>
  <si>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</si>
  <si>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</si>
  <si>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</si>
  <si>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</si>
  <si>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</si>
  <si>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</si>
  <si>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</si>
  <si>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</si>
  <si>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</si>
  <si>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</si>
  <si>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</si>
  <si>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</si>
  <si>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</si>
  <si>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</si>
  <si>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</si>
  <si>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</si>
  <si>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</si>
  <si>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</si>
  <si>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</si>
  <si>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</si>
  <si>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</si>
  <si>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</si>
  <si>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</si>
  <si>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</si>
  <si>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</si>
  <si>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</si>
  <si>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</si>
  <si>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</si>
  <si>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</si>
  <si>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</si>
  <si>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</si>
  <si>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</si>
  <si>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</si>
  <si>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</si>
  <si>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</si>
  <si>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</si>
  <si>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</si>
  <si>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</si>
  <si>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</si>
  <si>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</si>
  <si>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</si>
  <si>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</si>
  <si>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</si>
  <si>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</si>
  <si>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</si>
  <si>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</si>
  <si>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</si>
  <si>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</si>
  <si>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</si>
  <si>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</si>
  <si>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</si>
  <si>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</si>
  <si>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</si>
  <si>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</si>
  <si>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</si>
  <si>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</si>
  <si>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</si>
  <si>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</si>
  <si>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</si>
  <si>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</si>
  <si>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</si>
  <si>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</si>
  <si>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</si>
  <si>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</si>
  <si>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</si>
  <si>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</si>
  <si>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</si>
  <si>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</si>
  <si>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</si>
  <si>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</si>
  <si>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</si>
  <si>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</si>
  <si>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</si>
  <si>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</si>
  <si>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</si>
  <si>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</si>
  <si>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</si>
  <si>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</si>
  <si>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</si>
  <si>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</si>
  <si>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</si>
  <si>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</si>
  <si>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</si>
  <si>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</si>
  <si>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</si>
  <si>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</si>
  <si>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</si>
  <si>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</si>
  <si>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</si>
  <si>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</si>
  <si>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</si>
  <si>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</si>
  <si>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</si>
  <si>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</si>
  <si>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</si>
  <si>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</si>
  <si>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</si>
  <si>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</si>
  <si>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</si>
  <si>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</si>
  <si>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</si>
  <si>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</si>
  <si>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</si>
  <si>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</si>
  <si>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</si>
  <si>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</si>
  <si>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</si>
  <si>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</si>
  <si>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</si>
  <si>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</si>
  <si>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</si>
  <si>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</si>
  <si>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</si>
  <si>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</si>
  <si>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</si>
  <si>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</si>
  <si>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</si>
  <si>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</si>
  <si>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</si>
  <si>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</si>
  <si>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</si>
  <si>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</si>
  <si>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</si>
  <si>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</si>
  <si>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</si>
  <si>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</si>
  <si>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</si>
  <si>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</si>
  <si>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</si>
  <si>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</si>
  <si>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</si>
  <si>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</si>
  <si>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</si>
  <si>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</si>
  <si>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</si>
  <si>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</si>
  <si>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</si>
  <si>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</si>
  <si>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</si>
  <si>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</si>
  <si>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</si>
  <si>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</si>
  <si>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</si>
  <si>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</si>
  <si>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</si>
  <si>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</si>
  <si>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</si>
  <si>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</si>
  <si>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</si>
  <si>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</si>
  <si>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</si>
  <si>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</si>
  <si>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</si>
  <si>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</si>
  <si>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</si>
  <si>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</si>
  <si>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</si>
  <si>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</si>
  <si>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</si>
  <si>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</si>
  <si>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</si>
  <si>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</si>
  <si>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</si>
  <si>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</si>
  <si>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</si>
  <si>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</si>
  <si>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</si>
  <si>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</si>
  <si>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</si>
  <si>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</si>
  <si>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</si>
  <si>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</si>
  <si>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</si>
  <si>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</si>
  <si>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</si>
  <si>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</si>
  <si>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</si>
  <si>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</si>
  <si>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</si>
  <si>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</si>
  <si>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</si>
  <si>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</si>
  <si>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</si>
  <si>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</si>
  <si>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</si>
  <si>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</si>
  <si>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</si>
  <si>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</si>
  <si>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</si>
  <si>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</si>
  <si>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</si>
  <si>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</si>
  <si>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</si>
  <si>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</si>
  <si>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</si>
  <si>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</si>
  <si>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</si>
  <si>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</si>
  <si>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</si>
  <si>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</si>
  <si>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</si>
  <si>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</si>
  <si>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</si>
  <si>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</si>
  <si>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</si>
  <si>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</si>
  <si>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</si>
  <si>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</si>
  <si>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</si>
  <si>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</si>
  <si>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</si>
  <si>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</si>
  <si>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</si>
  <si>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</si>
  <si>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</si>
  <si>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</si>
  <si>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</si>
  <si>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</si>
  <si>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</si>
  <si>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</si>
  <si>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</si>
  <si>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</si>
  <si>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</si>
  <si>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</si>
  <si>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</si>
  <si>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</si>
  <si>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</si>
  <si>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</si>
  <si>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</si>
  <si>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</si>
  <si>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</si>
  <si>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</si>
  <si>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</si>
  <si>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</si>
  <si>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</si>
  <si>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</si>
  <si>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</si>
  <si>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</si>
  <si>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</si>
  <si>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</si>
  <si>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</si>
  <si>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</si>
  <si>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</si>
  <si>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</si>
  <si>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</si>
  <si>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</si>
  <si>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</si>
  <si>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</si>
  <si>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</si>
  <si>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</si>
  <si>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</si>
  <si>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</si>
  <si>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</si>
  <si>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</si>
  <si>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</si>
  <si>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</si>
  <si>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</si>
  <si>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</si>
  <si>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</si>
  <si>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</si>
  <si>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</si>
  <si>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</si>
  <si>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</si>
  <si>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</si>
  <si>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</si>
  <si>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</si>
  <si>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</si>
  <si>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</si>
  <si>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</si>
  <si>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</si>
  <si>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</si>
  <si>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</si>
  <si>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</si>
  <si>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</si>
  <si>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</si>
  <si>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</si>
  <si>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</si>
  <si>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</si>
  <si>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</si>
  <si>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</si>
  <si>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</si>
  <si>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</si>
  <si>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</si>
  <si>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</si>
  <si>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</si>
  <si>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</si>
  <si>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</si>
  <si>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</si>
  <si>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</si>
  <si>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</si>
  <si>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</si>
  <si>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</si>
  <si>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</si>
  <si>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</si>
  <si>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</si>
  <si>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</si>
  <si>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</si>
  <si>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</si>
  <si>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</si>
  <si>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</si>
  <si>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</si>
  <si>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</si>
  <si>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</si>
  <si>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</si>
  <si>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</si>
  <si>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</si>
  <si>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</si>
  <si>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</si>
  <si>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</si>
  <si>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</si>
  <si>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</si>
  <si>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</si>
  <si>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</si>
  <si>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</si>
  <si>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</si>
  <si>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</si>
  <si>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</si>
  <si>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</si>
  <si>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</si>
  <si>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</si>
  <si>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</si>
  <si>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</si>
  <si>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</si>
  <si>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</si>
  <si>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</si>
  <si>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</si>
  <si>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</si>
  <si>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</si>
  <si>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</si>
  <si>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</si>
  <si>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</si>
  <si>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</si>
  <si>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</si>
  <si>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</si>
  <si>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</si>
  <si>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</si>
  <si>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</si>
  <si>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</si>
  <si>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</si>
  <si>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</si>
  <si>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</si>
  <si>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</si>
  <si>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</si>
  <si>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</si>
  <si>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</si>
  <si>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</si>
  <si>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</si>
  <si>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</si>
  <si>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</si>
  <si>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</si>
  <si>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</si>
  <si>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</si>
  <si>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</si>
  <si>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</si>
  <si>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</si>
  <si>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</si>
  <si>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</si>
  <si>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</si>
  <si>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</si>
  <si>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</si>
  <si>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</si>
  <si>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</si>
  <si>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</si>
  <si>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</si>
  <si>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</si>
  <si>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</si>
  <si>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</si>
  <si>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</si>
  <si>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</si>
  <si>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</si>
  <si>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</si>
  <si>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</si>
  <si>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</si>
  <si>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</si>
  <si>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</si>
  <si>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</si>
  <si>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</si>
  <si>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</si>
  <si>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</si>
  <si>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</si>
  <si>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</si>
  <si>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</si>
  <si>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</si>
  <si>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</si>
  <si>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</si>
  <si>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</si>
  <si>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</si>
  <si>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</si>
  <si>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</si>
  <si>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</si>
  <si>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</si>
  <si>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</si>
  <si>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</si>
  <si>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</si>
  <si>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</si>
  <si>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</si>
  <si>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</si>
  <si>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</si>
  <si>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</si>
  <si>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</si>
  <si>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</si>
  <si>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</si>
  <si>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</si>
  <si>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</si>
  <si>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</si>
  <si>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</si>
  <si>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</si>
  <si>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</si>
  <si>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</si>
  <si>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</si>
  <si>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</si>
  <si>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</si>
  <si>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</si>
  <si>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</si>
  <si>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</si>
  <si>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</si>
  <si>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</si>
  <si>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</si>
  <si>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</si>
  <si>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</si>
  <si>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</si>
  <si>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</si>
  <si>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</si>
  <si>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</si>
  <si>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</si>
  <si>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</si>
  <si>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</si>
  <si>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</si>
  <si>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</si>
  <si>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</si>
  <si>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</si>
  <si>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</si>
  <si>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</si>
  <si>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</si>
  <si>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</si>
  <si>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</si>
  <si>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</si>
  <si>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</si>
  <si>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</si>
  <si>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</si>
  <si>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</si>
  <si>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</si>
  <si>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</si>
  <si>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</si>
  <si>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</si>
  <si>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</si>
  <si>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</si>
  <si>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</si>
  <si>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</si>
  <si>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</si>
  <si>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</si>
  <si>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</si>
  <si>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</si>
  <si>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</si>
  <si>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</si>
  <si>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</si>
  <si>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</si>
  <si>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</si>
  <si>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</si>
  <si>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</si>
  <si>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</si>
  <si>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</si>
  <si>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</si>
  <si>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</si>
  <si>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</si>
  <si>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</si>
  <si>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</si>
  <si>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</si>
  <si>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</si>
  <si>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</si>
  <si>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</si>
  <si>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</si>
  <si>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</si>
  <si>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</si>
  <si>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</si>
  <si>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</si>
  <si>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</si>
  <si>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</si>
  <si>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</si>
  <si>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</si>
  <si>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</si>
  <si>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</si>
  <si>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</si>
  <si>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</si>
  <si>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</si>
  <si>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</si>
  <si>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</si>
  <si>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</si>
  <si>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</si>
  <si>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</si>
  <si>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</si>
  <si>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</si>
  <si>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</si>
  <si>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</si>
  <si>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</si>
  <si>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</si>
  <si>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</si>
  <si>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</si>
  <si>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</si>
  <si>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</si>
  <si>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</si>
  <si>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</si>
  <si>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</si>
  <si>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</si>
  <si>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</si>
  <si>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</si>
  <si>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</si>
  <si>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</si>
  <si>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</si>
  <si>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</si>
  <si>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</si>
  <si>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</si>
  <si>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</si>
  <si>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</si>
  <si>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</si>
  <si>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</si>
  <si>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</si>
  <si>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</si>
  <si>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</si>
  <si>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</si>
  <si>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</si>
  <si>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</si>
  <si>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</si>
  <si>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</si>
  <si>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</si>
  <si>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</si>
  <si>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</si>
  <si>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</si>
  <si>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</si>
  <si>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</si>
  <si>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</si>
  <si>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</si>
  <si>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</si>
  <si>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</si>
  <si>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</si>
  <si>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</si>
  <si>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</si>
  <si>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</si>
  <si>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</si>
  <si>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</si>
  <si>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</si>
  <si>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</si>
  <si>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</si>
  <si>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</si>
  <si>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</si>
  <si>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</si>
  <si>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</si>
  <si>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</si>
  <si>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</si>
  <si>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</si>
  <si>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</si>
  <si>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</si>
  <si>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</si>
  <si>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</si>
  <si>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</si>
  <si>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</si>
  <si>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</si>
  <si>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</si>
  <si>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</si>
  <si>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</si>
  <si>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</si>
  <si>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</si>
  <si>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</si>
  <si>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</si>
  <si>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</si>
  <si>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</si>
  <si>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</si>
  <si>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</si>
  <si>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</si>
  <si>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</si>
  <si>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</si>
  <si>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</si>
  <si>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</si>
  <si>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</si>
  <si>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</si>
  <si>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</si>
  <si>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</si>
  <si>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</si>
  <si>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</si>
  <si>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</si>
  <si>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</si>
  <si>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</si>
  <si>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</si>
  <si>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</si>
  <si>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</si>
  <si>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</si>
  <si>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</si>
  <si>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</si>
  <si>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</si>
  <si>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</si>
  <si>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</si>
  <si>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</si>
  <si>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</si>
  <si>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</si>
  <si>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</si>
  <si>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</si>
  <si>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</si>
  <si>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</si>
  <si>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</si>
  <si>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</si>
  <si>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</si>
  <si>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</si>
  <si>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</si>
  <si>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</si>
  <si>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</si>
  <si>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</si>
  <si>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</si>
  <si>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</si>
  <si>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</si>
  <si>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</si>
  <si>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</si>
  <si>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</si>
  <si>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</si>
  <si>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</si>
  <si>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01J927156HT</t>
  </si>
  <si>
    <t>01J_TCU_HT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</si>
  <si>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</si>
  <si>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</si>
  <si>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</si>
  <si>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</si>
  <si>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</si>
  <si>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</si>
  <si>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</si>
  <si>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</si>
  <si>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</si>
  <si>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</si>
  <si>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</si>
  <si>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</si>
  <si>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</si>
  <si>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</si>
  <si>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</si>
  <si>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</si>
  <si>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</si>
  <si>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</si>
  <si>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</si>
  <si>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</si>
  <si>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</si>
  <si>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</si>
  <si>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</si>
  <si>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</si>
  <si>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</si>
  <si>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</si>
  <si>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</si>
  <si>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</si>
  <si>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</si>
  <si>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</si>
  <si>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</si>
  <si>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</si>
  <si>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</si>
  <si>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</si>
  <si>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</si>
  <si>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</si>
  <si>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</si>
  <si>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</si>
  <si>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</si>
  <si>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GS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</si>
  <si>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</si>
  <si>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</si>
  <si>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</si>
  <si>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</si>
  <si>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</si>
  <si>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</si>
  <si>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</si>
  <si>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</si>
  <si>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</si>
  <si>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</si>
  <si>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</si>
  <si>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</si>
  <si>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</si>
  <si>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</si>
  <si>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</si>
  <si>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</si>
  <si>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</si>
  <si>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</si>
  <si>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</si>
  <si>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</si>
  <si>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</si>
  <si>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</si>
  <si>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</si>
  <si>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</si>
  <si>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</si>
  <si>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</si>
  <si>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</si>
  <si>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</si>
  <si>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</si>
  <si>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</si>
  <si>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</si>
  <si>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</si>
  <si>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</si>
  <si>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</si>
  <si>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</si>
  <si>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</si>
  <si>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</si>
  <si>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</si>
  <si>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</si>
  <si>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</si>
  <si>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</si>
  <si>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</si>
  <si>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</si>
  <si>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</si>
  <si>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</si>
  <si>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</si>
  <si>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</si>
  <si>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</si>
  <si>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</si>
  <si>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</si>
  <si>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</si>
  <si>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</si>
  <si>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</si>
  <si>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</si>
  <si>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</si>
  <si>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</si>
  <si>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</si>
  <si>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</si>
  <si>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</si>
  <si>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</si>
  <si>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</si>
  <si>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</si>
  <si>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</si>
  <si>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</si>
  <si>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</si>
  <si>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</si>
  <si>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</si>
  <si>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</si>
  <si>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</si>
  <si>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</si>
  <si>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</si>
  <si>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</si>
  <si>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</si>
  <si>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</si>
  <si>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</si>
  <si>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</si>
  <si>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</si>
  <si>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</si>
  <si>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</si>
  <si>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</si>
  <si>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</si>
  <si>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</si>
  <si>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</si>
  <si>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</si>
  <si>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</si>
  <si>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</si>
  <si>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</si>
  <si>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</si>
  <si>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</si>
  <si>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</si>
  <si>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</si>
  <si>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</si>
  <si>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불가(X)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</si>
  <si>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</si>
  <si>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</si>
  <si>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</si>
  <si>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</si>
  <si>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</si>
  <si>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</si>
  <si>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</si>
  <si>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</si>
  <si>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</si>
  <si>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</si>
  <si>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</si>
  <si>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</si>
  <si>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</si>
  <si>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</si>
  <si>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</si>
  <si>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</si>
  <si>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</si>
  <si>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</si>
  <si>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</si>
  <si>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</si>
  <si>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</si>
  <si>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</si>
  <si>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</si>
  <si>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</si>
  <si>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</si>
  <si>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</si>
  <si>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</si>
  <si>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</si>
  <si>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</si>
  <si>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</si>
  <si>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</si>
  <si>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9" type="noConversion"/>
  </si>
  <si>
    <t>매입 금액</t>
    <phoneticPr fontId="29" type="noConversion"/>
  </si>
  <si>
    <t>매출 금액</t>
    <phoneticPr fontId="29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</si>
  <si>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</si>
  <si>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</si>
  <si>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</si>
  <si>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</si>
  <si>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</si>
  <si>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</si>
  <si>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</si>
  <si>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</si>
  <si>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</si>
  <si>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</si>
  <si>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</si>
  <si>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</si>
  <si>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</si>
  <si>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</si>
  <si>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</si>
  <si>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</si>
  <si>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</si>
  <si>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</si>
  <si>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</si>
  <si>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</si>
  <si>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</si>
  <si>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</si>
  <si>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</si>
  <si>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</si>
  <si>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</si>
  <si>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</si>
  <si>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</si>
  <si>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</si>
  <si>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</si>
  <si>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</si>
  <si>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</si>
  <si>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</si>
  <si>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</si>
  <si>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</si>
  <si>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</si>
  <si>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</si>
  <si>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</si>
  <si>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O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</si>
  <si>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</si>
  <si>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</si>
  <si>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</si>
  <si>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</si>
  <si>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</si>
  <si>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</si>
  <si>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</si>
  <si>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</si>
  <si>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</si>
  <si>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</si>
  <si>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</si>
  <si>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</si>
  <si>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</si>
  <si>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</si>
  <si>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</si>
  <si>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</si>
  <si>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</si>
  <si>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</si>
  <si>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</si>
  <si>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</si>
  <si>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</si>
  <si>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</si>
  <si>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</si>
  <si>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</si>
  <si>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</si>
  <si>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</si>
  <si>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</si>
  <si>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</si>
  <si>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</si>
  <si>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</si>
  <si>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</si>
  <si>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</si>
  <si>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</si>
  <si>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</si>
  <si>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</si>
  <si>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</si>
  <si>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</si>
  <si>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</si>
  <si>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</si>
  <si>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</si>
  <si>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</si>
  <si>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</si>
  <si>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</si>
  <si>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</si>
  <si>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</si>
  <si>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</si>
  <si>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</si>
  <si>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</si>
  <si>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</si>
  <si>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</si>
  <si>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2025-07-05</t>
  </si>
  <si>
    <t>제이오토(대구)_250705_123837.xlsx</t>
  </si>
  <si>
    <t>제이오토(대구)_250705_123837.xlsx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</si>
</sst>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6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6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69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1" xfId="0" applyFont="1" applyBorder="1">
      <alignment vertical="center"/>
    </xf>
    <xf numFmtId="14" fontId="0" fillId="0" borderId="73" xfId="0" applyNumberFormat="1" applyBorder="1">
      <alignment vertical="center"/>
    </xf>
    <xf numFmtId="0" fontId="0" fillId="0" borderId="73" xfId="0" applyBorder="1">
      <alignment vertical="center"/>
    </xf>
    <xf numFmtId="14" fontId="0" fillId="0" borderId="74" xfId="0" applyNumberFormat="1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3" fillId="10" borderId="81" xfId="0" applyFont="1" applyFill="1" applyBorder="1" applyAlignment="1">
      <alignment horizontal="center" vertical="center"/>
    </xf>
    <xf numFmtId="0" fontId="0" fillId="0" borderId="73" xfId="0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3" fillId="10" borderId="82" xfId="0" applyFont="1" applyFill="1" applyBorder="1" applyAlignment="1">
      <alignment horizontal="center" vertical="center"/>
    </xf>
    <xf numFmtId="176" fontId="3" fillId="10" borderId="81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3" xfId="0" applyNumberFormat="1" applyFont="1" applyBorder="1" applyAlignment="1">
      <alignment horizontal="center" vertical="center" shrinkToFit="1"/>
    </xf>
    <xf numFmtId="0" fontId="5" fillId="0" borderId="83" xfId="0" applyFont="1" applyBorder="1" applyAlignment="1">
      <alignment horizontal="center" vertical="center" shrinkToFit="1"/>
    </xf>
    <xf numFmtId="176" fontId="5" fillId="0" borderId="83" xfId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vertical="center" shrinkToFit="1"/>
    </xf>
    <xf numFmtId="14" fontId="5" fillId="0" borderId="83" xfId="0" applyNumberFormat="1" applyFont="1" applyBorder="1" applyAlignment="1">
      <alignment vertical="center" shrinkToFit="1"/>
    </xf>
    <xf numFmtId="1" fontId="5" fillId="0" borderId="83" xfId="0" applyNumberFormat="1" applyFont="1" applyBorder="1" applyAlignment="1">
      <alignment horizontal="center" vertical="center" shrinkToFit="1"/>
    </xf>
    <xf numFmtId="176" fontId="5" fillId="0" borderId="83" xfId="1" applyFont="1" applyBorder="1" applyAlignment="1">
      <alignment vertical="center" shrinkToFit="1"/>
    </xf>
    <xf numFmtId="0" fontId="4" fillId="0" borderId="84" xfId="0" applyFont="1" applyBorder="1" applyAlignment="1">
      <alignment horizontal="center" vertical="center"/>
    </xf>
    <xf numFmtId="0" fontId="10" fillId="0" borderId="84" xfId="0" applyFont="1" applyBorder="1" applyAlignment="1">
      <alignment horizontal="center" vertical="center" shrinkToFit="1"/>
    </xf>
    <xf numFmtId="0" fontId="10" fillId="0" borderId="84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5" xfId="0" applyFont="1" applyFill="1" applyBorder="1" applyAlignment="1">
      <alignment horizontal="center" vertical="center"/>
    </xf>
    <xf numFmtId="0" fontId="4" fillId="3" borderId="86" xfId="0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81" fontId="4" fillId="3" borderId="87" xfId="0" applyNumberFormat="1" applyFont="1" applyFill="1" applyBorder="1" applyAlignment="1">
      <alignment horizontal="center" vertical="center"/>
    </xf>
    <xf numFmtId="14" fontId="5" fillId="0" borderId="88" xfId="0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vertical="center" shrinkToFit="1"/>
    </xf>
    <xf numFmtId="0" fontId="22" fillId="0" borderId="84" xfId="2" applyFont="1" applyBorder="1">
      <alignment vertical="center"/>
    </xf>
    <xf numFmtId="14" fontId="10" fillId="0" borderId="84" xfId="0" applyNumberFormat="1" applyFont="1" applyBorder="1">
      <alignment vertical="center"/>
    </xf>
    <xf numFmtId="0" fontId="5" fillId="0" borderId="84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3" xfId="0" applyFont="1" applyFill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79" fontId="6" fillId="0" borderId="88" xfId="0" applyNumberFormat="1" applyFont="1" applyBorder="1" applyAlignment="1">
      <alignment horizontal="left" vertical="center"/>
    </xf>
    <xf numFmtId="14" fontId="6" fillId="4" borderId="89" xfId="0" applyNumberFormat="1" applyFont="1" applyFill="1" applyBorder="1">
      <alignment vertical="center"/>
    </xf>
    <xf numFmtId="0" fontId="6" fillId="4" borderId="89" xfId="0" applyFont="1" applyFill="1" applyBorder="1">
      <alignment vertical="center"/>
    </xf>
    <xf numFmtId="179" fontId="6" fillId="0" borderId="90" xfId="0" applyNumberFormat="1" applyFont="1" applyBorder="1" applyAlignment="1">
      <alignment horizontal="left" vertical="center"/>
    </xf>
    <xf numFmtId="0" fontId="5" fillId="0" borderId="84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8" xfId="0" applyNumberFormat="1" applyFont="1" applyFill="1" applyBorder="1" applyAlignment="1">
      <alignment horizontal="left" vertical="center"/>
    </xf>
    <xf numFmtId="180" fontId="4" fillId="3" borderId="90" xfId="0" applyNumberFormat="1" applyFont="1" applyFill="1" applyBorder="1" applyAlignment="1">
      <alignment horizontal="left" vertical="center"/>
    </xf>
    <xf numFmtId="177" fontId="5" fillId="0" borderId="89" xfId="1" applyNumberFormat="1" applyFont="1" applyBorder="1" applyAlignment="1">
      <alignment horizontal="right" vertical="center" shrinkToFit="1"/>
    </xf>
    <xf numFmtId="183" fontId="5" fillId="0" borderId="91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3" xfId="0" applyNumberFormat="1" applyFont="1" applyBorder="1" applyAlignment="1">
      <alignment horizontal="center" vertical="center" shrinkToFit="1"/>
    </xf>
    <xf numFmtId="14" fontId="5" fillId="0" borderId="94" xfId="0" applyNumberFormat="1" applyFont="1" applyBorder="1" applyAlignment="1">
      <alignment horizontal="center" vertical="center" shrinkToFit="1"/>
    </xf>
    <xf numFmtId="1" fontId="5" fillId="0" borderId="95" xfId="0" applyNumberFormat="1" applyFont="1" applyBorder="1" applyAlignment="1">
      <alignment horizontal="center" vertical="center" shrinkToFit="1"/>
    </xf>
    <xf numFmtId="0" fontId="5" fillId="0" borderId="95" xfId="0" applyFont="1" applyBorder="1" applyAlignment="1">
      <alignment horizontal="center" vertical="center" shrinkToFit="1"/>
    </xf>
    <xf numFmtId="176" fontId="5" fillId="0" borderId="95" xfId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6" xfId="1" applyNumberFormat="1" applyFont="1" applyBorder="1" applyAlignment="1">
      <alignment vertical="center" shrinkToFit="1"/>
    </xf>
    <xf numFmtId="181" fontId="5" fillId="0" borderId="98" xfId="0" applyNumberFormat="1" applyFont="1" applyBorder="1">
      <alignment vertical="center"/>
    </xf>
    <xf numFmtId="181" fontId="5" fillId="0" borderId="99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2" xfId="0" applyFont="1" applyBorder="1">
      <alignment vertical="center"/>
    </xf>
    <xf numFmtId="0" fontId="6" fillId="6" borderId="91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3" xfId="1" applyNumberFormat="1" applyFont="1" applyBorder="1" applyAlignment="1">
      <alignment horizontal="right" vertical="center" shrinkToFit="1"/>
    </xf>
    <xf numFmtId="176" fontId="5" fillId="0" borderId="83" xfId="1" applyFont="1" applyBorder="1" applyAlignment="1">
      <alignment horizontal="right" vertical="center" shrinkToFit="1"/>
    </xf>
    <xf numFmtId="0" fontId="5" fillId="0" borderId="83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5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7" xfId="0" applyFont="1" applyFill="1" applyBorder="1" applyAlignment="1">
      <alignment horizontal="right" vertical="center"/>
    </xf>
    <xf numFmtId="1" fontId="6" fillId="4" borderId="89" xfId="0" applyNumberFormat="1" applyFont="1" applyFill="1" applyBorder="1" applyAlignment="1">
      <alignment horizontal="right" vertical="center"/>
    </xf>
    <xf numFmtId="0" fontId="6" fillId="4" borderId="89" xfId="0" quotePrefix="1" applyFont="1" applyFill="1" applyBorder="1" applyAlignment="1">
      <alignment horizontal="right" vertical="center"/>
    </xf>
    <xf numFmtId="0" fontId="6" fillId="4" borderId="89" xfId="0" applyFont="1" applyFill="1" applyBorder="1" applyAlignment="1">
      <alignment horizontal="right" vertical="center"/>
    </xf>
    <xf numFmtId="181" fontId="6" fillId="4" borderId="89" xfId="1" applyNumberFormat="1" applyFont="1" applyFill="1" applyBorder="1" applyAlignment="1">
      <alignment horizontal="right" vertical="center"/>
    </xf>
    <xf numFmtId="176" fontId="6" fillId="4" borderId="89" xfId="1" applyFont="1" applyFill="1" applyBorder="1" applyAlignment="1">
      <alignment horizontal="right" vertical="center"/>
    </xf>
    <xf numFmtId="0" fontId="6" fillId="4" borderId="91" xfId="0" applyFont="1" applyFill="1" applyBorder="1" applyAlignment="1">
      <alignment horizontal="right" vertical="center"/>
    </xf>
    <xf numFmtId="0" fontId="8" fillId="5" borderId="93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5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3" xfId="1" applyNumberFormat="1" applyFont="1" applyBorder="1" applyAlignment="1">
      <alignment horizontal="right" vertical="center" shrinkToFit="1"/>
    </xf>
    <xf numFmtId="181" fontId="5" fillId="0" borderId="95" xfId="1" applyNumberFormat="1" applyFont="1" applyBorder="1" applyAlignment="1">
      <alignment horizontal="right" vertical="center" shrinkToFit="1"/>
    </xf>
    <xf numFmtId="0" fontId="5" fillId="0" borderId="83" xfId="1" applyNumberFormat="1" applyFont="1" applyBorder="1" applyAlignment="1">
      <alignment horizontal="center" vertical="center" shrinkToFit="1"/>
    </xf>
    <xf numFmtId="178" fontId="5" fillId="0" borderId="87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4" xfId="0" applyFill="1" applyBorder="1">
      <alignment vertical="center"/>
    </xf>
    <xf numFmtId="0" fontId="3" fillId="10" borderId="123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9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30" fillId="0" borderId="58" xfId="0" applyNumberFormat="1" applyFont="1" applyBorder="1" applyAlignment="1" applyProtection="1">
      <alignment horizontal="center" vertical="center"/>
      <protection locked="0"/>
    </xf>
    <xf numFmtId="0" fontId="30" fillId="0" borderId="58" xfId="0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5" fillId="0" borderId="71" xfId="0" applyFont="1" applyBorder="1" applyAlignment="1">
      <alignment horizontal="right"/>
    </xf>
    <xf numFmtId="185" fontId="23" fillId="0" borderId="71" xfId="0" applyNumberFormat="1" applyFont="1" applyBorder="1" applyAlignment="1">
      <alignment horizontal="center"/>
    </xf>
    <xf numFmtId="185" fontId="23" fillId="0" borderId="72" xfId="0" applyNumberFormat="1" applyFont="1" applyBorder="1" applyAlignment="1">
      <alignment horizont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1" xfId="0" applyNumberFormat="1" applyFont="1" applyBorder="1" applyAlignment="1">
      <alignment horizontal="center" vertical="center"/>
    </xf>
    <xf numFmtId="182" fontId="14" fillId="0" borderId="114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1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17" xfId="0" applyNumberFormat="1" applyFont="1" applyBorder="1" applyAlignment="1">
      <alignment horizontal="center" vertical="center"/>
    </xf>
    <xf numFmtId="182" fontId="5" fillId="0" borderId="112" xfId="0" applyNumberFormat="1" applyFont="1" applyBorder="1" applyAlignment="1">
      <alignment vertical="top" wrapText="1"/>
    </xf>
    <xf numFmtId="182" fontId="5" fillId="0" borderId="110" xfId="0" applyNumberFormat="1" applyFont="1" applyBorder="1" applyAlignment="1">
      <alignment vertical="top" wrapText="1"/>
    </xf>
    <xf numFmtId="182" fontId="5" fillId="0" borderId="113" xfId="0" applyNumberFormat="1" applyFont="1" applyBorder="1" applyAlignment="1">
      <alignment vertical="top" wrapText="1"/>
    </xf>
    <xf numFmtId="182" fontId="5" fillId="0" borderId="100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5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182" fontId="5" fillId="0" borderId="105" xfId="0" applyNumberFormat="1" applyFont="1" applyBorder="1" applyAlignment="1">
      <alignment vertical="top" wrapText="1"/>
    </xf>
    <xf numFmtId="182" fontId="5" fillId="0" borderId="119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1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2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3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3" xfId="1" applyFont="1" applyBorder="1" applyAlignment="1">
      <alignment horizontal="center" vertical="center"/>
    </xf>
    <xf numFmtId="176" fontId="12" fillId="0" borderId="102" xfId="0" applyNumberFormat="1" applyFont="1" applyBorder="1" applyAlignment="1">
      <alignment horizontal="center" vertical="center"/>
    </xf>
    <xf numFmtId="176" fontId="12" fillId="0" borderId="108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81" fontId="12" fillId="0" borderId="107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3" fillId="0" borderId="71" xfId="0" applyFont="1" applyBorder="1" applyAlignment="1">
      <alignment horizontal="center"/>
    </xf>
    <xf numFmtId="0" fontId="23" fillId="0" borderId="72" xfId="0" applyFont="1" applyBorder="1" applyAlignment="1">
      <alignment horizontal="center"/>
    </xf>
    <xf numFmtId="180" fontId="4" fillId="3" borderId="85" xfId="0" applyNumberFormat="1" applyFont="1" applyFill="1" applyBorder="1" applyAlignment="1">
      <alignment horizontal="left" vertical="center"/>
    </xf>
    <xf numFmtId="180" fontId="4" fillId="3" borderId="87" xfId="0" applyNumberFormat="1" applyFont="1" applyFill="1" applyBorder="1" applyAlignment="1">
      <alignment horizontal="left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1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4" sqref="Q1:Q1048576"/>
    </sheetView>
  </sheetViews>
  <sheetFormatPr defaultColWidth="0" defaultRowHeight="16.5" zeroHeight="1"/>
  <cols>
    <col min="1" max="2" width="9" style="104" hidden="1" customWidth="1"/>
    <col min="3" max="18" width="9" style="104" customWidth="1"/>
    <col min="19" max="19" width="9" style="104" hidden="1" customWidth="1"/>
    <col min="20" max="16384" width="9" style="104" hidden="1"/>
  </cols>
  <sheetData>
    <row r="2" spans="14:14" hidden="1">
      <c r="N2" s="104" t="s">
        <v>2483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4" t="s">
        <v>2483</v>
      </c>
      <c r="Q21" s="239"/>
    </row>
    <row r="22" spans="10:19"/>
    <row r="23" spans="10:19"/>
    <row r="24" spans="10:19"/>
    <row r="25" spans="10:19"/>
    <row r="26" spans="10:19"/>
    <row r="27" spans="10:19"/>
    <row r="28" spans="10:19">
      <c r="S28" s="104" t="s">
        <v>2483</v>
      </c>
    </row>
    <row r="29" spans="10:19"/>
    <row r="30" spans="10:19"/>
    <row r="31" spans="10:19"/>
    <row r="32" spans="10:19"/>
    <row r="33" s="104" customFormat="1" hidden="1"/>
    <row r="34" s="104" customFormat="1" hidden="1"/>
    <row r="35" s="104" customFormat="1" hidden="1"/>
    <row r="36" s="104" customFormat="1" hidden="1"/>
    <row r="37" s="104" customFormat="1" hidden="1"/>
    <row r="38" s="104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14"/>
  <sheetViews>
    <sheetView topLeftCell="A77" workbookViewId="0">
      <selection activeCell="D96" sqref="D96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2" t="s">
        <v>2</v>
      </c>
      <c r="B1" s="192" t="s">
        <v>14</v>
      </c>
      <c r="C1" s="192" t="s">
        <v>1675</v>
      </c>
      <c r="D1" s="192" t="s">
        <v>40</v>
      </c>
      <c r="E1" s="192" t="s">
        <v>1676</v>
      </c>
      <c r="F1" s="192" t="s">
        <v>4</v>
      </c>
      <c r="G1" s="105">
        <v>114</v>
      </c>
    </row>
    <row r="2" spans="1:7">
      <c r="A2">
        <v>1</v>
      </c>
      <c r="B2" s="13">
        <v>45748</v>
      </c>
      <c r="C2" t="s">
        <v>2092</v>
      </c>
      <c r="D2" t="s">
        <v>2086</v>
      </c>
      <c r="E2" s="238">
        <v>21000</v>
      </c>
    </row>
    <row r="3" spans="1:7">
      <c r="A3">
        <v>2</v>
      </c>
      <c r="B3" s="13">
        <v>45747</v>
      </c>
      <c r="C3" t="s">
        <v>2093</v>
      </c>
      <c r="D3" t="s">
        <v>2090</v>
      </c>
      <c r="E3" s="238">
        <v>48210</v>
      </c>
    </row>
    <row r="4" spans="1:7">
      <c r="A4">
        <v>3</v>
      </c>
      <c r="B4" s="13">
        <v>45749</v>
      </c>
      <c r="C4" t="s">
        <v>2089</v>
      </c>
      <c r="D4" t="s">
        <v>2089</v>
      </c>
      <c r="E4" s="238">
        <v>16600</v>
      </c>
      <c r="F4" t="s">
        <v>2094</v>
      </c>
    </row>
    <row r="5" spans="1:7">
      <c r="A5">
        <v>4</v>
      </c>
      <c r="B5" s="13">
        <v>45749</v>
      </c>
      <c r="C5" t="s">
        <v>1690</v>
      </c>
      <c r="D5" t="s">
        <v>2087</v>
      </c>
      <c r="E5">
        <v>19500</v>
      </c>
    </row>
    <row r="6" spans="1:7">
      <c r="A6">
        <v>5</v>
      </c>
      <c r="B6" s="13">
        <v>45749</v>
      </c>
      <c r="C6" t="s">
        <v>2089</v>
      </c>
      <c r="D6" t="s">
        <v>1687</v>
      </c>
      <c r="E6">
        <v>8000</v>
      </c>
      <c r="F6" t="s">
        <v>2095</v>
      </c>
    </row>
    <row r="7" spans="1:7">
      <c r="A7">
        <v>6</v>
      </c>
      <c r="B7" s="13">
        <v>45750</v>
      </c>
      <c r="C7" t="s">
        <v>1690</v>
      </c>
      <c r="D7" t="s">
        <v>2087</v>
      </c>
      <c r="E7">
        <v>22000</v>
      </c>
    </row>
    <row r="8" spans="1:7">
      <c r="A8">
        <v>7</v>
      </c>
      <c r="B8" s="13">
        <v>45751</v>
      </c>
      <c r="C8" t="s">
        <v>1761</v>
      </c>
      <c r="D8" t="s">
        <v>2087</v>
      </c>
      <c r="E8">
        <v>7900</v>
      </c>
    </row>
    <row r="9" spans="1:7">
      <c r="A9">
        <v>8</v>
      </c>
      <c r="B9" s="13">
        <v>45751</v>
      </c>
      <c r="C9" t="s">
        <v>1778</v>
      </c>
      <c r="D9" t="s">
        <v>2087</v>
      </c>
      <c r="E9">
        <v>5400</v>
      </c>
      <c r="F9" t="s">
        <v>1779</v>
      </c>
    </row>
    <row r="10" spans="1:7">
      <c r="A10">
        <v>9</v>
      </c>
      <c r="B10" s="13">
        <v>45754</v>
      </c>
      <c r="C10" t="s">
        <v>1565</v>
      </c>
      <c r="D10" t="s">
        <v>2089</v>
      </c>
      <c r="E10">
        <v>8000</v>
      </c>
      <c r="F10" t="s">
        <v>1821</v>
      </c>
    </row>
    <row r="11" spans="1:7">
      <c r="A11">
        <v>10</v>
      </c>
      <c r="B11" s="13">
        <v>45754</v>
      </c>
      <c r="C11" t="s">
        <v>1690</v>
      </c>
      <c r="D11" t="s">
        <v>2087</v>
      </c>
      <c r="E11">
        <v>11000</v>
      </c>
    </row>
    <row r="12" spans="1:7">
      <c r="A12">
        <v>11</v>
      </c>
      <c r="B12" s="13">
        <v>45754</v>
      </c>
      <c r="C12" t="s">
        <v>1674</v>
      </c>
      <c r="D12" t="s">
        <v>2091</v>
      </c>
      <c r="E12">
        <v>47970</v>
      </c>
    </row>
    <row r="13" spans="1:7">
      <c r="A13">
        <v>12</v>
      </c>
      <c r="B13" s="13">
        <v>45755</v>
      </c>
      <c r="C13" t="s">
        <v>1778</v>
      </c>
      <c r="D13" t="s">
        <v>2087</v>
      </c>
      <c r="E13">
        <v>5400</v>
      </c>
      <c r="F13" t="s">
        <v>1877</v>
      </c>
    </row>
    <row r="14" spans="1:7">
      <c r="A14">
        <v>13</v>
      </c>
      <c r="B14" s="13">
        <v>45756</v>
      </c>
      <c r="C14" t="s">
        <v>1904</v>
      </c>
      <c r="D14" t="s">
        <v>2088</v>
      </c>
      <c r="E14">
        <v>44600</v>
      </c>
    </row>
    <row r="15" spans="1:7">
      <c r="A15">
        <v>14</v>
      </c>
      <c r="B15" s="13">
        <v>45756</v>
      </c>
      <c r="C15" t="s">
        <v>1690</v>
      </c>
      <c r="D15" t="s">
        <v>2087</v>
      </c>
      <c r="E15">
        <v>11000</v>
      </c>
    </row>
    <row r="16" spans="1:7">
      <c r="A16">
        <v>15</v>
      </c>
      <c r="B16" s="13">
        <v>45758</v>
      </c>
      <c r="C16" t="s">
        <v>1761</v>
      </c>
      <c r="D16" t="s">
        <v>2087</v>
      </c>
      <c r="E16">
        <v>7900</v>
      </c>
    </row>
    <row r="17" spans="1:6">
      <c r="A17">
        <v>16</v>
      </c>
      <c r="B17" s="13">
        <v>45762</v>
      </c>
      <c r="C17" t="s">
        <v>1674</v>
      </c>
      <c r="D17" t="s">
        <v>2091</v>
      </c>
      <c r="E17">
        <v>47550</v>
      </c>
    </row>
    <row r="18" spans="1:6">
      <c r="A18">
        <v>17</v>
      </c>
      <c r="B18" s="13">
        <v>45762</v>
      </c>
      <c r="C18" t="s">
        <v>1674</v>
      </c>
      <c r="D18" t="s">
        <v>2091</v>
      </c>
      <c r="E18">
        <v>5000</v>
      </c>
      <c r="F18" t="s">
        <v>1966</v>
      </c>
    </row>
    <row r="19" spans="1:6">
      <c r="A19">
        <v>18</v>
      </c>
      <c r="B19" s="13">
        <v>45762</v>
      </c>
      <c r="C19" t="s">
        <v>1967</v>
      </c>
      <c r="D19" t="s">
        <v>2087</v>
      </c>
      <c r="E19">
        <v>40600</v>
      </c>
    </row>
    <row r="20" spans="1:6">
      <c r="A20">
        <v>19</v>
      </c>
      <c r="B20" s="13">
        <v>45771</v>
      </c>
      <c r="C20" t="s">
        <v>1674</v>
      </c>
      <c r="D20" t="s">
        <v>2091</v>
      </c>
      <c r="E20">
        <v>47550</v>
      </c>
    </row>
    <row r="21" spans="1:6">
      <c r="A21">
        <v>20</v>
      </c>
      <c r="B21" s="13">
        <v>45771</v>
      </c>
      <c r="C21" t="s">
        <v>2056</v>
      </c>
      <c r="D21" t="s">
        <v>2091</v>
      </c>
      <c r="E21">
        <v>5000</v>
      </c>
      <c r="F21" t="s">
        <v>1966</v>
      </c>
    </row>
    <row r="22" spans="1:6">
      <c r="A22">
        <v>21</v>
      </c>
      <c r="B22" s="13">
        <v>45772</v>
      </c>
      <c r="C22" t="s">
        <v>1565</v>
      </c>
      <c r="D22" t="s">
        <v>2089</v>
      </c>
      <c r="E22">
        <v>7000</v>
      </c>
      <c r="F22" t="s">
        <v>2074</v>
      </c>
    </row>
    <row r="23" spans="1:6">
      <c r="A23">
        <v>22</v>
      </c>
      <c r="B23" s="13">
        <v>45775</v>
      </c>
      <c r="C23" t="s">
        <v>2082</v>
      </c>
      <c r="D23" t="s">
        <v>2087</v>
      </c>
      <c r="E23">
        <v>8000</v>
      </c>
    </row>
    <row r="24" spans="1:6">
      <c r="A24">
        <v>23</v>
      </c>
      <c r="B24" s="13">
        <v>45775</v>
      </c>
      <c r="C24" t="s">
        <v>1565</v>
      </c>
      <c r="D24" t="s">
        <v>2089</v>
      </c>
      <c r="E24">
        <v>5000</v>
      </c>
      <c r="F24" t="s">
        <v>1183</v>
      </c>
    </row>
    <row r="25" spans="1:6">
      <c r="A25">
        <v>24</v>
      </c>
      <c r="B25" s="13">
        <v>45778</v>
      </c>
      <c r="C25" t="s">
        <v>2146</v>
      </c>
      <c r="D25" t="s">
        <v>1859</v>
      </c>
      <c r="E25">
        <v>2000</v>
      </c>
      <c r="F25" t="s">
        <v>2147</v>
      </c>
    </row>
    <row r="26" spans="1:6">
      <c r="A26">
        <v>25</v>
      </c>
      <c r="B26" s="13">
        <v>45778</v>
      </c>
      <c r="C26" t="s">
        <v>2146</v>
      </c>
      <c r="D26" t="s">
        <v>1859</v>
      </c>
      <c r="E26">
        <v>2000</v>
      </c>
      <c r="F26" t="s">
        <v>2147</v>
      </c>
    </row>
    <row r="27" spans="1:6">
      <c r="A27">
        <v>26</v>
      </c>
      <c r="B27" s="13">
        <v>45777</v>
      </c>
      <c r="C27" t="s">
        <v>2149</v>
      </c>
      <c r="D27" t="s">
        <v>2086</v>
      </c>
      <c r="E27">
        <v>32000</v>
      </c>
    </row>
    <row r="28" spans="1:6">
      <c r="A28">
        <v>27</v>
      </c>
      <c r="B28" s="13">
        <v>45778</v>
      </c>
      <c r="C28" t="s">
        <v>2082</v>
      </c>
      <c r="D28" t="s">
        <v>2086</v>
      </c>
      <c r="E28" s="238">
        <v>8000</v>
      </c>
    </row>
    <row r="29" spans="1:6">
      <c r="A29">
        <v>28</v>
      </c>
      <c r="B29" s="13">
        <v>45779</v>
      </c>
      <c r="C29" t="s">
        <v>2146</v>
      </c>
      <c r="D29" t="s">
        <v>1859</v>
      </c>
      <c r="E29">
        <v>6000</v>
      </c>
      <c r="F29" t="s">
        <v>2152</v>
      </c>
    </row>
    <row r="30" spans="1:6">
      <c r="A30">
        <v>29</v>
      </c>
      <c r="B30" s="13">
        <v>45779</v>
      </c>
      <c r="C30" t="s">
        <v>2163</v>
      </c>
      <c r="D30" t="s">
        <v>2085</v>
      </c>
      <c r="E30">
        <v>74100</v>
      </c>
      <c r="F30" t="s">
        <v>2164</v>
      </c>
    </row>
    <row r="31" spans="1:6">
      <c r="A31">
        <v>30</v>
      </c>
      <c r="B31" s="13">
        <v>45780</v>
      </c>
      <c r="C31" t="s">
        <v>2161</v>
      </c>
      <c r="D31" t="s">
        <v>2085</v>
      </c>
      <c r="E31">
        <v>7000</v>
      </c>
      <c r="F31" t="s">
        <v>2162</v>
      </c>
    </row>
    <row r="32" spans="1:6">
      <c r="A32">
        <v>31</v>
      </c>
      <c r="B32" s="13">
        <v>45780</v>
      </c>
      <c r="C32" t="s">
        <v>2146</v>
      </c>
      <c r="D32" t="s">
        <v>1859</v>
      </c>
      <c r="E32">
        <v>7000</v>
      </c>
      <c r="F32" t="s">
        <v>1974</v>
      </c>
    </row>
    <row r="33" spans="1:6">
      <c r="A33">
        <v>32</v>
      </c>
      <c r="B33" s="13">
        <v>45784</v>
      </c>
      <c r="C33" t="s">
        <v>1690</v>
      </c>
      <c r="D33" t="s">
        <v>2086</v>
      </c>
      <c r="E33">
        <v>9500</v>
      </c>
    </row>
    <row r="34" spans="1:6">
      <c r="A34">
        <v>33</v>
      </c>
      <c r="B34" s="13">
        <v>45785</v>
      </c>
      <c r="C34" t="s">
        <v>2211</v>
      </c>
      <c r="D34" t="s">
        <v>2086</v>
      </c>
      <c r="E34">
        <v>14000</v>
      </c>
    </row>
    <row r="35" spans="1:6">
      <c r="A35">
        <v>34</v>
      </c>
      <c r="B35" s="13">
        <v>45786</v>
      </c>
      <c r="C35" t="s">
        <v>2211</v>
      </c>
      <c r="D35" t="s">
        <v>2086</v>
      </c>
      <c r="E35">
        <v>14000</v>
      </c>
    </row>
    <row r="36" spans="1:6">
      <c r="A36">
        <v>35</v>
      </c>
      <c r="B36" s="13">
        <v>45789</v>
      </c>
      <c r="C36" t="s">
        <v>2146</v>
      </c>
      <c r="D36" t="s">
        <v>1859</v>
      </c>
      <c r="E36">
        <v>2000</v>
      </c>
      <c r="F36" t="s">
        <v>2213</v>
      </c>
    </row>
    <row r="37" spans="1:6">
      <c r="A37">
        <v>36</v>
      </c>
      <c r="B37" s="13">
        <v>45789</v>
      </c>
      <c r="C37" t="s">
        <v>2146</v>
      </c>
      <c r="D37" t="s">
        <v>1859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2211</v>
      </c>
      <c r="D39" t="s">
        <v>2086</v>
      </c>
      <c r="E39">
        <v>14000</v>
      </c>
    </row>
    <row r="40" spans="1:6">
      <c r="A40">
        <v>39</v>
      </c>
      <c r="B40" s="13">
        <v>45790</v>
      </c>
      <c r="C40" t="s">
        <v>1778</v>
      </c>
      <c r="D40" t="s">
        <v>2086</v>
      </c>
      <c r="E40">
        <v>9600</v>
      </c>
    </row>
    <row r="41" spans="1:6">
      <c r="A41">
        <v>40</v>
      </c>
      <c r="B41" s="13">
        <v>45790</v>
      </c>
      <c r="C41" t="s">
        <v>2266</v>
      </c>
      <c r="D41" t="s">
        <v>2089</v>
      </c>
      <c r="E41">
        <v>7000</v>
      </c>
      <c r="F41" t="s">
        <v>2267</v>
      </c>
    </row>
    <row r="42" spans="1:6">
      <c r="A42">
        <v>41</v>
      </c>
      <c r="B42" s="13">
        <v>45790</v>
      </c>
      <c r="C42" t="s">
        <v>2264</v>
      </c>
      <c r="D42" t="s">
        <v>1859</v>
      </c>
      <c r="E42">
        <v>14000</v>
      </c>
      <c r="F42" t="s">
        <v>2265</v>
      </c>
    </row>
    <row r="43" spans="1:6">
      <c r="A43">
        <v>42</v>
      </c>
      <c r="B43" s="13">
        <v>45791</v>
      </c>
      <c r="C43" t="s">
        <v>2146</v>
      </c>
      <c r="D43" t="s">
        <v>1859</v>
      </c>
      <c r="E43">
        <v>6000</v>
      </c>
      <c r="F43" t="s">
        <v>2268</v>
      </c>
    </row>
    <row r="44" spans="1:6">
      <c r="A44">
        <v>43</v>
      </c>
      <c r="B44" s="13">
        <v>45791</v>
      </c>
      <c r="C44" t="s">
        <v>2146</v>
      </c>
      <c r="D44" t="s">
        <v>1859</v>
      </c>
      <c r="E44">
        <v>6000</v>
      </c>
      <c r="F44" t="s">
        <v>2269</v>
      </c>
    </row>
    <row r="45" spans="1:6">
      <c r="A45">
        <v>44</v>
      </c>
      <c r="B45" s="13">
        <v>45791</v>
      </c>
      <c r="C45" t="s">
        <v>2272</v>
      </c>
      <c r="D45" t="s">
        <v>2090</v>
      </c>
      <c r="E45">
        <v>46590</v>
      </c>
    </row>
    <row r="46" spans="1:6">
      <c r="A46">
        <v>45</v>
      </c>
      <c r="B46" s="13">
        <v>45791</v>
      </c>
      <c r="C46" t="s">
        <v>1565</v>
      </c>
      <c r="D46" t="s">
        <v>1687</v>
      </c>
      <c r="E46">
        <v>7000</v>
      </c>
      <c r="F46" t="s">
        <v>2263</v>
      </c>
    </row>
    <row r="47" spans="1:6">
      <c r="A47">
        <v>46</v>
      </c>
      <c r="B47" s="13">
        <v>45791</v>
      </c>
      <c r="C47" t="s">
        <v>2146</v>
      </c>
      <c r="D47" t="s">
        <v>1859</v>
      </c>
      <c r="E47">
        <v>4100</v>
      </c>
      <c r="F47" t="s">
        <v>2268</v>
      </c>
    </row>
    <row r="48" spans="1:6">
      <c r="A48">
        <v>47</v>
      </c>
      <c r="B48" s="13">
        <v>45792</v>
      </c>
      <c r="C48" t="s">
        <v>2146</v>
      </c>
      <c r="D48" t="s">
        <v>1859</v>
      </c>
      <c r="E48">
        <v>6000</v>
      </c>
      <c r="F48" t="s">
        <v>2305</v>
      </c>
    </row>
    <row r="49" spans="1:6">
      <c r="A49">
        <v>48</v>
      </c>
      <c r="B49" s="13">
        <v>45793</v>
      </c>
      <c r="C49" t="s">
        <v>1778</v>
      </c>
      <c r="D49" t="s">
        <v>2086</v>
      </c>
      <c r="E49">
        <v>5400</v>
      </c>
    </row>
    <row r="50" spans="1:6">
      <c r="A50">
        <v>49</v>
      </c>
      <c r="B50" s="13">
        <v>45794</v>
      </c>
      <c r="C50" t="s">
        <v>2333</v>
      </c>
      <c r="D50" t="s">
        <v>1859</v>
      </c>
      <c r="E50">
        <v>8000</v>
      </c>
      <c r="F50" t="s">
        <v>2334</v>
      </c>
    </row>
    <row r="51" spans="1:6">
      <c r="A51">
        <v>50</v>
      </c>
      <c r="B51" s="13">
        <v>45796</v>
      </c>
      <c r="C51" t="s">
        <v>2082</v>
      </c>
      <c r="D51" t="s">
        <v>2086</v>
      </c>
      <c r="E51">
        <v>8000</v>
      </c>
    </row>
    <row r="52" spans="1:6">
      <c r="A52">
        <v>51</v>
      </c>
      <c r="B52" s="13">
        <v>45796</v>
      </c>
      <c r="C52" t="s">
        <v>2272</v>
      </c>
      <c r="D52" t="s">
        <v>2090</v>
      </c>
      <c r="E52">
        <v>46300</v>
      </c>
    </row>
    <row r="53" spans="1:6">
      <c r="A53">
        <v>52</v>
      </c>
      <c r="B53" s="13">
        <v>45796</v>
      </c>
      <c r="C53" t="s">
        <v>2348</v>
      </c>
      <c r="D53" t="s">
        <v>2086</v>
      </c>
      <c r="E53">
        <v>1800</v>
      </c>
    </row>
    <row r="54" spans="1:6">
      <c r="A54">
        <v>53</v>
      </c>
      <c r="B54" s="13">
        <v>45797</v>
      </c>
      <c r="C54" t="s">
        <v>2082</v>
      </c>
      <c r="D54" t="s">
        <v>2086</v>
      </c>
      <c r="E54" s="238">
        <v>8000</v>
      </c>
    </row>
    <row r="55" spans="1:6">
      <c r="A55">
        <v>54</v>
      </c>
      <c r="B55" s="13">
        <v>45798</v>
      </c>
      <c r="C55" t="s">
        <v>2082</v>
      </c>
      <c r="D55" t="s">
        <v>2086</v>
      </c>
      <c r="E55">
        <v>8000</v>
      </c>
    </row>
    <row r="56" spans="1:6">
      <c r="A56">
        <v>55</v>
      </c>
      <c r="B56" s="13">
        <v>45798</v>
      </c>
      <c r="C56" t="s">
        <v>2146</v>
      </c>
      <c r="D56" t="s">
        <v>1859</v>
      </c>
      <c r="E56">
        <v>6500</v>
      </c>
    </row>
    <row r="57" spans="1:6">
      <c r="A57">
        <v>56</v>
      </c>
      <c r="B57" s="13">
        <v>45799</v>
      </c>
      <c r="C57" t="s">
        <v>2405</v>
      </c>
      <c r="D57" t="s">
        <v>2087</v>
      </c>
      <c r="E57">
        <v>9500</v>
      </c>
    </row>
    <row r="58" spans="1:6">
      <c r="A58">
        <v>57</v>
      </c>
      <c r="B58" s="13">
        <v>45800</v>
      </c>
      <c r="C58" t="s">
        <v>2082</v>
      </c>
      <c r="D58" t="s">
        <v>2086</v>
      </c>
      <c r="E58">
        <v>8000</v>
      </c>
    </row>
    <row r="59" spans="1:6">
      <c r="A59">
        <v>58</v>
      </c>
      <c r="B59" s="13">
        <v>45803</v>
      </c>
      <c r="C59" t="s">
        <v>2406</v>
      </c>
      <c r="D59" t="s">
        <v>2086</v>
      </c>
      <c r="E59">
        <v>7500</v>
      </c>
    </row>
    <row r="60" spans="1:6">
      <c r="A60">
        <v>59</v>
      </c>
      <c r="B60" s="13">
        <v>45804</v>
      </c>
      <c r="C60" t="s">
        <v>1690</v>
      </c>
      <c r="D60" t="s">
        <v>2086</v>
      </c>
      <c r="E60">
        <v>10000</v>
      </c>
    </row>
    <row r="61" spans="1:6">
      <c r="A61">
        <v>60</v>
      </c>
      <c r="B61" s="13">
        <v>45805</v>
      </c>
      <c r="C61" t="s">
        <v>2082</v>
      </c>
      <c r="D61" t="s">
        <v>2086</v>
      </c>
      <c r="E61">
        <v>8000</v>
      </c>
    </row>
    <row r="62" spans="1:6">
      <c r="A62">
        <v>61</v>
      </c>
      <c r="B62" s="13">
        <v>45806</v>
      </c>
      <c r="C62" t="s">
        <v>2146</v>
      </c>
      <c r="D62" t="s">
        <v>1859</v>
      </c>
      <c r="E62">
        <v>11000</v>
      </c>
    </row>
    <row r="63" spans="1:6">
      <c r="A63">
        <v>62</v>
      </c>
      <c r="B63" s="13">
        <v>45806</v>
      </c>
      <c r="C63" t="s">
        <v>2082</v>
      </c>
      <c r="D63" t="s">
        <v>2086</v>
      </c>
      <c r="E63">
        <v>8000</v>
      </c>
    </row>
    <row r="64" spans="1:6">
      <c r="A64">
        <v>63</v>
      </c>
      <c r="B64" s="13">
        <v>45807</v>
      </c>
      <c r="C64" t="s">
        <v>1674</v>
      </c>
      <c r="D64" t="s">
        <v>2090</v>
      </c>
      <c r="E64">
        <v>46950</v>
      </c>
    </row>
    <row r="65" spans="1:6">
      <c r="A65">
        <v>64</v>
      </c>
      <c r="B65" s="13">
        <v>45807</v>
      </c>
      <c r="C65" t="s">
        <v>2433</v>
      </c>
      <c r="D65" t="s">
        <v>1859</v>
      </c>
      <c r="E65">
        <v>6000</v>
      </c>
      <c r="F65" t="s">
        <v>2269</v>
      </c>
    </row>
    <row r="66" spans="1:6">
      <c r="A66">
        <v>65</v>
      </c>
      <c r="B66" s="13">
        <v>45807</v>
      </c>
      <c r="C66" t="s">
        <v>2146</v>
      </c>
      <c r="D66" t="s">
        <v>1859</v>
      </c>
      <c r="E66">
        <v>6000</v>
      </c>
      <c r="F66" t="s">
        <v>2040</v>
      </c>
    </row>
    <row r="67" spans="1:6">
      <c r="A67">
        <v>66</v>
      </c>
      <c r="B67" s="13">
        <v>45812</v>
      </c>
      <c r="C67" t="s">
        <v>2146</v>
      </c>
      <c r="D67" t="s">
        <v>1859</v>
      </c>
      <c r="E67">
        <v>6000</v>
      </c>
    </row>
    <row r="68" spans="1:6">
      <c r="A68">
        <v>67</v>
      </c>
      <c r="B68" s="13">
        <v>45811</v>
      </c>
      <c r="C68" t="s">
        <v>2082</v>
      </c>
      <c r="D68" t="s">
        <v>2086</v>
      </c>
      <c r="E68">
        <v>8000</v>
      </c>
    </row>
    <row r="69" spans="1:6">
      <c r="A69">
        <v>68</v>
      </c>
      <c r="B69" s="13">
        <v>45817</v>
      </c>
      <c r="C69" t="s">
        <v>2146</v>
      </c>
      <c r="D69" t="s">
        <v>1859</v>
      </c>
      <c r="E69">
        <v>6000</v>
      </c>
      <c r="F69" t="s">
        <v>2526</v>
      </c>
    </row>
    <row r="70" spans="1:6">
      <c r="A70">
        <v>69</v>
      </c>
      <c r="B70" s="13">
        <v>45815</v>
      </c>
      <c r="C70" t="s">
        <v>2146</v>
      </c>
      <c r="D70" t="s">
        <v>1859</v>
      </c>
      <c r="E70">
        <v>6000</v>
      </c>
      <c r="F70" t="s">
        <v>2526</v>
      </c>
    </row>
    <row r="71" spans="1:6">
      <c r="A71">
        <v>70</v>
      </c>
      <c r="B71" s="13">
        <v>45813</v>
      </c>
      <c r="C71" t="s">
        <v>2146</v>
      </c>
      <c r="D71" t="s">
        <v>1859</v>
      </c>
      <c r="E71">
        <v>4000</v>
      </c>
      <c r="F71" t="s">
        <v>2269</v>
      </c>
    </row>
    <row r="72" spans="1:6">
      <c r="A72">
        <v>71</v>
      </c>
      <c r="B72" s="13">
        <v>45817</v>
      </c>
      <c r="C72" t="s">
        <v>2146</v>
      </c>
      <c r="D72" t="s">
        <v>1859</v>
      </c>
      <c r="E72">
        <v>4600</v>
      </c>
      <c r="F72" t="s">
        <v>2572</v>
      </c>
    </row>
    <row r="73" spans="1:6">
      <c r="A73">
        <v>72</v>
      </c>
      <c r="B73" s="13">
        <v>45817</v>
      </c>
      <c r="C73" t="s">
        <v>2146</v>
      </c>
      <c r="D73" t="s">
        <v>1859</v>
      </c>
      <c r="E73">
        <v>9600</v>
      </c>
      <c r="F73" t="s">
        <v>2573</v>
      </c>
    </row>
    <row r="74" spans="1:6">
      <c r="A74">
        <v>73</v>
      </c>
      <c r="B74" s="13">
        <v>45818</v>
      </c>
      <c r="C74" t="s">
        <v>2146</v>
      </c>
      <c r="D74" t="s">
        <v>1859</v>
      </c>
      <c r="E74">
        <v>6000</v>
      </c>
      <c r="F74" t="s">
        <v>2574</v>
      </c>
    </row>
    <row r="75" spans="1:6">
      <c r="A75">
        <v>74</v>
      </c>
      <c r="B75" s="13">
        <v>45818</v>
      </c>
      <c r="C75" t="s">
        <v>2348</v>
      </c>
      <c r="D75" t="s">
        <v>2086</v>
      </c>
      <c r="E75">
        <v>2200</v>
      </c>
    </row>
    <row r="76" spans="1:6">
      <c r="A76">
        <v>75</v>
      </c>
      <c r="B76" s="13">
        <v>45818</v>
      </c>
      <c r="C76" t="s">
        <v>2333</v>
      </c>
      <c r="D76" t="s">
        <v>1687</v>
      </c>
      <c r="E76">
        <v>10000</v>
      </c>
      <c r="F76" t="s">
        <v>2575</v>
      </c>
    </row>
    <row r="77" spans="1:6">
      <c r="A77">
        <v>76</v>
      </c>
      <c r="B77" s="13">
        <v>45818</v>
      </c>
      <c r="C77" t="s">
        <v>2146</v>
      </c>
      <c r="D77" t="s">
        <v>1859</v>
      </c>
      <c r="E77" s="238">
        <v>6000</v>
      </c>
      <c r="F77" t="s">
        <v>997</v>
      </c>
    </row>
    <row r="78" spans="1:6">
      <c r="A78">
        <v>77</v>
      </c>
      <c r="B78" s="13">
        <v>45819</v>
      </c>
      <c r="C78" t="s">
        <v>2264</v>
      </c>
      <c r="D78" t="s">
        <v>1859</v>
      </c>
      <c r="E78">
        <v>6000</v>
      </c>
      <c r="F78" t="s">
        <v>2608</v>
      </c>
    </row>
    <row r="79" spans="1:6">
      <c r="A79">
        <v>78</v>
      </c>
      <c r="B79" s="13">
        <v>45820</v>
      </c>
      <c r="C79" t="s">
        <v>2146</v>
      </c>
      <c r="D79" t="s">
        <v>1859</v>
      </c>
      <c r="E79" s="238">
        <v>6000</v>
      </c>
      <c r="F79" t="s">
        <v>1900</v>
      </c>
    </row>
    <row r="80" spans="1:6">
      <c r="A80">
        <v>79</v>
      </c>
      <c r="B80" s="13">
        <v>45820</v>
      </c>
      <c r="C80" t="s">
        <v>2146</v>
      </c>
      <c r="D80" t="s">
        <v>1859</v>
      </c>
      <c r="E80">
        <v>7600</v>
      </c>
      <c r="F80" t="s">
        <v>2527</v>
      </c>
    </row>
    <row r="81" spans="1:6">
      <c r="A81">
        <v>80</v>
      </c>
      <c r="B81" s="13">
        <v>45824</v>
      </c>
      <c r="C81" t="s">
        <v>2272</v>
      </c>
      <c r="D81" t="s">
        <v>2090</v>
      </c>
      <c r="E81">
        <v>47970</v>
      </c>
    </row>
    <row r="82" spans="1:6">
      <c r="A82">
        <v>81</v>
      </c>
      <c r="B82" s="13">
        <v>45824</v>
      </c>
      <c r="C82" t="s">
        <v>2082</v>
      </c>
      <c r="D82" t="s">
        <v>2086</v>
      </c>
      <c r="E82">
        <v>8000</v>
      </c>
    </row>
    <row r="83" spans="1:6">
      <c r="A83">
        <v>82</v>
      </c>
      <c r="B83" s="13">
        <v>45824</v>
      </c>
      <c r="C83" t="s">
        <v>2146</v>
      </c>
      <c r="D83" t="s">
        <v>1859</v>
      </c>
      <c r="E83">
        <v>4600</v>
      </c>
      <c r="F83" t="s">
        <v>2643</v>
      </c>
    </row>
    <row r="84" spans="1:6">
      <c r="A84">
        <v>83</v>
      </c>
      <c r="B84" s="13">
        <v>45825</v>
      </c>
      <c r="C84" t="s">
        <v>1424</v>
      </c>
      <c r="D84" t="s">
        <v>1859</v>
      </c>
      <c r="E84">
        <v>7000</v>
      </c>
      <c r="F84" t="s">
        <v>2650</v>
      </c>
    </row>
    <row r="85" spans="1:6">
      <c r="A85">
        <v>84</v>
      </c>
      <c r="B85" s="13">
        <v>45825</v>
      </c>
      <c r="C85" t="s">
        <v>2333</v>
      </c>
      <c r="D85" t="s">
        <v>1687</v>
      </c>
      <c r="E85">
        <v>9000</v>
      </c>
      <c r="F85" t="s">
        <v>2650</v>
      </c>
    </row>
    <row r="86" spans="1:6">
      <c r="A86">
        <v>85</v>
      </c>
      <c r="B86" s="13">
        <v>45825</v>
      </c>
      <c r="C86" t="s">
        <v>1761</v>
      </c>
      <c r="D86" t="s">
        <v>2086</v>
      </c>
      <c r="E86">
        <v>7000</v>
      </c>
    </row>
    <row r="87" spans="1:6">
      <c r="A87">
        <v>86</v>
      </c>
      <c r="B87" s="13">
        <v>45826</v>
      </c>
      <c r="C87" t="s">
        <v>2146</v>
      </c>
      <c r="D87" t="s">
        <v>1859</v>
      </c>
      <c r="E87">
        <v>2000</v>
      </c>
      <c r="F87" t="s">
        <v>2527</v>
      </c>
    </row>
    <row r="88" spans="1:6">
      <c r="A88">
        <v>87</v>
      </c>
      <c r="B88" s="13">
        <v>45826</v>
      </c>
      <c r="C88" t="s">
        <v>2146</v>
      </c>
      <c r="D88" t="s">
        <v>1859</v>
      </c>
      <c r="E88">
        <v>2000</v>
      </c>
      <c r="F88" t="s">
        <v>2527</v>
      </c>
    </row>
    <row r="89" spans="1:6">
      <c r="A89">
        <v>88</v>
      </c>
      <c r="B89" s="13">
        <v>45826</v>
      </c>
      <c r="C89" t="s">
        <v>2146</v>
      </c>
      <c r="D89" t="s">
        <v>1859</v>
      </c>
      <c r="E89">
        <v>7500</v>
      </c>
      <c r="F89" t="s">
        <v>2699</v>
      </c>
    </row>
    <row r="90" spans="1:6">
      <c r="A90">
        <v>89</v>
      </c>
      <c r="B90" s="13">
        <v>45826</v>
      </c>
      <c r="C90" t="s">
        <v>1690</v>
      </c>
      <c r="D90" t="s">
        <v>2086</v>
      </c>
      <c r="E90">
        <v>9500</v>
      </c>
    </row>
    <row r="91" spans="1:6">
      <c r="A91">
        <v>90</v>
      </c>
      <c r="B91" s="13">
        <v>45827</v>
      </c>
      <c r="C91" t="s">
        <v>2146</v>
      </c>
      <c r="D91" t="s">
        <v>1859</v>
      </c>
      <c r="E91">
        <v>6000</v>
      </c>
      <c r="F91" t="s">
        <v>2574</v>
      </c>
    </row>
    <row r="92" spans="1:6">
      <c r="A92">
        <v>91</v>
      </c>
      <c r="B92" s="13">
        <v>45827</v>
      </c>
      <c r="C92" t="s">
        <v>2146</v>
      </c>
      <c r="D92" t="s">
        <v>1859</v>
      </c>
      <c r="E92">
        <v>2000</v>
      </c>
      <c r="F92" t="s">
        <v>2711</v>
      </c>
    </row>
    <row r="93" spans="1:6">
      <c r="A93">
        <v>92</v>
      </c>
      <c r="B93" s="13">
        <v>45827</v>
      </c>
      <c r="C93" t="s">
        <v>2146</v>
      </c>
      <c r="D93" t="s">
        <v>1859</v>
      </c>
      <c r="E93">
        <v>4600</v>
      </c>
      <c r="F93" t="s">
        <v>2729</v>
      </c>
    </row>
    <row r="94" spans="1:6">
      <c r="A94">
        <v>93</v>
      </c>
      <c r="B94" s="13">
        <v>45828</v>
      </c>
      <c r="C94" t="s">
        <v>2146</v>
      </c>
      <c r="D94" t="s">
        <v>1859</v>
      </c>
      <c r="E94">
        <v>4500</v>
      </c>
      <c r="F94" t="s">
        <v>2748</v>
      </c>
    </row>
    <row r="95" spans="1:6">
      <c r="A95">
        <v>94</v>
      </c>
      <c r="B95" s="13">
        <v>45829</v>
      </c>
      <c r="C95" t="s">
        <v>2272</v>
      </c>
      <c r="D95" t="s">
        <v>2090</v>
      </c>
      <c r="E95">
        <v>48750</v>
      </c>
    </row>
    <row r="96" spans="1:6">
      <c r="A96">
        <v>95</v>
      </c>
      <c r="B96" s="13">
        <v>45829</v>
      </c>
      <c r="C96" t="s">
        <v>2146</v>
      </c>
      <c r="D96" t="s">
        <v>1859</v>
      </c>
      <c r="E96">
        <v>7600</v>
      </c>
      <c r="F96" t="s">
        <v>2633</v>
      </c>
    </row>
    <row r="97" spans="1:6">
      <c r="A97">
        <v>96</v>
      </c>
      <c r="B97" s="13">
        <v>45829</v>
      </c>
      <c r="C97" t="s">
        <v>2146</v>
      </c>
      <c r="D97" t="s">
        <v>1859</v>
      </c>
      <c r="E97">
        <v>6100</v>
      </c>
      <c r="F97" t="s">
        <v>2633</v>
      </c>
    </row>
    <row r="98" spans="1:6">
      <c r="A98">
        <v>97</v>
      </c>
      <c r="B98" s="13">
        <v>45831</v>
      </c>
      <c r="C98" t="s">
        <v>1565</v>
      </c>
      <c r="D98" t="s">
        <v>1687</v>
      </c>
      <c r="E98">
        <v>12000</v>
      </c>
      <c r="F98" t="s">
        <v>1027</v>
      </c>
    </row>
    <row r="99" spans="1:6">
      <c r="A99">
        <v>98</v>
      </c>
      <c r="B99" s="13">
        <v>45832</v>
      </c>
      <c r="C99" t="s">
        <v>2161</v>
      </c>
      <c r="D99" t="s">
        <v>2085</v>
      </c>
      <c r="E99">
        <v>2200</v>
      </c>
      <c r="F99" t="s">
        <v>2773</v>
      </c>
    </row>
    <row r="100" spans="1:6">
      <c r="A100">
        <v>99</v>
      </c>
      <c r="B100" s="13">
        <v>45832</v>
      </c>
      <c r="C100" t="s">
        <v>2146</v>
      </c>
      <c r="D100" t="s">
        <v>1859</v>
      </c>
      <c r="E100">
        <v>7700</v>
      </c>
      <c r="F100" t="s">
        <v>1027</v>
      </c>
    </row>
    <row r="101" spans="1:6">
      <c r="A101">
        <v>100</v>
      </c>
      <c r="B101" s="13">
        <v>45833</v>
      </c>
      <c r="C101" t="s">
        <v>2146</v>
      </c>
      <c r="D101" t="s">
        <v>1859</v>
      </c>
      <c r="E101">
        <v>6600</v>
      </c>
      <c r="F101" t="s">
        <v>1900</v>
      </c>
    </row>
    <row r="102" spans="1:6">
      <c r="A102">
        <v>101</v>
      </c>
      <c r="B102" s="13">
        <v>45833</v>
      </c>
      <c r="C102" t="s">
        <v>2146</v>
      </c>
      <c r="D102" t="s">
        <v>1859</v>
      </c>
      <c r="E102">
        <v>2200</v>
      </c>
      <c r="F102" t="s">
        <v>2789</v>
      </c>
    </row>
    <row r="103" spans="1:6">
      <c r="A103">
        <v>102</v>
      </c>
      <c r="B103" s="13">
        <v>45833</v>
      </c>
      <c r="C103" t="s">
        <v>2146</v>
      </c>
      <c r="D103" t="s">
        <v>1859</v>
      </c>
      <c r="E103">
        <v>2200</v>
      </c>
      <c r="F103" t="s">
        <v>987</v>
      </c>
    </row>
    <row r="104" spans="1:6">
      <c r="A104">
        <v>103</v>
      </c>
      <c r="B104" s="13">
        <v>45833</v>
      </c>
      <c r="C104" t="s">
        <v>2146</v>
      </c>
      <c r="D104" t="s">
        <v>1859</v>
      </c>
      <c r="E104">
        <v>4400</v>
      </c>
      <c r="F104" t="s">
        <v>2793</v>
      </c>
    </row>
    <row r="105" spans="1:6">
      <c r="A105">
        <v>104</v>
      </c>
      <c r="B105" s="13">
        <v>45833</v>
      </c>
      <c r="C105" t="s">
        <v>2146</v>
      </c>
      <c r="D105" t="s">
        <v>1859</v>
      </c>
      <c r="E105">
        <v>4400</v>
      </c>
      <c r="F105" t="s">
        <v>2793</v>
      </c>
    </row>
    <row r="106" spans="1:6">
      <c r="A106">
        <v>105</v>
      </c>
      <c r="B106" s="13">
        <v>45833</v>
      </c>
      <c r="C106" t="s">
        <v>2808</v>
      </c>
      <c r="D106" t="s">
        <v>2809</v>
      </c>
      <c r="E106">
        <v>24800</v>
      </c>
      <c r="F106" t="s">
        <v>2810</v>
      </c>
    </row>
    <row r="107" spans="1:6">
      <c r="A107">
        <v>106</v>
      </c>
      <c r="B107" s="13">
        <v>45833</v>
      </c>
      <c r="C107" t="s">
        <v>1690</v>
      </c>
      <c r="D107" t="s">
        <v>2086</v>
      </c>
      <c r="E107">
        <v>10000</v>
      </c>
    </row>
    <row r="108" spans="1:6">
      <c r="A108">
        <v>107</v>
      </c>
      <c r="B108" s="13">
        <v>45835</v>
      </c>
      <c r="C108" t="s">
        <v>2851</v>
      </c>
      <c r="D108" t="s">
        <v>2086</v>
      </c>
      <c r="E108">
        <v>22000</v>
      </c>
    </row>
    <row r="109" spans="1:6">
      <c r="A109">
        <v>108</v>
      </c>
      <c r="B109" s="13">
        <v>45839</v>
      </c>
      <c r="C109" t="s">
        <v>2146</v>
      </c>
      <c r="D109" t="s">
        <v>1859</v>
      </c>
      <c r="E109">
        <v>2200</v>
      </c>
      <c r="F109" t="s">
        <v>2896</v>
      </c>
    </row>
    <row r="110" spans="1:6">
      <c r="A110">
        <v>109</v>
      </c>
      <c r="B110" s="13">
        <v>45840</v>
      </c>
      <c r="C110" t="s">
        <v>2146</v>
      </c>
      <c r="D110" t="s">
        <v>1859</v>
      </c>
      <c r="E110">
        <v>6600</v>
      </c>
      <c r="F110" t="s">
        <v>2910</v>
      </c>
    </row>
    <row r="111" spans="1:6">
      <c r="A111">
        <v>110</v>
      </c>
      <c r="B111" s="13">
        <v>45840</v>
      </c>
      <c r="C111" t="s">
        <v>2146</v>
      </c>
      <c r="D111" t="s">
        <v>1859</v>
      </c>
      <c r="E111">
        <v>2200</v>
      </c>
      <c r="F111" t="s">
        <v>1069</v>
      </c>
    </row>
    <row r="112" spans="1:6">
      <c r="A112">
        <v>111</v>
      </c>
      <c r="B112" s="13">
        <v>45840</v>
      </c>
      <c r="C112" t="s">
        <v>2146</v>
      </c>
      <c r="D112" t="s">
        <v>1859</v>
      </c>
      <c r="E112">
        <v>7150</v>
      </c>
      <c r="F112" t="s">
        <v>2911</v>
      </c>
    </row>
    <row r="113" spans="1:6">
      <c r="A113">
        <v>112</v>
      </c>
      <c r="B113" s="13">
        <v>45840</v>
      </c>
      <c r="C113" t="s">
        <v>2146</v>
      </c>
      <c r="D113" t="s">
        <v>1859</v>
      </c>
      <c r="E113">
        <v>2200</v>
      </c>
      <c r="F113" t="s">
        <v>1424</v>
      </c>
    </row>
    <row r="114" spans="1:6">
      <c r="A114">
        <v>113</v>
      </c>
      <c r="B114" s="13">
        <v>45842</v>
      </c>
      <c r="C114" t="s">
        <v>2211</v>
      </c>
      <c r="D114" t="s">
        <v>2086</v>
      </c>
      <c r="E114">
        <v>24000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C2" sqref="C2:G2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3"/>
      <c r="B1" s="324"/>
      <c r="C1" s="324"/>
      <c r="D1" s="324"/>
      <c r="E1" s="324"/>
      <c r="F1" s="324"/>
      <c r="G1" s="324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25" t="s">
        <v>1235</v>
      </c>
      <c r="R1" s="325"/>
      <c r="S1" s="433"/>
      <c r="T1" s="433"/>
      <c r="U1" s="434"/>
    </row>
    <row r="2" spans="1:21">
      <c r="A2" s="303" t="s">
        <v>71</v>
      </c>
      <c r="B2" s="304"/>
      <c r="C2" s="305" t="s">
        <v>2322</v>
      </c>
      <c r="D2" s="306"/>
      <c r="E2" s="306"/>
      <c r="F2" s="306"/>
      <c r="G2" s="307"/>
      <c r="H2" s="305" t="s">
        <v>83</v>
      </c>
      <c r="I2" s="306"/>
      <c r="J2" s="306"/>
      <c r="K2" s="306"/>
      <c r="L2" s="306"/>
      <c r="M2" s="306"/>
      <c r="N2" s="306"/>
      <c r="O2" s="307"/>
      <c r="P2" s="308" t="s">
        <v>69</v>
      </c>
      <c r="Q2" s="309"/>
      <c r="R2" s="309"/>
      <c r="S2" s="304"/>
      <c r="T2" s="310">
        <v>45843</v>
      </c>
      <c r="U2" s="311"/>
    </row>
    <row r="3" spans="1:21" ht="24.95" customHeight="1">
      <c r="A3" s="378" t="s">
        <v>1203</v>
      </c>
      <c r="B3" s="37" t="s">
        <v>65</v>
      </c>
      <c r="C3" s="381" t="s">
        <v>1378</v>
      </c>
      <c r="D3" s="382"/>
      <c r="E3" s="382"/>
      <c r="F3" s="382"/>
      <c r="G3" s="382"/>
      <c r="H3" s="382"/>
      <c r="I3" s="382"/>
      <c r="J3" s="383"/>
      <c r="K3" s="384" t="s">
        <v>1204</v>
      </c>
      <c r="L3" s="37" t="s">
        <v>65</v>
      </c>
      <c r="M3" s="387" t="s">
        <v>971</v>
      </c>
      <c r="N3" s="388"/>
      <c r="O3" s="388"/>
      <c r="P3" s="388"/>
      <c r="Q3" s="388"/>
      <c r="R3" s="388"/>
      <c r="S3" s="388"/>
      <c r="T3" s="388"/>
      <c r="U3" s="389"/>
    </row>
    <row r="4" spans="1:21" ht="24.95" customHeight="1">
      <c r="A4" s="379"/>
      <c r="B4" s="37" t="s">
        <v>67</v>
      </c>
      <c r="C4" s="430"/>
      <c r="D4" s="431"/>
      <c r="E4" s="431"/>
      <c r="F4" s="431"/>
      <c r="G4" s="431"/>
      <c r="H4" s="431"/>
      <c r="I4" s="431"/>
      <c r="J4" s="432"/>
      <c r="K4" s="385"/>
      <c r="L4" s="37" t="s">
        <v>67</v>
      </c>
      <c r="M4" s="393" t="s">
        <v>969</v>
      </c>
      <c r="N4" s="394"/>
      <c r="O4" s="394"/>
      <c r="P4" s="394"/>
      <c r="Q4" s="394"/>
      <c r="R4" s="395"/>
      <c r="S4" s="38" t="s">
        <v>68</v>
      </c>
      <c r="T4" s="393" t="s">
        <v>79</v>
      </c>
      <c r="U4" s="396"/>
    </row>
    <row r="5" spans="1:21" ht="24.95" customHeight="1">
      <c r="A5" s="379"/>
      <c r="B5" s="38" t="s">
        <v>10</v>
      </c>
      <c r="C5" s="393" t="s">
        <v>2414</v>
      </c>
      <c r="D5" s="394"/>
      <c r="E5" s="394"/>
      <c r="F5" s="394"/>
      <c r="G5" s="394"/>
      <c r="H5" s="394"/>
      <c r="I5" s="394"/>
      <c r="J5" s="395"/>
      <c r="K5" s="385"/>
      <c r="L5" s="38" t="s">
        <v>10</v>
      </c>
      <c r="M5" s="393" t="s">
        <v>80</v>
      </c>
      <c r="N5" s="394"/>
      <c r="O5" s="394"/>
      <c r="P5" s="394"/>
      <c r="Q5" s="394"/>
      <c r="R5" s="394"/>
      <c r="S5" s="394"/>
      <c r="T5" s="394"/>
      <c r="U5" s="396"/>
    </row>
    <row r="6" spans="1:21" ht="24.95" customHeight="1">
      <c r="A6" s="380"/>
      <c r="B6" s="38" t="s">
        <v>81</v>
      </c>
      <c r="C6" s="393" t="s">
        <v>2415</v>
      </c>
      <c r="D6" s="394"/>
      <c r="E6" s="394"/>
      <c r="F6" s="394"/>
      <c r="G6" s="394"/>
      <c r="H6" s="394"/>
      <c r="I6" s="394"/>
      <c r="J6" s="395"/>
      <c r="K6" s="386"/>
      <c r="L6" s="38" t="s">
        <v>81</v>
      </c>
      <c r="M6" s="393" t="s">
        <v>72</v>
      </c>
      <c r="N6" s="394"/>
      <c r="O6" s="394"/>
      <c r="P6" s="394"/>
      <c r="Q6" s="394"/>
      <c r="R6" s="395"/>
      <c r="S6" s="38" t="s">
        <v>26</v>
      </c>
      <c r="T6" s="393" t="s">
        <v>29</v>
      </c>
      <c r="U6" s="396"/>
    </row>
    <row r="7" spans="1:21" ht="15.75" customHeight="1">
      <c r="A7" s="312" t="s">
        <v>76</v>
      </c>
      <c r="B7" s="313"/>
      <c r="C7" s="313"/>
      <c r="D7" s="313"/>
      <c r="E7" s="375"/>
      <c r="F7" s="376" t="s">
        <v>49</v>
      </c>
      <c r="G7" s="313"/>
      <c r="H7" s="313"/>
      <c r="I7" s="375"/>
      <c r="J7" s="376" t="s">
        <v>47</v>
      </c>
      <c r="K7" s="313"/>
      <c r="L7" s="313"/>
      <c r="M7" s="313"/>
      <c r="N7" s="375"/>
      <c r="O7" s="313" t="s">
        <v>55</v>
      </c>
      <c r="P7" s="375"/>
      <c r="Q7" s="376" t="s">
        <v>75</v>
      </c>
      <c r="R7" s="313"/>
      <c r="S7" s="375"/>
      <c r="T7" s="376" t="s">
        <v>74</v>
      </c>
      <c r="U7" s="377"/>
    </row>
    <row r="8" spans="1:21" ht="15.6" customHeight="1">
      <c r="A8" s="419" t="s">
        <v>1261</v>
      </c>
      <c r="B8" s="420"/>
      <c r="C8" s="420"/>
      <c r="D8" s="420"/>
      <c r="E8" s="421"/>
      <c r="F8" s="422" t="s">
        <v>1919</v>
      </c>
      <c r="G8" s="420"/>
      <c r="H8" s="420"/>
      <c r="I8" s="421"/>
      <c r="J8" s="428">
        <v>1200000</v>
      </c>
      <c r="K8" s="428"/>
      <c r="L8" s="428"/>
      <c r="M8" s="428"/>
      <c r="N8" s="428"/>
      <c r="O8" s="429">
        <v>1</v>
      </c>
      <c r="P8" s="429"/>
      <c r="Q8" s="423"/>
      <c r="R8" s="424"/>
      <c r="S8" s="425"/>
      <c r="T8" s="426">
        <v>1200000</v>
      </c>
      <c r="U8" s="427"/>
    </row>
    <row r="9" spans="1:21" ht="15.6" customHeight="1">
      <c r="A9" s="408"/>
      <c r="B9" s="409"/>
      <c r="C9" s="409"/>
      <c r="D9" s="409"/>
      <c r="E9" s="410"/>
      <c r="F9" s="411"/>
      <c r="G9" s="409"/>
      <c r="H9" s="409"/>
      <c r="I9" s="410"/>
      <c r="J9" s="417"/>
      <c r="K9" s="417"/>
      <c r="L9" s="417"/>
      <c r="M9" s="417"/>
      <c r="N9" s="417"/>
      <c r="O9" s="418"/>
      <c r="P9" s="418"/>
      <c r="Q9" s="412"/>
      <c r="R9" s="413"/>
      <c r="S9" s="414"/>
      <c r="T9" s="415"/>
      <c r="U9" s="416"/>
    </row>
    <row r="10" spans="1:21" ht="15.6" customHeight="1">
      <c r="A10" s="408"/>
      <c r="B10" s="409"/>
      <c r="C10" s="409"/>
      <c r="D10" s="409"/>
      <c r="E10" s="410"/>
      <c r="F10" s="411"/>
      <c r="G10" s="409"/>
      <c r="H10" s="409"/>
      <c r="I10" s="410"/>
      <c r="J10" s="417"/>
      <c r="K10" s="417"/>
      <c r="L10" s="417"/>
      <c r="M10" s="417"/>
      <c r="N10" s="417"/>
      <c r="O10" s="418"/>
      <c r="P10" s="418"/>
      <c r="Q10" s="412"/>
      <c r="R10" s="413"/>
      <c r="S10" s="414"/>
      <c r="T10" s="415"/>
      <c r="U10" s="416"/>
    </row>
    <row r="11" spans="1:21" ht="15.6" customHeight="1">
      <c r="A11" s="408"/>
      <c r="B11" s="409"/>
      <c r="C11" s="409"/>
      <c r="D11" s="409"/>
      <c r="E11" s="410"/>
      <c r="F11" s="411"/>
      <c r="G11" s="409"/>
      <c r="H11" s="409"/>
      <c r="I11" s="410"/>
      <c r="J11" s="417"/>
      <c r="K11" s="417"/>
      <c r="L11" s="417"/>
      <c r="M11" s="417"/>
      <c r="N11" s="417"/>
      <c r="O11" s="418"/>
      <c r="P11" s="418"/>
      <c r="Q11" s="412"/>
      <c r="R11" s="413"/>
      <c r="S11" s="414"/>
      <c r="T11" s="415"/>
      <c r="U11" s="416"/>
    </row>
    <row r="12" spans="1:21" ht="15.6" customHeight="1">
      <c r="A12" s="408"/>
      <c r="B12" s="409"/>
      <c r="C12" s="409"/>
      <c r="D12" s="409"/>
      <c r="E12" s="410"/>
      <c r="F12" s="411"/>
      <c r="G12" s="409"/>
      <c r="H12" s="409"/>
      <c r="I12" s="410"/>
      <c r="J12" s="417"/>
      <c r="K12" s="417"/>
      <c r="L12" s="417"/>
      <c r="M12" s="417"/>
      <c r="N12" s="417"/>
      <c r="O12" s="418"/>
      <c r="P12" s="418"/>
      <c r="Q12" s="412"/>
      <c r="R12" s="413"/>
      <c r="S12" s="414"/>
      <c r="T12" s="415"/>
      <c r="U12" s="416"/>
    </row>
    <row r="13" spans="1:21" ht="15.6" customHeight="1">
      <c r="A13" s="408"/>
      <c r="B13" s="409"/>
      <c r="C13" s="409"/>
      <c r="D13" s="409"/>
      <c r="E13" s="410"/>
      <c r="F13" s="411"/>
      <c r="G13" s="409"/>
      <c r="H13" s="409"/>
      <c r="I13" s="410"/>
      <c r="J13" s="417"/>
      <c r="K13" s="417"/>
      <c r="L13" s="417"/>
      <c r="M13" s="417"/>
      <c r="N13" s="417"/>
      <c r="O13" s="418"/>
      <c r="P13" s="418"/>
      <c r="Q13" s="412"/>
      <c r="R13" s="413"/>
      <c r="S13" s="414"/>
      <c r="T13" s="415"/>
      <c r="U13" s="416"/>
    </row>
    <row r="14" spans="1:21" ht="15.6" customHeight="1">
      <c r="A14" s="408"/>
      <c r="B14" s="409"/>
      <c r="C14" s="409"/>
      <c r="D14" s="409"/>
      <c r="E14" s="410"/>
      <c r="F14" s="411"/>
      <c r="G14" s="409"/>
      <c r="H14" s="409"/>
      <c r="I14" s="410"/>
      <c r="J14" s="417"/>
      <c r="K14" s="417"/>
      <c r="L14" s="417"/>
      <c r="M14" s="417"/>
      <c r="N14" s="417"/>
      <c r="O14" s="418"/>
      <c r="P14" s="418"/>
      <c r="Q14" s="412"/>
      <c r="R14" s="413"/>
      <c r="S14" s="414"/>
      <c r="T14" s="415"/>
      <c r="U14" s="416"/>
    </row>
    <row r="15" spans="1:21" ht="15.6" customHeight="1" thickBot="1">
      <c r="A15" s="397"/>
      <c r="B15" s="398"/>
      <c r="C15" s="398"/>
      <c r="D15" s="398"/>
      <c r="E15" s="399"/>
      <c r="F15" s="400"/>
      <c r="G15" s="398"/>
      <c r="H15" s="398"/>
      <c r="I15" s="399"/>
      <c r="J15" s="406"/>
      <c r="K15" s="406"/>
      <c r="L15" s="406"/>
      <c r="M15" s="406"/>
      <c r="N15" s="406"/>
      <c r="O15" s="407"/>
      <c r="P15" s="407"/>
      <c r="Q15" s="401"/>
      <c r="R15" s="402"/>
      <c r="S15" s="403"/>
      <c r="T15" s="404"/>
      <c r="U15" s="405"/>
    </row>
    <row r="16" spans="1:21" ht="15" customHeight="1" thickTop="1">
      <c r="A16" s="328" t="s">
        <v>2419</v>
      </c>
      <c r="B16" s="329"/>
      <c r="C16" s="329"/>
      <c r="D16" s="329"/>
      <c r="E16" s="330"/>
      <c r="F16" s="337"/>
      <c r="G16" s="338"/>
      <c r="H16" s="338"/>
      <c r="I16" s="338"/>
      <c r="J16" s="338"/>
      <c r="K16" s="338"/>
      <c r="L16" s="338"/>
      <c r="M16" s="338"/>
      <c r="N16" s="338"/>
      <c r="O16" s="338"/>
      <c r="P16" s="338"/>
      <c r="Q16" s="338"/>
      <c r="R16" s="338"/>
      <c r="S16" s="338"/>
      <c r="T16" s="338"/>
      <c r="U16" s="339"/>
    </row>
    <row r="17" spans="1:21" ht="15" customHeight="1">
      <c r="A17" s="331"/>
      <c r="B17" s="332"/>
      <c r="C17" s="332"/>
      <c r="D17" s="332"/>
      <c r="E17" s="333"/>
      <c r="F17" s="340"/>
      <c r="G17" s="341"/>
      <c r="H17" s="341"/>
      <c r="I17" s="341"/>
      <c r="J17" s="341"/>
      <c r="K17" s="341"/>
      <c r="L17" s="341"/>
      <c r="M17" s="341"/>
      <c r="N17" s="341"/>
      <c r="O17" s="341"/>
      <c r="P17" s="341"/>
      <c r="Q17" s="341"/>
      <c r="R17" s="341"/>
      <c r="S17" s="341"/>
      <c r="T17" s="341"/>
      <c r="U17" s="342"/>
    </row>
    <row r="18" spans="1:21" ht="15" customHeight="1">
      <c r="A18" s="331"/>
      <c r="B18" s="332"/>
      <c r="C18" s="332"/>
      <c r="D18" s="332"/>
      <c r="E18" s="333"/>
      <c r="F18" s="340"/>
      <c r="G18" s="341"/>
      <c r="H18" s="341"/>
      <c r="I18" s="341"/>
      <c r="J18" s="341"/>
      <c r="K18" s="341"/>
      <c r="L18" s="341"/>
      <c r="M18" s="341"/>
      <c r="N18" s="341"/>
      <c r="O18" s="341"/>
      <c r="P18" s="341"/>
      <c r="Q18" s="341"/>
      <c r="R18" s="341"/>
      <c r="S18" s="341"/>
      <c r="T18" s="341"/>
      <c r="U18" s="342"/>
    </row>
    <row r="19" spans="1:21" ht="15" customHeight="1">
      <c r="A19" s="334"/>
      <c r="B19" s="335"/>
      <c r="C19" s="335"/>
      <c r="D19" s="335"/>
      <c r="E19" s="336"/>
      <c r="F19" s="343"/>
      <c r="G19" s="344"/>
      <c r="H19" s="344"/>
      <c r="I19" s="344"/>
      <c r="J19" s="344"/>
      <c r="K19" s="344"/>
      <c r="L19" s="344"/>
      <c r="M19" s="344"/>
      <c r="N19" s="344"/>
      <c r="O19" s="344"/>
      <c r="P19" s="344"/>
      <c r="Q19" s="344"/>
      <c r="R19" s="344"/>
      <c r="S19" s="344"/>
      <c r="T19" s="344"/>
      <c r="U19" s="345"/>
    </row>
    <row r="20" spans="1:21" ht="20.100000000000001" customHeight="1">
      <c r="A20" s="312" t="s">
        <v>87</v>
      </c>
      <c r="B20" s="313"/>
      <c r="C20" s="313"/>
      <c r="D20" s="313"/>
      <c r="E20" s="313"/>
      <c r="F20" s="314">
        <v>0</v>
      </c>
      <c r="G20" s="314"/>
      <c r="H20" s="314"/>
      <c r="I20" s="315"/>
      <c r="J20" s="351">
        <f>SUM(J8:N19)</f>
        <v>1200000</v>
      </c>
      <c r="K20" s="352"/>
      <c r="L20" s="352"/>
      <c r="M20" s="352"/>
      <c r="N20" s="353"/>
      <c r="O20" s="316">
        <f>SUM(O8:P19)</f>
        <v>1</v>
      </c>
      <c r="P20" s="316"/>
      <c r="Q20" s="354">
        <f>SUM(Q8:S19)</f>
        <v>0</v>
      </c>
      <c r="R20" s="314"/>
      <c r="S20" s="315"/>
      <c r="T20" s="314">
        <f>SUM(T8:U15)</f>
        <v>1200000</v>
      </c>
      <c r="U20" s="355"/>
    </row>
    <row r="21" spans="1:21" ht="20.100000000000001" customHeight="1" thickBot="1">
      <c r="A21" s="317" t="s">
        <v>97</v>
      </c>
      <c r="B21" s="318"/>
      <c r="C21" s="318"/>
      <c r="D21" s="318"/>
      <c r="E21" s="318"/>
      <c r="F21" s="319">
        <f>F20+T20+Q20</f>
        <v>1200000</v>
      </c>
      <c r="G21" s="319"/>
      <c r="H21" s="319"/>
      <c r="I21" s="320"/>
      <c r="J21" s="321" t="s">
        <v>972</v>
      </c>
      <c r="K21" s="318"/>
      <c r="L21" s="322" t="str">
        <f>T4</f>
        <v>장효주</v>
      </c>
      <c r="M21" s="322"/>
      <c r="N21" s="322"/>
      <c r="O21" s="321" t="s">
        <v>70</v>
      </c>
      <c r="P21" s="318"/>
      <c r="Q21" s="322" t="str">
        <f>C3</f>
        <v>제이오토(대구)</v>
      </c>
      <c r="R21" s="322"/>
      <c r="S21" s="322"/>
      <c r="T21" s="322"/>
      <c r="U21" s="374"/>
    </row>
    <row r="22" spans="1:21" ht="20.100000000000001" customHeight="1">
      <c r="A22" s="301" t="s">
        <v>2962</v>
      </c>
      <c r="B22" s="301"/>
      <c r="C22" s="301"/>
      <c r="D22" s="301"/>
      <c r="E22" s="301"/>
      <c r="F22" s="301"/>
      <c r="G22" s="301"/>
      <c r="H22" s="301"/>
      <c r="I22" s="301"/>
      <c r="J22" s="301"/>
      <c r="K22" s="301"/>
      <c r="L22" s="301"/>
      <c r="M22" s="301"/>
      <c r="N22" s="301"/>
      <c r="O22" s="301"/>
      <c r="P22" s="301"/>
      <c r="Q22" s="301"/>
      <c r="R22" s="301"/>
      <c r="S22" s="301"/>
      <c r="T22" s="301"/>
      <c r="U22" s="301"/>
    </row>
    <row r="23" spans="1:21" ht="20.100000000000001" customHeight="1" thickBot="1">
      <c r="A23" s="302"/>
      <c r="B23" s="302"/>
      <c r="C23" s="302"/>
      <c r="D23" s="302"/>
      <c r="E23" s="302"/>
      <c r="F23" s="302"/>
      <c r="G23" s="302"/>
      <c r="H23" s="302"/>
      <c r="I23" s="302"/>
      <c r="J23" s="302"/>
      <c r="K23" s="302"/>
      <c r="L23" s="302"/>
      <c r="M23" s="302"/>
      <c r="N23" s="302"/>
      <c r="O23" s="302"/>
      <c r="P23" s="302"/>
      <c r="Q23" s="302"/>
      <c r="R23" s="302"/>
      <c r="S23" s="302"/>
      <c r="T23" s="302"/>
      <c r="U23" s="302"/>
    </row>
    <row r="24" spans="1:21" ht="24" customHeight="1" thickBot="1">
      <c r="A24" s="323"/>
      <c r="B24" s="324"/>
      <c r="C24" s="324"/>
      <c r="D24" s="324"/>
      <c r="E24" s="324"/>
      <c r="F24" s="324"/>
      <c r="G24" s="324"/>
      <c r="H24" s="107" t="s">
        <v>77</v>
      </c>
      <c r="I24" s="107"/>
      <c r="J24" s="107"/>
      <c r="K24" s="107"/>
      <c r="L24" s="107"/>
      <c r="M24" s="107"/>
      <c r="N24" s="107"/>
      <c r="O24" s="107"/>
      <c r="P24" s="107"/>
      <c r="Q24" s="325" t="s">
        <v>1235</v>
      </c>
      <c r="R24" s="325"/>
      <c r="S24" s="326">
        <f>S1</f>
        <v>0</v>
      </c>
      <c r="T24" s="326"/>
      <c r="U24" s="327"/>
    </row>
    <row r="25" spans="1:21">
      <c r="A25" s="303" t="s">
        <v>71</v>
      </c>
      <c r="B25" s="304"/>
      <c r="C25" s="305" t="str">
        <f>C2</f>
        <v>카카오뱅크 3333181865047</v>
      </c>
      <c r="D25" s="306"/>
      <c r="E25" s="306"/>
      <c r="F25" s="306"/>
      <c r="G25" s="307"/>
      <c r="H25" s="305" t="s">
        <v>82</v>
      </c>
      <c r="I25" s="306"/>
      <c r="J25" s="306"/>
      <c r="K25" s="306"/>
      <c r="L25" s="306"/>
      <c r="M25" s="306"/>
      <c r="N25" s="306"/>
      <c r="O25" s="307"/>
      <c r="P25" s="308" t="s">
        <v>69</v>
      </c>
      <c r="Q25" s="309"/>
      <c r="R25" s="309"/>
      <c r="S25" s="304"/>
      <c r="T25" s="310">
        <f>T2</f>
        <v>45843</v>
      </c>
      <c r="U25" s="311"/>
    </row>
    <row r="26" spans="1:21" ht="24.95" customHeight="1">
      <c r="A26" s="378" t="s">
        <v>1203</v>
      </c>
      <c r="B26" s="37" t="s">
        <v>65</v>
      </c>
      <c r="C26" s="381" t="str">
        <f>C3</f>
        <v>제이오토(대구)</v>
      </c>
      <c r="D26" s="382"/>
      <c r="E26" s="382"/>
      <c r="F26" s="382"/>
      <c r="G26" s="382"/>
      <c r="H26" s="382"/>
      <c r="I26" s="382"/>
      <c r="J26" s="383"/>
      <c r="K26" s="384" t="s">
        <v>1204</v>
      </c>
      <c r="L26" s="37" t="s">
        <v>65</v>
      </c>
      <c r="M26" s="387" t="s">
        <v>971</v>
      </c>
      <c r="N26" s="388"/>
      <c r="O26" s="388"/>
      <c r="P26" s="388"/>
      <c r="Q26" s="388"/>
      <c r="R26" s="388"/>
      <c r="S26" s="388"/>
      <c r="T26" s="388"/>
      <c r="U26" s="389"/>
    </row>
    <row r="27" spans="1:21" ht="24.95" customHeight="1">
      <c r="A27" s="379"/>
      <c r="B27" s="37" t="s">
        <v>67</v>
      </c>
      <c r="C27" s="390">
        <f>C4</f>
        <v>0</v>
      </c>
      <c r="D27" s="391"/>
      <c r="E27" s="391"/>
      <c r="F27" s="391"/>
      <c r="G27" s="391"/>
      <c r="H27" s="391"/>
      <c r="I27" s="391"/>
      <c r="J27" s="392"/>
      <c r="K27" s="385"/>
      <c r="L27" s="37" t="s">
        <v>67</v>
      </c>
      <c r="M27" s="393" t="s">
        <v>969</v>
      </c>
      <c r="N27" s="394"/>
      <c r="O27" s="394"/>
      <c r="P27" s="394"/>
      <c r="Q27" s="394"/>
      <c r="R27" s="395"/>
      <c r="S27" s="38" t="s">
        <v>68</v>
      </c>
      <c r="T27" s="393" t="s">
        <v>79</v>
      </c>
      <c r="U27" s="396"/>
    </row>
    <row r="28" spans="1:21" ht="24.95" customHeight="1">
      <c r="A28" s="379"/>
      <c r="B28" s="38" t="s">
        <v>10</v>
      </c>
      <c r="C28" s="393" t="str">
        <f>C5</f>
        <v>대구광역시 서구 가르뱅이로 53</v>
      </c>
      <c r="D28" s="394"/>
      <c r="E28" s="394"/>
      <c r="F28" s="394"/>
      <c r="G28" s="394"/>
      <c r="H28" s="394"/>
      <c r="I28" s="394"/>
      <c r="J28" s="395"/>
      <c r="K28" s="385"/>
      <c r="L28" s="38" t="s">
        <v>10</v>
      </c>
      <c r="M28" s="393" t="s">
        <v>80</v>
      </c>
      <c r="N28" s="394"/>
      <c r="O28" s="394"/>
      <c r="P28" s="394"/>
      <c r="Q28" s="394"/>
      <c r="R28" s="394"/>
      <c r="S28" s="394"/>
      <c r="T28" s="394"/>
      <c r="U28" s="396"/>
    </row>
    <row r="29" spans="1:21" ht="24.95" customHeight="1">
      <c r="A29" s="380"/>
      <c r="B29" s="38" t="s">
        <v>81</v>
      </c>
      <c r="C29" s="393" t="str">
        <f>C6</f>
        <v>010-5102-8176</v>
      </c>
      <c r="D29" s="394"/>
      <c r="E29" s="394"/>
      <c r="F29" s="394"/>
      <c r="G29" s="394"/>
      <c r="H29" s="394"/>
      <c r="I29" s="394"/>
      <c r="J29" s="395"/>
      <c r="K29" s="386"/>
      <c r="L29" s="38" t="s">
        <v>81</v>
      </c>
      <c r="M29" s="393" t="s">
        <v>72</v>
      </c>
      <c r="N29" s="394"/>
      <c r="O29" s="394"/>
      <c r="P29" s="394"/>
      <c r="Q29" s="394"/>
      <c r="R29" s="395"/>
      <c r="S29" s="38" t="s">
        <v>26</v>
      </c>
      <c r="T29" s="393" t="str">
        <f>T6</f>
        <v>대구</v>
      </c>
      <c r="U29" s="396"/>
    </row>
    <row r="30" spans="1:21" ht="15.6" customHeight="1">
      <c r="A30" s="312" t="s">
        <v>76</v>
      </c>
      <c r="B30" s="313"/>
      <c r="C30" s="313"/>
      <c r="D30" s="313"/>
      <c r="E30" s="375"/>
      <c r="F30" s="376" t="s">
        <v>49</v>
      </c>
      <c r="G30" s="313"/>
      <c r="H30" s="313"/>
      <c r="I30" s="375"/>
      <c r="J30" s="376" t="s">
        <v>47</v>
      </c>
      <c r="K30" s="313"/>
      <c r="L30" s="313"/>
      <c r="M30" s="313"/>
      <c r="N30" s="375"/>
      <c r="O30" s="313" t="s">
        <v>55</v>
      </c>
      <c r="P30" s="375"/>
      <c r="Q30" s="376" t="s">
        <v>75</v>
      </c>
      <c r="R30" s="313"/>
      <c r="S30" s="375"/>
      <c r="T30" s="376" t="s">
        <v>74</v>
      </c>
      <c r="U30" s="377"/>
    </row>
    <row r="31" spans="1:21" ht="15.6" customHeight="1">
      <c r="A31" s="368" t="str">
        <f>A8</f>
        <v>VGSNAG3</v>
      </c>
      <c r="B31" s="369"/>
      <c r="C31" s="369"/>
      <c r="D31" s="369"/>
      <c r="E31" s="369"/>
      <c r="F31" s="369" t="str">
        <f>F8</f>
        <v>A7252709011-1</v>
      </c>
      <c r="G31" s="369"/>
      <c r="H31" s="369"/>
      <c r="I31" s="369"/>
      <c r="J31" s="373">
        <f>J8</f>
        <v>1200000</v>
      </c>
      <c r="K31" s="373"/>
      <c r="L31" s="373"/>
      <c r="M31" s="373"/>
      <c r="N31" s="373"/>
      <c r="O31" s="373">
        <f>O8</f>
        <v>1</v>
      </c>
      <c r="P31" s="373"/>
      <c r="Q31" s="370">
        <f>Q8</f>
        <v>0</v>
      </c>
      <c r="R31" s="370"/>
      <c r="S31" s="370"/>
      <c r="T31" s="371">
        <f>T8</f>
        <v>1200000</v>
      </c>
      <c r="U31" s="372"/>
    </row>
    <row r="32" spans="1:21" ht="15.6" customHeight="1">
      <c r="A32" s="361">
        <f t="shared" ref="A32:A38" si="0">A9</f>
        <v>0</v>
      </c>
      <c r="B32" s="362"/>
      <c r="C32" s="362"/>
      <c r="D32" s="362"/>
      <c r="E32" s="362"/>
      <c r="F32" s="362">
        <f t="shared" ref="F32:F38" si="1">F9</f>
        <v>0</v>
      </c>
      <c r="G32" s="362"/>
      <c r="H32" s="362"/>
      <c r="I32" s="362"/>
      <c r="J32" s="366">
        <f t="shared" ref="J32:J38" si="2">J9</f>
        <v>0</v>
      </c>
      <c r="K32" s="366"/>
      <c r="L32" s="366"/>
      <c r="M32" s="366"/>
      <c r="N32" s="366"/>
      <c r="O32" s="366">
        <f t="shared" ref="O32:O38" si="3">O9</f>
        <v>0</v>
      </c>
      <c r="P32" s="366"/>
      <c r="Q32" s="363">
        <f t="shared" ref="Q32:Q38" si="4">Q9</f>
        <v>0</v>
      </c>
      <c r="R32" s="363"/>
      <c r="S32" s="363"/>
      <c r="T32" s="364">
        <f t="shared" ref="T32:T38" si="5">T9</f>
        <v>0</v>
      </c>
      <c r="U32" s="365"/>
    </row>
    <row r="33" spans="1:21" ht="15.6" customHeight="1">
      <c r="A33" s="361">
        <f t="shared" si="0"/>
        <v>0</v>
      </c>
      <c r="B33" s="362"/>
      <c r="C33" s="362"/>
      <c r="D33" s="362"/>
      <c r="E33" s="362"/>
      <c r="F33" s="362">
        <f t="shared" si="1"/>
        <v>0</v>
      </c>
      <c r="G33" s="362"/>
      <c r="H33" s="362"/>
      <c r="I33" s="362"/>
      <c r="J33" s="366">
        <f t="shared" si="2"/>
        <v>0</v>
      </c>
      <c r="K33" s="366"/>
      <c r="L33" s="366"/>
      <c r="M33" s="366"/>
      <c r="N33" s="366"/>
      <c r="O33" s="366">
        <f t="shared" si="3"/>
        <v>0</v>
      </c>
      <c r="P33" s="366"/>
      <c r="Q33" s="363">
        <f t="shared" si="4"/>
        <v>0</v>
      </c>
      <c r="R33" s="363"/>
      <c r="S33" s="363"/>
      <c r="T33" s="364">
        <f t="shared" si="5"/>
        <v>0</v>
      </c>
      <c r="U33" s="365"/>
    </row>
    <row r="34" spans="1:21" ht="15.6" customHeight="1">
      <c r="A34" s="361">
        <f t="shared" si="0"/>
        <v>0</v>
      </c>
      <c r="B34" s="362"/>
      <c r="C34" s="362"/>
      <c r="D34" s="362"/>
      <c r="E34" s="362"/>
      <c r="F34" s="362">
        <f t="shared" si="1"/>
        <v>0</v>
      </c>
      <c r="G34" s="362"/>
      <c r="H34" s="362"/>
      <c r="I34" s="362"/>
      <c r="J34" s="366">
        <f t="shared" si="2"/>
        <v>0</v>
      </c>
      <c r="K34" s="366"/>
      <c r="L34" s="366"/>
      <c r="M34" s="366"/>
      <c r="N34" s="366"/>
      <c r="O34" s="366">
        <f t="shared" si="3"/>
        <v>0</v>
      </c>
      <c r="P34" s="366"/>
      <c r="Q34" s="363">
        <f t="shared" si="4"/>
        <v>0</v>
      </c>
      <c r="R34" s="363"/>
      <c r="S34" s="363"/>
      <c r="T34" s="364">
        <f t="shared" si="5"/>
        <v>0</v>
      </c>
      <c r="U34" s="365"/>
    </row>
    <row r="35" spans="1:21" ht="15.6" customHeight="1">
      <c r="A35" s="361">
        <f t="shared" si="0"/>
        <v>0</v>
      </c>
      <c r="B35" s="362"/>
      <c r="C35" s="362"/>
      <c r="D35" s="362"/>
      <c r="E35" s="362"/>
      <c r="F35" s="362">
        <f t="shared" si="1"/>
        <v>0</v>
      </c>
      <c r="G35" s="362"/>
      <c r="H35" s="362"/>
      <c r="I35" s="362"/>
      <c r="J35" s="366">
        <f t="shared" si="2"/>
        <v>0</v>
      </c>
      <c r="K35" s="366"/>
      <c r="L35" s="366"/>
      <c r="M35" s="366"/>
      <c r="N35" s="366"/>
      <c r="O35" s="366">
        <f t="shared" si="3"/>
        <v>0</v>
      </c>
      <c r="P35" s="366"/>
      <c r="Q35" s="363">
        <f t="shared" si="4"/>
        <v>0</v>
      </c>
      <c r="R35" s="363"/>
      <c r="S35" s="363"/>
      <c r="T35" s="364">
        <f t="shared" si="5"/>
        <v>0</v>
      </c>
      <c r="U35" s="365"/>
    </row>
    <row r="36" spans="1:21" ht="15.6" customHeight="1">
      <c r="A36" s="361">
        <f t="shared" si="0"/>
        <v>0</v>
      </c>
      <c r="B36" s="362"/>
      <c r="C36" s="362"/>
      <c r="D36" s="362"/>
      <c r="E36" s="362"/>
      <c r="F36" s="362">
        <f t="shared" si="1"/>
        <v>0</v>
      </c>
      <c r="G36" s="362"/>
      <c r="H36" s="362"/>
      <c r="I36" s="362"/>
      <c r="J36" s="366">
        <f t="shared" si="2"/>
        <v>0</v>
      </c>
      <c r="K36" s="366"/>
      <c r="L36" s="366"/>
      <c r="M36" s="366"/>
      <c r="N36" s="366"/>
      <c r="O36" s="366">
        <f t="shared" si="3"/>
        <v>0</v>
      </c>
      <c r="P36" s="366"/>
      <c r="Q36" s="363">
        <f t="shared" si="4"/>
        <v>0</v>
      </c>
      <c r="R36" s="363"/>
      <c r="S36" s="363"/>
      <c r="T36" s="364">
        <f t="shared" si="5"/>
        <v>0</v>
      </c>
      <c r="U36" s="365"/>
    </row>
    <row r="37" spans="1:21" ht="15.6" customHeight="1">
      <c r="A37" s="361">
        <f t="shared" si="0"/>
        <v>0</v>
      </c>
      <c r="B37" s="362"/>
      <c r="C37" s="362"/>
      <c r="D37" s="362"/>
      <c r="E37" s="362"/>
      <c r="F37" s="362">
        <f t="shared" si="1"/>
        <v>0</v>
      </c>
      <c r="G37" s="362"/>
      <c r="H37" s="362"/>
      <c r="I37" s="362"/>
      <c r="J37" s="366">
        <f t="shared" si="2"/>
        <v>0</v>
      </c>
      <c r="K37" s="366"/>
      <c r="L37" s="366"/>
      <c r="M37" s="366"/>
      <c r="N37" s="366"/>
      <c r="O37" s="366">
        <f t="shared" si="3"/>
        <v>0</v>
      </c>
      <c r="P37" s="366"/>
      <c r="Q37" s="363">
        <f t="shared" si="4"/>
        <v>0</v>
      </c>
      <c r="R37" s="363"/>
      <c r="S37" s="363"/>
      <c r="T37" s="364">
        <f t="shared" si="5"/>
        <v>0</v>
      </c>
      <c r="U37" s="365"/>
    </row>
    <row r="38" spans="1:21" ht="15.6" customHeight="1" thickBot="1">
      <c r="A38" s="356">
        <f t="shared" si="0"/>
        <v>0</v>
      </c>
      <c r="B38" s="357"/>
      <c r="C38" s="357"/>
      <c r="D38" s="357"/>
      <c r="E38" s="357"/>
      <c r="F38" s="357">
        <f t="shared" si="1"/>
        <v>0</v>
      </c>
      <c r="G38" s="357"/>
      <c r="H38" s="357"/>
      <c r="I38" s="357"/>
      <c r="J38" s="367">
        <f t="shared" si="2"/>
        <v>0</v>
      </c>
      <c r="K38" s="367"/>
      <c r="L38" s="367"/>
      <c r="M38" s="367"/>
      <c r="N38" s="367"/>
      <c r="O38" s="367">
        <f t="shared" si="3"/>
        <v>0</v>
      </c>
      <c r="P38" s="367"/>
      <c r="Q38" s="358">
        <f t="shared" si="4"/>
        <v>0</v>
      </c>
      <c r="R38" s="358"/>
      <c r="S38" s="358"/>
      <c r="T38" s="359">
        <f t="shared" si="5"/>
        <v>0</v>
      </c>
      <c r="U38" s="360"/>
    </row>
    <row r="39" spans="1:21" ht="15" customHeight="1" thickTop="1">
      <c r="A39" s="328" t="s">
        <v>2419</v>
      </c>
      <c r="B39" s="329"/>
      <c r="C39" s="329"/>
      <c r="D39" s="329"/>
      <c r="E39" s="330"/>
      <c r="F39" s="337">
        <f>F16</f>
        <v>0</v>
      </c>
      <c r="G39" s="338"/>
      <c r="H39" s="338"/>
      <c r="I39" s="338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9"/>
    </row>
    <row r="40" spans="1:21" ht="15" customHeight="1">
      <c r="A40" s="331"/>
      <c r="B40" s="332"/>
      <c r="C40" s="332"/>
      <c r="D40" s="332"/>
      <c r="E40" s="333"/>
      <c r="F40" s="340"/>
      <c r="G40" s="341"/>
      <c r="H40" s="341"/>
      <c r="I40" s="341"/>
      <c r="J40" s="341"/>
      <c r="K40" s="341"/>
      <c r="L40" s="341"/>
      <c r="M40" s="341"/>
      <c r="N40" s="341"/>
      <c r="O40" s="341"/>
      <c r="P40" s="341"/>
      <c r="Q40" s="341"/>
      <c r="R40" s="341"/>
      <c r="S40" s="341"/>
      <c r="T40" s="341"/>
      <c r="U40" s="342"/>
    </row>
    <row r="41" spans="1:21" ht="15" customHeight="1">
      <c r="A41" s="331"/>
      <c r="B41" s="332"/>
      <c r="C41" s="332"/>
      <c r="D41" s="332"/>
      <c r="E41" s="333"/>
      <c r="F41" s="340"/>
      <c r="G41" s="341"/>
      <c r="H41" s="341"/>
      <c r="I41" s="341"/>
      <c r="J41" s="341"/>
      <c r="K41" s="341"/>
      <c r="L41" s="341"/>
      <c r="M41" s="341"/>
      <c r="N41" s="341"/>
      <c r="O41" s="341"/>
      <c r="P41" s="341"/>
      <c r="Q41" s="341"/>
      <c r="R41" s="341"/>
      <c r="S41" s="341"/>
      <c r="T41" s="341"/>
      <c r="U41" s="342"/>
    </row>
    <row r="42" spans="1:21" ht="15" customHeight="1">
      <c r="A42" s="334"/>
      <c r="B42" s="335"/>
      <c r="C42" s="335"/>
      <c r="D42" s="335"/>
      <c r="E42" s="336"/>
      <c r="F42" s="343"/>
      <c r="G42" s="344"/>
      <c r="H42" s="344"/>
      <c r="I42" s="344"/>
      <c r="J42" s="344"/>
      <c r="K42" s="344"/>
      <c r="L42" s="344"/>
      <c r="M42" s="344"/>
      <c r="N42" s="344"/>
      <c r="O42" s="344"/>
      <c r="P42" s="344"/>
      <c r="Q42" s="344"/>
      <c r="R42" s="344"/>
      <c r="S42" s="344"/>
      <c r="T42" s="344"/>
      <c r="U42" s="345"/>
    </row>
    <row r="43" spans="1:21" ht="20.100000000000001" customHeight="1">
      <c r="A43" s="312" t="s">
        <v>87</v>
      </c>
      <c r="B43" s="313"/>
      <c r="C43" s="313"/>
      <c r="D43" s="313"/>
      <c r="E43" s="313"/>
      <c r="F43" s="314">
        <f>F20</f>
        <v>0</v>
      </c>
      <c r="G43" s="314"/>
      <c r="H43" s="314"/>
      <c r="I43" s="315"/>
      <c r="J43" s="351">
        <f>J20</f>
        <v>1200000</v>
      </c>
      <c r="K43" s="352"/>
      <c r="L43" s="352"/>
      <c r="M43" s="352"/>
      <c r="N43" s="353"/>
      <c r="O43" s="316">
        <f>O20</f>
        <v>1</v>
      </c>
      <c r="P43" s="316"/>
      <c r="Q43" s="354">
        <f>Q20</f>
        <v>0</v>
      </c>
      <c r="R43" s="314"/>
      <c r="S43" s="314"/>
      <c r="T43" s="314">
        <f>T20</f>
        <v>1200000</v>
      </c>
      <c r="U43" s="355"/>
    </row>
    <row r="44" spans="1:21" ht="20.100000000000001" customHeight="1" thickBot="1">
      <c r="A44" s="317" t="s">
        <v>97</v>
      </c>
      <c r="B44" s="318"/>
      <c r="C44" s="318"/>
      <c r="D44" s="318"/>
      <c r="E44" s="318"/>
      <c r="F44" s="319">
        <f>F21</f>
        <v>1200000</v>
      </c>
      <c r="G44" s="319"/>
      <c r="H44" s="319"/>
      <c r="I44" s="320"/>
      <c r="J44" s="321" t="s">
        <v>972</v>
      </c>
      <c r="K44" s="318"/>
      <c r="L44" s="346" t="str">
        <f>T27</f>
        <v>장효주</v>
      </c>
      <c r="M44" s="346"/>
      <c r="N44" s="346"/>
      <c r="O44" s="321" t="s">
        <v>70</v>
      </c>
      <c r="P44" s="347"/>
      <c r="Q44" s="348" t="str">
        <f>Q21</f>
        <v>제이오토(대구)</v>
      </c>
      <c r="R44" s="349"/>
      <c r="S44" s="349"/>
      <c r="T44" s="349"/>
      <c r="U44" s="350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5" t="s">
        <v>2</v>
      </c>
      <c r="B1" s="240" t="s">
        <v>2424</v>
      </c>
      <c r="C1" s="240" t="s">
        <v>54</v>
      </c>
      <c r="D1" s="116" t="s">
        <v>1</v>
      </c>
      <c r="E1" s="120" t="s">
        <v>0</v>
      </c>
      <c r="F1" s="121" t="s">
        <v>52</v>
      </c>
      <c r="G1" s="116" t="s">
        <v>47</v>
      </c>
      <c r="H1" s="117" t="s">
        <v>55</v>
      </c>
      <c r="I1" s="117" t="s">
        <v>88</v>
      </c>
      <c r="J1" s="117" t="s">
        <v>64</v>
      </c>
      <c r="K1" s="105">
        <v>2</v>
      </c>
    </row>
    <row r="2" spans="1:11">
      <c r="A2" s="47">
        <v>1</v>
      </c>
      <c r="B2" s="47" t="s">
        <v>2960</v>
      </c>
      <c r="C2" s="47" t="s">
        <v>1587</v>
      </c>
      <c r="D2" t="s">
        <v>1822</v>
      </c>
      <c r="E2" t="s">
        <v>1241</v>
      </c>
      <c r="F2" t="s">
        <v>1822</v>
      </c>
      <c r="G2">
        <v>1200000</v>
      </c>
      <c r="H2">
        <v>1</v>
      </c>
      <c r="I2" s="238"/>
      <c r="J2" s="238">
        <v>1200000</v>
      </c>
      <c r="K2" s="289"/>
    </row>
    <row r="3" spans="1:11">
      <c r="I3" s="238"/>
      <c r="J3" s="238"/>
    </row>
    <row r="4" spans="1:11">
      <c r="J4" s="238"/>
    </row>
    <row r="5" spans="1:11">
      <c r="J5" s="238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8" customWidth="1"/>
    <col min="2" max="2" width="12.125" style="149" customWidth="1"/>
    <col min="3" max="3" width="31.75" style="150" customWidth="1"/>
    <col min="4" max="4" width="14.625" style="144" customWidth="1"/>
    <col min="5" max="5" width="18.5" style="214" customWidth="1"/>
    <col min="6" max="6" width="8.75" style="144" customWidth="1"/>
    <col min="7" max="7" width="13.25" style="214" customWidth="1"/>
    <col min="8" max="8" width="13.375" style="144" hidden="1" customWidth="1"/>
    <col min="9" max="9" width="14.125" style="144" customWidth="1"/>
    <col min="10" max="10" width="14.125" style="144" bestFit="1" customWidth="1"/>
    <col min="11" max="11" width="2" style="144" hidden="1" customWidth="1"/>
    <col min="12" max="14" width="9.75" style="144" hidden="1" customWidth="1"/>
    <col min="15" max="15" width="20.625" style="144" hidden="1" customWidth="1"/>
    <col min="16" max="16384" width="8.75" style="147" hidden="1"/>
  </cols>
  <sheetData>
    <row r="1" spans="1:18" ht="18" customHeight="1">
      <c r="A1" s="141"/>
      <c r="B1" s="142"/>
      <c r="C1" s="143"/>
      <c r="E1" s="215"/>
      <c r="F1" s="145"/>
      <c r="G1" s="215"/>
      <c r="H1" s="145"/>
      <c r="I1" s="145"/>
      <c r="J1" s="145"/>
      <c r="K1" s="146"/>
      <c r="L1" s="146"/>
      <c r="M1" s="146"/>
      <c r="N1" s="146"/>
      <c r="O1" s="145"/>
      <c r="P1" s="144"/>
    </row>
    <row r="2" spans="1:18" ht="25.5" customHeight="1">
      <c r="E2" s="215"/>
      <c r="F2" s="145"/>
      <c r="G2" s="215"/>
      <c r="H2" s="145"/>
      <c r="I2" s="145"/>
      <c r="J2" s="145"/>
      <c r="K2" s="146"/>
      <c r="L2" s="146"/>
      <c r="M2" s="146"/>
      <c r="N2" s="146"/>
      <c r="O2" s="145"/>
      <c r="P2" s="144"/>
    </row>
    <row r="3" spans="1:18" ht="30.6" customHeight="1">
      <c r="B3" s="176"/>
      <c r="C3" s="177"/>
      <c r="D3" s="178"/>
      <c r="E3" s="216"/>
      <c r="F3" s="145"/>
      <c r="H3" s="147"/>
      <c r="I3" s="186"/>
      <c r="J3" s="186"/>
      <c r="K3" s="146"/>
      <c r="L3" s="146"/>
      <c r="M3" s="146"/>
      <c r="N3" s="146"/>
      <c r="O3" s="145"/>
      <c r="P3" s="144"/>
    </row>
    <row r="4" spans="1:18" ht="18" customHeight="1">
      <c r="A4" s="162"/>
      <c r="B4" s="435" t="s">
        <v>54</v>
      </c>
      <c r="C4" s="436"/>
      <c r="D4" s="180" t="s">
        <v>58</v>
      </c>
      <c r="E4" s="217"/>
      <c r="F4" s="225"/>
      <c r="H4" s="185"/>
      <c r="I4" s="180" t="s">
        <v>60</v>
      </c>
      <c r="J4" s="232">
        <f>J28</f>
        <v>1000000</v>
      </c>
      <c r="K4" s="163"/>
      <c r="L4" s="147"/>
      <c r="M4" s="147"/>
      <c r="N4" s="147"/>
      <c r="O4" s="147"/>
    </row>
    <row r="5" spans="1:18" ht="18" customHeight="1">
      <c r="A5" s="162"/>
      <c r="B5" s="181" t="s">
        <v>14</v>
      </c>
      <c r="C5" s="258">
        <v>0</v>
      </c>
      <c r="D5" s="181" t="s">
        <v>1</v>
      </c>
      <c r="E5" s="218"/>
      <c r="F5" s="225"/>
      <c r="H5" s="175"/>
      <c r="I5" s="188" t="s">
        <v>967</v>
      </c>
      <c r="J5" s="190">
        <v>2450000</v>
      </c>
      <c r="K5" s="163"/>
      <c r="L5" s="147"/>
      <c r="M5" s="147"/>
      <c r="N5" s="147"/>
      <c r="O5" s="147"/>
    </row>
    <row r="6" spans="1:18" ht="18" customHeight="1">
      <c r="A6" s="162" t="s">
        <v>2061</v>
      </c>
      <c r="B6" s="181" t="s">
        <v>54</v>
      </c>
      <c r="C6" s="182" t="s">
        <v>1378</v>
      </c>
      <c r="D6" s="181" t="s">
        <v>0</v>
      </c>
      <c r="E6" s="219"/>
      <c r="F6" s="225"/>
      <c r="H6" s="175"/>
      <c r="I6" s="189" t="s">
        <v>968</v>
      </c>
      <c r="J6" s="191">
        <f>J4+J5</f>
        <v>3450000</v>
      </c>
      <c r="K6" s="163"/>
      <c r="L6" s="147"/>
      <c r="M6" s="147"/>
      <c r="N6" s="147"/>
      <c r="O6" s="147"/>
    </row>
    <row r="7" spans="1:18" ht="18" customHeight="1">
      <c r="A7" s="173" t="s">
        <v>2417</v>
      </c>
      <c r="B7" s="181" t="s">
        <v>33</v>
      </c>
      <c r="C7" s="182"/>
      <c r="D7" s="181" t="s">
        <v>59</v>
      </c>
      <c r="E7" s="220"/>
      <c r="F7" s="225"/>
      <c r="H7" s="147"/>
      <c r="I7" s="187"/>
      <c r="J7" s="187"/>
      <c r="K7" s="147"/>
      <c r="L7" s="147"/>
      <c r="M7" s="147"/>
      <c r="N7" s="147"/>
      <c r="O7" s="147"/>
    </row>
    <row r="8" spans="1:18" ht="18" customHeight="1">
      <c r="A8" s="162">
        <v>39</v>
      </c>
      <c r="B8" s="181" t="s">
        <v>10</v>
      </c>
      <c r="C8" s="183" t="s">
        <v>2414</v>
      </c>
      <c r="D8" s="181" t="s">
        <v>47</v>
      </c>
      <c r="E8" s="221"/>
      <c r="F8" s="225"/>
      <c r="H8" s="147"/>
      <c r="I8" s="147"/>
      <c r="J8" s="147"/>
      <c r="K8" s="147"/>
      <c r="L8" s="147"/>
      <c r="M8" s="147"/>
      <c r="N8" s="147"/>
      <c r="O8" s="147"/>
    </row>
    <row r="9" spans="1:18" ht="18" customHeight="1">
      <c r="A9" s="174">
        <v>1</v>
      </c>
      <c r="B9" s="181" t="s">
        <v>95</v>
      </c>
      <c r="C9" s="183" t="s">
        <v>2415</v>
      </c>
      <c r="D9" s="181" t="s">
        <v>55</v>
      </c>
      <c r="E9" s="220"/>
      <c r="F9" s="225"/>
      <c r="H9" s="147"/>
      <c r="I9" s="147"/>
      <c r="J9" s="147"/>
      <c r="K9" s="147"/>
      <c r="L9" s="147"/>
      <c r="M9" s="147"/>
      <c r="N9" s="147"/>
      <c r="O9" s="147"/>
    </row>
    <row r="10" spans="1:18" ht="18" customHeight="1">
      <c r="A10" s="162"/>
      <c r="B10" s="181" t="s">
        <v>26</v>
      </c>
      <c r="C10" s="183" t="s">
        <v>29</v>
      </c>
      <c r="D10" s="181" t="s">
        <v>1147</v>
      </c>
      <c r="E10" s="222"/>
      <c r="F10" s="225"/>
      <c r="H10" s="147"/>
      <c r="I10" s="147"/>
      <c r="J10" s="147"/>
      <c r="K10" s="147"/>
      <c r="L10" s="147"/>
      <c r="M10" s="147"/>
      <c r="N10" s="147"/>
      <c r="O10" s="147"/>
    </row>
    <row r="11" spans="1:18" ht="18" customHeight="1">
      <c r="A11" s="162"/>
      <c r="B11" s="181" t="s">
        <v>1206</v>
      </c>
      <c r="C11" s="183"/>
      <c r="D11" s="181" t="s">
        <v>96</v>
      </c>
      <c r="E11" s="222"/>
      <c r="F11" s="225"/>
      <c r="H11" s="147"/>
      <c r="I11" s="147"/>
      <c r="J11" s="147"/>
      <c r="K11" s="147"/>
      <c r="L11" s="147"/>
      <c r="M11" s="147"/>
      <c r="N11" s="147"/>
      <c r="O11" s="147"/>
    </row>
    <row r="12" spans="1:18" ht="18" customHeight="1">
      <c r="A12" s="162"/>
      <c r="B12" s="184" t="s">
        <v>1234</v>
      </c>
      <c r="C12" s="205"/>
      <c r="D12" s="181" t="s">
        <v>64</v>
      </c>
      <c r="E12" s="221">
        <f>(E8*E9)+E11</f>
        <v>0</v>
      </c>
      <c r="F12" s="225"/>
      <c r="H12" s="147"/>
      <c r="I12" s="147"/>
      <c r="J12" s="147"/>
      <c r="K12" s="147"/>
      <c r="L12" s="147"/>
      <c r="M12" s="147"/>
      <c r="N12" s="147"/>
      <c r="O12" s="147"/>
    </row>
    <row r="13" spans="1:18" ht="18" customHeight="1">
      <c r="B13" s="187"/>
      <c r="C13" s="204"/>
      <c r="D13" s="184" t="s">
        <v>4</v>
      </c>
      <c r="E13" s="223"/>
      <c r="F13" s="225"/>
      <c r="H13" s="147"/>
      <c r="I13" s="147"/>
      <c r="J13" s="147"/>
      <c r="K13" s="147"/>
      <c r="L13" s="147"/>
      <c r="M13" s="147"/>
      <c r="N13" s="147"/>
      <c r="O13" s="147"/>
    </row>
    <row r="14" spans="1:18" s="151" customFormat="1" ht="18" customHeight="1">
      <c r="A14" s="148"/>
      <c r="B14" s="164"/>
      <c r="C14" s="164"/>
      <c r="D14" s="179"/>
      <c r="E14" s="224"/>
      <c r="F14" s="226"/>
      <c r="G14" s="228"/>
      <c r="H14" s="164"/>
      <c r="I14" s="164"/>
      <c r="J14" s="164"/>
      <c r="K14" s="147"/>
      <c r="L14" s="147"/>
      <c r="M14" s="147"/>
      <c r="N14" s="147"/>
      <c r="O14" s="147"/>
    </row>
    <row r="15" spans="1:18" s="151" customFormat="1" ht="18" customHeight="1">
      <c r="A15" s="160" t="s">
        <v>93</v>
      </c>
      <c r="B15" s="166" t="s">
        <v>90</v>
      </c>
      <c r="C15" s="167" t="s">
        <v>91</v>
      </c>
      <c r="D15" s="167" t="s">
        <v>92</v>
      </c>
      <c r="E15" s="167" t="s">
        <v>964</v>
      </c>
      <c r="F15" s="168" t="s">
        <v>55</v>
      </c>
      <c r="G15" s="168" t="s">
        <v>47</v>
      </c>
      <c r="H15" s="168" t="s">
        <v>1147</v>
      </c>
      <c r="I15" s="168" t="s">
        <v>88</v>
      </c>
      <c r="J15" s="169" t="s">
        <v>89</v>
      </c>
      <c r="K15" s="163"/>
      <c r="L15" s="147"/>
      <c r="M15" s="147"/>
      <c r="N15" s="147"/>
      <c r="O15" s="147"/>
    </row>
    <row r="16" spans="1:18" s="151" customFormat="1" ht="18" customHeight="1">
      <c r="A16" s="161">
        <v>1</v>
      </c>
      <c r="B16" s="170">
        <v>45804</v>
      </c>
      <c r="C16" s="193"/>
      <c r="D16" s="209" t="s">
        <v>1167</v>
      </c>
      <c r="E16" s="207"/>
      <c r="F16" s="231">
        <v>1</v>
      </c>
      <c r="G16" s="156">
        <v>1000000</v>
      </c>
      <c r="H16" s="155"/>
      <c r="I16" s="154"/>
      <c r="J16" s="172">
        <v>1000000</v>
      </c>
      <c r="K16" s="163">
        <v>1000000</v>
      </c>
      <c r="L16" s="147"/>
      <c r="M16" s="147"/>
      <c r="N16" s="147"/>
      <c r="O16" s="147"/>
      <c r="P16" s="147"/>
      <c r="Q16" s="147"/>
      <c r="R16" s="147"/>
    </row>
    <row r="17" spans="1:18" s="151" customFormat="1" ht="18" customHeight="1">
      <c r="A17" s="161"/>
      <c r="B17" s="170"/>
      <c r="C17" s="153"/>
      <c r="D17" s="209"/>
      <c r="E17" s="207"/>
      <c r="F17" s="155"/>
      <c r="G17" s="156"/>
      <c r="H17" s="155"/>
      <c r="I17" s="154"/>
      <c r="J17" s="156"/>
      <c r="K17" s="163"/>
      <c r="L17" s="147"/>
      <c r="M17" s="147"/>
      <c r="N17" s="147"/>
      <c r="O17" s="147"/>
      <c r="P17" s="147"/>
      <c r="Q17" s="147"/>
      <c r="R17" s="147"/>
    </row>
    <row r="18" spans="1:18" s="151" customFormat="1" ht="18" customHeight="1">
      <c r="A18" s="161"/>
      <c r="B18" s="170"/>
      <c r="C18" s="152"/>
      <c r="D18" s="157"/>
      <c r="E18" s="208"/>
      <c r="F18" s="155"/>
      <c r="G18" s="229"/>
      <c r="H18" s="155"/>
      <c r="I18" s="154"/>
      <c r="J18" s="172"/>
      <c r="K18" s="163"/>
      <c r="L18" s="147"/>
      <c r="M18" s="147"/>
      <c r="N18" s="147"/>
      <c r="O18" s="147"/>
      <c r="P18" s="147"/>
      <c r="Q18" s="147"/>
      <c r="R18" s="147"/>
    </row>
    <row r="19" spans="1:18" s="151" customFormat="1" ht="18" customHeight="1">
      <c r="A19" s="161"/>
      <c r="B19" s="170"/>
      <c r="C19" s="152"/>
      <c r="D19" s="157"/>
      <c r="E19" s="208"/>
      <c r="F19" s="155"/>
      <c r="G19" s="229"/>
      <c r="H19" s="155"/>
      <c r="I19" s="154"/>
      <c r="J19" s="172"/>
      <c r="K19" s="163"/>
      <c r="L19" s="147"/>
      <c r="M19" s="147"/>
      <c r="N19" s="147"/>
      <c r="O19" s="147"/>
      <c r="P19" s="147"/>
      <c r="Q19" s="147"/>
      <c r="R19" s="147"/>
    </row>
    <row r="20" spans="1:18" s="151" customFormat="1" ht="18" customHeight="1">
      <c r="A20" s="161"/>
      <c r="B20" s="170"/>
      <c r="C20" s="152"/>
      <c r="D20" s="157"/>
      <c r="E20" s="208"/>
      <c r="F20" s="155"/>
      <c r="G20" s="229"/>
      <c r="H20" s="155"/>
      <c r="I20" s="154"/>
      <c r="J20" s="172"/>
      <c r="K20" s="163"/>
      <c r="L20" s="147"/>
      <c r="M20" s="147"/>
      <c r="N20" s="147"/>
      <c r="O20" s="147"/>
      <c r="P20" s="147"/>
      <c r="Q20" s="147"/>
      <c r="R20" s="147"/>
    </row>
    <row r="21" spans="1:18" s="151" customFormat="1" ht="18" customHeight="1">
      <c r="A21" s="161"/>
      <c r="B21" s="170"/>
      <c r="C21" s="152"/>
      <c r="D21" s="157"/>
      <c r="E21" s="208"/>
      <c r="F21" s="155"/>
      <c r="G21" s="229"/>
      <c r="H21" s="155"/>
      <c r="I21" s="154"/>
      <c r="J21" s="172"/>
      <c r="K21" s="163"/>
      <c r="L21" s="147"/>
      <c r="M21" s="147"/>
      <c r="N21" s="147"/>
      <c r="O21" s="147"/>
      <c r="P21" s="147"/>
      <c r="Q21" s="147"/>
      <c r="R21" s="147"/>
    </row>
    <row r="22" spans="1:18" s="151" customFormat="1" ht="18" customHeight="1">
      <c r="A22" s="161"/>
      <c r="B22" s="170"/>
      <c r="C22" s="152"/>
      <c r="D22" s="157"/>
      <c r="E22" s="208"/>
      <c r="F22" s="155"/>
      <c r="G22" s="229"/>
      <c r="H22" s="155"/>
      <c r="I22" s="154"/>
      <c r="J22" s="172"/>
      <c r="K22" s="163"/>
      <c r="L22" s="147"/>
      <c r="M22" s="147"/>
      <c r="N22" s="147"/>
      <c r="O22" s="147"/>
      <c r="P22" s="147"/>
      <c r="Q22" s="147"/>
      <c r="R22" s="147"/>
    </row>
    <row r="23" spans="1:18" s="151" customFormat="1" ht="18" customHeight="1">
      <c r="A23" s="161"/>
      <c r="B23" s="170"/>
      <c r="C23" s="152"/>
      <c r="D23" s="152"/>
      <c r="E23" s="208"/>
      <c r="F23" s="155"/>
      <c r="G23" s="229"/>
      <c r="H23" s="155"/>
      <c r="I23" s="154"/>
      <c r="J23" s="171"/>
      <c r="K23" s="163"/>
      <c r="L23" s="147"/>
      <c r="M23" s="147"/>
      <c r="N23" s="147"/>
      <c r="O23" s="147"/>
      <c r="P23" s="147"/>
      <c r="Q23" s="147"/>
      <c r="R23" s="147"/>
    </row>
    <row r="24" spans="1:18" ht="18" customHeight="1">
      <c r="A24" s="161"/>
      <c r="B24" s="170"/>
      <c r="C24" s="158"/>
      <c r="D24" s="153"/>
      <c r="E24" s="208"/>
      <c r="F24" s="155"/>
      <c r="G24" s="229"/>
      <c r="H24" s="156"/>
      <c r="I24" s="159"/>
      <c r="J24" s="172"/>
      <c r="K24" s="163"/>
      <c r="L24" s="147"/>
      <c r="M24" s="147"/>
      <c r="N24" s="147"/>
      <c r="O24" s="147"/>
    </row>
    <row r="25" spans="1:18" ht="18" customHeight="1">
      <c r="A25" s="161"/>
      <c r="B25" s="170"/>
      <c r="C25" s="158"/>
      <c r="D25" s="153"/>
      <c r="E25" s="208"/>
      <c r="F25" s="155"/>
      <c r="G25" s="229"/>
      <c r="H25" s="156"/>
      <c r="I25" s="159"/>
      <c r="J25" s="172"/>
      <c r="K25" s="163"/>
      <c r="L25" s="147"/>
      <c r="M25" s="147"/>
      <c r="N25" s="147"/>
      <c r="O25" s="147"/>
    </row>
    <row r="26" spans="1:18" ht="18" customHeight="1">
      <c r="A26" s="161"/>
      <c r="B26" s="170"/>
      <c r="C26" s="158"/>
      <c r="D26" s="153"/>
      <c r="E26" s="208"/>
      <c r="F26" s="155"/>
      <c r="G26" s="229"/>
      <c r="H26" s="156"/>
      <c r="I26" s="159"/>
      <c r="J26" s="172"/>
      <c r="K26" s="163"/>
      <c r="L26" s="147"/>
      <c r="M26" s="147"/>
      <c r="N26" s="147"/>
      <c r="O26" s="147"/>
    </row>
    <row r="27" spans="1:18" ht="18" customHeight="1">
      <c r="A27" s="161"/>
      <c r="B27" s="194"/>
      <c r="C27" s="195"/>
      <c r="D27" s="196"/>
      <c r="E27" s="212"/>
      <c r="F27" s="227"/>
      <c r="G27" s="230"/>
      <c r="H27" s="198"/>
      <c r="I27" s="197"/>
      <c r="J27" s="199"/>
      <c r="K27" s="163"/>
      <c r="L27" s="147"/>
      <c r="M27" s="147"/>
      <c r="N27" s="147"/>
      <c r="O27" s="147"/>
    </row>
    <row r="28" spans="1:18" ht="18" customHeight="1">
      <c r="A28" s="162"/>
      <c r="B28" s="437" t="s">
        <v>94</v>
      </c>
      <c r="C28" s="438"/>
      <c r="D28" s="438"/>
      <c r="E28" s="439"/>
      <c r="F28" s="438"/>
      <c r="G28" s="438"/>
      <c r="H28" s="200">
        <f>SUM(H16:H27)</f>
        <v>0</v>
      </c>
      <c r="I28" s="200">
        <f>SUM(I16:I27)</f>
        <v>0</v>
      </c>
      <c r="J28" s="201">
        <f>SUM(J16:J27)</f>
        <v>1000000</v>
      </c>
      <c r="K28" s="163"/>
      <c r="L28" s="147"/>
      <c r="M28" s="147"/>
      <c r="N28" s="147"/>
      <c r="O28" s="147"/>
    </row>
    <row r="29" spans="1:18" ht="18" hidden="1" customHeight="1">
      <c r="A29" s="149"/>
      <c r="B29" s="165"/>
      <c r="C29" s="165"/>
      <c r="D29" s="165"/>
      <c r="E29" s="213"/>
      <c r="F29" s="211"/>
      <c r="G29" s="213"/>
      <c r="H29" s="165"/>
      <c r="I29" s="165"/>
      <c r="J29" s="165"/>
      <c r="K29" s="147"/>
      <c r="L29" s="147"/>
      <c r="M29" s="147"/>
      <c r="N29" s="147"/>
      <c r="O29" s="147"/>
    </row>
    <row r="30" spans="1:18" ht="18" hidden="1" customHeight="1">
      <c r="A30" s="149"/>
      <c r="C30" s="149"/>
      <c r="D30" s="149"/>
      <c r="H30" s="149"/>
      <c r="I30" s="149"/>
      <c r="J30" s="149"/>
      <c r="K30" s="147"/>
      <c r="L30" s="147"/>
      <c r="M30" s="147"/>
      <c r="N30" s="147"/>
      <c r="O30" s="147"/>
    </row>
    <row r="31" spans="1:18" ht="18" hidden="1" customHeight="1">
      <c r="A31" s="149"/>
      <c r="C31" s="149"/>
      <c r="D31" s="149"/>
      <c r="H31" s="149"/>
      <c r="I31" s="149"/>
      <c r="J31" s="149"/>
    </row>
    <row r="32" spans="1:18" ht="18" hidden="1" customHeight="1">
      <c r="A32" s="149"/>
      <c r="C32" s="149"/>
      <c r="D32" s="149"/>
      <c r="H32" s="149"/>
      <c r="I32" s="149"/>
      <c r="J32" s="149"/>
    </row>
    <row r="33" spans="1:10" ht="18" hidden="1" customHeight="1">
      <c r="A33" s="149"/>
      <c r="C33" s="149"/>
      <c r="D33" s="149"/>
      <c r="H33" s="149"/>
      <c r="I33" s="149"/>
      <c r="J33" s="149"/>
    </row>
    <row r="34" spans="1:10" ht="18" hidden="1" customHeight="1">
      <c r="A34" s="149"/>
      <c r="C34" s="149"/>
      <c r="D34" s="149"/>
      <c r="H34" s="149"/>
      <c r="I34" s="149"/>
      <c r="J34" s="149"/>
    </row>
    <row r="35" spans="1:10" ht="18" hidden="1" customHeight="1">
      <c r="A35" s="149"/>
      <c r="C35" s="149"/>
      <c r="D35" s="149"/>
      <c r="H35" s="149"/>
      <c r="I35" s="149"/>
      <c r="J35" s="149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43" t="s">
        <v>1604</v>
      </c>
      <c r="F6" s="443"/>
      <c r="G6" s="443"/>
      <c r="H6" s="443"/>
      <c r="I6" s="443"/>
      <c r="J6" s="443"/>
      <c r="K6" s="443"/>
    </row>
    <row r="7" spans="5:11"/>
    <row r="8" spans="5:11"/>
    <row r="9" spans="5:11">
      <c r="G9" s="440"/>
      <c r="H9" s="440"/>
      <c r="I9" s="440"/>
      <c r="J9" s="440"/>
    </row>
    <row r="10" spans="5:11" ht="33" customHeight="1">
      <c r="F10" s="129"/>
      <c r="G10" s="441"/>
      <c r="H10" s="442"/>
      <c r="I10" s="442"/>
      <c r="J10" s="442"/>
    </row>
    <row r="11" spans="5:11"/>
    <row r="12" spans="5:11" ht="32.25" customHeight="1">
      <c r="F12" s="130"/>
      <c r="G12" s="441" t="s">
        <v>1605</v>
      </c>
      <c r="H12" s="442"/>
      <c r="I12" s="442"/>
      <c r="J12" s="44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838"/>
  <sheetViews>
    <sheetView workbookViewId="0">
      <pane xSplit="1" ySplit="1" topLeftCell="B806" activePane="bottomRight" state="frozen"/>
      <selection activeCell="N26" sqref="N26"/>
      <selection pane="topRight" activeCell="N26" sqref="N26"/>
      <selection pane="bottomLeft" activeCell="N26" sqref="N26"/>
      <selection pane="bottomRight" activeCell="L838" sqref="L838"/>
    </sheetView>
  </sheetViews>
  <sheetFormatPr defaultColWidth="9" defaultRowHeight="16.5"/>
  <cols>
    <col min="1" max="1" width="7.75" style="61" bestFit="1" customWidth="1"/>
    <col min="2" max="2" width="12.25" style="277" customWidth="1"/>
    <col min="3" max="3" width="24.875" style="284" bestFit="1" customWidth="1"/>
    <col min="4" max="4" width="13.25" style="278" hidden="1" customWidth="1"/>
    <col min="5" max="5" width="26.375" style="284" bestFit="1" customWidth="1"/>
    <col min="6" max="6" width="15.25" style="284" hidden="1" customWidth="1"/>
    <col min="7" max="7" width="10" style="279" bestFit="1" customWidth="1"/>
    <col min="8" max="8" width="9.5" style="284" customWidth="1"/>
    <col min="9" max="9" width="13.25" style="280" hidden="1" customWidth="1"/>
    <col min="10" max="10" width="13.25" style="280" customWidth="1"/>
    <col min="11" max="11" width="13.25" style="279" customWidth="1"/>
    <col min="12" max="12" width="11.125" style="27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71" t="s">
        <v>2</v>
      </c>
      <c r="B1" s="272" t="s">
        <v>86</v>
      </c>
      <c r="C1" s="271" t="s">
        <v>8</v>
      </c>
      <c r="D1" s="273" t="s">
        <v>1</v>
      </c>
      <c r="E1" s="271" t="s">
        <v>0</v>
      </c>
      <c r="F1" s="271" t="s">
        <v>52</v>
      </c>
      <c r="G1" s="274" t="s">
        <v>47</v>
      </c>
      <c r="H1" s="271" t="s">
        <v>55</v>
      </c>
      <c r="I1" s="275" t="s">
        <v>1147</v>
      </c>
      <c r="J1" s="275" t="s">
        <v>1251</v>
      </c>
      <c r="K1" s="274" t="s">
        <v>64</v>
      </c>
      <c r="L1" s="274" t="s">
        <v>1733</v>
      </c>
      <c r="M1" s="106">
        <v>841</v>
      </c>
    </row>
    <row r="2" spans="1:15">
      <c r="A2" s="287">
        <v>1</v>
      </c>
      <c r="B2" s="277">
        <v>45723</v>
      </c>
      <c r="C2" s="276" t="s">
        <v>2235</v>
      </c>
      <c r="D2" s="278">
        <v>2821402</v>
      </c>
      <c r="E2" s="276" t="s">
        <v>2863</v>
      </c>
      <c r="F2" s="276">
        <v>2821402</v>
      </c>
      <c r="G2" s="279">
        <v>30000</v>
      </c>
      <c r="H2" s="276">
        <v>3</v>
      </c>
      <c r="J2" s="280">
        <v>90000</v>
      </c>
      <c r="K2" s="279">
        <v>90000</v>
      </c>
    </row>
    <row r="3" spans="1:15">
      <c r="A3" s="287">
        <v>2</v>
      </c>
      <c r="B3" s="277">
        <v>45723</v>
      </c>
      <c r="C3" s="276" t="s">
        <v>1483</v>
      </c>
      <c r="D3" s="278" t="s">
        <v>1406</v>
      </c>
      <c r="E3" s="276" t="s">
        <v>1241</v>
      </c>
      <c r="F3" s="276" t="s">
        <v>1406</v>
      </c>
      <c r="G3" s="279">
        <v>1300000</v>
      </c>
      <c r="H3" s="276">
        <v>1</v>
      </c>
      <c r="K3" s="279">
        <v>1300000</v>
      </c>
      <c r="M3" s="49"/>
      <c r="N3" s="49"/>
      <c r="O3" s="49"/>
    </row>
    <row r="4" spans="1:15">
      <c r="A4" s="287">
        <v>3</v>
      </c>
      <c r="B4" s="277">
        <v>45723</v>
      </c>
      <c r="C4" s="276" t="s">
        <v>1483</v>
      </c>
      <c r="E4" s="276" t="s">
        <v>1181</v>
      </c>
      <c r="F4" s="276"/>
      <c r="G4" s="279">
        <v>800000</v>
      </c>
      <c r="H4" s="276">
        <v>1</v>
      </c>
      <c r="K4" s="279">
        <v>800000</v>
      </c>
      <c r="M4" s="49"/>
      <c r="N4" s="49"/>
      <c r="O4" s="49"/>
    </row>
    <row r="5" spans="1:15">
      <c r="A5" s="287">
        <v>4</v>
      </c>
      <c r="B5" s="277">
        <v>45723</v>
      </c>
      <c r="C5" s="276" t="s">
        <v>1437</v>
      </c>
      <c r="E5" s="276" t="s">
        <v>1172</v>
      </c>
      <c r="F5" s="276"/>
      <c r="G5" s="279">
        <v>1000000</v>
      </c>
      <c r="H5" s="276">
        <v>1</v>
      </c>
      <c r="K5" s="279">
        <v>1000000</v>
      </c>
      <c r="M5" s="49"/>
      <c r="N5" s="49"/>
      <c r="O5" s="49"/>
    </row>
    <row r="6" spans="1:15">
      <c r="A6" s="287">
        <v>5</v>
      </c>
      <c r="B6" s="277">
        <v>45722</v>
      </c>
      <c r="C6" s="276" t="s">
        <v>1445</v>
      </c>
      <c r="E6" s="276" t="s">
        <v>1173</v>
      </c>
      <c r="F6" s="276"/>
      <c r="G6" s="279">
        <v>198000</v>
      </c>
      <c r="H6" s="276">
        <v>1</v>
      </c>
      <c r="K6" s="279">
        <v>198000</v>
      </c>
      <c r="M6" s="49"/>
      <c r="N6" s="49"/>
      <c r="O6" s="49"/>
    </row>
    <row r="7" spans="1:15">
      <c r="A7" s="287">
        <v>6</v>
      </c>
      <c r="B7" s="277">
        <v>45722</v>
      </c>
      <c r="C7" s="276" t="s">
        <v>1445</v>
      </c>
      <c r="E7" s="276" t="s">
        <v>1174</v>
      </c>
      <c r="F7" s="276"/>
      <c r="G7" s="279">
        <v>12000</v>
      </c>
      <c r="H7" s="276">
        <v>1</v>
      </c>
      <c r="K7" s="279">
        <v>12000</v>
      </c>
      <c r="M7" s="49"/>
      <c r="N7" s="49"/>
      <c r="O7" s="49"/>
    </row>
    <row r="8" spans="1:15">
      <c r="A8" s="287">
        <v>7</v>
      </c>
      <c r="B8" s="277">
        <v>45722</v>
      </c>
      <c r="C8" s="276" t="s">
        <v>1445</v>
      </c>
      <c r="E8" s="276" t="s">
        <v>1180</v>
      </c>
      <c r="F8" s="276"/>
      <c r="G8" s="279">
        <v>25000</v>
      </c>
      <c r="H8" s="276">
        <v>1</v>
      </c>
      <c r="K8" s="279">
        <v>25000</v>
      </c>
      <c r="M8" s="49"/>
      <c r="N8" s="49"/>
      <c r="O8" s="49"/>
    </row>
    <row r="9" spans="1:15">
      <c r="A9" s="287">
        <v>8</v>
      </c>
      <c r="B9" s="277">
        <v>45722</v>
      </c>
      <c r="C9" s="276" t="s">
        <v>1183</v>
      </c>
      <c r="E9" s="276" t="s">
        <v>1175</v>
      </c>
      <c r="F9" s="276"/>
      <c r="G9" s="279">
        <v>1100000</v>
      </c>
      <c r="H9" s="276">
        <v>1</v>
      </c>
      <c r="K9" s="279">
        <v>1100000</v>
      </c>
      <c r="M9" s="49"/>
      <c r="N9" s="49"/>
      <c r="O9" s="49"/>
    </row>
    <row r="10" spans="1:15">
      <c r="A10" s="287">
        <v>9</v>
      </c>
      <c r="B10" s="277">
        <v>45722</v>
      </c>
      <c r="C10" s="276" t="s">
        <v>1488</v>
      </c>
      <c r="D10" s="278" t="s">
        <v>1406</v>
      </c>
      <c r="E10" s="276" t="s">
        <v>1241</v>
      </c>
      <c r="F10" s="276" t="s">
        <v>1406</v>
      </c>
      <c r="G10" s="279">
        <v>1200000</v>
      </c>
      <c r="H10" s="276">
        <v>1</v>
      </c>
      <c r="K10" s="279">
        <v>1200000</v>
      </c>
      <c r="M10" s="49"/>
      <c r="N10" s="49"/>
      <c r="O10" s="49"/>
    </row>
    <row r="11" spans="1:15">
      <c r="A11" s="287">
        <v>10</v>
      </c>
      <c r="B11" s="277">
        <v>45721</v>
      </c>
      <c r="C11" s="276" t="s">
        <v>1490</v>
      </c>
      <c r="E11" s="276">
        <v>415054509</v>
      </c>
      <c r="F11" s="276"/>
      <c r="G11" s="279">
        <v>330000</v>
      </c>
      <c r="H11" s="276">
        <v>1</v>
      </c>
      <c r="K11" s="279">
        <v>330000</v>
      </c>
      <c r="M11" s="49"/>
      <c r="N11" s="49"/>
      <c r="O11" s="49"/>
    </row>
    <row r="12" spans="1:15">
      <c r="A12" s="287">
        <v>11</v>
      </c>
      <c r="B12" s="277">
        <v>45720</v>
      </c>
      <c r="C12" s="276" t="s">
        <v>1445</v>
      </c>
      <c r="E12" s="276" t="s">
        <v>1176</v>
      </c>
      <c r="F12" s="276"/>
      <c r="G12" s="279">
        <v>1000000</v>
      </c>
      <c r="H12" s="276">
        <v>1</v>
      </c>
      <c r="K12" s="279">
        <v>1000000</v>
      </c>
      <c r="M12" s="49"/>
      <c r="N12" s="49"/>
      <c r="O12" s="49"/>
    </row>
    <row r="13" spans="1:15">
      <c r="A13" s="287">
        <v>12</v>
      </c>
      <c r="B13" s="277">
        <v>45720</v>
      </c>
      <c r="C13" s="276" t="s">
        <v>1490</v>
      </c>
      <c r="E13" s="276">
        <v>602000700</v>
      </c>
      <c r="F13" s="276">
        <v>602000700</v>
      </c>
      <c r="G13" s="279">
        <v>350000</v>
      </c>
      <c r="H13" s="276">
        <v>1</v>
      </c>
      <c r="K13" s="279">
        <v>350000</v>
      </c>
      <c r="M13" s="49"/>
      <c r="N13" s="49"/>
      <c r="O13" s="49"/>
    </row>
    <row r="14" spans="1:15">
      <c r="A14" s="287">
        <v>13</v>
      </c>
      <c r="B14" s="277">
        <v>45720</v>
      </c>
      <c r="C14" s="276" t="s">
        <v>1490</v>
      </c>
      <c r="D14" s="278" t="s">
        <v>1161</v>
      </c>
      <c r="E14" s="276" t="s">
        <v>1161</v>
      </c>
      <c r="F14" s="276"/>
      <c r="G14" s="279">
        <v>-300000</v>
      </c>
      <c r="H14" s="276">
        <v>1</v>
      </c>
      <c r="K14" s="279">
        <v>-300000</v>
      </c>
      <c r="M14" s="49"/>
      <c r="N14" s="49"/>
      <c r="O14" s="49"/>
    </row>
    <row r="15" spans="1:15">
      <c r="A15" s="287">
        <v>14</v>
      </c>
      <c r="B15" s="277">
        <v>45720</v>
      </c>
      <c r="C15" s="276" t="s">
        <v>1183</v>
      </c>
      <c r="E15" s="276" t="s">
        <v>1185</v>
      </c>
      <c r="F15" s="276"/>
      <c r="G15" s="279">
        <v>610000</v>
      </c>
      <c r="H15" s="276">
        <v>1</v>
      </c>
      <c r="K15" s="279">
        <v>610000</v>
      </c>
      <c r="M15" s="49"/>
      <c r="N15" s="49"/>
      <c r="O15" s="49"/>
    </row>
    <row r="16" spans="1:15">
      <c r="A16" s="287">
        <v>15</v>
      </c>
      <c r="B16" s="277">
        <v>45720</v>
      </c>
      <c r="C16" s="276" t="s">
        <v>1183</v>
      </c>
      <c r="D16" s="278">
        <v>2821402</v>
      </c>
      <c r="E16" s="276" t="s">
        <v>1171</v>
      </c>
      <c r="F16" s="276">
        <v>2821402</v>
      </c>
      <c r="G16" s="279">
        <v>55000</v>
      </c>
      <c r="H16" s="276">
        <v>1</v>
      </c>
      <c r="K16" s="279">
        <v>55000</v>
      </c>
      <c r="M16" s="49"/>
      <c r="N16" s="49"/>
      <c r="O16" s="49"/>
    </row>
    <row r="17" spans="1:15">
      <c r="A17" s="287">
        <v>16</v>
      </c>
      <c r="B17" s="277">
        <v>45720</v>
      </c>
      <c r="C17" s="276" t="s">
        <v>1183</v>
      </c>
      <c r="E17" s="276" t="s">
        <v>1179</v>
      </c>
      <c r="F17" s="276"/>
      <c r="G17" s="279">
        <v>600000</v>
      </c>
      <c r="H17" s="276">
        <v>1</v>
      </c>
      <c r="K17" s="279">
        <v>600000</v>
      </c>
      <c r="M17" s="49"/>
      <c r="N17" s="49"/>
      <c r="O17" s="49"/>
    </row>
    <row r="18" spans="1:15">
      <c r="A18" s="287">
        <v>17</v>
      </c>
      <c r="B18" s="277">
        <v>45720</v>
      </c>
      <c r="C18" s="276" t="s">
        <v>1495</v>
      </c>
      <c r="E18" s="276" t="s">
        <v>1186</v>
      </c>
      <c r="F18" s="276"/>
      <c r="G18" s="279">
        <v>1100000</v>
      </c>
      <c r="H18" s="276">
        <v>1</v>
      </c>
      <c r="K18" s="279">
        <v>1100000</v>
      </c>
      <c r="M18" s="49"/>
      <c r="N18" s="49"/>
      <c r="O18" s="49"/>
    </row>
    <row r="19" spans="1:15">
      <c r="A19" s="287">
        <v>18</v>
      </c>
      <c r="B19" s="277">
        <v>45717</v>
      </c>
      <c r="C19" s="276" t="s">
        <v>1445</v>
      </c>
      <c r="E19" s="276" t="s">
        <v>1175</v>
      </c>
      <c r="F19" s="276"/>
      <c r="G19" s="279">
        <v>650000</v>
      </c>
      <c r="H19" s="276">
        <v>1</v>
      </c>
      <c r="K19" s="279">
        <v>650000</v>
      </c>
      <c r="M19" s="49"/>
    </row>
    <row r="20" spans="1:15">
      <c r="A20" s="287">
        <v>19</v>
      </c>
      <c r="B20" s="277">
        <v>45717</v>
      </c>
      <c r="C20" s="276" t="s">
        <v>1498</v>
      </c>
      <c r="E20" s="276" t="s">
        <v>1187</v>
      </c>
      <c r="F20" s="276"/>
      <c r="G20" s="279">
        <v>1650000</v>
      </c>
      <c r="H20" s="276">
        <v>1</v>
      </c>
      <c r="K20" s="279">
        <v>1650000</v>
      </c>
      <c r="M20" s="49"/>
      <c r="N20" s="49"/>
    </row>
    <row r="21" spans="1:15">
      <c r="A21" s="287">
        <v>20</v>
      </c>
      <c r="B21" s="281">
        <v>45723</v>
      </c>
      <c r="C21" s="282" t="s">
        <v>1500</v>
      </c>
      <c r="D21" s="283"/>
      <c r="E21" s="282" t="s">
        <v>1175</v>
      </c>
      <c r="F21" s="282"/>
      <c r="G21" s="279">
        <v>650000</v>
      </c>
      <c r="H21" s="282">
        <v>1</v>
      </c>
      <c r="I21" s="282"/>
      <c r="J21" s="282"/>
      <c r="K21" s="279">
        <v>650000</v>
      </c>
      <c r="M21" s="49"/>
      <c r="N21" s="49"/>
    </row>
    <row r="22" spans="1:15">
      <c r="A22" s="287">
        <v>21</v>
      </c>
      <c r="B22" s="277">
        <v>45723</v>
      </c>
      <c r="C22" s="276" t="s">
        <v>1502</v>
      </c>
      <c r="E22" s="276" t="s">
        <v>1190</v>
      </c>
      <c r="F22" s="276"/>
      <c r="G22" s="279">
        <v>700000</v>
      </c>
      <c r="H22" s="276">
        <v>1</v>
      </c>
      <c r="K22" s="279">
        <v>700000</v>
      </c>
      <c r="M22" s="49"/>
      <c r="N22" s="49"/>
    </row>
    <row r="23" spans="1:15">
      <c r="A23" s="287">
        <v>22</v>
      </c>
      <c r="B23" s="277">
        <v>45723</v>
      </c>
      <c r="C23" s="276" t="s">
        <v>1504</v>
      </c>
      <c r="E23" s="276" t="s">
        <v>1166</v>
      </c>
      <c r="F23" s="276"/>
      <c r="G23" s="279">
        <v>1500000</v>
      </c>
      <c r="H23" s="276">
        <v>1</v>
      </c>
      <c r="K23" s="279">
        <v>1500000</v>
      </c>
      <c r="M23" s="49"/>
      <c r="N23" s="49"/>
    </row>
    <row r="24" spans="1:15">
      <c r="A24" s="287">
        <v>23</v>
      </c>
      <c r="B24" s="277">
        <v>45724</v>
      </c>
      <c r="C24" s="276" t="s">
        <v>1445</v>
      </c>
      <c r="D24" s="278" t="s">
        <v>1406</v>
      </c>
      <c r="E24" s="276" t="s">
        <v>1241</v>
      </c>
      <c r="F24" s="276" t="s">
        <v>1406</v>
      </c>
      <c r="G24" s="279">
        <v>1200000</v>
      </c>
      <c r="H24" s="276">
        <v>1</v>
      </c>
      <c r="K24" s="279">
        <v>1200000</v>
      </c>
      <c r="M24" s="49"/>
      <c r="N24" s="49"/>
    </row>
    <row r="25" spans="1:15">
      <c r="A25" s="287">
        <v>24</v>
      </c>
      <c r="B25" s="277">
        <v>45724</v>
      </c>
      <c r="C25" s="276" t="s">
        <v>1445</v>
      </c>
      <c r="E25" s="276" t="s">
        <v>1173</v>
      </c>
      <c r="F25" s="276"/>
      <c r="G25" s="279">
        <v>198000</v>
      </c>
      <c r="H25" s="276">
        <v>1</v>
      </c>
      <c r="K25" s="279">
        <v>198000</v>
      </c>
      <c r="M25" s="49"/>
      <c r="N25" s="49"/>
    </row>
    <row r="26" spans="1:15">
      <c r="A26" s="287">
        <v>25</v>
      </c>
      <c r="B26" s="277">
        <v>45726</v>
      </c>
      <c r="C26" s="276" t="s">
        <v>1490</v>
      </c>
      <c r="E26" s="276" t="s">
        <v>1168</v>
      </c>
      <c r="F26" s="276"/>
      <c r="G26" s="279">
        <v>300000</v>
      </c>
      <c r="H26" s="276">
        <v>1</v>
      </c>
      <c r="K26" s="279">
        <v>300000</v>
      </c>
      <c r="M26" s="49"/>
      <c r="N26" s="49"/>
    </row>
    <row r="27" spans="1:15">
      <c r="A27" s="287">
        <v>26</v>
      </c>
      <c r="B27" s="277">
        <v>45726</v>
      </c>
      <c r="C27" s="276" t="s">
        <v>1069</v>
      </c>
      <c r="E27" s="276" t="s">
        <v>1167</v>
      </c>
      <c r="F27" s="276"/>
      <c r="G27" s="279">
        <v>1000000</v>
      </c>
      <c r="H27" s="276">
        <v>1</v>
      </c>
      <c r="K27" s="279">
        <v>1000000</v>
      </c>
      <c r="M27" s="49"/>
      <c r="N27" s="49"/>
    </row>
    <row r="28" spans="1:15">
      <c r="A28" s="287">
        <v>27</v>
      </c>
      <c r="B28" s="277">
        <v>45727</v>
      </c>
      <c r="C28" s="276" t="s">
        <v>1105</v>
      </c>
      <c r="E28" s="276" t="s">
        <v>1166</v>
      </c>
      <c r="F28" s="276"/>
      <c r="G28" s="279">
        <v>1500000</v>
      </c>
      <c r="H28" s="276">
        <v>1</v>
      </c>
      <c r="K28" s="279">
        <v>1500000</v>
      </c>
      <c r="M28" s="49"/>
      <c r="N28" s="49"/>
    </row>
    <row r="29" spans="1:15">
      <c r="A29" s="287">
        <v>28</v>
      </c>
      <c r="B29" s="277">
        <v>45727</v>
      </c>
      <c r="C29" s="276" t="s">
        <v>1445</v>
      </c>
      <c r="E29" s="276" t="s">
        <v>1175</v>
      </c>
      <c r="F29" s="276"/>
      <c r="G29" s="279">
        <v>650000</v>
      </c>
      <c r="H29" s="276">
        <v>1</v>
      </c>
      <c r="K29" s="279">
        <v>650000</v>
      </c>
      <c r="M29" s="49"/>
      <c r="N29" s="49"/>
    </row>
    <row r="30" spans="1:15">
      <c r="A30" s="287">
        <v>29</v>
      </c>
      <c r="B30" s="277">
        <v>45727</v>
      </c>
      <c r="C30" s="284" t="s">
        <v>1445</v>
      </c>
      <c r="D30" s="278" t="s">
        <v>1254</v>
      </c>
      <c r="E30" s="284" t="s">
        <v>1165</v>
      </c>
      <c r="F30" s="284" t="s">
        <v>1510</v>
      </c>
      <c r="G30" s="279">
        <v>1500000</v>
      </c>
      <c r="H30" s="284">
        <v>1</v>
      </c>
      <c r="K30" s="279">
        <v>1500000</v>
      </c>
    </row>
    <row r="31" spans="1:15">
      <c r="A31" s="287">
        <v>30</v>
      </c>
      <c r="B31" s="277">
        <v>45727</v>
      </c>
      <c r="C31" s="284" t="s">
        <v>1192</v>
      </c>
      <c r="D31" s="278" t="s">
        <v>1406</v>
      </c>
      <c r="E31" s="284" t="s">
        <v>1241</v>
      </c>
      <c r="F31" s="284" t="s">
        <v>1406</v>
      </c>
      <c r="G31" s="279">
        <v>1200000</v>
      </c>
      <c r="H31" s="284">
        <v>1</v>
      </c>
      <c r="K31" s="279">
        <v>1200000</v>
      </c>
    </row>
    <row r="32" spans="1:15">
      <c r="A32" s="287">
        <v>31</v>
      </c>
      <c r="B32" s="277">
        <v>45727</v>
      </c>
      <c r="C32" s="284" t="s">
        <v>1513</v>
      </c>
      <c r="E32" s="284" t="s">
        <v>1199</v>
      </c>
      <c r="G32" s="279">
        <v>150000</v>
      </c>
      <c r="H32" s="284">
        <v>1</v>
      </c>
      <c r="K32" s="279">
        <v>150000</v>
      </c>
    </row>
    <row r="33" spans="1:11">
      <c r="A33" s="287">
        <v>32</v>
      </c>
      <c r="B33" s="277">
        <v>45727</v>
      </c>
      <c r="C33" s="284" t="s">
        <v>1513</v>
      </c>
      <c r="E33" s="284" t="s">
        <v>1199</v>
      </c>
      <c r="G33" s="279">
        <v>150000</v>
      </c>
      <c r="H33" s="284">
        <v>2</v>
      </c>
      <c r="K33" s="279">
        <v>300000</v>
      </c>
    </row>
    <row r="34" spans="1:11">
      <c r="A34" s="287">
        <v>33</v>
      </c>
      <c r="B34" s="277">
        <v>45727</v>
      </c>
      <c r="C34" s="284" t="s">
        <v>1513</v>
      </c>
      <c r="E34" s="284" t="s">
        <v>1200</v>
      </c>
      <c r="G34" s="279">
        <v>100000</v>
      </c>
      <c r="H34" s="284">
        <v>1</v>
      </c>
      <c r="K34" s="279">
        <v>100000</v>
      </c>
    </row>
    <row r="35" spans="1:11">
      <c r="A35" s="287">
        <v>34</v>
      </c>
      <c r="B35" s="277">
        <v>45727</v>
      </c>
      <c r="C35" s="284" t="s">
        <v>1513</v>
      </c>
      <c r="E35" s="284" t="s">
        <v>1201</v>
      </c>
      <c r="G35" s="279">
        <v>230000</v>
      </c>
      <c r="H35" s="284">
        <v>1</v>
      </c>
      <c r="K35" s="279">
        <v>230000</v>
      </c>
    </row>
    <row r="36" spans="1:11">
      <c r="A36" s="287">
        <v>35</v>
      </c>
      <c r="B36" s="277">
        <v>45729</v>
      </c>
      <c r="C36" s="284" t="s">
        <v>1515</v>
      </c>
      <c r="D36" s="278" t="s">
        <v>1303</v>
      </c>
      <c r="E36" s="284" t="s">
        <v>1304</v>
      </c>
      <c r="F36" s="284" t="s">
        <v>1303</v>
      </c>
      <c r="G36" s="279">
        <v>130000</v>
      </c>
      <c r="H36" s="284">
        <v>1</v>
      </c>
      <c r="K36" s="279">
        <v>130000</v>
      </c>
    </row>
    <row r="37" spans="1:11">
      <c r="A37" s="287">
        <v>36</v>
      </c>
      <c r="B37" s="277">
        <v>45729</v>
      </c>
      <c r="C37" s="284" t="s">
        <v>1515</v>
      </c>
      <c r="E37" s="284" t="s">
        <v>1516</v>
      </c>
      <c r="G37" s="279">
        <v>10000</v>
      </c>
      <c r="H37" s="284">
        <v>1</v>
      </c>
      <c r="K37" s="279">
        <v>10000</v>
      </c>
    </row>
    <row r="38" spans="1:11">
      <c r="A38" s="287">
        <v>37</v>
      </c>
      <c r="B38" s="277">
        <v>45729</v>
      </c>
      <c r="C38" s="284" t="s">
        <v>1019</v>
      </c>
      <c r="D38" s="278" t="s">
        <v>1309</v>
      </c>
      <c r="E38" s="284" t="s">
        <v>1310</v>
      </c>
      <c r="F38" s="284" t="s">
        <v>1309</v>
      </c>
      <c r="G38" s="279">
        <v>50000</v>
      </c>
      <c r="H38" s="284">
        <v>1</v>
      </c>
      <c r="K38" s="279">
        <v>50000</v>
      </c>
    </row>
    <row r="39" spans="1:11">
      <c r="A39" s="287">
        <v>38</v>
      </c>
      <c r="B39" s="277">
        <v>45730</v>
      </c>
      <c r="C39" s="284" t="s">
        <v>1519</v>
      </c>
      <c r="D39" s="278" t="s">
        <v>1406</v>
      </c>
      <c r="E39" s="284" t="s">
        <v>1241</v>
      </c>
      <c r="F39" s="284" t="s">
        <v>1406</v>
      </c>
      <c r="G39" s="279">
        <v>1100000</v>
      </c>
      <c r="H39" s="284">
        <v>1</v>
      </c>
      <c r="K39" s="279">
        <v>1100000</v>
      </c>
    </row>
    <row r="40" spans="1:11">
      <c r="A40" s="287">
        <v>39</v>
      </c>
      <c r="B40" s="277">
        <v>45730</v>
      </c>
      <c r="C40" s="284" t="s">
        <v>1445</v>
      </c>
      <c r="E40" s="284" t="s">
        <v>1521</v>
      </c>
      <c r="G40" s="279">
        <v>13000</v>
      </c>
      <c r="H40" s="284">
        <v>1</v>
      </c>
      <c r="K40" s="279">
        <v>13000</v>
      </c>
    </row>
    <row r="41" spans="1:11">
      <c r="A41" s="287">
        <v>40</v>
      </c>
      <c r="B41" s="277">
        <v>45730</v>
      </c>
      <c r="C41" s="284" t="s">
        <v>1445</v>
      </c>
      <c r="E41" s="284" t="s">
        <v>1522</v>
      </c>
      <c r="G41" s="279">
        <v>50000</v>
      </c>
      <c r="H41" s="284">
        <v>1</v>
      </c>
      <c r="K41" s="279">
        <v>50000</v>
      </c>
    </row>
    <row r="42" spans="1:11">
      <c r="A42" s="287">
        <v>41</v>
      </c>
      <c r="B42" s="277">
        <v>45731</v>
      </c>
      <c r="C42" s="284" t="s">
        <v>1210</v>
      </c>
      <c r="E42" s="284" t="s">
        <v>1175</v>
      </c>
      <c r="G42" s="279">
        <v>1100000</v>
      </c>
      <c r="H42" s="284">
        <v>1</v>
      </c>
      <c r="K42" s="279">
        <v>1100000</v>
      </c>
    </row>
    <row r="43" spans="1:11">
      <c r="A43" s="287">
        <v>42</v>
      </c>
      <c r="B43" s="277">
        <v>45731</v>
      </c>
      <c r="C43" s="284" t="s">
        <v>1525</v>
      </c>
      <c r="E43" s="284" t="s">
        <v>1526</v>
      </c>
      <c r="G43" s="279">
        <v>140000</v>
      </c>
      <c r="H43" s="284">
        <v>3</v>
      </c>
      <c r="K43" s="279">
        <v>420000</v>
      </c>
    </row>
    <row r="44" spans="1:11">
      <c r="A44" s="287">
        <v>43</v>
      </c>
      <c r="B44" s="277">
        <v>45731</v>
      </c>
      <c r="C44" s="284" t="s">
        <v>1038</v>
      </c>
      <c r="E44" s="284" t="s">
        <v>1528</v>
      </c>
      <c r="G44" s="279">
        <v>450000</v>
      </c>
      <c r="H44" s="284">
        <v>1</v>
      </c>
      <c r="K44" s="279">
        <v>450000</v>
      </c>
    </row>
    <row r="45" spans="1:11">
      <c r="A45" s="287">
        <v>44</v>
      </c>
      <c r="B45" s="277">
        <v>45733</v>
      </c>
      <c r="C45" s="284" t="s">
        <v>1183</v>
      </c>
      <c r="E45" s="284" t="s">
        <v>1528</v>
      </c>
      <c r="G45" s="279">
        <v>450000</v>
      </c>
      <c r="H45" s="284">
        <v>1</v>
      </c>
      <c r="K45" s="279">
        <v>450000</v>
      </c>
    </row>
    <row r="46" spans="1:11">
      <c r="A46" s="287">
        <v>45</v>
      </c>
      <c r="B46" s="277">
        <v>45733</v>
      </c>
      <c r="C46" s="284" t="s">
        <v>1531</v>
      </c>
      <c r="E46" s="284" t="s">
        <v>1532</v>
      </c>
      <c r="G46" s="279">
        <v>1600000</v>
      </c>
      <c r="H46" s="284">
        <v>1</v>
      </c>
      <c r="K46" s="279">
        <v>1600000</v>
      </c>
    </row>
    <row r="47" spans="1:11">
      <c r="A47" s="287">
        <v>46</v>
      </c>
      <c r="B47" s="277">
        <v>45733</v>
      </c>
      <c r="C47" s="284" t="s">
        <v>1060</v>
      </c>
      <c r="E47" s="284" t="s">
        <v>1536</v>
      </c>
      <c r="G47" s="279">
        <v>1600000</v>
      </c>
      <c r="H47" s="284">
        <v>1</v>
      </c>
      <c r="K47" s="279">
        <v>1600000</v>
      </c>
    </row>
    <row r="48" spans="1:11">
      <c r="A48" s="287">
        <v>47</v>
      </c>
      <c r="B48" s="277">
        <v>45733</v>
      </c>
      <c r="C48" s="284" t="s">
        <v>1515</v>
      </c>
      <c r="E48" s="284" t="s">
        <v>1538</v>
      </c>
      <c r="G48" s="279">
        <v>100000</v>
      </c>
      <c r="H48" s="284">
        <v>1</v>
      </c>
      <c r="K48" s="279">
        <v>100000</v>
      </c>
    </row>
    <row r="49" spans="1:11">
      <c r="A49" s="287">
        <v>48</v>
      </c>
      <c r="B49" s="277">
        <v>45733</v>
      </c>
      <c r="C49" s="284" t="s">
        <v>1540</v>
      </c>
      <c r="D49" s="278" t="s">
        <v>1406</v>
      </c>
      <c r="E49" s="284" t="s">
        <v>1541</v>
      </c>
      <c r="F49" s="284" t="s">
        <v>1406</v>
      </c>
      <c r="G49" s="279">
        <v>650000</v>
      </c>
      <c r="H49" s="284">
        <v>1</v>
      </c>
      <c r="K49" s="279">
        <v>650000</v>
      </c>
    </row>
    <row r="50" spans="1:11">
      <c r="A50" s="287">
        <v>49</v>
      </c>
      <c r="B50" s="277">
        <v>45733</v>
      </c>
      <c r="C50" s="284" t="s">
        <v>1540</v>
      </c>
      <c r="E50" s="284" t="s">
        <v>1542</v>
      </c>
      <c r="G50" s="279">
        <v>350000</v>
      </c>
      <c r="H50" s="284">
        <v>1</v>
      </c>
      <c r="K50" s="279">
        <v>350000</v>
      </c>
    </row>
    <row r="51" spans="1:11">
      <c r="A51" s="287">
        <v>50</v>
      </c>
      <c r="B51" s="277">
        <v>45734</v>
      </c>
      <c r="C51" s="284" t="s">
        <v>1544</v>
      </c>
      <c r="D51" s="278" t="s">
        <v>1406</v>
      </c>
      <c r="E51" s="284" t="s">
        <v>1241</v>
      </c>
      <c r="F51" s="284" t="s">
        <v>1406</v>
      </c>
      <c r="G51" s="279">
        <v>1200000</v>
      </c>
      <c r="H51" s="284">
        <v>1</v>
      </c>
      <c r="K51" s="279">
        <v>1200000</v>
      </c>
    </row>
    <row r="52" spans="1:11">
      <c r="A52" s="287">
        <v>51</v>
      </c>
      <c r="B52" s="277">
        <v>45735</v>
      </c>
      <c r="C52" s="284" t="s">
        <v>1445</v>
      </c>
      <c r="D52" s="278" t="s">
        <v>1258</v>
      </c>
      <c r="E52" s="284" t="s">
        <v>1259</v>
      </c>
      <c r="F52" s="284" t="s">
        <v>1258</v>
      </c>
      <c r="G52" s="279">
        <v>1500000</v>
      </c>
      <c r="H52" s="284">
        <v>1</v>
      </c>
      <c r="K52" s="279">
        <v>1500000</v>
      </c>
    </row>
    <row r="53" spans="1:11">
      <c r="A53" s="287">
        <v>52</v>
      </c>
      <c r="B53" s="277">
        <v>45735</v>
      </c>
      <c r="C53" s="284" t="s">
        <v>1445</v>
      </c>
      <c r="E53" s="284" t="s">
        <v>1547</v>
      </c>
      <c r="G53" s="279">
        <v>-500000</v>
      </c>
      <c r="H53" s="284">
        <v>1</v>
      </c>
      <c r="K53" s="279">
        <v>-500000</v>
      </c>
    </row>
    <row r="54" spans="1:11">
      <c r="A54" s="287">
        <v>53</v>
      </c>
      <c r="B54" s="277">
        <v>45735</v>
      </c>
      <c r="C54" s="284" t="s">
        <v>1069</v>
      </c>
      <c r="E54" s="284" t="s">
        <v>1549</v>
      </c>
      <c r="G54" s="279">
        <v>1600000</v>
      </c>
      <c r="H54" s="284">
        <v>1</v>
      </c>
      <c r="K54" s="279">
        <v>1600000</v>
      </c>
    </row>
    <row r="55" spans="1:11">
      <c r="A55" s="287">
        <v>54</v>
      </c>
      <c r="B55" s="277">
        <v>45735</v>
      </c>
      <c r="C55" s="284" t="s">
        <v>1424</v>
      </c>
      <c r="E55" s="284" t="s">
        <v>1551</v>
      </c>
      <c r="G55" s="279">
        <v>1000000</v>
      </c>
      <c r="H55" s="284">
        <v>1</v>
      </c>
      <c r="K55" s="279">
        <v>1000000</v>
      </c>
    </row>
    <row r="56" spans="1:11">
      <c r="A56" s="287">
        <v>55</v>
      </c>
      <c r="B56" s="277">
        <v>45735</v>
      </c>
      <c r="C56" s="284" t="s">
        <v>1424</v>
      </c>
      <c r="E56" s="284" t="s">
        <v>1552</v>
      </c>
      <c r="G56" s="279">
        <v>200000</v>
      </c>
      <c r="H56" s="284">
        <v>1</v>
      </c>
      <c r="K56" s="279">
        <v>200000</v>
      </c>
    </row>
    <row r="57" spans="1:11">
      <c r="A57" s="287">
        <v>56</v>
      </c>
      <c r="B57" s="277">
        <v>45736</v>
      </c>
      <c r="C57" s="284" t="s">
        <v>1490</v>
      </c>
      <c r="E57" s="284" t="s">
        <v>1554</v>
      </c>
      <c r="G57" s="279">
        <v>-1270000</v>
      </c>
      <c r="H57" s="284">
        <v>1</v>
      </c>
      <c r="K57" s="279">
        <v>-1270000</v>
      </c>
    </row>
    <row r="58" spans="1:11">
      <c r="A58" s="287">
        <v>57</v>
      </c>
      <c r="B58" s="277">
        <v>45736</v>
      </c>
      <c r="C58" s="284" t="s">
        <v>1490</v>
      </c>
      <c r="E58" s="284" t="s">
        <v>1555</v>
      </c>
      <c r="G58" s="279">
        <v>-300000</v>
      </c>
      <c r="H58" s="284">
        <v>1</v>
      </c>
      <c r="K58" s="279">
        <v>-300000</v>
      </c>
    </row>
    <row r="59" spans="1:11">
      <c r="A59" s="287">
        <v>58</v>
      </c>
      <c r="B59" s="277">
        <v>45736</v>
      </c>
      <c r="C59" s="284" t="s">
        <v>1490</v>
      </c>
      <c r="E59" s="284" t="s">
        <v>1556</v>
      </c>
      <c r="G59" s="279">
        <v>-200000</v>
      </c>
      <c r="H59" s="284">
        <v>1</v>
      </c>
      <c r="K59" s="279">
        <v>-200000</v>
      </c>
    </row>
    <row r="60" spans="1:11">
      <c r="A60" s="287">
        <v>59</v>
      </c>
      <c r="B60" s="277">
        <v>45736</v>
      </c>
      <c r="C60" s="284" t="s">
        <v>1281</v>
      </c>
      <c r="D60" s="278" t="s">
        <v>1242</v>
      </c>
      <c r="E60" s="284" t="s">
        <v>1243</v>
      </c>
      <c r="F60" s="284" t="s">
        <v>1242</v>
      </c>
      <c r="G60" s="279">
        <v>150000</v>
      </c>
      <c r="H60" s="284">
        <v>1</v>
      </c>
      <c r="K60" s="279">
        <v>150000</v>
      </c>
    </row>
    <row r="61" spans="1:11">
      <c r="A61" s="287">
        <v>60</v>
      </c>
      <c r="B61" s="277">
        <v>45736</v>
      </c>
      <c r="C61" s="284" t="s">
        <v>1515</v>
      </c>
      <c r="D61" s="278" t="s">
        <v>1406</v>
      </c>
      <c r="E61" s="284" t="s">
        <v>1241</v>
      </c>
      <c r="F61" s="284" t="s">
        <v>1406</v>
      </c>
      <c r="G61" s="279">
        <v>1300000</v>
      </c>
      <c r="H61" s="284">
        <v>1</v>
      </c>
      <c r="K61" s="279">
        <v>1300000</v>
      </c>
    </row>
    <row r="62" spans="1:11">
      <c r="A62" s="287">
        <v>61</v>
      </c>
      <c r="B62" s="277">
        <v>45736</v>
      </c>
      <c r="C62" s="284" t="s">
        <v>1270</v>
      </c>
      <c r="E62" s="284" t="s">
        <v>1549</v>
      </c>
      <c r="G62" s="279">
        <v>1600000</v>
      </c>
      <c r="H62" s="284">
        <v>1</v>
      </c>
      <c r="K62" s="279">
        <v>1600000</v>
      </c>
    </row>
    <row r="63" spans="1:11">
      <c r="A63" s="287">
        <v>62</v>
      </c>
      <c r="B63" s="277">
        <v>45736</v>
      </c>
      <c r="C63" s="284" t="s">
        <v>1561</v>
      </c>
      <c r="E63" s="284" t="s">
        <v>1175</v>
      </c>
      <c r="G63" s="279">
        <v>650000</v>
      </c>
      <c r="H63" s="284">
        <v>1</v>
      </c>
      <c r="K63" s="279">
        <v>650000</v>
      </c>
    </row>
    <row r="64" spans="1:11">
      <c r="A64" s="287">
        <v>63</v>
      </c>
      <c r="B64" s="277">
        <v>45741</v>
      </c>
      <c r="C64" s="284" t="s">
        <v>1563</v>
      </c>
      <c r="E64" s="284" t="s">
        <v>1564</v>
      </c>
      <c r="G64" s="279">
        <v>150000</v>
      </c>
      <c r="H64" s="284">
        <v>2</v>
      </c>
      <c r="K64" s="279">
        <v>300000</v>
      </c>
    </row>
    <row r="65" spans="1:11">
      <c r="A65" s="287">
        <v>64</v>
      </c>
      <c r="B65" s="277">
        <v>45741</v>
      </c>
      <c r="C65" s="284" t="s">
        <v>1563</v>
      </c>
      <c r="E65" s="284" t="s">
        <v>1565</v>
      </c>
      <c r="G65" s="279">
        <v>20000</v>
      </c>
      <c r="H65" s="284">
        <v>1</v>
      </c>
      <c r="K65" s="279">
        <v>20000</v>
      </c>
    </row>
    <row r="66" spans="1:11">
      <c r="A66" s="287">
        <v>65</v>
      </c>
      <c r="B66" s="277">
        <v>45737</v>
      </c>
      <c r="C66" s="284" t="s">
        <v>1567</v>
      </c>
      <c r="E66" s="284" t="s">
        <v>1570</v>
      </c>
      <c r="G66" s="279">
        <v>250000</v>
      </c>
      <c r="H66" s="284">
        <v>1</v>
      </c>
      <c r="K66" s="279">
        <v>250000</v>
      </c>
    </row>
    <row r="67" spans="1:11">
      <c r="A67" s="287">
        <v>66</v>
      </c>
      <c r="B67" s="277">
        <v>45737</v>
      </c>
      <c r="C67" s="284" t="s">
        <v>1490</v>
      </c>
      <c r="D67" s="278" t="s">
        <v>1245</v>
      </c>
      <c r="E67" s="284" t="s">
        <v>1246</v>
      </c>
      <c r="F67" s="284" t="s">
        <v>1245</v>
      </c>
      <c r="G67" s="279">
        <v>570000</v>
      </c>
      <c r="H67" s="284">
        <v>2</v>
      </c>
      <c r="K67" s="279">
        <v>1140000</v>
      </c>
    </row>
    <row r="68" spans="1:11">
      <c r="A68" s="287">
        <v>67</v>
      </c>
      <c r="B68" s="277">
        <v>45737</v>
      </c>
      <c r="C68" s="284" t="s">
        <v>1490</v>
      </c>
      <c r="E68" s="284" t="s">
        <v>1454</v>
      </c>
      <c r="H68" s="284">
        <v>2</v>
      </c>
      <c r="K68" s="279">
        <v>0</v>
      </c>
    </row>
    <row r="69" spans="1:11">
      <c r="A69" s="287">
        <v>68</v>
      </c>
      <c r="B69" s="277">
        <v>45740</v>
      </c>
      <c r="C69" s="284" t="s">
        <v>1351</v>
      </c>
      <c r="E69" s="284">
        <v>2703900</v>
      </c>
      <c r="G69" s="279">
        <v>1600000</v>
      </c>
      <c r="H69" s="284">
        <v>1</v>
      </c>
      <c r="K69" s="279">
        <v>1600000</v>
      </c>
    </row>
    <row r="70" spans="1:11">
      <c r="A70" s="287">
        <v>69</v>
      </c>
      <c r="B70" s="277">
        <v>45740</v>
      </c>
      <c r="C70" s="284" t="s">
        <v>1281</v>
      </c>
      <c r="D70" s="278" t="s">
        <v>1406</v>
      </c>
      <c r="E70" s="284" t="s">
        <v>1241</v>
      </c>
      <c r="F70" s="284" t="s">
        <v>1406</v>
      </c>
      <c r="G70" s="279">
        <v>1300000</v>
      </c>
      <c r="H70" s="284">
        <v>1</v>
      </c>
      <c r="K70" s="279">
        <v>1300000</v>
      </c>
    </row>
    <row r="71" spans="1:11">
      <c r="A71" s="287">
        <v>70</v>
      </c>
      <c r="B71" s="277">
        <v>45740</v>
      </c>
      <c r="C71" s="284" t="s">
        <v>1418</v>
      </c>
      <c r="E71" s="284" t="s">
        <v>1191</v>
      </c>
      <c r="G71" s="279">
        <v>1500000</v>
      </c>
      <c r="H71" s="284">
        <v>1</v>
      </c>
      <c r="K71" s="279">
        <v>1500000</v>
      </c>
    </row>
    <row r="72" spans="1:11">
      <c r="A72" s="287">
        <v>71</v>
      </c>
      <c r="B72" s="277">
        <v>45740</v>
      </c>
      <c r="C72" s="284" t="s">
        <v>1210</v>
      </c>
      <c r="D72" s="278" t="s">
        <v>1406</v>
      </c>
      <c r="E72" s="284" t="s">
        <v>1241</v>
      </c>
      <c r="F72" s="284" t="s">
        <v>1406</v>
      </c>
      <c r="G72" s="279">
        <v>1200000</v>
      </c>
      <c r="H72" s="284">
        <v>1</v>
      </c>
      <c r="K72" s="279">
        <v>1200000</v>
      </c>
    </row>
    <row r="73" spans="1:11">
      <c r="A73" s="287">
        <v>72</v>
      </c>
      <c r="B73" s="277">
        <v>45740</v>
      </c>
      <c r="C73" s="284" t="s">
        <v>1019</v>
      </c>
      <c r="E73" s="284" t="s">
        <v>1186</v>
      </c>
      <c r="G73" s="279">
        <v>1100000</v>
      </c>
      <c r="H73" s="284">
        <v>1</v>
      </c>
      <c r="K73" s="279">
        <v>1100000</v>
      </c>
    </row>
    <row r="74" spans="1:11">
      <c r="A74" s="287">
        <v>73</v>
      </c>
      <c r="B74" s="277">
        <v>45740</v>
      </c>
      <c r="C74" s="284" t="s">
        <v>1578</v>
      </c>
      <c r="D74" s="278" t="s">
        <v>1239</v>
      </c>
      <c r="E74" s="284" t="s">
        <v>1240</v>
      </c>
      <c r="F74" s="284" t="s">
        <v>1239</v>
      </c>
      <c r="G74" s="279">
        <v>1500000</v>
      </c>
      <c r="H74" s="284">
        <v>1</v>
      </c>
      <c r="K74" s="279">
        <v>1500000</v>
      </c>
    </row>
    <row r="75" spans="1:11">
      <c r="A75" s="287">
        <v>74</v>
      </c>
      <c r="B75" s="277">
        <v>45741</v>
      </c>
      <c r="C75" s="284" t="s">
        <v>1495</v>
      </c>
      <c r="E75" s="284" t="s">
        <v>1581</v>
      </c>
      <c r="G75" s="279">
        <v>450000</v>
      </c>
      <c r="H75" s="284">
        <v>1</v>
      </c>
      <c r="K75" s="279">
        <v>450000</v>
      </c>
    </row>
    <row r="76" spans="1:11">
      <c r="A76" s="287">
        <v>75</v>
      </c>
      <c r="B76" s="277">
        <v>45741</v>
      </c>
      <c r="C76" s="284" t="s">
        <v>1183</v>
      </c>
      <c r="D76" s="278" t="s">
        <v>1406</v>
      </c>
      <c r="E76" s="284" t="s">
        <v>1241</v>
      </c>
      <c r="F76" s="284" t="s">
        <v>1406</v>
      </c>
      <c r="G76" s="279">
        <v>1200000</v>
      </c>
      <c r="H76" s="284">
        <v>1</v>
      </c>
      <c r="K76" s="279">
        <v>1200000</v>
      </c>
    </row>
    <row r="77" spans="1:11">
      <c r="A77" s="287">
        <v>76</v>
      </c>
      <c r="B77" s="277">
        <v>45741</v>
      </c>
      <c r="C77" s="284" t="s">
        <v>1030</v>
      </c>
      <c r="E77" s="284" t="s">
        <v>1584</v>
      </c>
      <c r="G77" s="279">
        <v>2000000</v>
      </c>
      <c r="H77" s="284">
        <v>1</v>
      </c>
      <c r="K77" s="279">
        <v>2000000</v>
      </c>
    </row>
    <row r="78" spans="1:11">
      <c r="A78" s="287">
        <v>77</v>
      </c>
      <c r="B78" s="277">
        <v>45741</v>
      </c>
      <c r="C78" s="284" t="s">
        <v>1490</v>
      </c>
      <c r="E78" s="284" t="s">
        <v>1168</v>
      </c>
      <c r="G78" s="279">
        <v>350000</v>
      </c>
      <c r="H78" s="284">
        <v>2</v>
      </c>
      <c r="K78" s="279">
        <v>700000</v>
      </c>
    </row>
    <row r="79" spans="1:11">
      <c r="A79" s="287">
        <v>78</v>
      </c>
      <c r="B79" s="277">
        <v>45741</v>
      </c>
      <c r="C79" s="284" t="s">
        <v>1490</v>
      </c>
      <c r="E79" s="284" t="s">
        <v>1168</v>
      </c>
      <c r="G79" s="279">
        <v>300000</v>
      </c>
      <c r="H79" s="284">
        <v>2</v>
      </c>
      <c r="K79" s="279">
        <v>600000</v>
      </c>
    </row>
    <row r="80" spans="1:11">
      <c r="A80" s="287">
        <v>79</v>
      </c>
      <c r="B80" s="277">
        <v>45741</v>
      </c>
      <c r="C80" s="284" t="s">
        <v>1587</v>
      </c>
      <c r="E80" s="284" t="s">
        <v>1588</v>
      </c>
      <c r="G80" s="279">
        <v>129000</v>
      </c>
      <c r="H80" s="284">
        <v>1</v>
      </c>
      <c r="K80" s="279">
        <v>129000</v>
      </c>
    </row>
    <row r="81" spans="1:11">
      <c r="A81" s="287">
        <v>80</v>
      </c>
      <c r="B81" s="277">
        <v>45741</v>
      </c>
      <c r="C81" s="284" t="s">
        <v>1590</v>
      </c>
      <c r="D81" s="278" t="s">
        <v>1258</v>
      </c>
      <c r="E81" s="284" t="s">
        <v>1259</v>
      </c>
      <c r="F81" s="284" t="s">
        <v>1258</v>
      </c>
      <c r="G81" s="279">
        <v>1500000</v>
      </c>
      <c r="H81" s="284">
        <v>1</v>
      </c>
      <c r="K81" s="279">
        <v>1500000</v>
      </c>
    </row>
    <row r="82" spans="1:11">
      <c r="A82" s="287">
        <v>81</v>
      </c>
      <c r="B82" s="277">
        <v>45742</v>
      </c>
      <c r="C82" s="284" t="s">
        <v>1030</v>
      </c>
      <c r="D82" s="278" t="s">
        <v>1406</v>
      </c>
      <c r="E82" s="284" t="s">
        <v>1241</v>
      </c>
      <c r="F82" s="284" t="s">
        <v>1406</v>
      </c>
      <c r="G82" s="279">
        <v>1200000</v>
      </c>
      <c r="H82" s="284">
        <v>1</v>
      </c>
      <c r="K82" s="279">
        <v>1200000</v>
      </c>
    </row>
    <row r="83" spans="1:11">
      <c r="A83" s="287">
        <v>82</v>
      </c>
      <c r="B83" s="277">
        <v>45742</v>
      </c>
      <c r="C83" s="284" t="s">
        <v>1030</v>
      </c>
      <c r="E83" s="284" t="s">
        <v>1542</v>
      </c>
      <c r="G83" s="279">
        <v>350000</v>
      </c>
      <c r="H83" s="284">
        <v>1</v>
      </c>
      <c r="K83" s="279">
        <v>350000</v>
      </c>
    </row>
    <row r="84" spans="1:11">
      <c r="A84" s="287">
        <v>83</v>
      </c>
      <c r="B84" s="277">
        <v>45742</v>
      </c>
      <c r="C84" s="284" t="s">
        <v>1437</v>
      </c>
      <c r="D84" s="278" t="s">
        <v>1406</v>
      </c>
      <c r="E84" s="284" t="s">
        <v>1241</v>
      </c>
      <c r="F84" s="284" t="s">
        <v>1406</v>
      </c>
      <c r="G84" s="279">
        <v>1200000</v>
      </c>
      <c r="H84" s="284">
        <v>1</v>
      </c>
      <c r="K84" s="279">
        <v>1200000</v>
      </c>
    </row>
    <row r="85" spans="1:11">
      <c r="A85" s="287">
        <v>84</v>
      </c>
      <c r="B85" s="277">
        <v>45742</v>
      </c>
      <c r="C85" s="284" t="s">
        <v>1441</v>
      </c>
      <c r="E85" s="284" t="s">
        <v>1175</v>
      </c>
      <c r="G85" s="279">
        <v>650000</v>
      </c>
      <c r="H85" s="284">
        <v>1</v>
      </c>
      <c r="K85" s="279">
        <v>650000</v>
      </c>
    </row>
    <row r="86" spans="1:11">
      <c r="A86" s="287">
        <v>85</v>
      </c>
      <c r="B86" s="277">
        <v>45742</v>
      </c>
      <c r="C86" s="284" t="s">
        <v>1019</v>
      </c>
      <c r="E86" s="284" t="s">
        <v>1595</v>
      </c>
      <c r="G86" s="279">
        <v>50000</v>
      </c>
      <c r="H86" s="284">
        <v>1</v>
      </c>
      <c r="K86" s="279">
        <v>50000</v>
      </c>
    </row>
    <row r="87" spans="1:11">
      <c r="A87" s="287">
        <v>86</v>
      </c>
      <c r="B87" s="277">
        <v>45743</v>
      </c>
      <c r="C87" s="284" t="s">
        <v>1597</v>
      </c>
      <c r="D87" s="278" t="s">
        <v>1406</v>
      </c>
      <c r="E87" s="284" t="s">
        <v>1241</v>
      </c>
      <c r="F87" s="284" t="s">
        <v>1406</v>
      </c>
      <c r="G87" s="279">
        <v>1300000</v>
      </c>
      <c r="H87" s="284">
        <v>1</v>
      </c>
      <c r="K87" s="279">
        <v>1300000</v>
      </c>
    </row>
    <row r="88" spans="1:11">
      <c r="A88" s="287">
        <v>87</v>
      </c>
      <c r="B88" s="277">
        <v>45743</v>
      </c>
      <c r="C88" s="284" t="s">
        <v>1597</v>
      </c>
      <c r="E88" s="284" t="s">
        <v>1542</v>
      </c>
      <c r="G88" s="279">
        <v>350000</v>
      </c>
      <c r="H88" s="284">
        <v>1</v>
      </c>
      <c r="K88" s="279">
        <v>350000</v>
      </c>
    </row>
    <row r="89" spans="1:11">
      <c r="A89" s="287">
        <v>88</v>
      </c>
      <c r="B89" s="277">
        <v>45743</v>
      </c>
      <c r="C89" s="284" t="s">
        <v>1600</v>
      </c>
      <c r="E89" s="284" t="s">
        <v>1601</v>
      </c>
      <c r="G89" s="279">
        <v>350000</v>
      </c>
      <c r="H89" s="284">
        <v>1</v>
      </c>
      <c r="J89" s="280">
        <v>35000</v>
      </c>
      <c r="K89" s="279">
        <v>385000</v>
      </c>
    </row>
    <row r="90" spans="1:11">
      <c r="A90" s="287">
        <v>89</v>
      </c>
      <c r="B90" s="277">
        <v>45744</v>
      </c>
      <c r="C90" s="284" t="s">
        <v>1600</v>
      </c>
      <c r="D90" s="278" t="s">
        <v>1406</v>
      </c>
      <c r="E90" s="284" t="s">
        <v>1241</v>
      </c>
      <c r="F90" s="284" t="s">
        <v>1406</v>
      </c>
      <c r="G90" s="279">
        <v>1090909</v>
      </c>
      <c r="H90" s="284">
        <v>1</v>
      </c>
      <c r="J90" s="280">
        <v>109090.90000000001</v>
      </c>
      <c r="K90" s="279">
        <v>1199999.8999999999</v>
      </c>
    </row>
    <row r="91" spans="1:11">
      <c r="A91" s="287">
        <v>90</v>
      </c>
      <c r="B91" s="277">
        <v>45745</v>
      </c>
      <c r="C91" s="284" t="s">
        <v>986</v>
      </c>
      <c r="D91" s="278" t="s">
        <v>1265</v>
      </c>
      <c r="E91" s="284" t="s">
        <v>1607</v>
      </c>
      <c r="F91" s="284" t="s">
        <v>1265</v>
      </c>
      <c r="G91" s="279">
        <v>1600000</v>
      </c>
      <c r="H91" s="284">
        <v>1</v>
      </c>
      <c r="J91" s="280">
        <v>160000</v>
      </c>
      <c r="K91" s="279">
        <v>1760000</v>
      </c>
    </row>
    <row r="92" spans="1:11">
      <c r="A92" s="287">
        <v>91</v>
      </c>
      <c r="B92" s="277">
        <v>45747</v>
      </c>
      <c r="C92" s="284" t="s">
        <v>1587</v>
      </c>
      <c r="D92" s="278" t="s">
        <v>1406</v>
      </c>
      <c r="E92" s="284" t="s">
        <v>1241</v>
      </c>
      <c r="F92" s="284" t="s">
        <v>1406</v>
      </c>
      <c r="G92" s="279">
        <v>1200000</v>
      </c>
      <c r="H92" s="284">
        <v>1</v>
      </c>
      <c r="K92" s="279">
        <v>1200000</v>
      </c>
    </row>
    <row r="93" spans="1:11">
      <c r="A93" s="287">
        <v>92</v>
      </c>
      <c r="B93" s="277">
        <v>45747</v>
      </c>
      <c r="C93" s="284" t="s">
        <v>1587</v>
      </c>
      <c r="E93" s="284" t="s">
        <v>1173</v>
      </c>
      <c r="G93" s="279">
        <v>198000</v>
      </c>
      <c r="H93" s="284">
        <v>1</v>
      </c>
      <c r="K93" s="279">
        <v>198000</v>
      </c>
    </row>
    <row r="94" spans="1:11">
      <c r="A94" s="287">
        <v>93</v>
      </c>
      <c r="B94" s="277">
        <v>45747</v>
      </c>
      <c r="C94" s="284" t="s">
        <v>987</v>
      </c>
      <c r="D94" s="278" t="s">
        <v>1239</v>
      </c>
      <c r="E94" s="284" t="s">
        <v>1240</v>
      </c>
      <c r="F94" s="284" t="s">
        <v>1239</v>
      </c>
      <c r="G94" s="279">
        <v>1500000</v>
      </c>
      <c r="H94" s="284">
        <v>1</v>
      </c>
      <c r="J94" s="280">
        <v>150000</v>
      </c>
      <c r="K94" s="279">
        <v>1650000</v>
      </c>
    </row>
    <row r="95" spans="1:11">
      <c r="A95" s="287">
        <v>94</v>
      </c>
      <c r="B95" s="277">
        <v>45747</v>
      </c>
      <c r="C95" s="284" t="s">
        <v>987</v>
      </c>
      <c r="E95" s="284" t="s">
        <v>1624</v>
      </c>
      <c r="G95" s="279">
        <v>30000</v>
      </c>
      <c r="H95" s="284">
        <v>1</v>
      </c>
      <c r="J95" s="280">
        <v>3000</v>
      </c>
      <c r="K95" s="279">
        <v>33000</v>
      </c>
    </row>
    <row r="96" spans="1:11">
      <c r="A96" s="287">
        <v>95</v>
      </c>
      <c r="B96" s="277">
        <v>45734</v>
      </c>
      <c r="C96" s="284" t="s">
        <v>1626</v>
      </c>
      <c r="E96" s="284" t="s">
        <v>1627</v>
      </c>
      <c r="G96" s="279">
        <v>1100000</v>
      </c>
      <c r="H96" s="284">
        <v>1</v>
      </c>
      <c r="J96" s="280">
        <v>110000</v>
      </c>
      <c r="K96" s="279">
        <v>1210000</v>
      </c>
    </row>
    <row r="97" spans="1:11">
      <c r="A97" s="287">
        <v>96</v>
      </c>
      <c r="B97" s="277">
        <v>45734</v>
      </c>
      <c r="C97" s="284" t="s">
        <v>1626</v>
      </c>
      <c r="E97" s="284" t="s">
        <v>1565</v>
      </c>
      <c r="G97" s="279">
        <v>20000</v>
      </c>
      <c r="H97" s="284">
        <v>1</v>
      </c>
      <c r="K97" s="279">
        <v>20000</v>
      </c>
    </row>
    <row r="98" spans="1:11">
      <c r="A98" s="287">
        <v>97</v>
      </c>
      <c r="B98" s="277">
        <v>45723</v>
      </c>
      <c r="C98" s="284" t="s">
        <v>1629</v>
      </c>
      <c r="E98" s="284" t="s">
        <v>1630</v>
      </c>
      <c r="G98" s="279">
        <v>1100000</v>
      </c>
      <c r="H98" s="284">
        <v>1</v>
      </c>
      <c r="J98" s="280">
        <v>110000</v>
      </c>
      <c r="K98" s="279">
        <v>1210000</v>
      </c>
    </row>
    <row r="99" spans="1:11">
      <c r="A99" s="287">
        <v>98</v>
      </c>
      <c r="B99" s="277">
        <v>45723</v>
      </c>
      <c r="C99" s="284" t="s">
        <v>1629</v>
      </c>
      <c r="E99" s="284" t="s">
        <v>1828</v>
      </c>
      <c r="G99" s="279">
        <v>3500000</v>
      </c>
      <c r="H99" s="284">
        <v>1</v>
      </c>
      <c r="J99" s="280">
        <v>350000</v>
      </c>
      <c r="K99" s="279">
        <v>3850000</v>
      </c>
    </row>
    <row r="100" spans="1:11">
      <c r="A100" s="287">
        <v>99</v>
      </c>
      <c r="B100" s="277">
        <v>45723</v>
      </c>
      <c r="C100" s="284" t="s">
        <v>1629</v>
      </c>
      <c r="D100" s="278" t="s">
        <v>1309</v>
      </c>
      <c r="E100" s="284" t="s">
        <v>1310</v>
      </c>
      <c r="F100" s="284" t="s">
        <v>1309</v>
      </c>
      <c r="G100" s="279">
        <v>50000</v>
      </c>
      <c r="H100" s="284">
        <v>1</v>
      </c>
      <c r="J100" s="280">
        <v>5000</v>
      </c>
      <c r="K100" s="279">
        <v>55000</v>
      </c>
    </row>
    <row r="101" spans="1:11">
      <c r="A101" s="287">
        <v>100</v>
      </c>
      <c r="B101" s="277">
        <v>45718</v>
      </c>
      <c r="C101" s="284" t="s">
        <v>1027</v>
      </c>
      <c r="D101" s="278" t="s">
        <v>1406</v>
      </c>
      <c r="E101" s="284" t="s">
        <v>1241</v>
      </c>
      <c r="F101" s="284" t="s">
        <v>1406</v>
      </c>
      <c r="G101" s="279">
        <v>1200000</v>
      </c>
      <c r="H101" s="284">
        <v>1</v>
      </c>
      <c r="J101" s="280">
        <v>120000</v>
      </c>
      <c r="K101" s="279">
        <v>1320000</v>
      </c>
    </row>
    <row r="102" spans="1:11">
      <c r="A102" s="287">
        <v>101</v>
      </c>
      <c r="B102" s="277">
        <v>45729</v>
      </c>
      <c r="C102" s="284" t="s">
        <v>1635</v>
      </c>
      <c r="E102" s="284" t="s">
        <v>1636</v>
      </c>
      <c r="G102" s="279">
        <v>800000</v>
      </c>
      <c r="H102" s="284">
        <v>1</v>
      </c>
      <c r="J102" s="280">
        <v>80000</v>
      </c>
      <c r="K102" s="279">
        <v>880000</v>
      </c>
    </row>
    <row r="103" spans="1:11">
      <c r="A103" s="287">
        <v>102</v>
      </c>
      <c r="B103" s="277">
        <v>45729</v>
      </c>
      <c r="C103" s="284" t="s">
        <v>1635</v>
      </c>
      <c r="D103" s="278">
        <v>415054509</v>
      </c>
      <c r="E103" s="284" t="s">
        <v>2655</v>
      </c>
      <c r="F103" s="284">
        <v>415054509</v>
      </c>
      <c r="G103" s="279">
        <v>320000</v>
      </c>
      <c r="H103" s="284">
        <v>1</v>
      </c>
      <c r="J103" s="280">
        <v>32000</v>
      </c>
      <c r="K103" s="279">
        <v>352000</v>
      </c>
    </row>
    <row r="104" spans="1:11">
      <c r="A104" s="287">
        <v>103</v>
      </c>
      <c r="B104" s="277">
        <v>45729</v>
      </c>
      <c r="C104" s="284" t="s">
        <v>1635</v>
      </c>
      <c r="E104" s="284" t="s">
        <v>1637</v>
      </c>
      <c r="G104" s="279">
        <v>340000</v>
      </c>
      <c r="H104" s="284">
        <v>1</v>
      </c>
      <c r="J104" s="280">
        <v>34000</v>
      </c>
      <c r="K104" s="279">
        <v>374000</v>
      </c>
    </row>
    <row r="105" spans="1:11">
      <c r="A105" s="287">
        <v>104</v>
      </c>
      <c r="B105" s="277">
        <v>45729</v>
      </c>
      <c r="C105" s="284" t="s">
        <v>1635</v>
      </c>
      <c r="E105" s="284" t="s">
        <v>1638</v>
      </c>
      <c r="G105" s="279">
        <v>7727</v>
      </c>
      <c r="H105" s="284">
        <v>1</v>
      </c>
      <c r="J105" s="280">
        <v>772.7</v>
      </c>
      <c r="K105" s="279">
        <v>8499.7000000000007</v>
      </c>
    </row>
    <row r="106" spans="1:11">
      <c r="A106" s="287">
        <v>105</v>
      </c>
      <c r="B106" s="277">
        <v>45716</v>
      </c>
      <c r="C106" s="284" t="s">
        <v>1635</v>
      </c>
      <c r="D106" s="278" t="s">
        <v>1609</v>
      </c>
      <c r="E106" s="284" t="s">
        <v>1243</v>
      </c>
      <c r="F106" s="284" t="s">
        <v>1609</v>
      </c>
      <c r="G106" s="279">
        <v>1100000</v>
      </c>
      <c r="H106" s="284">
        <v>1</v>
      </c>
      <c r="J106" s="280">
        <v>110000</v>
      </c>
      <c r="K106" s="279">
        <v>1210000</v>
      </c>
    </row>
    <row r="107" spans="1:11">
      <c r="A107" s="287">
        <v>106</v>
      </c>
      <c r="B107" s="277">
        <v>45722</v>
      </c>
      <c r="C107" s="284" t="s">
        <v>1513</v>
      </c>
      <c r="E107" s="284" t="s">
        <v>1641</v>
      </c>
      <c r="G107" s="279">
        <v>572727</v>
      </c>
      <c r="H107" s="284">
        <v>1</v>
      </c>
      <c r="J107" s="280">
        <v>57272.700000000004</v>
      </c>
      <c r="K107" s="279">
        <v>629999.69999999995</v>
      </c>
    </row>
    <row r="108" spans="1:11">
      <c r="A108" s="287">
        <v>107</v>
      </c>
      <c r="B108" s="277">
        <v>45722</v>
      </c>
      <c r="C108" s="284" t="s">
        <v>997</v>
      </c>
      <c r="D108" s="278" t="s">
        <v>1406</v>
      </c>
      <c r="E108" s="284" t="s">
        <v>1241</v>
      </c>
      <c r="F108" s="284" t="s">
        <v>1406</v>
      </c>
      <c r="G108" s="279">
        <v>1000000</v>
      </c>
      <c r="H108" s="284">
        <v>1</v>
      </c>
      <c r="J108" s="280">
        <v>100000</v>
      </c>
      <c r="K108" s="279">
        <v>1100000</v>
      </c>
    </row>
    <row r="109" spans="1:11">
      <c r="A109" s="287">
        <v>108</v>
      </c>
      <c r="B109" s="277">
        <v>45722</v>
      </c>
      <c r="C109" s="284" t="s">
        <v>997</v>
      </c>
      <c r="E109" s="284" t="s">
        <v>1542</v>
      </c>
      <c r="G109" s="279">
        <v>350000</v>
      </c>
      <c r="H109" s="284">
        <v>1</v>
      </c>
      <c r="J109" s="280">
        <v>35000</v>
      </c>
      <c r="K109" s="279">
        <v>385000</v>
      </c>
    </row>
    <row r="110" spans="1:11">
      <c r="A110" s="287">
        <v>109</v>
      </c>
      <c r="B110" s="277">
        <v>45722</v>
      </c>
      <c r="C110" s="284" t="s">
        <v>997</v>
      </c>
      <c r="E110" s="284" t="s">
        <v>1131</v>
      </c>
      <c r="G110" s="279">
        <v>129000</v>
      </c>
      <c r="H110" s="284">
        <v>1</v>
      </c>
      <c r="J110" s="280">
        <v>12900</v>
      </c>
      <c r="K110" s="279">
        <v>141900</v>
      </c>
    </row>
    <row r="111" spans="1:11">
      <c r="A111" s="287">
        <v>110</v>
      </c>
      <c r="B111" s="277">
        <v>45726</v>
      </c>
      <c r="C111" s="284" t="s">
        <v>997</v>
      </c>
      <c r="E111" s="284" t="s">
        <v>1202</v>
      </c>
      <c r="G111" s="279">
        <v>600000</v>
      </c>
      <c r="H111" s="284">
        <v>1</v>
      </c>
      <c r="J111" s="280">
        <v>60000</v>
      </c>
      <c r="K111" s="279">
        <v>660000</v>
      </c>
    </row>
    <row r="112" spans="1:11">
      <c r="A112" s="287">
        <v>111</v>
      </c>
      <c r="B112" s="277">
        <v>45735</v>
      </c>
      <c r="C112" s="284" t="s">
        <v>1645</v>
      </c>
      <c r="D112" s="278" t="s">
        <v>1406</v>
      </c>
      <c r="E112" s="284" t="s">
        <v>1241</v>
      </c>
      <c r="F112" s="284" t="s">
        <v>1406</v>
      </c>
      <c r="G112" s="279">
        <v>1200000</v>
      </c>
      <c r="H112" s="284">
        <v>1</v>
      </c>
      <c r="J112" s="280">
        <v>120000</v>
      </c>
      <c r="K112" s="279">
        <v>1320000</v>
      </c>
    </row>
    <row r="113" spans="1:11">
      <c r="A113" s="287">
        <v>112</v>
      </c>
      <c r="B113" s="277">
        <v>45736</v>
      </c>
      <c r="C113" s="284" t="s">
        <v>1647</v>
      </c>
      <c r="E113" s="284" t="s">
        <v>1191</v>
      </c>
      <c r="G113" s="279">
        <v>1500000</v>
      </c>
      <c r="H113" s="284">
        <v>1</v>
      </c>
      <c r="J113" s="280">
        <v>150000</v>
      </c>
      <c r="K113" s="279">
        <v>1650000</v>
      </c>
    </row>
    <row r="114" spans="1:11">
      <c r="A114" s="287">
        <v>113</v>
      </c>
      <c r="B114" s="277">
        <v>45721</v>
      </c>
      <c r="C114" s="284" t="s">
        <v>1498</v>
      </c>
      <c r="E114" s="284" t="s">
        <v>1185</v>
      </c>
      <c r="G114" s="279">
        <v>610000</v>
      </c>
      <c r="H114" s="284">
        <v>1</v>
      </c>
      <c r="J114" s="280">
        <v>61000</v>
      </c>
      <c r="K114" s="279">
        <v>671000</v>
      </c>
    </row>
    <row r="115" spans="1:11">
      <c r="A115" s="287">
        <v>114</v>
      </c>
      <c r="B115" s="277">
        <v>45721</v>
      </c>
      <c r="C115" s="284" t="s">
        <v>1498</v>
      </c>
      <c r="D115" s="278" t="s">
        <v>1303</v>
      </c>
      <c r="E115" s="284" t="s">
        <v>1304</v>
      </c>
      <c r="F115" s="284" t="s">
        <v>1303</v>
      </c>
      <c r="G115" s="279">
        <v>130000</v>
      </c>
      <c r="H115" s="284">
        <v>1</v>
      </c>
      <c r="J115" s="280">
        <v>13000</v>
      </c>
      <c r="K115" s="279">
        <v>143000</v>
      </c>
    </row>
    <row r="116" spans="1:11">
      <c r="A116" s="287">
        <v>115</v>
      </c>
      <c r="B116" s="277">
        <v>45721</v>
      </c>
      <c r="C116" s="284" t="s">
        <v>1498</v>
      </c>
      <c r="D116" s="278">
        <v>2821402</v>
      </c>
      <c r="E116" s="284" t="s">
        <v>1171</v>
      </c>
      <c r="F116" s="284">
        <v>2821402</v>
      </c>
      <c r="G116" s="279">
        <v>35000</v>
      </c>
      <c r="H116" s="284">
        <v>1</v>
      </c>
      <c r="J116" s="280">
        <v>3500</v>
      </c>
      <c r="K116" s="279">
        <v>38500</v>
      </c>
    </row>
    <row r="117" spans="1:11">
      <c r="A117" s="287">
        <v>116</v>
      </c>
      <c r="B117" s="277">
        <v>45721</v>
      </c>
      <c r="C117" s="284" t="s">
        <v>1498</v>
      </c>
      <c r="E117" s="284" t="s">
        <v>1649</v>
      </c>
      <c r="G117" s="279">
        <v>20000</v>
      </c>
      <c r="H117" s="284">
        <v>1</v>
      </c>
      <c r="J117" s="280">
        <v>2000</v>
      </c>
      <c r="K117" s="279">
        <v>22000</v>
      </c>
    </row>
    <row r="118" spans="1:11">
      <c r="A118" s="287">
        <v>117</v>
      </c>
      <c r="B118" s="277">
        <v>45736</v>
      </c>
      <c r="C118" s="284" t="s">
        <v>1651</v>
      </c>
      <c r="E118" s="284" t="s">
        <v>1652</v>
      </c>
      <c r="G118" s="279">
        <v>2200000</v>
      </c>
      <c r="H118" s="284">
        <v>1</v>
      </c>
      <c r="J118" s="280">
        <v>220000</v>
      </c>
      <c r="K118" s="279">
        <v>2420000</v>
      </c>
    </row>
    <row r="119" spans="1:11">
      <c r="A119" s="287">
        <v>118</v>
      </c>
      <c r="B119" s="277">
        <v>45735</v>
      </c>
      <c r="E119" s="284" t="s">
        <v>1652</v>
      </c>
      <c r="G119" s="279">
        <v>2180000</v>
      </c>
      <c r="H119" s="284">
        <v>1</v>
      </c>
      <c r="J119" s="280">
        <v>218000</v>
      </c>
      <c r="K119" s="279">
        <v>2398000</v>
      </c>
    </row>
    <row r="120" spans="1:11">
      <c r="A120" s="287">
        <v>119</v>
      </c>
      <c r="B120" s="277">
        <v>45744</v>
      </c>
      <c r="E120" s="284" t="s">
        <v>1655</v>
      </c>
      <c r="G120" s="279">
        <v>2000000</v>
      </c>
      <c r="H120" s="284">
        <v>1</v>
      </c>
      <c r="J120" s="280">
        <v>200000</v>
      </c>
      <c r="K120" s="279">
        <v>2200000</v>
      </c>
    </row>
    <row r="121" spans="1:11">
      <c r="A121" s="287">
        <v>120</v>
      </c>
      <c r="B121" s="277">
        <v>45748</v>
      </c>
      <c r="C121" s="284" t="s">
        <v>1626</v>
      </c>
      <c r="D121" s="278">
        <v>415072909</v>
      </c>
      <c r="E121" s="284" t="s">
        <v>2657</v>
      </c>
      <c r="F121" s="284">
        <v>415072909</v>
      </c>
      <c r="G121" s="279">
        <v>381818</v>
      </c>
      <c r="H121" s="284">
        <v>1</v>
      </c>
      <c r="J121" s="280">
        <v>38181.800000000003</v>
      </c>
      <c r="K121" s="279">
        <v>419999.8</v>
      </c>
    </row>
    <row r="122" spans="1:11">
      <c r="A122" s="287">
        <v>121</v>
      </c>
      <c r="B122" s="277">
        <v>45748</v>
      </c>
      <c r="C122" s="284" t="s">
        <v>1626</v>
      </c>
      <c r="D122" s="278" t="s">
        <v>1677</v>
      </c>
      <c r="E122" s="284" t="s">
        <v>1678</v>
      </c>
      <c r="F122" s="284" t="s">
        <v>1677</v>
      </c>
      <c r="G122" s="279">
        <v>12000</v>
      </c>
      <c r="H122" s="284">
        <v>1</v>
      </c>
      <c r="J122" s="280">
        <v>1200</v>
      </c>
      <c r="K122" s="279">
        <v>13200</v>
      </c>
    </row>
    <row r="123" spans="1:11">
      <c r="A123" s="287">
        <v>122</v>
      </c>
      <c r="B123" s="277">
        <v>45748</v>
      </c>
      <c r="C123" s="284" t="s">
        <v>1626</v>
      </c>
      <c r="D123" s="278">
        <v>415072909</v>
      </c>
      <c r="E123" s="284" t="s">
        <v>2657</v>
      </c>
      <c r="F123" s="284">
        <v>415072909</v>
      </c>
      <c r="G123" s="279">
        <v>381818</v>
      </c>
      <c r="H123" s="284">
        <v>1</v>
      </c>
      <c r="J123" s="280">
        <v>38181.800000000003</v>
      </c>
      <c r="K123" s="279">
        <v>419999.8</v>
      </c>
    </row>
    <row r="124" spans="1:11">
      <c r="A124" s="287">
        <v>123</v>
      </c>
      <c r="B124" s="277">
        <v>45748</v>
      </c>
      <c r="C124" s="284" t="s">
        <v>1626</v>
      </c>
      <c r="D124" s="278" t="s">
        <v>1677</v>
      </c>
      <c r="E124" s="284" t="s">
        <v>1678</v>
      </c>
      <c r="F124" s="284" t="s">
        <v>1677</v>
      </c>
      <c r="G124" s="279">
        <v>12000</v>
      </c>
      <c r="H124" s="284">
        <v>1</v>
      </c>
      <c r="J124" s="280">
        <v>1200</v>
      </c>
      <c r="K124" s="279">
        <v>13200</v>
      </c>
    </row>
    <row r="125" spans="1:11">
      <c r="A125" s="287">
        <v>124</v>
      </c>
      <c r="B125" s="277">
        <v>45748</v>
      </c>
      <c r="C125" s="284" t="s">
        <v>1626</v>
      </c>
      <c r="E125" s="284" t="s">
        <v>1680</v>
      </c>
      <c r="G125" s="279">
        <v>27000</v>
      </c>
      <c r="H125" s="284">
        <v>1</v>
      </c>
      <c r="J125" s="280">
        <v>2700</v>
      </c>
      <c r="K125" s="279">
        <v>29700</v>
      </c>
    </row>
    <row r="126" spans="1:11">
      <c r="A126" s="287">
        <v>125</v>
      </c>
      <c r="B126" s="277">
        <v>45749</v>
      </c>
      <c r="C126" s="284" t="s">
        <v>1495</v>
      </c>
      <c r="E126" s="284" t="s">
        <v>1688</v>
      </c>
      <c r="G126" s="279">
        <v>850000</v>
      </c>
      <c r="H126" s="284">
        <v>1</v>
      </c>
      <c r="K126" s="279">
        <v>850000</v>
      </c>
    </row>
    <row r="127" spans="1:11">
      <c r="A127" s="287">
        <v>126</v>
      </c>
      <c r="B127" s="277">
        <v>45749</v>
      </c>
      <c r="C127" s="284" t="s">
        <v>1587</v>
      </c>
      <c r="D127" s="278" t="s">
        <v>1406</v>
      </c>
      <c r="E127" s="284" t="s">
        <v>1241</v>
      </c>
      <c r="F127" s="284" t="s">
        <v>1406</v>
      </c>
      <c r="G127" s="279">
        <v>1200000</v>
      </c>
      <c r="H127" s="284">
        <v>1</v>
      </c>
      <c r="K127" s="279">
        <v>1200000</v>
      </c>
    </row>
    <row r="128" spans="1:11">
      <c r="A128" s="287">
        <v>127</v>
      </c>
      <c r="B128" s="277">
        <v>45749</v>
      </c>
      <c r="C128" s="284" t="s">
        <v>1587</v>
      </c>
      <c r="E128" s="284" t="s">
        <v>1542</v>
      </c>
      <c r="G128" s="279">
        <v>350000</v>
      </c>
      <c r="H128" s="284">
        <v>1</v>
      </c>
      <c r="K128" s="279">
        <v>350000</v>
      </c>
    </row>
    <row r="129" spans="1:12">
      <c r="A129" s="287">
        <v>128</v>
      </c>
      <c r="B129" s="277">
        <v>45749</v>
      </c>
      <c r="C129" s="284" t="s">
        <v>1587</v>
      </c>
      <c r="E129" s="284" t="s">
        <v>1691</v>
      </c>
      <c r="G129" s="279">
        <v>50000</v>
      </c>
      <c r="H129" s="284">
        <v>1</v>
      </c>
      <c r="K129" s="279">
        <v>50000</v>
      </c>
    </row>
    <row r="130" spans="1:12">
      <c r="A130" s="287">
        <v>129</v>
      </c>
      <c r="B130" s="277">
        <v>45749</v>
      </c>
      <c r="C130" s="284" t="s">
        <v>1445</v>
      </c>
      <c r="D130" s="278" t="s">
        <v>1238</v>
      </c>
      <c r="E130" s="284" t="s">
        <v>1699</v>
      </c>
      <c r="F130" s="284" t="s">
        <v>1238</v>
      </c>
      <c r="G130" s="279">
        <v>1400000</v>
      </c>
      <c r="H130" s="284">
        <v>1</v>
      </c>
      <c r="K130" s="279">
        <v>1400000</v>
      </c>
    </row>
    <row r="131" spans="1:12">
      <c r="A131" s="287">
        <v>130</v>
      </c>
      <c r="B131" s="277">
        <v>45749</v>
      </c>
      <c r="C131" s="284" t="s">
        <v>1030</v>
      </c>
      <c r="D131" s="278" t="s">
        <v>1239</v>
      </c>
      <c r="E131" s="284" t="s">
        <v>1701</v>
      </c>
      <c r="F131" s="284" t="s">
        <v>1239</v>
      </c>
      <c r="G131" s="279">
        <v>1500000</v>
      </c>
      <c r="H131" s="284">
        <v>1</v>
      </c>
      <c r="K131" s="279">
        <v>1500000</v>
      </c>
    </row>
    <row r="132" spans="1:12">
      <c r="A132" s="287">
        <v>131</v>
      </c>
      <c r="B132" s="277">
        <v>45749</v>
      </c>
      <c r="C132" s="284" t="s">
        <v>1030</v>
      </c>
      <c r="E132" s="284" t="s">
        <v>1624</v>
      </c>
      <c r="G132" s="279">
        <v>30000</v>
      </c>
      <c r="H132" s="284">
        <v>1</v>
      </c>
      <c r="K132" s="279">
        <v>30000</v>
      </c>
    </row>
    <row r="133" spans="1:12">
      <c r="A133" s="287">
        <v>132</v>
      </c>
      <c r="B133" s="277">
        <v>45749</v>
      </c>
      <c r="C133" s="284" t="s">
        <v>1719</v>
      </c>
      <c r="E133" s="284" t="s">
        <v>1722</v>
      </c>
      <c r="G133" s="279">
        <v>250000</v>
      </c>
      <c r="H133" s="284">
        <v>1</v>
      </c>
      <c r="K133" s="279">
        <v>250000</v>
      </c>
    </row>
    <row r="134" spans="1:12">
      <c r="A134" s="287">
        <v>133</v>
      </c>
      <c r="B134" s="277">
        <v>45749</v>
      </c>
      <c r="C134" s="284" t="s">
        <v>1724</v>
      </c>
      <c r="E134" s="284" t="s">
        <v>1725</v>
      </c>
      <c r="G134" s="279">
        <v>2600000</v>
      </c>
      <c r="H134" s="284">
        <v>1</v>
      </c>
      <c r="K134" s="279">
        <v>2600000</v>
      </c>
    </row>
    <row r="135" spans="1:12">
      <c r="A135" s="287">
        <v>134</v>
      </c>
      <c r="B135" s="277">
        <v>45749</v>
      </c>
      <c r="C135" s="284" t="s">
        <v>1587</v>
      </c>
      <c r="E135" s="284" t="s">
        <v>1727</v>
      </c>
      <c r="G135" s="279">
        <v>600000</v>
      </c>
      <c r="H135" s="284">
        <v>1</v>
      </c>
      <c r="K135" s="279">
        <v>600000</v>
      </c>
    </row>
    <row r="136" spans="1:12">
      <c r="A136" s="287">
        <v>135</v>
      </c>
      <c r="B136" s="277">
        <v>45750</v>
      </c>
      <c r="C136" s="284" t="s">
        <v>1495</v>
      </c>
      <c r="E136" s="284" t="s">
        <v>1729</v>
      </c>
      <c r="G136" s="279">
        <v>1850000</v>
      </c>
      <c r="H136" s="284">
        <v>1</v>
      </c>
      <c r="K136" s="279">
        <v>1850000</v>
      </c>
    </row>
    <row r="137" spans="1:12">
      <c r="A137" s="287">
        <v>136</v>
      </c>
      <c r="B137" s="277">
        <v>45750</v>
      </c>
      <c r="C137" s="284" t="s">
        <v>1734</v>
      </c>
      <c r="E137" s="284" t="s">
        <v>1737</v>
      </c>
      <c r="G137" s="279">
        <v>1550000</v>
      </c>
      <c r="H137" s="284">
        <v>1</v>
      </c>
      <c r="J137" s="280">
        <v>155000</v>
      </c>
      <c r="K137" s="279">
        <v>1705000</v>
      </c>
    </row>
    <row r="138" spans="1:12">
      <c r="A138" s="287">
        <v>137</v>
      </c>
      <c r="B138" s="277">
        <v>45750</v>
      </c>
      <c r="C138" s="284" t="s">
        <v>1739</v>
      </c>
      <c r="E138" s="284" t="s">
        <v>1175</v>
      </c>
      <c r="G138" s="279">
        <v>650000</v>
      </c>
      <c r="H138" s="284">
        <v>1</v>
      </c>
      <c r="K138" s="279">
        <v>650000</v>
      </c>
    </row>
    <row r="139" spans="1:12">
      <c r="A139" s="287">
        <v>138</v>
      </c>
      <c r="B139" s="277">
        <v>45751</v>
      </c>
      <c r="C139" s="284" t="s">
        <v>1490</v>
      </c>
      <c r="L139" s="279">
        <v>-220000</v>
      </c>
    </row>
    <row r="140" spans="1:12">
      <c r="A140" s="287">
        <v>139</v>
      </c>
      <c r="B140" s="277">
        <v>45751</v>
      </c>
      <c r="C140" s="284" t="s">
        <v>1490</v>
      </c>
      <c r="E140" s="284" t="s">
        <v>1751</v>
      </c>
      <c r="L140" s="279">
        <v>-1600000</v>
      </c>
    </row>
    <row r="141" spans="1:12">
      <c r="A141" s="287">
        <v>140</v>
      </c>
      <c r="B141" s="277">
        <v>45750</v>
      </c>
      <c r="C141" s="284" t="s">
        <v>1490</v>
      </c>
      <c r="E141" s="284" t="s">
        <v>1752</v>
      </c>
      <c r="G141" s="279">
        <v>25000</v>
      </c>
      <c r="H141" s="284">
        <v>4</v>
      </c>
      <c r="I141" s="280">
        <v>13000</v>
      </c>
      <c r="K141" s="279">
        <v>100000</v>
      </c>
    </row>
    <row r="142" spans="1:12">
      <c r="A142" s="287">
        <v>141</v>
      </c>
      <c r="B142" s="277">
        <v>45751</v>
      </c>
      <c r="C142" s="284" t="s">
        <v>1490</v>
      </c>
      <c r="E142" s="284" t="s">
        <v>1755</v>
      </c>
      <c r="L142" s="279">
        <v>-100000</v>
      </c>
    </row>
    <row r="143" spans="1:12">
      <c r="A143" s="287">
        <v>142</v>
      </c>
      <c r="B143" s="277">
        <v>45751</v>
      </c>
      <c r="C143" s="284" t="s">
        <v>1490</v>
      </c>
      <c r="E143" s="284" t="s">
        <v>1756</v>
      </c>
      <c r="L143" s="279">
        <v>-300000</v>
      </c>
    </row>
    <row r="144" spans="1:12">
      <c r="A144" s="287">
        <v>143</v>
      </c>
      <c r="B144" s="277">
        <v>45751</v>
      </c>
      <c r="C144" s="284" t="s">
        <v>1490</v>
      </c>
      <c r="E144" s="284" t="s">
        <v>1757</v>
      </c>
      <c r="L144" s="279">
        <v>-200000</v>
      </c>
    </row>
    <row r="145" spans="1:12">
      <c r="A145" s="287">
        <v>144</v>
      </c>
      <c r="B145" s="277">
        <v>45757</v>
      </c>
      <c r="C145" s="284" t="s">
        <v>1908</v>
      </c>
      <c r="E145" s="284" t="s">
        <v>1906</v>
      </c>
      <c r="G145" s="279">
        <v>1550000</v>
      </c>
      <c r="H145" s="284">
        <v>1</v>
      </c>
      <c r="K145" s="279">
        <v>1550000</v>
      </c>
    </row>
    <row r="146" spans="1:12">
      <c r="A146" s="287">
        <v>145</v>
      </c>
      <c r="B146" s="277">
        <v>45751</v>
      </c>
      <c r="C146" s="284" t="s">
        <v>1515</v>
      </c>
      <c r="E146" s="284" t="s">
        <v>1762</v>
      </c>
      <c r="G146" s="279">
        <v>200000</v>
      </c>
      <c r="H146" s="284">
        <v>1</v>
      </c>
      <c r="K146" s="279">
        <v>200000</v>
      </c>
    </row>
    <row r="147" spans="1:12">
      <c r="A147" s="287">
        <v>146</v>
      </c>
      <c r="B147" s="277">
        <v>45751</v>
      </c>
      <c r="C147" s="284" t="s">
        <v>1790</v>
      </c>
      <c r="D147" s="278">
        <v>2800802</v>
      </c>
      <c r="E147" s="284" t="s">
        <v>1785</v>
      </c>
      <c r="F147" s="284">
        <v>2800802</v>
      </c>
      <c r="G147" s="279">
        <v>150000</v>
      </c>
      <c r="H147" s="284">
        <v>1</v>
      </c>
      <c r="I147" s="280">
        <v>85000</v>
      </c>
      <c r="K147" s="279">
        <v>150000</v>
      </c>
    </row>
    <row r="148" spans="1:12">
      <c r="A148" s="287">
        <v>147</v>
      </c>
      <c r="B148" s="277">
        <v>45751</v>
      </c>
      <c r="C148" s="284" t="s">
        <v>1790</v>
      </c>
      <c r="D148" s="278" t="s">
        <v>1783</v>
      </c>
      <c r="E148" s="284" t="s">
        <v>1784</v>
      </c>
      <c r="F148" s="284" t="s">
        <v>1783</v>
      </c>
      <c r="G148" s="279">
        <v>20000</v>
      </c>
      <c r="H148" s="284">
        <v>2</v>
      </c>
      <c r="I148" s="280">
        <v>9000</v>
      </c>
      <c r="K148" s="279">
        <v>40000</v>
      </c>
    </row>
    <row r="149" spans="1:12">
      <c r="A149" s="287">
        <v>148</v>
      </c>
      <c r="B149" s="277">
        <v>45751</v>
      </c>
      <c r="C149" s="284" t="s">
        <v>1790</v>
      </c>
      <c r="D149" s="278">
        <v>7252703114</v>
      </c>
      <c r="E149" s="284" t="s">
        <v>1770</v>
      </c>
      <c r="F149" s="284">
        <v>7252703114</v>
      </c>
      <c r="G149" s="279">
        <v>129000</v>
      </c>
      <c r="H149" s="284">
        <v>2</v>
      </c>
      <c r="I149" s="280">
        <v>70000</v>
      </c>
      <c r="K149" s="279">
        <v>258000</v>
      </c>
    </row>
    <row r="150" spans="1:12">
      <c r="A150" s="287">
        <v>149</v>
      </c>
      <c r="B150" s="277">
        <v>45751</v>
      </c>
      <c r="C150" s="284" t="s">
        <v>1790</v>
      </c>
      <c r="D150" s="278" t="s">
        <v>1772</v>
      </c>
      <c r="E150" s="284" t="s">
        <v>1773</v>
      </c>
      <c r="F150" s="284" t="s">
        <v>1772</v>
      </c>
      <c r="G150" s="279">
        <v>50000</v>
      </c>
      <c r="H150" s="284">
        <v>1</v>
      </c>
      <c r="K150" s="279">
        <v>50000</v>
      </c>
    </row>
    <row r="151" spans="1:12">
      <c r="A151" s="287">
        <v>150</v>
      </c>
      <c r="B151" s="277">
        <v>45751</v>
      </c>
      <c r="C151" s="284" t="s">
        <v>1790</v>
      </c>
      <c r="D151" s="278" t="s">
        <v>1309</v>
      </c>
      <c r="E151" s="284" t="s">
        <v>1310</v>
      </c>
      <c r="F151" s="284" t="s">
        <v>1309</v>
      </c>
      <c r="G151" s="279">
        <v>50000</v>
      </c>
      <c r="H151" s="284">
        <v>3</v>
      </c>
      <c r="K151" s="279">
        <v>150000</v>
      </c>
    </row>
    <row r="152" spans="1:12">
      <c r="A152" s="287">
        <v>151</v>
      </c>
      <c r="B152" s="277">
        <v>45752</v>
      </c>
      <c r="C152" s="284" t="s">
        <v>1587</v>
      </c>
      <c r="E152" s="284" t="s">
        <v>1814</v>
      </c>
      <c r="G152" s="279">
        <v>1550000</v>
      </c>
      <c r="H152" s="284">
        <v>1</v>
      </c>
      <c r="K152" s="279">
        <v>1550000</v>
      </c>
    </row>
    <row r="153" spans="1:12">
      <c r="A153" s="287">
        <v>152</v>
      </c>
      <c r="B153" s="277">
        <v>45752</v>
      </c>
      <c r="C153" s="284" t="s">
        <v>1629</v>
      </c>
      <c r="E153" s="284" t="s">
        <v>1816</v>
      </c>
      <c r="L153" s="279">
        <v>-4000000</v>
      </c>
    </row>
    <row r="154" spans="1:12">
      <c r="A154" s="287">
        <v>153</v>
      </c>
      <c r="B154" s="277">
        <v>45752</v>
      </c>
      <c r="C154" s="284" t="s">
        <v>1445</v>
      </c>
      <c r="D154" s="278" t="s">
        <v>1406</v>
      </c>
      <c r="E154" s="284" t="s">
        <v>1241</v>
      </c>
      <c r="F154" s="284" t="s">
        <v>1406</v>
      </c>
      <c r="G154" s="279">
        <v>1200000</v>
      </c>
      <c r="H154" s="284">
        <v>1</v>
      </c>
      <c r="K154" s="279">
        <v>1200000</v>
      </c>
    </row>
    <row r="155" spans="1:12">
      <c r="A155" s="287">
        <v>154</v>
      </c>
      <c r="B155" s="277">
        <v>45752</v>
      </c>
      <c r="C155" s="284" t="s">
        <v>1445</v>
      </c>
      <c r="E155" s="284" t="s">
        <v>1542</v>
      </c>
      <c r="G155" s="279">
        <v>350000</v>
      </c>
      <c r="H155" s="284">
        <v>1</v>
      </c>
      <c r="K155" s="279">
        <v>350000</v>
      </c>
    </row>
    <row r="156" spans="1:12">
      <c r="A156" s="287">
        <v>155</v>
      </c>
      <c r="B156" s="277">
        <v>45754</v>
      </c>
      <c r="C156" s="284" t="s">
        <v>1817</v>
      </c>
      <c r="E156" s="284" t="s">
        <v>1818</v>
      </c>
      <c r="G156" s="279">
        <v>650000</v>
      </c>
      <c r="H156" s="284">
        <v>1</v>
      </c>
      <c r="K156" s="279">
        <v>650000</v>
      </c>
    </row>
    <row r="157" spans="1:12">
      <c r="A157" s="287">
        <v>156</v>
      </c>
      <c r="B157" s="277">
        <v>45754</v>
      </c>
      <c r="C157" s="284" t="s">
        <v>1183</v>
      </c>
      <c r="D157" s="278" t="s">
        <v>1245</v>
      </c>
      <c r="E157" s="284" t="s">
        <v>1246</v>
      </c>
      <c r="F157" s="284" t="s">
        <v>1245</v>
      </c>
      <c r="G157" s="279">
        <v>549000</v>
      </c>
      <c r="H157" s="284">
        <v>1</v>
      </c>
      <c r="I157" s="280">
        <v>480000</v>
      </c>
      <c r="K157" s="279">
        <v>549000</v>
      </c>
    </row>
    <row r="158" spans="1:12">
      <c r="A158" s="287">
        <v>157</v>
      </c>
      <c r="B158" s="277">
        <v>45754</v>
      </c>
      <c r="C158" s="284" t="s">
        <v>1183</v>
      </c>
      <c r="D158" s="278">
        <v>50229</v>
      </c>
      <c r="E158" s="284" t="s">
        <v>1697</v>
      </c>
      <c r="F158" s="284">
        <v>50229</v>
      </c>
      <c r="G158" s="279">
        <v>75000</v>
      </c>
      <c r="H158" s="284">
        <v>1</v>
      </c>
      <c r="K158" s="279">
        <v>75000</v>
      </c>
    </row>
    <row r="159" spans="1:12">
      <c r="A159" s="287">
        <v>158</v>
      </c>
      <c r="B159" s="277">
        <v>45754</v>
      </c>
      <c r="C159" s="284" t="s">
        <v>1790</v>
      </c>
      <c r="D159" s="278">
        <v>415090409</v>
      </c>
      <c r="E159" s="284" t="s">
        <v>2657</v>
      </c>
      <c r="F159" s="284">
        <v>415090409</v>
      </c>
      <c r="G159" s="279">
        <v>510000</v>
      </c>
      <c r="H159" s="284">
        <v>1</v>
      </c>
      <c r="K159" s="279">
        <v>510000</v>
      </c>
    </row>
    <row r="160" spans="1:12">
      <c r="A160" s="287">
        <v>159</v>
      </c>
      <c r="B160" s="277">
        <v>45754</v>
      </c>
      <c r="C160" s="284" t="s">
        <v>1069</v>
      </c>
      <c r="D160" s="278" t="s">
        <v>1609</v>
      </c>
      <c r="E160" s="284" t="s">
        <v>1243</v>
      </c>
      <c r="F160" s="284" t="s">
        <v>1609</v>
      </c>
      <c r="G160" s="279">
        <v>1300000</v>
      </c>
      <c r="H160" s="284">
        <v>1</v>
      </c>
      <c r="K160" s="279">
        <v>1300000</v>
      </c>
    </row>
    <row r="161" spans="1:12">
      <c r="A161" s="287">
        <v>160</v>
      </c>
      <c r="B161" s="277">
        <v>45754</v>
      </c>
      <c r="C161" s="284" t="s">
        <v>1866</v>
      </c>
      <c r="E161" s="284" t="s">
        <v>1870</v>
      </c>
      <c r="F161" s="284" t="s">
        <v>1169</v>
      </c>
      <c r="G161" s="279">
        <v>600000</v>
      </c>
      <c r="H161" s="284">
        <v>1</v>
      </c>
      <c r="K161" s="279">
        <v>600000</v>
      </c>
    </row>
    <row r="162" spans="1:12">
      <c r="A162" s="287">
        <v>161</v>
      </c>
      <c r="B162" s="277">
        <v>45754</v>
      </c>
      <c r="C162" s="284" t="s">
        <v>1866</v>
      </c>
      <c r="D162" s="278" t="s">
        <v>1245</v>
      </c>
      <c r="E162" s="284" t="s">
        <v>1246</v>
      </c>
      <c r="F162" s="284" t="s">
        <v>1245</v>
      </c>
      <c r="G162" s="279">
        <v>549000</v>
      </c>
      <c r="H162" s="284">
        <v>1</v>
      </c>
      <c r="I162" s="280">
        <v>480000</v>
      </c>
      <c r="K162" s="279">
        <v>549000</v>
      </c>
    </row>
    <row r="163" spans="1:12">
      <c r="A163" s="287">
        <v>162</v>
      </c>
      <c r="B163" s="277">
        <v>45754</v>
      </c>
      <c r="C163" s="284" t="s">
        <v>1866</v>
      </c>
      <c r="D163" s="278" t="s">
        <v>1871</v>
      </c>
      <c r="E163" s="284" t="s">
        <v>1872</v>
      </c>
      <c r="F163" s="284" t="s">
        <v>1871</v>
      </c>
      <c r="G163" s="279">
        <v>50000</v>
      </c>
      <c r="H163" s="284">
        <v>1</v>
      </c>
      <c r="I163" s="280">
        <v>16000</v>
      </c>
      <c r="K163" s="279">
        <v>50000</v>
      </c>
    </row>
    <row r="164" spans="1:12">
      <c r="A164" s="287">
        <v>163</v>
      </c>
      <c r="B164" s="277">
        <v>45754</v>
      </c>
      <c r="C164" s="284" t="s">
        <v>1790</v>
      </c>
      <c r="D164" s="278" t="s">
        <v>1303</v>
      </c>
      <c r="E164" s="284" t="s">
        <v>1304</v>
      </c>
      <c r="F164" s="284" t="s">
        <v>1303</v>
      </c>
      <c r="G164" s="279">
        <v>130000</v>
      </c>
      <c r="H164" s="284">
        <v>1</v>
      </c>
      <c r="I164" s="280">
        <v>90000</v>
      </c>
      <c r="K164" s="279">
        <v>130000</v>
      </c>
    </row>
    <row r="165" spans="1:12">
      <c r="A165" s="287">
        <v>164</v>
      </c>
      <c r="B165" s="277">
        <v>45754</v>
      </c>
      <c r="C165" s="284" t="s">
        <v>1790</v>
      </c>
      <c r="D165" s="278">
        <v>415090409</v>
      </c>
      <c r="E165" s="284" t="s">
        <v>2657</v>
      </c>
      <c r="F165" s="284">
        <v>415090409</v>
      </c>
      <c r="G165" s="279">
        <v>510000</v>
      </c>
      <c r="H165" s="284">
        <v>1</v>
      </c>
      <c r="K165" s="279">
        <v>510000</v>
      </c>
    </row>
    <row r="166" spans="1:12">
      <c r="A166" s="287">
        <v>165</v>
      </c>
      <c r="B166" s="277">
        <v>45754</v>
      </c>
      <c r="C166" s="284" t="s">
        <v>1445</v>
      </c>
      <c r="D166" s="278" t="s">
        <v>1822</v>
      </c>
      <c r="E166" s="284" t="s">
        <v>1241</v>
      </c>
      <c r="F166" s="284" t="s">
        <v>1822</v>
      </c>
      <c r="G166" s="279">
        <v>1200000</v>
      </c>
      <c r="H166" s="284">
        <v>1</v>
      </c>
      <c r="K166" s="279">
        <v>1200000</v>
      </c>
    </row>
    <row r="167" spans="1:12">
      <c r="A167" s="287">
        <v>166</v>
      </c>
      <c r="B167" s="277">
        <v>45754</v>
      </c>
      <c r="C167" s="284" t="s">
        <v>1525</v>
      </c>
      <c r="E167" s="284" t="s">
        <v>1876</v>
      </c>
      <c r="L167" s="279">
        <v>-2000000</v>
      </c>
    </row>
    <row r="168" spans="1:12">
      <c r="A168" s="287">
        <v>167</v>
      </c>
      <c r="B168" s="277">
        <v>45755</v>
      </c>
      <c r="C168" s="284" t="s">
        <v>1495</v>
      </c>
      <c r="D168" s="278">
        <v>927156</v>
      </c>
      <c r="E168" s="284" t="s">
        <v>1878</v>
      </c>
      <c r="F168" s="284">
        <v>927156</v>
      </c>
      <c r="G168" s="279">
        <v>1500000</v>
      </c>
      <c r="H168" s="284">
        <v>1</v>
      </c>
      <c r="K168" s="279">
        <v>1500000</v>
      </c>
    </row>
    <row r="169" spans="1:12">
      <c r="A169" s="287">
        <v>168</v>
      </c>
      <c r="B169" s="277">
        <v>45755</v>
      </c>
      <c r="C169" s="284" t="s">
        <v>1495</v>
      </c>
      <c r="D169" s="278" t="s">
        <v>1879</v>
      </c>
      <c r="E169" s="284" t="s">
        <v>1624</v>
      </c>
      <c r="F169" s="284" t="s">
        <v>1879</v>
      </c>
      <c r="G169" s="279">
        <v>50000</v>
      </c>
      <c r="H169" s="284">
        <v>1</v>
      </c>
      <c r="I169" s="280">
        <v>33000</v>
      </c>
      <c r="K169" s="279">
        <v>50000</v>
      </c>
    </row>
    <row r="170" spans="1:12">
      <c r="A170" s="287">
        <v>169</v>
      </c>
      <c r="B170" s="277">
        <v>45755</v>
      </c>
      <c r="C170" s="284" t="s">
        <v>1881</v>
      </c>
      <c r="D170" s="278" t="s">
        <v>1238</v>
      </c>
      <c r="E170" s="284" t="s">
        <v>1699</v>
      </c>
      <c r="F170" s="284" t="s">
        <v>1238</v>
      </c>
      <c r="G170" s="279">
        <v>1400000</v>
      </c>
      <c r="H170" s="284">
        <v>1</v>
      </c>
      <c r="J170" s="280">
        <v>140000</v>
      </c>
      <c r="K170" s="279">
        <v>1540000</v>
      </c>
    </row>
    <row r="171" spans="1:12">
      <c r="A171" s="287">
        <v>170</v>
      </c>
      <c r="B171" s="277">
        <v>45755</v>
      </c>
      <c r="C171" s="284" t="s">
        <v>1030</v>
      </c>
      <c r="D171" s="278">
        <v>2800802</v>
      </c>
      <c r="E171" s="284" t="s">
        <v>1785</v>
      </c>
      <c r="F171" s="284">
        <v>2800802</v>
      </c>
      <c r="G171" s="279">
        <v>150000</v>
      </c>
      <c r="H171" s="284">
        <v>1</v>
      </c>
      <c r="I171" s="280">
        <v>85000</v>
      </c>
      <c r="K171" s="279">
        <v>150000</v>
      </c>
    </row>
    <row r="172" spans="1:12">
      <c r="A172" s="287">
        <v>171</v>
      </c>
      <c r="B172" s="277">
        <v>45755</v>
      </c>
      <c r="C172" s="284" t="s">
        <v>1885</v>
      </c>
      <c r="D172" s="278" t="s">
        <v>1839</v>
      </c>
      <c r="E172" s="284" t="s">
        <v>1837</v>
      </c>
      <c r="F172" s="284" t="s">
        <v>1839</v>
      </c>
      <c r="G172" s="279">
        <v>65000</v>
      </c>
      <c r="H172" s="284">
        <v>1</v>
      </c>
      <c r="I172" s="280">
        <v>45000</v>
      </c>
      <c r="K172" s="279">
        <v>65000</v>
      </c>
    </row>
    <row r="173" spans="1:12">
      <c r="A173" s="287">
        <v>172</v>
      </c>
      <c r="B173" s="277">
        <v>45755</v>
      </c>
      <c r="C173" s="284" t="s">
        <v>1885</v>
      </c>
      <c r="D173" s="278" t="s">
        <v>1836</v>
      </c>
      <c r="E173" s="284" t="s">
        <v>1837</v>
      </c>
      <c r="F173" s="284" t="s">
        <v>1836</v>
      </c>
      <c r="G173" s="279">
        <v>25000</v>
      </c>
      <c r="H173" s="284">
        <v>1</v>
      </c>
      <c r="I173" s="280">
        <v>11200</v>
      </c>
      <c r="K173" s="279">
        <v>25000</v>
      </c>
    </row>
    <row r="174" spans="1:12">
      <c r="A174" s="287">
        <v>173</v>
      </c>
      <c r="B174" s="277">
        <v>45755</v>
      </c>
      <c r="C174" s="284" t="s">
        <v>1629</v>
      </c>
      <c r="D174" s="278" t="s">
        <v>1245</v>
      </c>
      <c r="E174" s="284" t="s">
        <v>1246</v>
      </c>
      <c r="F174" s="284" t="s">
        <v>1245</v>
      </c>
      <c r="G174" s="279">
        <v>549000</v>
      </c>
      <c r="H174" s="284">
        <v>1</v>
      </c>
      <c r="I174" s="280">
        <v>480000</v>
      </c>
      <c r="K174" s="279">
        <v>549000</v>
      </c>
    </row>
    <row r="175" spans="1:12">
      <c r="A175" s="287">
        <v>174</v>
      </c>
      <c r="B175" s="277">
        <v>45755</v>
      </c>
      <c r="C175" s="284" t="s">
        <v>1888</v>
      </c>
      <c r="E175" s="284" t="s">
        <v>1813</v>
      </c>
      <c r="G175" s="279">
        <v>650000</v>
      </c>
      <c r="H175" s="284">
        <v>1</v>
      </c>
      <c r="J175" s="280">
        <v>65000</v>
      </c>
      <c r="K175" s="279">
        <v>715000</v>
      </c>
    </row>
    <row r="176" spans="1:12">
      <c r="A176" s="287">
        <v>175</v>
      </c>
      <c r="B176" s="277">
        <v>45756</v>
      </c>
      <c r="C176" s="284" t="s">
        <v>1790</v>
      </c>
      <c r="D176" s="278" t="s">
        <v>1303</v>
      </c>
      <c r="E176" s="284" t="s">
        <v>1304</v>
      </c>
      <c r="F176" s="284" t="s">
        <v>1303</v>
      </c>
      <c r="G176" s="279">
        <v>130000</v>
      </c>
      <c r="H176" s="284">
        <v>2</v>
      </c>
      <c r="I176" s="280">
        <v>90000</v>
      </c>
      <c r="K176" s="279">
        <v>260000</v>
      </c>
    </row>
    <row r="177" spans="1:11">
      <c r="A177" s="287">
        <v>176</v>
      </c>
      <c r="B177" s="277">
        <v>45756</v>
      </c>
      <c r="C177" s="284" t="s">
        <v>1790</v>
      </c>
      <c r="D177" s="278" t="s">
        <v>1901</v>
      </c>
      <c r="E177" s="284" t="s">
        <v>1902</v>
      </c>
      <c r="F177" s="284" t="s">
        <v>1901</v>
      </c>
      <c r="G177" s="279">
        <v>10000</v>
      </c>
      <c r="H177" s="284">
        <v>2</v>
      </c>
      <c r="I177" s="280">
        <v>8500</v>
      </c>
      <c r="K177" s="279">
        <v>20000</v>
      </c>
    </row>
    <row r="178" spans="1:11">
      <c r="A178" s="287">
        <v>177</v>
      </c>
      <c r="B178" s="277">
        <v>45756</v>
      </c>
      <c r="C178" s="284" t="s">
        <v>1790</v>
      </c>
      <c r="D178" s="278" t="s">
        <v>1871</v>
      </c>
      <c r="E178" s="284" t="s">
        <v>1872</v>
      </c>
      <c r="F178" s="284" t="s">
        <v>1871</v>
      </c>
      <c r="G178" s="279">
        <v>20000</v>
      </c>
      <c r="H178" s="284">
        <v>3</v>
      </c>
      <c r="I178" s="280">
        <v>16000</v>
      </c>
      <c r="K178" s="279">
        <v>60000</v>
      </c>
    </row>
    <row r="179" spans="1:11">
      <c r="A179" s="287">
        <v>178</v>
      </c>
      <c r="B179" s="277">
        <v>45757</v>
      </c>
      <c r="C179" s="284" t="s">
        <v>1587</v>
      </c>
      <c r="E179" s="284" t="s">
        <v>1814</v>
      </c>
      <c r="G179" s="279">
        <v>1550000</v>
      </c>
      <c r="H179" s="284">
        <v>1</v>
      </c>
      <c r="K179" s="279">
        <v>1550000</v>
      </c>
    </row>
    <row r="180" spans="1:11">
      <c r="A180" s="287">
        <v>179</v>
      </c>
      <c r="B180" s="277">
        <v>45757</v>
      </c>
      <c r="C180" s="284" t="s">
        <v>1504</v>
      </c>
      <c r="E180" s="284" t="s">
        <v>1814</v>
      </c>
      <c r="G180" s="279">
        <v>1550000</v>
      </c>
      <c r="H180" s="284">
        <v>1</v>
      </c>
      <c r="K180" s="279">
        <v>1550000</v>
      </c>
    </row>
    <row r="181" spans="1:11">
      <c r="A181" s="287">
        <v>180</v>
      </c>
      <c r="B181" s="277">
        <v>45757</v>
      </c>
      <c r="C181" s="284" t="s">
        <v>1881</v>
      </c>
      <c r="D181" s="278" t="s">
        <v>1245</v>
      </c>
      <c r="E181" s="284" t="s">
        <v>1246</v>
      </c>
      <c r="F181" s="284" t="s">
        <v>1245</v>
      </c>
      <c r="G181" s="279">
        <v>499091</v>
      </c>
      <c r="H181" s="284">
        <v>1</v>
      </c>
      <c r="I181" s="280">
        <v>480000</v>
      </c>
      <c r="J181" s="280">
        <v>49909.100000000006</v>
      </c>
      <c r="K181" s="279">
        <v>549000.1</v>
      </c>
    </row>
    <row r="182" spans="1:11">
      <c r="A182" s="287">
        <v>181</v>
      </c>
      <c r="B182" s="277">
        <v>45758</v>
      </c>
      <c r="C182" s="284" t="s">
        <v>1515</v>
      </c>
      <c r="E182" s="284" t="s">
        <v>1924</v>
      </c>
      <c r="G182" s="279">
        <v>150000</v>
      </c>
      <c r="H182" s="284">
        <v>1</v>
      </c>
      <c r="K182" s="279">
        <v>150000</v>
      </c>
    </row>
    <row r="183" spans="1:11">
      <c r="A183" s="287">
        <v>182</v>
      </c>
      <c r="B183" s="277">
        <v>45758</v>
      </c>
      <c r="C183" s="284" t="s">
        <v>1920</v>
      </c>
      <c r="E183" s="284" t="s">
        <v>1926</v>
      </c>
      <c r="G183" s="279">
        <v>150000</v>
      </c>
      <c r="H183" s="284">
        <v>1</v>
      </c>
      <c r="K183" s="279">
        <v>150000</v>
      </c>
    </row>
    <row r="184" spans="1:11">
      <c r="A184" s="287">
        <v>183</v>
      </c>
      <c r="B184" s="277">
        <v>45759</v>
      </c>
      <c r="C184" s="284" t="s">
        <v>1030</v>
      </c>
      <c r="D184" s="278" t="s">
        <v>1822</v>
      </c>
      <c r="E184" s="284" t="s">
        <v>1241</v>
      </c>
      <c r="F184" s="284" t="s">
        <v>1822</v>
      </c>
      <c r="G184" s="279">
        <v>1200000</v>
      </c>
      <c r="H184" s="284">
        <v>1</v>
      </c>
      <c r="K184" s="279">
        <v>1200000</v>
      </c>
    </row>
    <row r="185" spans="1:11">
      <c r="A185" s="287">
        <v>184</v>
      </c>
      <c r="B185" s="277">
        <v>45759</v>
      </c>
      <c r="C185" s="284" t="s">
        <v>1030</v>
      </c>
      <c r="E185" s="284" t="s">
        <v>1542</v>
      </c>
      <c r="G185" s="279">
        <v>350000</v>
      </c>
      <c r="H185" s="284">
        <v>1</v>
      </c>
      <c r="K185" s="279">
        <v>350000</v>
      </c>
    </row>
    <row r="186" spans="1:11">
      <c r="A186" s="287">
        <v>185</v>
      </c>
      <c r="B186" s="277">
        <v>45759</v>
      </c>
      <c r="C186" s="284" t="s">
        <v>1626</v>
      </c>
      <c r="D186" s="278" t="s">
        <v>1822</v>
      </c>
      <c r="E186" s="284" t="s">
        <v>1241</v>
      </c>
      <c r="F186" s="284" t="s">
        <v>1822</v>
      </c>
      <c r="G186" s="279">
        <v>1200000</v>
      </c>
      <c r="H186" s="284">
        <v>1</v>
      </c>
      <c r="K186" s="279">
        <v>1200000</v>
      </c>
    </row>
    <row r="187" spans="1:11">
      <c r="A187" s="287">
        <v>186</v>
      </c>
      <c r="B187" s="277">
        <v>45759</v>
      </c>
      <c r="C187" s="284" t="s">
        <v>1030</v>
      </c>
      <c r="D187" s="278" t="s">
        <v>1772</v>
      </c>
      <c r="E187" s="284" t="s">
        <v>1773</v>
      </c>
      <c r="F187" s="284" t="s">
        <v>1772</v>
      </c>
      <c r="G187" s="279">
        <v>50000</v>
      </c>
      <c r="H187" s="284">
        <v>1</v>
      </c>
      <c r="K187" s="279">
        <v>50000</v>
      </c>
    </row>
    <row r="188" spans="1:11">
      <c r="A188" s="287">
        <v>187</v>
      </c>
      <c r="B188" s="277">
        <v>45761</v>
      </c>
      <c r="C188" s="284" t="s">
        <v>1030</v>
      </c>
      <c r="D188" s="278">
        <v>2800802</v>
      </c>
      <c r="E188" s="284" t="s">
        <v>1785</v>
      </c>
      <c r="F188" s="284">
        <v>2800802</v>
      </c>
      <c r="G188" s="279">
        <v>150000</v>
      </c>
      <c r="H188" s="284">
        <v>1</v>
      </c>
      <c r="I188" s="280">
        <v>85000</v>
      </c>
      <c r="K188" s="279">
        <v>150000</v>
      </c>
    </row>
    <row r="189" spans="1:11">
      <c r="A189" s="287">
        <v>188</v>
      </c>
      <c r="B189" s="277">
        <v>45761</v>
      </c>
      <c r="C189" s="284" t="s">
        <v>1030</v>
      </c>
      <c r="D189" s="278" t="s">
        <v>1871</v>
      </c>
      <c r="E189" s="284" t="s">
        <v>1872</v>
      </c>
      <c r="F189" s="284" t="s">
        <v>1871</v>
      </c>
      <c r="G189" s="279">
        <v>30000</v>
      </c>
      <c r="H189" s="284">
        <v>1</v>
      </c>
      <c r="I189" s="280">
        <v>16000</v>
      </c>
      <c r="K189" s="279">
        <v>30000</v>
      </c>
    </row>
    <row r="190" spans="1:11">
      <c r="A190" s="287">
        <v>189</v>
      </c>
      <c r="B190" s="277">
        <v>45761</v>
      </c>
      <c r="C190" s="284" t="s">
        <v>1030</v>
      </c>
      <c r="D190" s="278" t="s">
        <v>1901</v>
      </c>
      <c r="E190" s="284" t="s">
        <v>1902</v>
      </c>
      <c r="F190" s="284" t="s">
        <v>1901</v>
      </c>
      <c r="G190" s="279">
        <v>10000</v>
      </c>
      <c r="H190" s="284">
        <v>1</v>
      </c>
      <c r="I190" s="280">
        <v>8500</v>
      </c>
      <c r="K190" s="279">
        <v>10000</v>
      </c>
    </row>
    <row r="191" spans="1:11">
      <c r="A191" s="287">
        <v>190</v>
      </c>
      <c r="B191" s="277">
        <v>45759</v>
      </c>
      <c r="C191" s="284" t="s">
        <v>1932</v>
      </c>
      <c r="D191" s="278" t="s">
        <v>1934</v>
      </c>
      <c r="E191" s="284" t="s">
        <v>1935</v>
      </c>
      <c r="F191" s="284" t="s">
        <v>1934</v>
      </c>
      <c r="G191" s="279">
        <v>210000</v>
      </c>
      <c r="H191" s="284">
        <v>1</v>
      </c>
      <c r="K191" s="279">
        <v>210000</v>
      </c>
    </row>
    <row r="192" spans="1:11">
      <c r="A192" s="287">
        <v>191</v>
      </c>
      <c r="B192" s="277">
        <v>45761</v>
      </c>
      <c r="C192" s="284" t="s">
        <v>1183</v>
      </c>
      <c r="D192" s="278">
        <v>2800801</v>
      </c>
      <c r="E192" s="284" t="s">
        <v>1940</v>
      </c>
      <c r="F192" s="284">
        <v>2800801</v>
      </c>
      <c r="G192" s="279">
        <v>150000</v>
      </c>
      <c r="H192" s="284">
        <v>1</v>
      </c>
      <c r="I192" s="280">
        <v>85000</v>
      </c>
      <c r="K192" s="279">
        <v>150000</v>
      </c>
    </row>
    <row r="193" spans="1:16">
      <c r="A193" s="287">
        <v>192</v>
      </c>
      <c r="B193" s="277">
        <v>45761</v>
      </c>
      <c r="C193" s="284" t="s">
        <v>1069</v>
      </c>
      <c r="D193" s="278" t="s">
        <v>1242</v>
      </c>
      <c r="E193" s="284" t="s">
        <v>1243</v>
      </c>
      <c r="F193" s="284" t="s">
        <v>1242</v>
      </c>
      <c r="G193" s="279">
        <v>1200000</v>
      </c>
      <c r="H193" s="284">
        <v>1</v>
      </c>
      <c r="K193" s="279">
        <v>1200000</v>
      </c>
    </row>
    <row r="194" spans="1:16">
      <c r="A194" s="287">
        <v>193</v>
      </c>
      <c r="B194" s="277">
        <v>45761</v>
      </c>
      <c r="C194" s="284" t="s">
        <v>1030</v>
      </c>
      <c r="D194" s="278">
        <v>415062109</v>
      </c>
      <c r="E194" s="284" t="s">
        <v>2657</v>
      </c>
      <c r="F194" s="284">
        <v>415062109</v>
      </c>
      <c r="G194" s="279">
        <v>680000</v>
      </c>
      <c r="H194" s="284">
        <v>1</v>
      </c>
      <c r="K194" s="279">
        <v>680000</v>
      </c>
    </row>
    <row r="195" spans="1:16">
      <c r="A195" s="287">
        <v>194</v>
      </c>
      <c r="B195" s="277">
        <v>45761</v>
      </c>
      <c r="C195" s="284" t="s">
        <v>1030</v>
      </c>
      <c r="D195" s="278">
        <v>50229</v>
      </c>
      <c r="E195" s="284" t="s">
        <v>1697</v>
      </c>
      <c r="F195" s="284">
        <v>50229</v>
      </c>
      <c r="G195" s="279">
        <v>75000</v>
      </c>
      <c r="H195" s="284">
        <v>1</v>
      </c>
      <c r="K195" s="279">
        <v>75000</v>
      </c>
    </row>
    <row r="196" spans="1:16">
      <c r="A196" s="287">
        <v>195</v>
      </c>
      <c r="B196" s="277">
        <v>45761</v>
      </c>
      <c r="C196" s="284" t="s">
        <v>1885</v>
      </c>
      <c r="D196" s="278">
        <v>2830402</v>
      </c>
      <c r="E196" s="284" t="s">
        <v>1944</v>
      </c>
      <c r="F196" s="284">
        <v>2830402</v>
      </c>
      <c r="G196" s="279">
        <v>1100000</v>
      </c>
      <c r="H196" s="284">
        <v>1</v>
      </c>
      <c r="K196" s="279">
        <v>1100000</v>
      </c>
    </row>
    <row r="197" spans="1:16">
      <c r="A197" s="287">
        <v>196</v>
      </c>
      <c r="B197" s="277">
        <v>45761</v>
      </c>
      <c r="C197" s="284" t="s">
        <v>1946</v>
      </c>
      <c r="E197" s="284" t="s">
        <v>1947</v>
      </c>
      <c r="G197" s="279">
        <v>3500000</v>
      </c>
      <c r="H197" s="284">
        <v>1</v>
      </c>
      <c r="K197" s="279">
        <v>3500000</v>
      </c>
    </row>
    <row r="198" spans="1:16">
      <c r="A198" s="287">
        <v>197</v>
      </c>
      <c r="B198" s="277">
        <v>45761</v>
      </c>
      <c r="C198" s="284" t="s">
        <v>1952</v>
      </c>
      <c r="E198" s="284" t="s">
        <v>1191</v>
      </c>
      <c r="G198" s="284">
        <v>1500000</v>
      </c>
      <c r="H198" s="279">
        <v>1</v>
      </c>
      <c r="K198" s="279">
        <v>1500000</v>
      </c>
      <c r="P198" s="206"/>
    </row>
    <row r="199" spans="1:16">
      <c r="A199" s="287">
        <v>198</v>
      </c>
      <c r="B199" s="277">
        <v>45761</v>
      </c>
      <c r="C199" s="284" t="s">
        <v>1952</v>
      </c>
      <c r="E199" s="284" t="s">
        <v>1954</v>
      </c>
      <c r="G199" s="284"/>
      <c r="H199" s="279"/>
      <c r="L199" s="279">
        <v>-1500000</v>
      </c>
      <c r="P199" s="206"/>
    </row>
    <row r="200" spans="1:16">
      <c r="A200" s="287">
        <v>199</v>
      </c>
      <c r="B200" s="277">
        <v>45761</v>
      </c>
      <c r="C200" s="284" t="s">
        <v>1955</v>
      </c>
      <c r="E200" s="284" t="s">
        <v>1191</v>
      </c>
      <c r="G200" s="284">
        <v>1500000</v>
      </c>
      <c r="H200" s="279">
        <v>1</v>
      </c>
      <c r="K200" s="279">
        <v>1500000</v>
      </c>
      <c r="P200" s="206"/>
    </row>
    <row r="201" spans="1:16">
      <c r="A201" s="287">
        <v>200</v>
      </c>
      <c r="B201" s="277">
        <v>45761</v>
      </c>
      <c r="C201" s="284" t="s">
        <v>1955</v>
      </c>
      <c r="E201" s="284" t="s">
        <v>1957</v>
      </c>
      <c r="G201" s="284"/>
      <c r="H201" s="279"/>
      <c r="L201" s="279">
        <v>-1500000</v>
      </c>
      <c r="P201" s="206"/>
    </row>
    <row r="202" spans="1:16">
      <c r="A202" s="287">
        <v>201</v>
      </c>
      <c r="B202" s="277">
        <v>45762</v>
      </c>
      <c r="C202" s="284" t="s">
        <v>1961</v>
      </c>
      <c r="E202" s="284" t="s">
        <v>1813</v>
      </c>
      <c r="G202" s="284">
        <v>650000</v>
      </c>
      <c r="H202" s="279">
        <v>1</v>
      </c>
      <c r="K202" s="279">
        <v>650000</v>
      </c>
      <c r="P202" s="206"/>
    </row>
    <row r="203" spans="1:16">
      <c r="A203" s="287">
        <v>202</v>
      </c>
      <c r="B203" s="277">
        <v>45762</v>
      </c>
      <c r="C203" s="284" t="s">
        <v>1790</v>
      </c>
      <c r="D203" s="278" t="s">
        <v>1958</v>
      </c>
      <c r="E203" s="284" t="s">
        <v>1959</v>
      </c>
      <c r="F203" s="284" t="s">
        <v>1958</v>
      </c>
      <c r="G203" s="279">
        <v>10000</v>
      </c>
      <c r="H203" s="279">
        <v>5</v>
      </c>
      <c r="I203" s="280">
        <v>0</v>
      </c>
      <c r="K203" s="279">
        <v>50000</v>
      </c>
      <c r="P203" s="206"/>
    </row>
    <row r="204" spans="1:16">
      <c r="A204" s="287">
        <v>203</v>
      </c>
      <c r="B204" s="277">
        <v>45762</v>
      </c>
      <c r="C204" s="284" t="s">
        <v>1734</v>
      </c>
      <c r="D204" s="278" t="s">
        <v>1239</v>
      </c>
      <c r="E204" s="284" t="s">
        <v>1701</v>
      </c>
      <c r="F204" s="284" t="s">
        <v>1239</v>
      </c>
      <c r="G204" s="284">
        <v>1500000</v>
      </c>
      <c r="H204" s="279">
        <v>1</v>
      </c>
      <c r="K204" s="279">
        <v>1500000</v>
      </c>
      <c r="P204" s="206"/>
    </row>
    <row r="205" spans="1:16">
      <c r="A205" s="287">
        <v>204</v>
      </c>
      <c r="B205" s="277">
        <v>45762</v>
      </c>
      <c r="C205" s="284" t="s">
        <v>1885</v>
      </c>
      <c r="D205" s="278" t="s">
        <v>1839</v>
      </c>
      <c r="E205" s="284" t="s">
        <v>1837</v>
      </c>
      <c r="F205" s="284" t="s">
        <v>1839</v>
      </c>
      <c r="G205" s="284">
        <v>65000</v>
      </c>
      <c r="H205" s="279">
        <v>1</v>
      </c>
      <c r="I205" s="280">
        <v>45000</v>
      </c>
      <c r="K205" s="279">
        <v>65000</v>
      </c>
      <c r="P205" s="206"/>
    </row>
    <row r="206" spans="1:16">
      <c r="A206" s="287">
        <v>205</v>
      </c>
      <c r="B206" s="277">
        <v>45762</v>
      </c>
      <c r="C206" s="284" t="s">
        <v>1885</v>
      </c>
      <c r="D206" s="278" t="s">
        <v>1836</v>
      </c>
      <c r="E206" s="284" t="s">
        <v>1837</v>
      </c>
      <c r="F206" s="284" t="s">
        <v>1836</v>
      </c>
      <c r="G206" s="284">
        <v>25000</v>
      </c>
      <c r="H206" s="279">
        <v>1</v>
      </c>
      <c r="I206" s="280">
        <v>11200</v>
      </c>
      <c r="K206" s="279">
        <v>25000</v>
      </c>
      <c r="P206" s="206"/>
    </row>
    <row r="207" spans="1:16">
      <c r="A207" s="287">
        <v>206</v>
      </c>
      <c r="B207" s="277">
        <v>45763</v>
      </c>
      <c r="C207" s="284" t="s">
        <v>1975</v>
      </c>
      <c r="E207" s="284" t="s">
        <v>1978</v>
      </c>
      <c r="G207" s="284">
        <v>250000</v>
      </c>
      <c r="H207" s="279">
        <v>1</v>
      </c>
      <c r="K207" s="279">
        <v>250000</v>
      </c>
      <c r="P207" s="206"/>
    </row>
    <row r="208" spans="1:16">
      <c r="A208" s="287">
        <v>207</v>
      </c>
      <c r="B208" s="277">
        <v>45763</v>
      </c>
      <c r="C208" s="284" t="s">
        <v>1979</v>
      </c>
      <c r="D208" s="278" t="s">
        <v>1822</v>
      </c>
      <c r="E208" s="284" t="s">
        <v>1241</v>
      </c>
      <c r="F208" s="284" t="s">
        <v>1822</v>
      </c>
      <c r="G208" s="284">
        <v>1200000</v>
      </c>
      <c r="H208" s="279">
        <v>1</v>
      </c>
      <c r="K208" s="279">
        <v>1200000</v>
      </c>
      <c r="P208" s="206"/>
    </row>
    <row r="209" spans="1:16">
      <c r="A209" s="287">
        <v>208</v>
      </c>
      <c r="B209" s="277">
        <v>45763</v>
      </c>
      <c r="C209" s="284" t="s">
        <v>986</v>
      </c>
      <c r="D209" s="278" t="s">
        <v>1822</v>
      </c>
      <c r="E209" s="284" t="s">
        <v>1241</v>
      </c>
      <c r="F209" s="284" t="s">
        <v>1822</v>
      </c>
      <c r="G209" s="284">
        <v>1300000</v>
      </c>
      <c r="H209" s="279">
        <v>1</v>
      </c>
      <c r="K209" s="279">
        <v>1300000</v>
      </c>
      <c r="P209" s="206"/>
    </row>
    <row r="210" spans="1:16">
      <c r="A210" s="287">
        <v>209</v>
      </c>
      <c r="B210" s="277">
        <v>45763</v>
      </c>
      <c r="C210" s="284" t="s">
        <v>986</v>
      </c>
      <c r="D210" s="278" t="s">
        <v>1822</v>
      </c>
      <c r="E210" s="284" t="s">
        <v>1241</v>
      </c>
      <c r="F210" s="284" t="s">
        <v>1822</v>
      </c>
      <c r="G210" s="284">
        <v>650000</v>
      </c>
      <c r="H210" s="279">
        <v>1</v>
      </c>
      <c r="K210" s="279">
        <v>650000</v>
      </c>
      <c r="P210" s="206"/>
    </row>
    <row r="211" spans="1:16">
      <c r="A211" s="287">
        <v>210</v>
      </c>
      <c r="B211" s="277">
        <v>45763</v>
      </c>
      <c r="C211" s="284" t="s">
        <v>1647</v>
      </c>
      <c r="D211" s="278" t="s">
        <v>1245</v>
      </c>
      <c r="E211" s="284" t="s">
        <v>1246</v>
      </c>
      <c r="F211" s="284" t="s">
        <v>1245</v>
      </c>
      <c r="G211" s="284">
        <v>499091</v>
      </c>
      <c r="H211" s="279">
        <v>1</v>
      </c>
      <c r="I211" s="280">
        <v>480000</v>
      </c>
      <c r="J211" s="280">
        <v>49909.100000000006</v>
      </c>
      <c r="K211" s="279">
        <v>549000.1</v>
      </c>
      <c r="P211" s="206"/>
    </row>
    <row r="212" spans="1:16">
      <c r="A212" s="287">
        <v>211</v>
      </c>
      <c r="B212" s="277">
        <v>45763</v>
      </c>
      <c r="C212" s="284" t="s">
        <v>1629</v>
      </c>
      <c r="D212" s="278" t="s">
        <v>1986</v>
      </c>
      <c r="E212" s="284" t="s">
        <v>1987</v>
      </c>
      <c r="F212" s="284" t="s">
        <v>1986</v>
      </c>
      <c r="G212" s="284">
        <v>20000</v>
      </c>
      <c r="H212" s="279">
        <v>1</v>
      </c>
      <c r="I212" s="280">
        <v>13000</v>
      </c>
      <c r="J212" s="280">
        <v>2000</v>
      </c>
      <c r="K212" s="279">
        <v>20000</v>
      </c>
      <c r="P212" s="206"/>
    </row>
    <row r="213" spans="1:16">
      <c r="A213" s="287">
        <v>212</v>
      </c>
      <c r="B213" s="277">
        <v>45764</v>
      </c>
      <c r="C213" s="284" t="s">
        <v>1445</v>
      </c>
      <c r="E213" s="284" t="s">
        <v>2001</v>
      </c>
      <c r="G213" s="284">
        <v>1000000</v>
      </c>
      <c r="H213" s="279">
        <v>1</v>
      </c>
      <c r="K213" s="279">
        <v>1000000</v>
      </c>
      <c r="P213" s="206"/>
    </row>
    <row r="214" spans="1:16">
      <c r="A214" s="287">
        <v>213</v>
      </c>
      <c r="B214" s="277">
        <v>45764</v>
      </c>
      <c r="C214" s="284" t="s">
        <v>1587</v>
      </c>
      <c r="E214" s="284" t="s">
        <v>2004</v>
      </c>
      <c r="G214" s="284">
        <v>2000000</v>
      </c>
      <c r="H214" s="279">
        <v>1</v>
      </c>
      <c r="K214" s="279">
        <v>2000000</v>
      </c>
      <c r="P214" s="206"/>
    </row>
    <row r="215" spans="1:16">
      <c r="A215" s="287">
        <v>214</v>
      </c>
      <c r="B215" s="277">
        <v>45764</v>
      </c>
      <c r="C215" s="284" t="s">
        <v>1488</v>
      </c>
      <c r="E215" s="284" t="s">
        <v>1176</v>
      </c>
      <c r="G215" s="284">
        <v>800000</v>
      </c>
      <c r="H215" s="279">
        <v>1</v>
      </c>
      <c r="K215" s="279">
        <v>800000</v>
      </c>
      <c r="P215" s="206"/>
    </row>
    <row r="216" spans="1:16">
      <c r="A216" s="287">
        <v>215</v>
      </c>
      <c r="B216" s="277">
        <v>45765</v>
      </c>
      <c r="C216" s="284" t="s">
        <v>1734</v>
      </c>
      <c r="D216" s="278" t="s">
        <v>1822</v>
      </c>
      <c r="E216" s="284" t="s">
        <v>1241</v>
      </c>
      <c r="F216" s="284" t="s">
        <v>1822</v>
      </c>
      <c r="G216" s="284">
        <v>1200000</v>
      </c>
      <c r="H216" s="279">
        <v>1</v>
      </c>
      <c r="J216" s="280">
        <v>120000</v>
      </c>
      <c r="K216" s="279">
        <v>1200000</v>
      </c>
      <c r="P216" s="206"/>
    </row>
    <row r="217" spans="1:16">
      <c r="A217" s="287">
        <v>216</v>
      </c>
      <c r="B217" s="277">
        <v>45765</v>
      </c>
      <c r="C217" s="284" t="s">
        <v>1734</v>
      </c>
      <c r="E217" s="284" t="s">
        <v>1542</v>
      </c>
      <c r="G217" s="284">
        <v>350000</v>
      </c>
      <c r="H217" s="279">
        <v>1</v>
      </c>
      <c r="J217" s="280">
        <v>35000</v>
      </c>
      <c r="K217" s="279">
        <v>350000</v>
      </c>
      <c r="P217" s="206"/>
    </row>
    <row r="218" spans="1:16">
      <c r="A218" s="287">
        <v>217</v>
      </c>
      <c r="B218" s="277">
        <v>45765</v>
      </c>
      <c r="C218" s="284" t="s">
        <v>1790</v>
      </c>
      <c r="E218" s="284" t="s">
        <v>2011</v>
      </c>
      <c r="G218" s="284">
        <v>1200000</v>
      </c>
      <c r="H218" s="279">
        <v>1</v>
      </c>
      <c r="K218" s="279">
        <v>1200000</v>
      </c>
      <c r="P218" s="206"/>
    </row>
    <row r="219" spans="1:16">
      <c r="A219" s="287">
        <v>218</v>
      </c>
      <c r="B219" s="277">
        <v>45765</v>
      </c>
      <c r="C219" s="284" t="s">
        <v>1790</v>
      </c>
      <c r="D219" s="278" t="s">
        <v>1309</v>
      </c>
      <c r="E219" s="284" t="s">
        <v>1310</v>
      </c>
      <c r="F219" s="284" t="s">
        <v>1309</v>
      </c>
      <c r="G219" s="284">
        <v>50000</v>
      </c>
      <c r="H219" s="279">
        <v>2</v>
      </c>
      <c r="K219" s="279">
        <v>100000</v>
      </c>
      <c r="P219" s="206"/>
    </row>
    <row r="220" spans="1:16">
      <c r="A220" s="287">
        <v>219</v>
      </c>
      <c r="B220" s="277">
        <v>45765</v>
      </c>
      <c r="C220" s="284" t="s">
        <v>1647</v>
      </c>
      <c r="D220" s="278" t="s">
        <v>2008</v>
      </c>
      <c r="E220" s="284" t="s">
        <v>1630</v>
      </c>
      <c r="F220" s="284" t="s">
        <v>2008</v>
      </c>
      <c r="G220" s="284">
        <v>1400000</v>
      </c>
      <c r="H220" s="279">
        <v>1</v>
      </c>
      <c r="K220" s="279">
        <v>1400000</v>
      </c>
      <c r="P220" s="206"/>
    </row>
    <row r="221" spans="1:16">
      <c r="A221" s="287">
        <v>220</v>
      </c>
      <c r="B221" s="277">
        <v>45768</v>
      </c>
      <c r="C221" s="284" t="s">
        <v>2016</v>
      </c>
      <c r="D221" s="278" t="s">
        <v>1871</v>
      </c>
      <c r="E221" s="284" t="s">
        <v>1872</v>
      </c>
      <c r="F221" s="284" t="s">
        <v>1871</v>
      </c>
      <c r="G221" s="284">
        <v>30000</v>
      </c>
      <c r="H221" s="279">
        <v>1</v>
      </c>
      <c r="I221" s="280">
        <v>16000</v>
      </c>
      <c r="K221" s="279">
        <v>30000</v>
      </c>
      <c r="P221" s="206"/>
    </row>
    <row r="222" spans="1:16">
      <c r="A222" s="287">
        <v>221</v>
      </c>
      <c r="B222" s="277">
        <v>45768</v>
      </c>
      <c r="C222" s="284" t="s">
        <v>2016</v>
      </c>
      <c r="D222" s="278" t="s">
        <v>1245</v>
      </c>
      <c r="E222" s="284" t="s">
        <v>1246</v>
      </c>
      <c r="F222" s="284" t="s">
        <v>1245</v>
      </c>
      <c r="G222" s="284">
        <v>600000</v>
      </c>
      <c r="H222" s="279">
        <v>1</v>
      </c>
      <c r="I222" s="280">
        <v>480000</v>
      </c>
      <c r="K222" s="279">
        <v>600000</v>
      </c>
      <c r="P222" s="206"/>
    </row>
    <row r="223" spans="1:16">
      <c r="A223" s="287">
        <v>222</v>
      </c>
      <c r="B223" s="277">
        <v>45768</v>
      </c>
      <c r="C223" s="284" t="s">
        <v>2016</v>
      </c>
      <c r="D223" s="278" t="s">
        <v>1986</v>
      </c>
      <c r="E223" s="284" t="s">
        <v>1987</v>
      </c>
      <c r="F223" s="284" t="s">
        <v>1986</v>
      </c>
      <c r="G223" s="284">
        <v>20000</v>
      </c>
      <c r="H223" s="279">
        <v>1</v>
      </c>
      <c r="I223" s="280">
        <v>13000</v>
      </c>
      <c r="K223" s="279">
        <v>20000</v>
      </c>
      <c r="P223" s="206"/>
    </row>
    <row r="224" spans="1:16">
      <c r="A224" s="287">
        <v>223</v>
      </c>
      <c r="B224" s="277">
        <v>45768</v>
      </c>
      <c r="C224" s="284" t="s">
        <v>2027</v>
      </c>
      <c r="D224" s="278" t="s">
        <v>2018</v>
      </c>
      <c r="E224" s="284" t="s">
        <v>2019</v>
      </c>
      <c r="F224" s="284" t="s">
        <v>2018</v>
      </c>
      <c r="G224" s="284">
        <v>1200000</v>
      </c>
      <c r="H224" s="279">
        <v>1</v>
      </c>
      <c r="K224" s="279">
        <v>1200000</v>
      </c>
      <c r="P224" s="206"/>
    </row>
    <row r="225" spans="1:16">
      <c r="A225" s="287">
        <v>224</v>
      </c>
      <c r="B225" s="277">
        <v>45768</v>
      </c>
      <c r="C225" s="284" t="s">
        <v>2027</v>
      </c>
      <c r="D225" s="278" t="s">
        <v>2021</v>
      </c>
      <c r="E225" s="284" t="s">
        <v>2020</v>
      </c>
      <c r="F225" s="284" t="s">
        <v>2021</v>
      </c>
      <c r="G225" s="284">
        <v>1000000</v>
      </c>
      <c r="H225" s="279">
        <v>1</v>
      </c>
      <c r="K225" s="279">
        <v>1000000</v>
      </c>
      <c r="P225" s="206"/>
    </row>
    <row r="226" spans="1:16">
      <c r="A226" s="287">
        <v>225</v>
      </c>
      <c r="B226" s="277">
        <v>45768</v>
      </c>
      <c r="C226" s="284" t="s">
        <v>1445</v>
      </c>
      <c r="E226" s="284" t="s">
        <v>1814</v>
      </c>
      <c r="G226" s="284">
        <v>1550000</v>
      </c>
      <c r="H226" s="279">
        <v>1</v>
      </c>
      <c r="K226" s="279">
        <v>1550000</v>
      </c>
      <c r="P226" s="206"/>
    </row>
    <row r="227" spans="1:16">
      <c r="A227" s="287">
        <v>226</v>
      </c>
      <c r="B227" s="277">
        <v>45768</v>
      </c>
      <c r="C227" s="284" t="s">
        <v>1445</v>
      </c>
      <c r="D227" s="278">
        <v>24152333903</v>
      </c>
      <c r="E227" s="284" t="s">
        <v>1595</v>
      </c>
      <c r="F227" s="284">
        <v>24152333903</v>
      </c>
      <c r="G227" s="284">
        <v>50000</v>
      </c>
      <c r="H227" s="279">
        <v>1</v>
      </c>
      <c r="K227" s="279">
        <v>50000</v>
      </c>
      <c r="P227" s="206"/>
    </row>
    <row r="228" spans="1:16">
      <c r="A228" s="287">
        <v>227</v>
      </c>
      <c r="B228" s="277">
        <v>45768</v>
      </c>
      <c r="C228" s="284" t="s">
        <v>1629</v>
      </c>
      <c r="D228" s="278" t="s">
        <v>1245</v>
      </c>
      <c r="E228" s="284" t="s">
        <v>1246</v>
      </c>
      <c r="F228" s="284" t="s">
        <v>1245</v>
      </c>
      <c r="G228" s="284">
        <v>499091</v>
      </c>
      <c r="H228" s="279">
        <v>1</v>
      </c>
      <c r="I228" s="280">
        <v>480000</v>
      </c>
      <c r="J228" s="280">
        <v>49909.100000000006</v>
      </c>
      <c r="K228" s="279">
        <v>549000.1</v>
      </c>
      <c r="P228" s="206"/>
    </row>
    <row r="229" spans="1:16">
      <c r="A229" s="287">
        <v>228</v>
      </c>
      <c r="B229" s="277">
        <v>45768</v>
      </c>
      <c r="C229" s="284" t="s">
        <v>1626</v>
      </c>
      <c r="D229" s="278">
        <v>415072909</v>
      </c>
      <c r="E229" s="284" t="s">
        <v>2657</v>
      </c>
      <c r="F229" s="284">
        <v>415072909</v>
      </c>
      <c r="G229" s="284">
        <v>380000</v>
      </c>
      <c r="H229" s="279">
        <v>1</v>
      </c>
      <c r="J229" s="280">
        <v>38000</v>
      </c>
      <c r="K229" s="279">
        <v>418000</v>
      </c>
      <c r="P229" s="206"/>
    </row>
    <row r="230" spans="1:16">
      <c r="A230" s="287">
        <v>229</v>
      </c>
      <c r="B230" s="277">
        <v>45768</v>
      </c>
      <c r="C230" s="284" t="s">
        <v>1626</v>
      </c>
      <c r="D230" s="278" t="s">
        <v>1239</v>
      </c>
      <c r="E230" s="284" t="s">
        <v>1701</v>
      </c>
      <c r="F230" s="284" t="s">
        <v>1239</v>
      </c>
      <c r="G230" s="284">
        <v>1500000</v>
      </c>
      <c r="H230" s="279">
        <v>1</v>
      </c>
      <c r="J230" s="280">
        <v>150000</v>
      </c>
      <c r="K230" s="279">
        <v>1650000</v>
      </c>
      <c r="P230" s="206"/>
    </row>
    <row r="231" spans="1:16">
      <c r="A231" s="287">
        <v>230</v>
      </c>
      <c r="B231" s="277">
        <v>45768</v>
      </c>
      <c r="C231" s="284" t="s">
        <v>1626</v>
      </c>
      <c r="D231" s="278" t="s">
        <v>1879</v>
      </c>
      <c r="E231" s="284" t="s">
        <v>1624</v>
      </c>
      <c r="F231" s="284" t="s">
        <v>1879</v>
      </c>
      <c r="G231" s="284">
        <v>50000</v>
      </c>
      <c r="H231" s="279">
        <v>1</v>
      </c>
      <c r="I231" s="280">
        <v>33000</v>
      </c>
      <c r="J231" s="280">
        <v>5000</v>
      </c>
      <c r="K231" s="279">
        <v>55000</v>
      </c>
      <c r="P231" s="206"/>
    </row>
    <row r="232" spans="1:16">
      <c r="A232" s="287">
        <v>231</v>
      </c>
      <c r="B232" s="277">
        <v>45768</v>
      </c>
      <c r="C232" s="284" t="s">
        <v>1790</v>
      </c>
      <c r="E232" s="284" t="s">
        <v>2038</v>
      </c>
      <c r="G232" s="284">
        <v>50000</v>
      </c>
      <c r="H232" s="279">
        <v>1</v>
      </c>
      <c r="K232" s="279">
        <v>50000</v>
      </c>
    </row>
    <row r="233" spans="1:16">
      <c r="A233" s="287">
        <v>232</v>
      </c>
      <c r="B233" s="277">
        <v>45769</v>
      </c>
      <c r="C233" s="284" t="s">
        <v>1495</v>
      </c>
      <c r="D233" s="278" t="s">
        <v>2041</v>
      </c>
      <c r="E233" s="284" t="s">
        <v>2042</v>
      </c>
      <c r="F233" s="284" t="s">
        <v>2041</v>
      </c>
      <c r="G233" s="284">
        <v>1800000</v>
      </c>
      <c r="H233" s="279">
        <v>1</v>
      </c>
      <c r="K233" s="279">
        <v>1800000</v>
      </c>
    </row>
    <row r="234" spans="1:16">
      <c r="A234" s="287">
        <v>233</v>
      </c>
      <c r="B234" s="277">
        <v>45769</v>
      </c>
      <c r="C234" s="284" t="s">
        <v>1495</v>
      </c>
      <c r="D234" s="278" t="s">
        <v>1879</v>
      </c>
      <c r="E234" s="284" t="s">
        <v>1624</v>
      </c>
      <c r="F234" s="284" t="s">
        <v>1879</v>
      </c>
      <c r="G234" s="284">
        <v>50000</v>
      </c>
      <c r="H234" s="279">
        <v>1</v>
      </c>
      <c r="I234" s="280">
        <v>33000</v>
      </c>
      <c r="K234" s="279">
        <v>50000</v>
      </c>
    </row>
    <row r="235" spans="1:16">
      <c r="A235" s="287">
        <v>234</v>
      </c>
      <c r="B235" s="277">
        <v>45770</v>
      </c>
      <c r="C235" s="284" t="s">
        <v>1647</v>
      </c>
      <c r="E235" s="284" t="s">
        <v>2044</v>
      </c>
      <c r="G235" s="284">
        <v>1600000</v>
      </c>
      <c r="H235" s="279">
        <v>1</v>
      </c>
      <c r="K235" s="279">
        <v>1600000</v>
      </c>
    </row>
    <row r="236" spans="1:16">
      <c r="A236" s="287">
        <v>235</v>
      </c>
      <c r="B236" s="277">
        <v>45770</v>
      </c>
      <c r="C236" s="284" t="s">
        <v>2046</v>
      </c>
      <c r="D236" s="278">
        <v>2830402</v>
      </c>
      <c r="E236" s="284" t="s">
        <v>1944</v>
      </c>
      <c r="F236" s="284">
        <v>2830402</v>
      </c>
      <c r="G236" s="284">
        <v>1200000</v>
      </c>
      <c r="H236" s="279">
        <v>1</v>
      </c>
      <c r="K236" s="279">
        <v>1200000</v>
      </c>
    </row>
    <row r="237" spans="1:16">
      <c r="A237" s="287">
        <v>236</v>
      </c>
      <c r="B237" s="277">
        <v>45770</v>
      </c>
      <c r="C237" s="284" t="s">
        <v>2046</v>
      </c>
      <c r="E237" s="284" t="s">
        <v>2050</v>
      </c>
      <c r="G237" s="284">
        <v>600000</v>
      </c>
      <c r="H237" s="279">
        <v>1</v>
      </c>
      <c r="K237" s="279">
        <v>600000</v>
      </c>
    </row>
    <row r="238" spans="1:16">
      <c r="A238" s="287">
        <v>237</v>
      </c>
      <c r="B238" s="277">
        <v>45770</v>
      </c>
      <c r="C238" s="284" t="s">
        <v>2046</v>
      </c>
      <c r="E238" s="284" t="s">
        <v>2051</v>
      </c>
      <c r="G238" s="284">
        <v>600000</v>
      </c>
      <c r="H238" s="279">
        <v>1</v>
      </c>
      <c r="K238" s="279">
        <v>600000</v>
      </c>
    </row>
    <row r="239" spans="1:16">
      <c r="A239" s="287">
        <v>238</v>
      </c>
      <c r="B239" s="277">
        <v>45770</v>
      </c>
      <c r="C239" s="284" t="s">
        <v>2046</v>
      </c>
      <c r="D239" s="278" t="s">
        <v>1245</v>
      </c>
      <c r="E239" s="284" t="s">
        <v>1246</v>
      </c>
      <c r="F239" s="284" t="s">
        <v>1245</v>
      </c>
      <c r="G239" s="284">
        <v>600000</v>
      </c>
      <c r="H239" s="279">
        <v>1</v>
      </c>
      <c r="I239" s="280">
        <v>480000</v>
      </c>
      <c r="K239" s="279">
        <v>600000</v>
      </c>
    </row>
    <row r="240" spans="1:16">
      <c r="A240" s="287">
        <v>239</v>
      </c>
      <c r="B240" s="277">
        <v>45770</v>
      </c>
      <c r="C240" s="284" t="s">
        <v>2046</v>
      </c>
      <c r="D240" s="278">
        <v>50229</v>
      </c>
      <c r="E240" s="284" t="s">
        <v>1697</v>
      </c>
      <c r="F240" s="284">
        <v>50229</v>
      </c>
      <c r="G240" s="284">
        <v>80000</v>
      </c>
      <c r="H240" s="279">
        <v>1</v>
      </c>
      <c r="K240" s="279">
        <v>80000</v>
      </c>
    </row>
    <row r="241" spans="1:12">
      <c r="A241" s="287">
        <v>240</v>
      </c>
      <c r="B241" s="277">
        <v>45770</v>
      </c>
      <c r="C241" s="284" t="s">
        <v>2046</v>
      </c>
      <c r="D241" s="278" t="s">
        <v>1871</v>
      </c>
      <c r="E241" s="284" t="s">
        <v>1872</v>
      </c>
      <c r="F241" s="284" t="s">
        <v>1871</v>
      </c>
      <c r="G241" s="284">
        <v>50000</v>
      </c>
      <c r="H241" s="279">
        <v>1</v>
      </c>
      <c r="I241" s="280">
        <v>16000</v>
      </c>
      <c r="K241" s="279">
        <v>50000</v>
      </c>
    </row>
    <row r="242" spans="1:12">
      <c r="A242" s="287">
        <v>241</v>
      </c>
      <c r="B242" s="277">
        <v>45771</v>
      </c>
      <c r="C242" s="284" t="s">
        <v>1600</v>
      </c>
      <c r="D242" s="278" t="s">
        <v>1772</v>
      </c>
      <c r="E242" s="284" t="s">
        <v>1773</v>
      </c>
      <c r="F242" s="284" t="s">
        <v>1772</v>
      </c>
      <c r="G242" s="279">
        <v>50000</v>
      </c>
      <c r="H242" s="284">
        <v>10</v>
      </c>
      <c r="J242" s="280">
        <v>50000</v>
      </c>
      <c r="K242" s="279">
        <v>550000</v>
      </c>
    </row>
    <row r="243" spans="1:12">
      <c r="A243" s="287">
        <v>242</v>
      </c>
      <c r="B243" s="277">
        <v>45771</v>
      </c>
      <c r="C243" s="284" t="s">
        <v>1490</v>
      </c>
      <c r="D243" s="278">
        <v>2800802</v>
      </c>
      <c r="E243" s="284" t="s">
        <v>1785</v>
      </c>
      <c r="F243" s="284">
        <v>2800802</v>
      </c>
      <c r="G243" s="279">
        <v>150000</v>
      </c>
      <c r="H243" s="284">
        <v>1</v>
      </c>
      <c r="I243" s="280">
        <v>85000</v>
      </c>
      <c r="K243" s="279">
        <v>150000</v>
      </c>
    </row>
    <row r="244" spans="1:12">
      <c r="A244" s="287">
        <v>243</v>
      </c>
      <c r="B244" s="277">
        <v>45771</v>
      </c>
      <c r="C244" s="284" t="s">
        <v>1490</v>
      </c>
      <c r="E244" s="284" t="s">
        <v>2058</v>
      </c>
      <c r="L244" s="279">
        <v>-300000</v>
      </c>
    </row>
    <row r="245" spans="1:12">
      <c r="A245" s="287">
        <v>244</v>
      </c>
      <c r="B245" s="277">
        <v>45771</v>
      </c>
      <c r="C245" s="284" t="s">
        <v>1490</v>
      </c>
      <c r="E245" s="284" t="s">
        <v>2059</v>
      </c>
      <c r="L245" s="279">
        <v>-200000</v>
      </c>
    </row>
    <row r="246" spans="1:12">
      <c r="A246" s="287">
        <v>245</v>
      </c>
      <c r="B246" s="277">
        <v>45772</v>
      </c>
      <c r="C246" s="284" t="s">
        <v>1437</v>
      </c>
      <c r="E246" s="284" t="s">
        <v>1581</v>
      </c>
      <c r="G246" s="279">
        <v>450000</v>
      </c>
      <c r="H246" s="284">
        <v>1</v>
      </c>
      <c r="K246" s="279">
        <v>450000</v>
      </c>
    </row>
    <row r="247" spans="1:12">
      <c r="A247" s="287">
        <v>246</v>
      </c>
      <c r="B247" s="277">
        <v>45772</v>
      </c>
      <c r="C247" s="284" t="s">
        <v>2063</v>
      </c>
      <c r="D247" s="278" t="s">
        <v>1236</v>
      </c>
      <c r="E247" s="284" t="s">
        <v>2064</v>
      </c>
      <c r="F247" s="284" t="s">
        <v>1236</v>
      </c>
      <c r="G247" s="279">
        <v>1000000</v>
      </c>
      <c r="H247" s="284">
        <v>1</v>
      </c>
      <c r="J247" s="280">
        <v>100000</v>
      </c>
      <c r="K247" s="279">
        <v>1100000</v>
      </c>
    </row>
    <row r="248" spans="1:12">
      <c r="A248" s="287">
        <v>247</v>
      </c>
      <c r="B248" s="277">
        <v>45772</v>
      </c>
      <c r="C248" s="284" t="s">
        <v>2066</v>
      </c>
      <c r="D248" s="278" t="s">
        <v>1901</v>
      </c>
      <c r="E248" s="284" t="s">
        <v>1902</v>
      </c>
      <c r="F248" s="284" t="s">
        <v>1901</v>
      </c>
      <c r="G248" s="279">
        <v>10000</v>
      </c>
      <c r="H248" s="284">
        <v>5</v>
      </c>
      <c r="I248" s="280">
        <v>8500</v>
      </c>
      <c r="K248" s="279">
        <v>50000</v>
      </c>
    </row>
    <row r="249" spans="1:12">
      <c r="A249" s="287">
        <v>248</v>
      </c>
      <c r="B249" s="277">
        <v>45772</v>
      </c>
      <c r="C249" s="284" t="s">
        <v>2066</v>
      </c>
      <c r="D249" s="278" t="s">
        <v>1303</v>
      </c>
      <c r="E249" s="284" t="s">
        <v>1304</v>
      </c>
      <c r="F249" s="284" t="s">
        <v>1303</v>
      </c>
      <c r="G249" s="279">
        <v>130000</v>
      </c>
      <c r="H249" s="284">
        <v>1</v>
      </c>
      <c r="I249" s="280">
        <v>90000</v>
      </c>
      <c r="K249" s="279">
        <v>130000</v>
      </c>
    </row>
    <row r="250" spans="1:12">
      <c r="A250" s="287">
        <v>249</v>
      </c>
      <c r="B250" s="277">
        <v>45772</v>
      </c>
      <c r="C250" s="284" t="s">
        <v>2066</v>
      </c>
      <c r="D250" s="278" t="s">
        <v>1245</v>
      </c>
      <c r="E250" s="284" t="s">
        <v>1246</v>
      </c>
      <c r="F250" s="284" t="s">
        <v>1245</v>
      </c>
      <c r="G250" s="279">
        <v>549000</v>
      </c>
      <c r="H250" s="284">
        <v>2</v>
      </c>
      <c r="I250" s="280">
        <v>480000</v>
      </c>
      <c r="K250" s="279">
        <v>1098000</v>
      </c>
    </row>
    <row r="251" spans="1:12">
      <c r="A251" s="287">
        <v>250</v>
      </c>
      <c r="B251" s="277">
        <v>45772</v>
      </c>
      <c r="C251" s="284" t="s">
        <v>2016</v>
      </c>
      <c r="E251" s="284" t="s">
        <v>1161</v>
      </c>
      <c r="L251" s="279">
        <v>-650000</v>
      </c>
    </row>
    <row r="252" spans="1:12">
      <c r="A252" s="287">
        <v>251</v>
      </c>
      <c r="B252" s="277">
        <v>45772</v>
      </c>
      <c r="C252" s="284" t="s">
        <v>1495</v>
      </c>
      <c r="E252" s="284" t="s">
        <v>1161</v>
      </c>
      <c r="L252" s="279">
        <v>-1850000</v>
      </c>
    </row>
    <row r="253" spans="1:12">
      <c r="A253" s="287">
        <v>252</v>
      </c>
      <c r="B253" s="277">
        <v>45772</v>
      </c>
      <c r="C253" s="284" t="s">
        <v>1866</v>
      </c>
      <c r="D253" s="278" t="s">
        <v>1245</v>
      </c>
      <c r="E253" s="284" t="s">
        <v>1246</v>
      </c>
      <c r="F253" s="284" t="s">
        <v>1245</v>
      </c>
      <c r="G253" s="279">
        <v>549000</v>
      </c>
      <c r="H253" s="284">
        <v>1</v>
      </c>
      <c r="I253" s="280">
        <v>480000</v>
      </c>
      <c r="K253" s="279">
        <v>549000</v>
      </c>
    </row>
    <row r="254" spans="1:12">
      <c r="A254" s="287">
        <v>253</v>
      </c>
      <c r="B254" s="277">
        <v>45772</v>
      </c>
      <c r="C254" s="284" t="s">
        <v>1490</v>
      </c>
      <c r="E254" s="284" t="s">
        <v>2071</v>
      </c>
      <c r="G254" s="279">
        <v>150000</v>
      </c>
      <c r="H254" s="284">
        <v>1</v>
      </c>
      <c r="K254" s="279">
        <v>150000</v>
      </c>
    </row>
    <row r="255" spans="1:12">
      <c r="A255" s="287">
        <v>254</v>
      </c>
      <c r="B255" s="277">
        <v>45772</v>
      </c>
      <c r="C255" s="284" t="s">
        <v>1885</v>
      </c>
      <c r="E255" s="284" t="s">
        <v>1542</v>
      </c>
      <c r="G255" s="279">
        <v>350000</v>
      </c>
      <c r="H255" s="284">
        <v>1</v>
      </c>
      <c r="K255" s="279">
        <v>350000</v>
      </c>
    </row>
    <row r="256" spans="1:12">
      <c r="A256" s="287">
        <v>255</v>
      </c>
      <c r="B256" s="277">
        <v>45775</v>
      </c>
      <c r="C256" s="284" t="s">
        <v>1348</v>
      </c>
      <c r="E256" s="284" t="s">
        <v>1161</v>
      </c>
      <c r="L256" s="279">
        <v>-450000</v>
      </c>
    </row>
    <row r="257" spans="1:12">
      <c r="A257" s="287">
        <v>256</v>
      </c>
      <c r="B257" s="277">
        <v>45773</v>
      </c>
      <c r="C257" s="284" t="s">
        <v>1391</v>
      </c>
      <c r="E257" s="276" t="s">
        <v>1733</v>
      </c>
      <c r="L257" s="279">
        <v>-1278000</v>
      </c>
    </row>
    <row r="258" spans="1:12">
      <c r="A258" s="287">
        <v>257</v>
      </c>
      <c r="B258" s="277">
        <v>45775</v>
      </c>
      <c r="C258" s="284" t="s">
        <v>1567</v>
      </c>
      <c r="E258" s="284" t="s">
        <v>1570</v>
      </c>
      <c r="G258" s="279">
        <v>450000</v>
      </c>
      <c r="H258" s="284">
        <v>1</v>
      </c>
      <c r="K258" s="279">
        <v>450000</v>
      </c>
    </row>
    <row r="259" spans="1:12">
      <c r="A259" s="287">
        <v>258</v>
      </c>
      <c r="B259" s="277">
        <v>45775</v>
      </c>
      <c r="C259" s="284" t="s">
        <v>1567</v>
      </c>
      <c r="E259" s="284" t="s">
        <v>1161</v>
      </c>
      <c r="L259" s="279">
        <v>-450000</v>
      </c>
    </row>
    <row r="260" spans="1:12">
      <c r="A260" s="287">
        <v>259</v>
      </c>
      <c r="B260" s="277">
        <v>45775</v>
      </c>
      <c r="C260" s="284" t="s">
        <v>1490</v>
      </c>
      <c r="E260" s="284" t="s">
        <v>1581</v>
      </c>
      <c r="G260" s="279">
        <v>500000</v>
      </c>
      <c r="H260" s="284">
        <v>1</v>
      </c>
      <c r="K260" s="279">
        <v>500000</v>
      </c>
    </row>
    <row r="261" spans="1:12">
      <c r="A261" s="287">
        <v>260</v>
      </c>
      <c r="B261" s="277">
        <v>45775</v>
      </c>
      <c r="C261" s="284" t="s">
        <v>1183</v>
      </c>
      <c r="D261" s="278">
        <v>2800802</v>
      </c>
      <c r="E261" s="284" t="s">
        <v>1785</v>
      </c>
      <c r="F261" s="284">
        <v>2800802</v>
      </c>
      <c r="G261" s="279">
        <v>150000</v>
      </c>
      <c r="H261" s="284">
        <v>1</v>
      </c>
      <c r="I261" s="280">
        <v>85000</v>
      </c>
      <c r="K261" s="279">
        <v>150000</v>
      </c>
    </row>
    <row r="262" spans="1:12">
      <c r="A262" s="287">
        <v>261</v>
      </c>
      <c r="B262" s="277">
        <v>45775</v>
      </c>
      <c r="C262" s="284" t="s">
        <v>1069</v>
      </c>
      <c r="D262" s="278" t="s">
        <v>2078</v>
      </c>
      <c r="E262" s="284" t="s">
        <v>1243</v>
      </c>
      <c r="F262" s="284" t="s">
        <v>2078</v>
      </c>
      <c r="G262" s="279">
        <v>1700000</v>
      </c>
      <c r="H262" s="284">
        <v>1</v>
      </c>
      <c r="K262" s="279">
        <v>1700000</v>
      </c>
    </row>
    <row r="263" spans="1:12">
      <c r="A263" s="287">
        <v>262</v>
      </c>
      <c r="B263" s="277">
        <v>45775</v>
      </c>
      <c r="C263" s="284" t="s">
        <v>1069</v>
      </c>
      <c r="E263" s="284" t="s">
        <v>1161</v>
      </c>
      <c r="L263" s="279">
        <v>-1700000</v>
      </c>
    </row>
    <row r="264" spans="1:12">
      <c r="A264" s="287">
        <v>263</v>
      </c>
      <c r="B264" s="277">
        <v>45775</v>
      </c>
      <c r="C264" s="284" t="s">
        <v>1578</v>
      </c>
      <c r="E264" s="284" t="s">
        <v>1813</v>
      </c>
      <c r="G264" s="279">
        <v>650000</v>
      </c>
      <c r="H264" s="284">
        <v>1</v>
      </c>
      <c r="K264" s="279">
        <v>650000</v>
      </c>
    </row>
    <row r="265" spans="1:12">
      <c r="A265" s="287">
        <v>264</v>
      </c>
      <c r="B265" s="277">
        <v>45775</v>
      </c>
      <c r="C265" s="284" t="s">
        <v>1490</v>
      </c>
      <c r="E265" s="284" t="s">
        <v>2084</v>
      </c>
      <c r="L265" s="279">
        <v>-300000</v>
      </c>
    </row>
    <row r="266" spans="1:12">
      <c r="A266" s="287">
        <v>265</v>
      </c>
      <c r="B266" s="277">
        <v>45776</v>
      </c>
      <c r="C266" s="284" t="s">
        <v>2101</v>
      </c>
      <c r="D266" s="278" t="s">
        <v>1871</v>
      </c>
      <c r="E266" s="284" t="s">
        <v>1872</v>
      </c>
      <c r="F266" s="284" t="s">
        <v>1871</v>
      </c>
      <c r="G266" s="279">
        <v>30000</v>
      </c>
      <c r="H266" s="284">
        <v>1</v>
      </c>
      <c r="I266" s="280">
        <v>16000</v>
      </c>
      <c r="K266" s="279">
        <v>30000</v>
      </c>
    </row>
    <row r="267" spans="1:12">
      <c r="A267" s="287">
        <v>266</v>
      </c>
      <c r="B267" s="277">
        <v>45776</v>
      </c>
      <c r="C267" s="284" t="s">
        <v>2101</v>
      </c>
      <c r="D267" s="278" t="s">
        <v>1901</v>
      </c>
      <c r="E267" s="284" t="s">
        <v>1902</v>
      </c>
      <c r="F267" s="284" t="s">
        <v>1901</v>
      </c>
      <c r="G267" s="279">
        <v>10000</v>
      </c>
      <c r="H267" s="284">
        <v>1</v>
      </c>
      <c r="I267" s="280">
        <v>8500</v>
      </c>
      <c r="K267" s="279">
        <v>10000</v>
      </c>
    </row>
    <row r="268" spans="1:12">
      <c r="A268" s="287">
        <v>267</v>
      </c>
      <c r="B268" s="277">
        <v>45776</v>
      </c>
      <c r="C268" s="284" t="s">
        <v>2101</v>
      </c>
      <c r="D268" s="278" t="s">
        <v>2098</v>
      </c>
      <c r="E268" s="284" t="s">
        <v>2099</v>
      </c>
      <c r="F268" s="284" t="s">
        <v>2098</v>
      </c>
      <c r="G268" s="279">
        <v>10000</v>
      </c>
      <c r="H268" s="284">
        <v>1</v>
      </c>
      <c r="I268" s="280">
        <v>5500</v>
      </c>
      <c r="K268" s="279">
        <v>10000</v>
      </c>
    </row>
    <row r="269" spans="1:12">
      <c r="A269" s="287">
        <v>268</v>
      </c>
      <c r="B269" s="277">
        <v>45776</v>
      </c>
      <c r="C269" s="284" t="s">
        <v>2101</v>
      </c>
      <c r="D269" s="278" t="s">
        <v>1245</v>
      </c>
      <c r="E269" s="284" t="s">
        <v>1246</v>
      </c>
      <c r="F269" s="284" t="s">
        <v>1245</v>
      </c>
      <c r="G269" s="279">
        <v>549000</v>
      </c>
      <c r="H269" s="284">
        <v>1</v>
      </c>
      <c r="I269" s="280">
        <v>480000</v>
      </c>
      <c r="K269" s="279">
        <v>549000</v>
      </c>
    </row>
    <row r="270" spans="1:12">
      <c r="A270" s="287">
        <v>269</v>
      </c>
      <c r="B270" s="277">
        <v>45776</v>
      </c>
      <c r="C270" s="284" t="s">
        <v>2101</v>
      </c>
      <c r="E270" s="284" t="s">
        <v>2100</v>
      </c>
      <c r="G270" s="279">
        <v>600000</v>
      </c>
      <c r="H270" s="284">
        <v>1</v>
      </c>
      <c r="K270" s="279">
        <v>600000</v>
      </c>
    </row>
    <row r="271" spans="1:12">
      <c r="A271" s="287">
        <v>270</v>
      </c>
      <c r="B271" s="277">
        <v>45776</v>
      </c>
      <c r="C271" s="284" t="s">
        <v>2101</v>
      </c>
      <c r="D271" s="278">
        <v>50229</v>
      </c>
      <c r="E271" s="284" t="s">
        <v>1697</v>
      </c>
      <c r="F271" s="284">
        <v>50229</v>
      </c>
      <c r="G271" s="279">
        <v>75000</v>
      </c>
      <c r="H271" s="284">
        <v>1</v>
      </c>
      <c r="K271" s="279">
        <v>75000</v>
      </c>
    </row>
    <row r="272" spans="1:12">
      <c r="A272" s="287">
        <v>271</v>
      </c>
      <c r="B272" s="277">
        <v>45776</v>
      </c>
      <c r="C272" s="284" t="s">
        <v>2101</v>
      </c>
      <c r="D272" s="278" t="s">
        <v>1986</v>
      </c>
      <c r="E272" s="284" t="s">
        <v>1987</v>
      </c>
      <c r="F272" s="284" t="s">
        <v>1986</v>
      </c>
      <c r="G272" s="279">
        <v>20000</v>
      </c>
      <c r="H272" s="284">
        <v>1</v>
      </c>
      <c r="I272" s="280">
        <v>13000</v>
      </c>
      <c r="K272" s="279">
        <v>20000</v>
      </c>
    </row>
    <row r="273" spans="1:12">
      <c r="A273" s="287">
        <v>272</v>
      </c>
      <c r="B273" s="277">
        <v>45776</v>
      </c>
      <c r="C273" s="284" t="s">
        <v>1885</v>
      </c>
      <c r="E273" s="284" t="s">
        <v>1161</v>
      </c>
      <c r="L273" s="279">
        <v>-350000</v>
      </c>
    </row>
    <row r="274" spans="1:12">
      <c r="A274" s="287">
        <v>273</v>
      </c>
      <c r="B274" s="277">
        <v>45776</v>
      </c>
      <c r="C274" s="284" t="s">
        <v>1790</v>
      </c>
      <c r="D274" s="278" t="s">
        <v>1822</v>
      </c>
      <c r="E274" s="284" t="s">
        <v>1241</v>
      </c>
      <c r="F274" s="284" t="s">
        <v>1822</v>
      </c>
      <c r="G274" s="279">
        <v>1200000</v>
      </c>
      <c r="H274" s="284">
        <v>1</v>
      </c>
      <c r="K274" s="279">
        <v>1200000</v>
      </c>
    </row>
    <row r="275" spans="1:12">
      <c r="A275" s="287">
        <v>274</v>
      </c>
      <c r="B275" s="277">
        <v>45776</v>
      </c>
      <c r="C275" s="284" t="s">
        <v>1790</v>
      </c>
      <c r="E275" s="284" t="s">
        <v>1542</v>
      </c>
      <c r="G275" s="279">
        <v>350000</v>
      </c>
      <c r="H275" s="284">
        <v>1</v>
      </c>
      <c r="K275" s="279">
        <v>350000</v>
      </c>
    </row>
    <row r="276" spans="1:12">
      <c r="A276" s="287">
        <v>275</v>
      </c>
      <c r="B276" s="277">
        <v>45776</v>
      </c>
      <c r="C276" s="284" t="s">
        <v>2110</v>
      </c>
      <c r="D276" s="278" t="s">
        <v>2108</v>
      </c>
      <c r="E276" s="284" t="s">
        <v>2109</v>
      </c>
      <c r="F276" s="284" t="s">
        <v>2108</v>
      </c>
      <c r="G276" s="279">
        <v>550000</v>
      </c>
      <c r="H276" s="284">
        <v>1</v>
      </c>
      <c r="K276" s="279">
        <v>550000</v>
      </c>
    </row>
    <row r="277" spans="1:12">
      <c r="A277" s="287">
        <v>276</v>
      </c>
      <c r="B277" s="277">
        <v>45776</v>
      </c>
      <c r="C277" s="284" t="s">
        <v>2066</v>
      </c>
      <c r="D277" s="278" t="s">
        <v>1238</v>
      </c>
      <c r="E277" s="284" t="s">
        <v>1699</v>
      </c>
      <c r="F277" s="284" t="s">
        <v>1238</v>
      </c>
      <c r="G277" s="279">
        <v>1000000</v>
      </c>
      <c r="H277" s="284">
        <v>1</v>
      </c>
      <c r="K277" s="279">
        <v>1000000</v>
      </c>
    </row>
    <row r="278" spans="1:12">
      <c r="A278" s="287">
        <v>277</v>
      </c>
      <c r="B278" s="277">
        <v>45776</v>
      </c>
      <c r="C278" s="284" t="s">
        <v>1817</v>
      </c>
      <c r="D278" s="278" t="s">
        <v>1258</v>
      </c>
      <c r="E278" s="284" t="s">
        <v>2113</v>
      </c>
      <c r="F278" s="284" t="s">
        <v>1258</v>
      </c>
      <c r="G278" s="279">
        <v>1200000</v>
      </c>
      <c r="H278" s="61">
        <v>1</v>
      </c>
      <c r="J278" s="280">
        <v>120000</v>
      </c>
      <c r="K278" s="279">
        <v>1320000</v>
      </c>
    </row>
    <row r="279" spans="1:12">
      <c r="A279" s="287">
        <v>278</v>
      </c>
      <c r="B279" s="277">
        <v>45776</v>
      </c>
      <c r="C279" s="284" t="s">
        <v>2066</v>
      </c>
      <c r="D279" s="278" t="s">
        <v>1309</v>
      </c>
      <c r="E279" s="284" t="s">
        <v>1310</v>
      </c>
      <c r="F279" s="284" t="s">
        <v>1309</v>
      </c>
      <c r="G279" s="279">
        <v>50000</v>
      </c>
      <c r="H279" s="284">
        <v>10</v>
      </c>
      <c r="K279" s="279">
        <v>500000</v>
      </c>
    </row>
    <row r="280" spans="1:12">
      <c r="A280" s="287">
        <v>279</v>
      </c>
      <c r="B280" s="277">
        <v>45776</v>
      </c>
      <c r="C280" s="284" t="s">
        <v>2066</v>
      </c>
      <c r="D280" s="278" t="s">
        <v>1772</v>
      </c>
      <c r="E280" s="284" t="s">
        <v>1773</v>
      </c>
      <c r="F280" s="284" t="s">
        <v>1772</v>
      </c>
      <c r="G280" s="279">
        <v>50000</v>
      </c>
      <c r="H280" s="284">
        <v>5</v>
      </c>
      <c r="K280" s="279">
        <v>250000</v>
      </c>
    </row>
    <row r="281" spans="1:12">
      <c r="A281" s="287">
        <v>280</v>
      </c>
      <c r="B281" s="277">
        <v>45776</v>
      </c>
      <c r="C281" s="284" t="s">
        <v>2066</v>
      </c>
      <c r="E281" s="284" t="s">
        <v>2115</v>
      </c>
      <c r="G281" s="279">
        <v>84000</v>
      </c>
      <c r="H281" s="284">
        <v>5</v>
      </c>
      <c r="K281" s="279">
        <v>420000</v>
      </c>
    </row>
    <row r="282" spans="1:12">
      <c r="A282" s="287">
        <v>281</v>
      </c>
      <c r="B282" s="277">
        <v>45776</v>
      </c>
      <c r="C282" s="284" t="s">
        <v>2066</v>
      </c>
      <c r="D282" s="278" t="s">
        <v>1871</v>
      </c>
      <c r="E282" s="284" t="s">
        <v>1872</v>
      </c>
      <c r="F282" s="284" t="s">
        <v>1871</v>
      </c>
      <c r="G282" s="279">
        <v>35000</v>
      </c>
      <c r="H282" s="284">
        <v>5</v>
      </c>
      <c r="I282" s="280">
        <v>16000</v>
      </c>
      <c r="K282" s="279">
        <v>175000</v>
      </c>
    </row>
    <row r="283" spans="1:12">
      <c r="A283" s="287">
        <v>282</v>
      </c>
      <c r="B283" s="277">
        <v>45777</v>
      </c>
      <c r="C283" s="284" t="s">
        <v>1019</v>
      </c>
      <c r="D283" s="278">
        <v>24152333903</v>
      </c>
      <c r="E283" s="284" t="s">
        <v>1595</v>
      </c>
      <c r="F283" s="284">
        <v>24152333903</v>
      </c>
      <c r="G283" s="279">
        <v>50000</v>
      </c>
      <c r="H283" s="284">
        <v>2</v>
      </c>
      <c r="K283" s="279">
        <v>100000</v>
      </c>
    </row>
    <row r="284" spans="1:12">
      <c r="A284" s="287">
        <v>283</v>
      </c>
      <c r="B284" s="277">
        <v>45777</v>
      </c>
      <c r="C284" s="284" t="s">
        <v>1490</v>
      </c>
      <c r="E284" s="284" t="s">
        <v>2118</v>
      </c>
      <c r="G284" s="279">
        <v>1000000</v>
      </c>
      <c r="H284" s="284">
        <v>1</v>
      </c>
      <c r="K284" s="279">
        <v>1000000</v>
      </c>
    </row>
    <row r="285" spans="1:12">
      <c r="A285" s="287">
        <v>284</v>
      </c>
      <c r="B285" s="277">
        <v>45777</v>
      </c>
      <c r="C285" s="284" t="s">
        <v>2120</v>
      </c>
      <c r="E285" s="284" t="s">
        <v>2123</v>
      </c>
      <c r="G285" s="279">
        <v>1200000</v>
      </c>
      <c r="H285" s="284">
        <v>1</v>
      </c>
      <c r="K285" s="279">
        <v>1200000</v>
      </c>
    </row>
    <row r="286" spans="1:12">
      <c r="A286" s="287">
        <v>285</v>
      </c>
      <c r="B286" s="277">
        <v>45777</v>
      </c>
      <c r="C286" s="284" t="s">
        <v>2125</v>
      </c>
      <c r="D286" s="278" t="s">
        <v>1239</v>
      </c>
      <c r="E286" s="284" t="s">
        <v>1701</v>
      </c>
      <c r="F286" s="284" t="s">
        <v>1239</v>
      </c>
      <c r="G286" s="279">
        <v>1500000</v>
      </c>
      <c r="H286" s="284">
        <v>1</v>
      </c>
      <c r="K286" s="279">
        <v>1500000</v>
      </c>
    </row>
    <row r="287" spans="1:12">
      <c r="A287" s="287">
        <v>286</v>
      </c>
      <c r="B287" s="277">
        <v>45777</v>
      </c>
      <c r="C287" s="284" t="s">
        <v>2125</v>
      </c>
      <c r="D287" s="278" t="s">
        <v>1879</v>
      </c>
      <c r="E287" s="284" t="s">
        <v>1624</v>
      </c>
      <c r="F287" s="284" t="s">
        <v>1879</v>
      </c>
      <c r="G287" s="279">
        <v>50000</v>
      </c>
      <c r="H287" s="284">
        <v>1</v>
      </c>
      <c r="I287" s="280">
        <v>33000</v>
      </c>
      <c r="K287" s="279">
        <v>50000</v>
      </c>
    </row>
    <row r="288" spans="1:12">
      <c r="A288" s="287">
        <v>287</v>
      </c>
      <c r="B288" s="277">
        <v>45777</v>
      </c>
      <c r="C288" s="284" t="s">
        <v>2125</v>
      </c>
      <c r="D288" s="278" t="s">
        <v>1788</v>
      </c>
      <c r="E288" s="284" t="s">
        <v>1789</v>
      </c>
      <c r="F288" s="284" t="s">
        <v>1788</v>
      </c>
      <c r="G288" s="279">
        <v>60000</v>
      </c>
      <c r="H288" s="284">
        <v>1</v>
      </c>
      <c r="I288" s="280">
        <v>40000</v>
      </c>
      <c r="K288" s="279">
        <v>60000</v>
      </c>
    </row>
    <row r="289" spans="1:12">
      <c r="A289" s="287">
        <v>288</v>
      </c>
      <c r="B289" s="277">
        <v>45777</v>
      </c>
      <c r="C289" s="284" t="s">
        <v>1060</v>
      </c>
      <c r="E289" s="284" t="s">
        <v>2129</v>
      </c>
      <c r="G289" s="279">
        <v>1000000</v>
      </c>
      <c r="H289" s="284">
        <v>1</v>
      </c>
      <c r="K289" s="279">
        <v>1000000</v>
      </c>
    </row>
    <row r="290" spans="1:12">
      <c r="A290" s="287">
        <v>289</v>
      </c>
      <c r="B290" s="277">
        <v>45777</v>
      </c>
      <c r="C290" s="284" t="s">
        <v>1626</v>
      </c>
      <c r="E290" s="284" t="s">
        <v>1813</v>
      </c>
      <c r="G290" s="279">
        <v>650000</v>
      </c>
      <c r="H290" s="284">
        <v>1</v>
      </c>
      <c r="J290" s="280">
        <v>65000</v>
      </c>
      <c r="K290" s="279">
        <v>715000</v>
      </c>
    </row>
    <row r="291" spans="1:12">
      <c r="A291" s="287">
        <v>290</v>
      </c>
      <c r="B291" s="277">
        <v>45777</v>
      </c>
      <c r="C291" s="284" t="s">
        <v>2132</v>
      </c>
      <c r="E291" s="284" t="s">
        <v>2135</v>
      </c>
      <c r="G291" s="279">
        <v>900000</v>
      </c>
      <c r="H291" s="284">
        <v>1</v>
      </c>
      <c r="J291" s="280">
        <v>90000</v>
      </c>
      <c r="K291" s="279">
        <v>990000</v>
      </c>
    </row>
    <row r="292" spans="1:12">
      <c r="A292" s="287">
        <v>291</v>
      </c>
      <c r="B292" s="277">
        <v>45777</v>
      </c>
      <c r="C292" s="284" t="s">
        <v>1600</v>
      </c>
      <c r="D292" s="278" t="s">
        <v>1254</v>
      </c>
      <c r="E292" s="284" t="s">
        <v>1255</v>
      </c>
      <c r="F292" s="284" t="s">
        <v>1254</v>
      </c>
      <c r="G292" s="279">
        <v>1600000</v>
      </c>
      <c r="H292" s="284">
        <v>1</v>
      </c>
      <c r="K292" s="279">
        <v>1600000</v>
      </c>
    </row>
    <row r="293" spans="1:12">
      <c r="A293" s="287">
        <v>292</v>
      </c>
      <c r="B293" s="277">
        <v>45747</v>
      </c>
      <c r="C293" s="284" t="s">
        <v>2139</v>
      </c>
      <c r="E293" s="284" t="s">
        <v>2140</v>
      </c>
      <c r="L293" s="279">
        <v>-1585000</v>
      </c>
    </row>
    <row r="294" spans="1:12">
      <c r="A294" s="287">
        <v>293</v>
      </c>
      <c r="B294" s="277">
        <v>45776</v>
      </c>
      <c r="C294" s="284" t="s">
        <v>2141</v>
      </c>
      <c r="E294" s="284" t="s">
        <v>2140</v>
      </c>
      <c r="L294" s="279">
        <v>-550000</v>
      </c>
    </row>
    <row r="295" spans="1:12">
      <c r="A295" s="287">
        <v>294</v>
      </c>
      <c r="B295" s="277">
        <v>45777</v>
      </c>
      <c r="C295" s="284" t="s">
        <v>1626</v>
      </c>
      <c r="E295" s="284" t="s">
        <v>1161</v>
      </c>
      <c r="L295" s="279">
        <v>-4620900</v>
      </c>
    </row>
    <row r="296" spans="1:12">
      <c r="A296" s="287">
        <v>295</v>
      </c>
      <c r="B296" s="277">
        <v>45777</v>
      </c>
      <c r="C296" s="284" t="s">
        <v>2125</v>
      </c>
      <c r="E296" s="284" t="s">
        <v>1161</v>
      </c>
      <c r="L296" s="279">
        <v>-1610000</v>
      </c>
    </row>
    <row r="297" spans="1:12">
      <c r="A297" s="287">
        <v>296</v>
      </c>
      <c r="B297" s="277">
        <v>45777</v>
      </c>
      <c r="C297" s="284" t="s">
        <v>1183</v>
      </c>
      <c r="E297" s="284" t="s">
        <v>1161</v>
      </c>
      <c r="L297" s="279">
        <v>-924000</v>
      </c>
    </row>
    <row r="298" spans="1:12">
      <c r="A298" s="287">
        <v>297</v>
      </c>
      <c r="B298" s="277">
        <v>45775</v>
      </c>
      <c r="C298" s="284" t="s">
        <v>2066</v>
      </c>
      <c r="D298" s="278" t="s">
        <v>1245</v>
      </c>
      <c r="E298" s="284" t="s">
        <v>1246</v>
      </c>
      <c r="F298" s="284" t="s">
        <v>1245</v>
      </c>
      <c r="G298" s="279">
        <v>549000</v>
      </c>
      <c r="H298" s="284">
        <v>2</v>
      </c>
      <c r="I298" s="280">
        <v>480000</v>
      </c>
      <c r="K298" s="279">
        <v>1098000</v>
      </c>
    </row>
    <row r="299" spans="1:12">
      <c r="A299" s="287">
        <v>298</v>
      </c>
      <c r="B299" s="277">
        <v>45777</v>
      </c>
      <c r="C299" s="284" t="s">
        <v>2066</v>
      </c>
      <c r="E299" s="284" t="s">
        <v>1161</v>
      </c>
      <c r="L299" s="279">
        <v>-3443000</v>
      </c>
    </row>
    <row r="300" spans="1:12">
      <c r="A300" s="287">
        <v>299</v>
      </c>
      <c r="B300" s="277">
        <v>45777</v>
      </c>
      <c r="C300" s="284" t="s">
        <v>1587</v>
      </c>
      <c r="E300" s="284" t="s">
        <v>1161</v>
      </c>
      <c r="L300" s="279">
        <v>-1700000</v>
      </c>
    </row>
    <row r="301" spans="1:12">
      <c r="A301" s="287">
        <v>300</v>
      </c>
      <c r="B301" s="277">
        <v>45778</v>
      </c>
      <c r="C301" s="284" t="s">
        <v>2148</v>
      </c>
      <c r="E301" s="284" t="s">
        <v>2145</v>
      </c>
      <c r="L301" s="279">
        <v>-990000</v>
      </c>
    </row>
    <row r="302" spans="1:12">
      <c r="A302" s="287">
        <v>301</v>
      </c>
      <c r="B302" s="277">
        <v>45772</v>
      </c>
      <c r="C302" s="284" t="s">
        <v>2063</v>
      </c>
      <c r="E302" s="284" t="s">
        <v>1161</v>
      </c>
      <c r="L302" s="279">
        <v>-1100000</v>
      </c>
    </row>
    <row r="303" spans="1:12">
      <c r="A303" s="287">
        <v>302</v>
      </c>
      <c r="B303" s="277">
        <v>45778</v>
      </c>
      <c r="C303" s="284" t="s">
        <v>1490</v>
      </c>
      <c r="E303" s="284" t="s">
        <v>1161</v>
      </c>
      <c r="L303" s="279">
        <v>-10000000</v>
      </c>
    </row>
    <row r="304" spans="1:12">
      <c r="A304" s="287">
        <v>303</v>
      </c>
      <c r="B304" s="277">
        <v>45778</v>
      </c>
      <c r="C304" s="284" t="s">
        <v>1513</v>
      </c>
      <c r="E304" s="284" t="s">
        <v>1161</v>
      </c>
      <c r="L304" s="279">
        <v>-1400000</v>
      </c>
    </row>
    <row r="305" spans="1:12">
      <c r="A305" s="287">
        <v>304</v>
      </c>
      <c r="B305" s="277">
        <v>45777</v>
      </c>
      <c r="C305" s="284" t="s">
        <v>2101</v>
      </c>
      <c r="E305" s="284" t="s">
        <v>1161</v>
      </c>
      <c r="L305" s="279">
        <v>-1294000</v>
      </c>
    </row>
    <row r="306" spans="1:12">
      <c r="A306" s="287">
        <v>305</v>
      </c>
      <c r="B306" s="277">
        <v>45778</v>
      </c>
      <c r="C306" s="284" t="s">
        <v>1445</v>
      </c>
      <c r="E306" s="284" t="s">
        <v>1161</v>
      </c>
      <c r="L306" s="279">
        <v>-7200000</v>
      </c>
    </row>
    <row r="307" spans="1:12">
      <c r="A307" s="287">
        <v>306</v>
      </c>
      <c r="B307" s="277">
        <v>45778</v>
      </c>
      <c r="C307" s="284" t="s">
        <v>1629</v>
      </c>
      <c r="D307" s="278" t="s">
        <v>1239</v>
      </c>
      <c r="E307" s="284" t="s">
        <v>1701</v>
      </c>
      <c r="F307" s="284" t="s">
        <v>1239</v>
      </c>
      <c r="G307" s="279">
        <v>1500000</v>
      </c>
      <c r="H307" s="284">
        <v>1</v>
      </c>
      <c r="J307" s="280">
        <v>150000</v>
      </c>
      <c r="K307" s="279">
        <v>1650000</v>
      </c>
    </row>
    <row r="308" spans="1:12">
      <c r="A308" s="287">
        <v>307</v>
      </c>
      <c r="B308" s="277">
        <v>45778</v>
      </c>
      <c r="C308" s="284" t="s">
        <v>1629</v>
      </c>
      <c r="D308" s="278" t="s">
        <v>1879</v>
      </c>
      <c r="E308" s="284" t="s">
        <v>1624</v>
      </c>
      <c r="F308" s="284" t="s">
        <v>1879</v>
      </c>
      <c r="G308" s="279">
        <v>50000</v>
      </c>
      <c r="H308" s="284">
        <v>1</v>
      </c>
      <c r="I308" s="280">
        <v>33000</v>
      </c>
      <c r="J308" s="280">
        <v>5000</v>
      </c>
      <c r="K308" s="279">
        <v>55000</v>
      </c>
    </row>
    <row r="309" spans="1:12">
      <c r="A309" s="287">
        <v>308</v>
      </c>
      <c r="B309" s="277">
        <v>45778</v>
      </c>
      <c r="C309" s="284" t="s">
        <v>1629</v>
      </c>
      <c r="E309" s="284" t="s">
        <v>2144</v>
      </c>
      <c r="L309" s="279">
        <v>-1000000</v>
      </c>
    </row>
    <row r="310" spans="1:12">
      <c r="A310" s="287">
        <v>309</v>
      </c>
      <c r="B310" s="277">
        <v>45779</v>
      </c>
      <c r="C310" s="284" t="s">
        <v>1600</v>
      </c>
      <c r="E310" s="284" t="s">
        <v>1161</v>
      </c>
      <c r="L310" s="279">
        <v>-550000</v>
      </c>
    </row>
    <row r="311" spans="1:12">
      <c r="A311" s="287">
        <v>310</v>
      </c>
      <c r="B311" s="277">
        <v>45779</v>
      </c>
      <c r="C311" s="284" t="s">
        <v>2120</v>
      </c>
      <c r="E311" s="284" t="s">
        <v>1161</v>
      </c>
      <c r="L311" s="279">
        <v>-1200000</v>
      </c>
    </row>
    <row r="312" spans="1:12">
      <c r="A312" s="287">
        <v>311</v>
      </c>
      <c r="B312" s="277">
        <v>45777</v>
      </c>
      <c r="C312" s="284" t="s">
        <v>1790</v>
      </c>
      <c r="D312" s="278">
        <v>2800802</v>
      </c>
      <c r="E312" s="284" t="s">
        <v>1785</v>
      </c>
      <c r="F312" s="284">
        <v>2800802</v>
      </c>
      <c r="G312" s="279">
        <v>150000</v>
      </c>
      <c r="H312" s="284">
        <v>1</v>
      </c>
      <c r="I312" s="280">
        <v>85000</v>
      </c>
      <c r="K312" s="279">
        <v>150000</v>
      </c>
    </row>
    <row r="313" spans="1:12">
      <c r="A313" s="287">
        <v>312</v>
      </c>
      <c r="B313" s="277">
        <v>45779</v>
      </c>
      <c r="C313" s="284" t="s">
        <v>1629</v>
      </c>
      <c r="D313" s="278" t="s">
        <v>1309</v>
      </c>
      <c r="E313" s="284" t="s">
        <v>1310</v>
      </c>
      <c r="F313" s="284" t="s">
        <v>1309</v>
      </c>
      <c r="G313" s="279">
        <v>50000</v>
      </c>
      <c r="H313" s="284">
        <v>2</v>
      </c>
      <c r="J313" s="280">
        <v>10000</v>
      </c>
      <c r="K313" s="279">
        <v>110000</v>
      </c>
    </row>
    <row r="314" spans="1:12">
      <c r="A314" s="287">
        <v>313</v>
      </c>
      <c r="B314" s="277">
        <v>45779</v>
      </c>
      <c r="C314" s="284" t="s">
        <v>2063</v>
      </c>
      <c r="D314" s="278" t="s">
        <v>1236</v>
      </c>
      <c r="E314" s="284" t="s">
        <v>2064</v>
      </c>
      <c r="F314" s="284" t="s">
        <v>1236</v>
      </c>
      <c r="G314" s="279">
        <v>1000000</v>
      </c>
      <c r="H314" s="284">
        <v>1</v>
      </c>
      <c r="K314" s="279">
        <v>1000000</v>
      </c>
    </row>
    <row r="315" spans="1:12">
      <c r="A315" s="287">
        <v>314</v>
      </c>
      <c r="B315" s="277">
        <v>45779</v>
      </c>
      <c r="C315" s="284" t="s">
        <v>1445</v>
      </c>
      <c r="D315" s="278">
        <v>415072909</v>
      </c>
      <c r="E315" s="285" t="s">
        <v>2657</v>
      </c>
      <c r="F315" s="284">
        <v>415072909</v>
      </c>
      <c r="G315" s="279">
        <v>378000</v>
      </c>
      <c r="H315" s="284">
        <v>1</v>
      </c>
      <c r="K315" s="279">
        <v>378000</v>
      </c>
    </row>
    <row r="316" spans="1:12">
      <c r="A316" s="287">
        <v>315</v>
      </c>
      <c r="B316" s="277">
        <v>45779</v>
      </c>
      <c r="C316" s="284" t="s">
        <v>1445</v>
      </c>
      <c r="E316" s="284" t="s">
        <v>1191</v>
      </c>
      <c r="G316" s="279">
        <v>1500000</v>
      </c>
      <c r="H316" s="284">
        <v>1</v>
      </c>
      <c r="K316" s="279">
        <v>1500000</v>
      </c>
    </row>
    <row r="317" spans="1:12">
      <c r="A317" s="287">
        <v>316</v>
      </c>
      <c r="B317" s="277">
        <v>45780</v>
      </c>
      <c r="C317" s="284" t="s">
        <v>2063</v>
      </c>
      <c r="E317" s="284" t="s">
        <v>2167</v>
      </c>
      <c r="L317" s="279">
        <v>-1000000</v>
      </c>
    </row>
    <row r="318" spans="1:12">
      <c r="A318" s="287">
        <v>317</v>
      </c>
      <c r="B318" s="277">
        <v>45780</v>
      </c>
      <c r="C318" s="284" t="s">
        <v>1629</v>
      </c>
      <c r="E318" s="284" t="s">
        <v>2168</v>
      </c>
      <c r="L318" s="279">
        <v>-1815000</v>
      </c>
    </row>
    <row r="319" spans="1:12">
      <c r="A319" s="287">
        <v>318</v>
      </c>
      <c r="B319" s="277">
        <v>45780</v>
      </c>
      <c r="C319" s="284" t="s">
        <v>2046</v>
      </c>
      <c r="E319" s="284" t="s">
        <v>2165</v>
      </c>
      <c r="G319" s="279">
        <v>1000000</v>
      </c>
      <c r="H319" s="284">
        <v>1</v>
      </c>
      <c r="K319" s="279">
        <v>1000000</v>
      </c>
    </row>
    <row r="320" spans="1:12">
      <c r="A320" s="287">
        <v>319</v>
      </c>
      <c r="B320" s="277">
        <v>45782</v>
      </c>
      <c r="C320" s="284" t="s">
        <v>2169</v>
      </c>
      <c r="D320" s="278" t="s">
        <v>1242</v>
      </c>
      <c r="E320" s="284" t="s">
        <v>1243</v>
      </c>
      <c r="F320" s="284" t="s">
        <v>1242</v>
      </c>
      <c r="G320" s="279">
        <v>1200000</v>
      </c>
      <c r="H320" s="284">
        <v>1</v>
      </c>
      <c r="K320" s="279">
        <v>1200000</v>
      </c>
    </row>
    <row r="321" spans="1:12">
      <c r="A321" s="287">
        <v>320</v>
      </c>
      <c r="B321" s="277">
        <v>45782</v>
      </c>
      <c r="C321" s="284" t="s">
        <v>1019</v>
      </c>
      <c r="D321" s="278">
        <v>2800802</v>
      </c>
      <c r="E321" s="284" t="s">
        <v>1785</v>
      </c>
      <c r="F321" s="284">
        <v>2800802</v>
      </c>
      <c r="G321" s="279">
        <v>140000</v>
      </c>
      <c r="H321" s="284">
        <v>1</v>
      </c>
      <c r="I321" s="280">
        <v>85000</v>
      </c>
      <c r="K321" s="279">
        <v>140000</v>
      </c>
    </row>
    <row r="322" spans="1:12">
      <c r="A322" s="287">
        <v>321</v>
      </c>
      <c r="B322" s="277">
        <v>45783</v>
      </c>
      <c r="C322" s="284" t="s">
        <v>1587</v>
      </c>
      <c r="D322" s="278">
        <v>501220522</v>
      </c>
      <c r="E322" s="284" t="s">
        <v>2109</v>
      </c>
      <c r="F322" s="284">
        <v>501220522</v>
      </c>
      <c r="G322" s="279">
        <v>450000</v>
      </c>
      <c r="H322" s="284">
        <v>1</v>
      </c>
      <c r="K322" s="279">
        <v>450000</v>
      </c>
    </row>
    <row r="323" spans="1:12">
      <c r="A323" s="287">
        <v>322</v>
      </c>
      <c r="B323" s="277">
        <v>45783</v>
      </c>
      <c r="C323" s="284" t="s">
        <v>1445</v>
      </c>
      <c r="D323" s="278" t="s">
        <v>1822</v>
      </c>
      <c r="E323" s="284" t="s">
        <v>1241</v>
      </c>
      <c r="F323" s="284" t="s">
        <v>1822</v>
      </c>
      <c r="G323" s="279">
        <v>1200000</v>
      </c>
      <c r="H323" s="284">
        <v>1</v>
      </c>
      <c r="K323" s="279">
        <v>1200000</v>
      </c>
    </row>
    <row r="324" spans="1:12">
      <c r="A324" s="287">
        <v>323</v>
      </c>
      <c r="B324" s="277">
        <v>45783</v>
      </c>
      <c r="C324" s="284" t="s">
        <v>1515</v>
      </c>
      <c r="E324" s="284" t="s">
        <v>1542</v>
      </c>
      <c r="G324" s="279">
        <v>350000</v>
      </c>
      <c r="H324" s="284">
        <v>1</v>
      </c>
      <c r="K324" s="279">
        <v>350000</v>
      </c>
    </row>
    <row r="325" spans="1:12">
      <c r="A325" s="287">
        <v>324</v>
      </c>
      <c r="B325" s="277">
        <v>45783</v>
      </c>
      <c r="C325" s="284" t="s">
        <v>1445</v>
      </c>
      <c r="D325" s="278" t="s">
        <v>1822</v>
      </c>
      <c r="E325" s="284" t="s">
        <v>2175</v>
      </c>
      <c r="F325" s="284" t="s">
        <v>1822</v>
      </c>
      <c r="G325" s="279">
        <v>650000</v>
      </c>
      <c r="H325" s="284">
        <v>1</v>
      </c>
      <c r="K325" s="279">
        <v>650000</v>
      </c>
    </row>
    <row r="326" spans="1:12">
      <c r="A326" s="287">
        <v>325</v>
      </c>
      <c r="B326" s="277">
        <v>45784</v>
      </c>
      <c r="C326" s="284" t="s">
        <v>2046</v>
      </c>
      <c r="E326" s="284" t="s">
        <v>1161</v>
      </c>
      <c r="L326" s="279">
        <v>-1000000</v>
      </c>
    </row>
    <row r="327" spans="1:12">
      <c r="A327" s="287">
        <v>326</v>
      </c>
      <c r="B327" s="277">
        <v>45784</v>
      </c>
      <c r="C327" s="284" t="s">
        <v>1351</v>
      </c>
      <c r="D327" s="278" t="s">
        <v>1238</v>
      </c>
      <c r="E327" s="284" t="s">
        <v>1699</v>
      </c>
      <c r="F327" s="284" t="s">
        <v>1238</v>
      </c>
      <c r="G327" s="279">
        <v>1400000</v>
      </c>
      <c r="H327" s="284">
        <v>1</v>
      </c>
      <c r="K327" s="279">
        <v>1400000</v>
      </c>
    </row>
    <row r="328" spans="1:12">
      <c r="A328" s="287">
        <v>327</v>
      </c>
      <c r="B328" s="277">
        <v>45784</v>
      </c>
      <c r="C328" s="284" t="s">
        <v>1351</v>
      </c>
      <c r="D328" s="278" t="s">
        <v>1245</v>
      </c>
      <c r="E328" s="284" t="s">
        <v>1246</v>
      </c>
      <c r="F328" s="284" t="s">
        <v>1245</v>
      </c>
      <c r="G328" s="279">
        <v>549000</v>
      </c>
      <c r="H328" s="284">
        <v>1</v>
      </c>
      <c r="I328" s="280">
        <v>480000</v>
      </c>
      <c r="K328" s="279">
        <v>549000</v>
      </c>
    </row>
    <row r="329" spans="1:12">
      <c r="A329" s="287">
        <v>328</v>
      </c>
      <c r="B329" s="277">
        <v>45784</v>
      </c>
      <c r="C329" s="284" t="s">
        <v>2180</v>
      </c>
      <c r="D329" s="278" t="s">
        <v>1239</v>
      </c>
      <c r="E329" s="284" t="s">
        <v>1701</v>
      </c>
      <c r="F329" s="284" t="s">
        <v>1239</v>
      </c>
      <c r="G329" s="279">
        <v>1500000</v>
      </c>
      <c r="H329" s="284">
        <v>1</v>
      </c>
      <c r="J329" s="280">
        <v>150000</v>
      </c>
      <c r="K329" s="279">
        <v>1650000</v>
      </c>
    </row>
    <row r="330" spans="1:12">
      <c r="A330" s="287">
        <v>329</v>
      </c>
      <c r="B330" s="277">
        <v>45784</v>
      </c>
      <c r="C330" s="284" t="s">
        <v>2180</v>
      </c>
      <c r="D330" s="278" t="s">
        <v>1879</v>
      </c>
      <c r="E330" s="284" t="s">
        <v>1624</v>
      </c>
      <c r="F330" s="284" t="s">
        <v>1879</v>
      </c>
      <c r="G330" s="279">
        <v>50000</v>
      </c>
      <c r="H330" s="284">
        <v>1</v>
      </c>
      <c r="I330" s="280">
        <v>33000</v>
      </c>
      <c r="J330" s="280">
        <v>5000</v>
      </c>
      <c r="K330" s="279">
        <v>55000</v>
      </c>
    </row>
    <row r="331" spans="1:12">
      <c r="A331" s="287">
        <v>330</v>
      </c>
      <c r="B331" s="277">
        <v>45784</v>
      </c>
      <c r="C331" s="284" t="s">
        <v>1351</v>
      </c>
      <c r="E331" s="284" t="s">
        <v>1161</v>
      </c>
      <c r="L331" s="279">
        <v>-1949000</v>
      </c>
    </row>
    <row r="332" spans="1:12">
      <c r="A332" s="287">
        <v>331</v>
      </c>
      <c r="B332" s="277">
        <v>45784</v>
      </c>
      <c r="C332" s="284" t="s">
        <v>1019</v>
      </c>
      <c r="E332" s="284" t="s">
        <v>1161</v>
      </c>
      <c r="L332" s="279">
        <v>-100000</v>
      </c>
    </row>
    <row r="333" spans="1:12">
      <c r="A333" s="287">
        <v>332</v>
      </c>
      <c r="B333" s="277">
        <v>45784</v>
      </c>
      <c r="C333" s="284" t="s">
        <v>1600</v>
      </c>
      <c r="E333" s="284" t="s">
        <v>1161</v>
      </c>
      <c r="L333" s="279">
        <v>-1600000</v>
      </c>
    </row>
    <row r="334" spans="1:12">
      <c r="A334" s="287">
        <v>333</v>
      </c>
      <c r="B334" s="277">
        <v>45784</v>
      </c>
      <c r="C334" s="284" t="s">
        <v>2180</v>
      </c>
      <c r="E334" s="284" t="s">
        <v>1161</v>
      </c>
      <c r="L334" s="279">
        <v>-1705000</v>
      </c>
    </row>
    <row r="335" spans="1:12">
      <c r="A335" s="287">
        <v>334</v>
      </c>
      <c r="B335" s="277">
        <v>45784</v>
      </c>
      <c r="C335" s="284" t="s">
        <v>1445</v>
      </c>
      <c r="D335" s="278">
        <v>1068298046</v>
      </c>
      <c r="E335" s="284" t="s">
        <v>2185</v>
      </c>
      <c r="F335" s="284">
        <v>1068298046</v>
      </c>
      <c r="G335" s="279">
        <v>450000</v>
      </c>
      <c r="H335" s="284">
        <v>1</v>
      </c>
      <c r="K335" s="279">
        <v>450000</v>
      </c>
    </row>
    <row r="336" spans="1:12">
      <c r="A336" s="287">
        <v>335</v>
      </c>
      <c r="B336" s="277">
        <v>45784</v>
      </c>
      <c r="C336" s="284" t="s">
        <v>1445</v>
      </c>
      <c r="D336" s="278">
        <v>24152333907</v>
      </c>
      <c r="E336" s="284" t="s">
        <v>1595</v>
      </c>
      <c r="F336" s="284">
        <v>24152333907</v>
      </c>
      <c r="G336" s="279">
        <v>50000</v>
      </c>
      <c r="H336" s="284">
        <v>1</v>
      </c>
      <c r="K336" s="279">
        <v>50000</v>
      </c>
    </row>
    <row r="337" spans="1:12">
      <c r="A337" s="287">
        <v>336</v>
      </c>
      <c r="B337" s="277">
        <v>45784</v>
      </c>
      <c r="C337" s="284" t="s">
        <v>2180</v>
      </c>
      <c r="D337" s="278" t="s">
        <v>1239</v>
      </c>
      <c r="E337" s="284" t="s">
        <v>1701</v>
      </c>
      <c r="F337" s="284" t="s">
        <v>1239</v>
      </c>
      <c r="G337" s="279">
        <v>1500000</v>
      </c>
      <c r="H337" s="284">
        <v>1</v>
      </c>
      <c r="J337" s="280">
        <v>150000</v>
      </c>
      <c r="K337" s="279">
        <v>1650000</v>
      </c>
    </row>
    <row r="338" spans="1:12">
      <c r="A338" s="287">
        <v>337</v>
      </c>
      <c r="B338" s="277">
        <v>45784</v>
      </c>
      <c r="C338" s="284" t="s">
        <v>2180</v>
      </c>
      <c r="D338" s="278" t="s">
        <v>1879</v>
      </c>
      <c r="E338" s="284" t="s">
        <v>1624</v>
      </c>
      <c r="F338" s="284" t="s">
        <v>1879</v>
      </c>
      <c r="G338" s="279">
        <v>50000</v>
      </c>
      <c r="H338" s="284">
        <v>1</v>
      </c>
      <c r="I338" s="280">
        <v>33000</v>
      </c>
      <c r="J338" s="280">
        <v>5000</v>
      </c>
      <c r="K338" s="279">
        <v>55000</v>
      </c>
    </row>
    <row r="339" spans="1:12">
      <c r="A339" s="287">
        <v>338</v>
      </c>
      <c r="B339" s="277">
        <v>45784</v>
      </c>
      <c r="C339" s="284" t="s">
        <v>2189</v>
      </c>
      <c r="D339" s="278" t="s">
        <v>1239</v>
      </c>
      <c r="E339" s="284" t="s">
        <v>1701</v>
      </c>
      <c r="F339" s="284" t="s">
        <v>1239</v>
      </c>
      <c r="G339" s="279">
        <v>1500000</v>
      </c>
      <c r="H339" s="284">
        <v>1</v>
      </c>
      <c r="K339" s="279">
        <v>1500000</v>
      </c>
    </row>
    <row r="340" spans="1:12">
      <c r="A340" s="287">
        <v>339</v>
      </c>
      <c r="B340" s="277">
        <v>45784</v>
      </c>
      <c r="C340" s="284" t="s">
        <v>2189</v>
      </c>
      <c r="D340" s="278" t="s">
        <v>1879</v>
      </c>
      <c r="E340" s="284" t="s">
        <v>1624</v>
      </c>
      <c r="F340" s="284" t="s">
        <v>1879</v>
      </c>
      <c r="G340" s="279">
        <v>50000</v>
      </c>
      <c r="H340" s="284">
        <v>1</v>
      </c>
      <c r="I340" s="280">
        <v>33000</v>
      </c>
      <c r="K340" s="279">
        <v>50000</v>
      </c>
    </row>
    <row r="341" spans="1:12">
      <c r="A341" s="287">
        <v>340</v>
      </c>
      <c r="B341" s="277">
        <v>45784</v>
      </c>
      <c r="C341" s="284" t="s">
        <v>2189</v>
      </c>
      <c r="D341" s="278" t="s">
        <v>1788</v>
      </c>
      <c r="E341" s="284" t="s">
        <v>1789</v>
      </c>
      <c r="F341" s="284" t="s">
        <v>1788</v>
      </c>
      <c r="G341" s="279">
        <v>60000</v>
      </c>
      <c r="H341" s="284">
        <v>1</v>
      </c>
      <c r="I341" s="280">
        <v>40000</v>
      </c>
      <c r="K341" s="279">
        <v>60000</v>
      </c>
    </row>
    <row r="342" spans="1:12">
      <c r="A342" s="287">
        <v>341</v>
      </c>
      <c r="B342" s="277">
        <v>45784</v>
      </c>
      <c r="C342" s="284" t="s">
        <v>2189</v>
      </c>
      <c r="E342" s="284" t="s">
        <v>1161</v>
      </c>
      <c r="L342" s="279">
        <v>-1610000</v>
      </c>
    </row>
    <row r="343" spans="1:12">
      <c r="A343" s="287">
        <v>342</v>
      </c>
      <c r="B343" s="277">
        <v>45785</v>
      </c>
      <c r="C343" s="284" t="s">
        <v>2180</v>
      </c>
      <c r="E343" s="284" t="s">
        <v>1161</v>
      </c>
      <c r="L343" s="279">
        <v>-1705000</v>
      </c>
    </row>
    <row r="344" spans="1:12">
      <c r="A344" s="287">
        <v>343</v>
      </c>
      <c r="B344" s="277">
        <v>45785</v>
      </c>
      <c r="C344" s="284" t="s">
        <v>2309</v>
      </c>
      <c r="E344" s="284" t="s">
        <v>2310</v>
      </c>
      <c r="G344" s="279">
        <v>1000000</v>
      </c>
      <c r="H344" s="284">
        <v>1</v>
      </c>
      <c r="K344" s="279">
        <v>1000000</v>
      </c>
    </row>
    <row r="345" spans="1:12">
      <c r="A345" s="287">
        <v>344</v>
      </c>
      <c r="B345" s="277">
        <v>45785</v>
      </c>
      <c r="C345" s="284" t="s">
        <v>1790</v>
      </c>
      <c r="D345" s="278" t="s">
        <v>1254</v>
      </c>
      <c r="E345" s="284" t="s">
        <v>1165</v>
      </c>
      <c r="F345" s="284" t="s">
        <v>1510</v>
      </c>
      <c r="G345" s="279">
        <v>1500000</v>
      </c>
      <c r="H345" s="284">
        <v>1</v>
      </c>
      <c r="K345" s="279">
        <v>1500000</v>
      </c>
    </row>
    <row r="346" spans="1:12">
      <c r="A346" s="287">
        <v>345</v>
      </c>
      <c r="B346" s="277">
        <v>45786</v>
      </c>
      <c r="C346" s="284" t="s">
        <v>2169</v>
      </c>
      <c r="E346" s="284" t="s">
        <v>1161</v>
      </c>
      <c r="L346" s="279">
        <v>-1200000</v>
      </c>
    </row>
    <row r="347" spans="1:12">
      <c r="A347" s="287">
        <v>346</v>
      </c>
      <c r="B347" s="277">
        <v>45786</v>
      </c>
      <c r="C347" s="284" t="s">
        <v>1515</v>
      </c>
      <c r="E347" s="284" t="s">
        <v>1161</v>
      </c>
      <c r="L347" s="279">
        <v>-350000</v>
      </c>
    </row>
    <row r="348" spans="1:12">
      <c r="A348" s="287">
        <v>347</v>
      </c>
      <c r="B348" s="277">
        <v>45786</v>
      </c>
      <c r="C348" s="284" t="s">
        <v>1790</v>
      </c>
      <c r="E348" s="284" t="s">
        <v>1161</v>
      </c>
      <c r="L348" s="279">
        <v>-5172700</v>
      </c>
    </row>
    <row r="349" spans="1:12">
      <c r="A349" s="287">
        <v>348</v>
      </c>
      <c r="B349" s="277">
        <v>45777</v>
      </c>
      <c r="C349" s="284" t="s">
        <v>1578</v>
      </c>
      <c r="E349" s="284" t="s">
        <v>1161</v>
      </c>
      <c r="L349" s="279">
        <v>-650000</v>
      </c>
    </row>
    <row r="350" spans="1:12">
      <c r="A350" s="287">
        <v>349</v>
      </c>
      <c r="B350" s="277">
        <v>45786</v>
      </c>
      <c r="C350" s="284" t="s">
        <v>1060</v>
      </c>
      <c r="E350" s="284" t="s">
        <v>1161</v>
      </c>
      <c r="L350" s="279">
        <v>-1000000</v>
      </c>
    </row>
    <row r="351" spans="1:12">
      <c r="A351" s="287">
        <v>350</v>
      </c>
      <c r="B351" s="277">
        <v>45786</v>
      </c>
      <c r="C351" s="284" t="s">
        <v>1351</v>
      </c>
      <c r="D351" s="278" t="s">
        <v>2204</v>
      </c>
      <c r="E351" s="284" t="s">
        <v>2050</v>
      </c>
      <c r="F351" s="284" t="s">
        <v>2204</v>
      </c>
      <c r="G351" s="279">
        <v>700000</v>
      </c>
      <c r="H351" s="284">
        <v>1</v>
      </c>
      <c r="K351" s="279">
        <v>700000</v>
      </c>
    </row>
    <row r="352" spans="1:12">
      <c r="A352" s="287">
        <v>351</v>
      </c>
      <c r="B352" s="277">
        <v>45786</v>
      </c>
      <c r="C352" s="284" t="s">
        <v>2101</v>
      </c>
      <c r="D352" s="278">
        <v>36050661</v>
      </c>
      <c r="E352" s="284" t="s">
        <v>2202</v>
      </c>
      <c r="F352" s="284">
        <v>36050661</v>
      </c>
      <c r="G352" s="279">
        <v>1200000</v>
      </c>
      <c r="H352" s="284">
        <v>1</v>
      </c>
      <c r="I352" s="280">
        <v>440000</v>
      </c>
      <c r="K352" s="279">
        <v>1200000</v>
      </c>
    </row>
    <row r="353" spans="1:12">
      <c r="A353" s="287">
        <v>352</v>
      </c>
      <c r="B353" s="277">
        <v>45786</v>
      </c>
      <c r="C353" s="284" t="s">
        <v>2443</v>
      </c>
      <c r="E353" s="284" t="s">
        <v>2444</v>
      </c>
      <c r="G353" s="279">
        <v>50000</v>
      </c>
      <c r="H353" s="284">
        <v>1</v>
      </c>
      <c r="I353" s="280">
        <v>35000</v>
      </c>
      <c r="K353" s="279">
        <v>50000</v>
      </c>
    </row>
    <row r="354" spans="1:12">
      <c r="A354" s="287">
        <v>353</v>
      </c>
      <c r="B354" s="277">
        <v>45786</v>
      </c>
      <c r="C354" s="284" t="s">
        <v>2443</v>
      </c>
      <c r="D354" s="278" t="s">
        <v>2445</v>
      </c>
      <c r="E354" s="284" t="s">
        <v>2446</v>
      </c>
      <c r="F354" s="284" t="s">
        <v>2445</v>
      </c>
      <c r="G354" s="279">
        <v>550000</v>
      </c>
      <c r="H354" s="284">
        <v>1</v>
      </c>
      <c r="K354" s="279">
        <v>550000</v>
      </c>
    </row>
    <row r="355" spans="1:12">
      <c r="A355" s="287">
        <v>354</v>
      </c>
      <c r="B355" s="277">
        <v>45787</v>
      </c>
      <c r="C355" s="284" t="s">
        <v>1866</v>
      </c>
      <c r="E355" s="284" t="s">
        <v>1161</v>
      </c>
      <c r="L355" s="279">
        <v>-1190000</v>
      </c>
    </row>
    <row r="356" spans="1:12">
      <c r="A356" s="287">
        <v>355</v>
      </c>
      <c r="B356" s="277">
        <v>45787</v>
      </c>
      <c r="C356" s="284" t="s">
        <v>1351</v>
      </c>
      <c r="E356" s="284" t="s">
        <v>1816</v>
      </c>
      <c r="L356" s="279">
        <v>-700000</v>
      </c>
    </row>
    <row r="357" spans="1:12">
      <c r="A357" s="287">
        <v>356</v>
      </c>
      <c r="B357" s="277">
        <v>45787</v>
      </c>
      <c r="C357" s="284" t="s">
        <v>2101</v>
      </c>
      <c r="E357" s="284" t="s">
        <v>1816</v>
      </c>
      <c r="L357" s="279">
        <v>-1200000</v>
      </c>
    </row>
    <row r="358" spans="1:12">
      <c r="A358" s="287">
        <v>357</v>
      </c>
      <c r="B358" s="277">
        <v>45787</v>
      </c>
      <c r="C358" s="284" t="s">
        <v>1866</v>
      </c>
      <c r="E358" s="284" t="s">
        <v>1816</v>
      </c>
      <c r="L358" s="279">
        <v>-558000</v>
      </c>
    </row>
    <row r="359" spans="1:12">
      <c r="A359" s="287">
        <v>358</v>
      </c>
      <c r="B359" s="277">
        <v>45789</v>
      </c>
      <c r="C359" s="284" t="s">
        <v>2408</v>
      </c>
      <c r="E359" s="284" t="s">
        <v>1541</v>
      </c>
      <c r="G359" s="279">
        <v>650000</v>
      </c>
      <c r="H359" s="284">
        <v>1</v>
      </c>
      <c r="J359" s="280">
        <v>65000</v>
      </c>
      <c r="K359" s="279">
        <v>715000</v>
      </c>
    </row>
    <row r="360" spans="1:12">
      <c r="A360" s="287">
        <v>359</v>
      </c>
      <c r="B360" s="277">
        <v>45789</v>
      </c>
      <c r="C360" s="284" t="s">
        <v>2408</v>
      </c>
      <c r="E360" s="284" t="s">
        <v>1161</v>
      </c>
      <c r="L360" s="279">
        <v>-715000</v>
      </c>
    </row>
    <row r="361" spans="1:12">
      <c r="A361" s="287">
        <v>360</v>
      </c>
      <c r="B361" s="277">
        <v>45789</v>
      </c>
      <c r="C361" s="284" t="s">
        <v>1490</v>
      </c>
      <c r="D361" s="278">
        <v>1068298046</v>
      </c>
      <c r="E361" s="284" t="s">
        <v>2185</v>
      </c>
      <c r="F361" s="284">
        <v>1068298046</v>
      </c>
      <c r="G361" s="279">
        <v>450000</v>
      </c>
      <c r="H361" s="284">
        <v>1</v>
      </c>
      <c r="K361" s="279">
        <v>450000</v>
      </c>
    </row>
    <row r="362" spans="1:12">
      <c r="A362" s="287">
        <v>361</v>
      </c>
      <c r="B362" s="277">
        <v>45789</v>
      </c>
      <c r="C362" s="284" t="s">
        <v>2063</v>
      </c>
      <c r="D362" s="278" t="s">
        <v>1822</v>
      </c>
      <c r="E362" s="284" t="s">
        <v>1241</v>
      </c>
      <c r="F362" s="284" t="s">
        <v>1822</v>
      </c>
      <c r="G362" s="279">
        <v>1300000</v>
      </c>
      <c r="H362" s="284">
        <v>1</v>
      </c>
      <c r="K362" s="279">
        <v>1300000</v>
      </c>
    </row>
    <row r="363" spans="1:12">
      <c r="A363" s="287">
        <v>362</v>
      </c>
      <c r="B363" s="277">
        <v>45789</v>
      </c>
      <c r="C363" s="284" t="s">
        <v>1647</v>
      </c>
      <c r="D363" s="278" t="s">
        <v>1245</v>
      </c>
      <c r="E363" s="284" t="s">
        <v>1246</v>
      </c>
      <c r="F363" s="284" t="s">
        <v>1245</v>
      </c>
      <c r="G363" s="279">
        <v>499091</v>
      </c>
      <c r="H363" s="284">
        <v>1</v>
      </c>
      <c r="I363" s="280">
        <v>480000</v>
      </c>
      <c r="J363" s="280">
        <v>49909</v>
      </c>
      <c r="K363" s="279">
        <v>549000</v>
      </c>
    </row>
    <row r="364" spans="1:12">
      <c r="A364" s="287">
        <v>363</v>
      </c>
      <c r="B364" s="277">
        <v>45789</v>
      </c>
      <c r="C364" s="284" t="s">
        <v>1500</v>
      </c>
      <c r="E364" s="284" t="s">
        <v>2221</v>
      </c>
      <c r="G364" s="279">
        <v>200000</v>
      </c>
      <c r="H364" s="284">
        <v>1</v>
      </c>
      <c r="K364" s="279">
        <v>200000</v>
      </c>
    </row>
    <row r="365" spans="1:12">
      <c r="A365" s="287">
        <v>364</v>
      </c>
      <c r="B365" s="277">
        <v>45789</v>
      </c>
      <c r="C365" s="284" t="s">
        <v>1500</v>
      </c>
      <c r="E365" s="284" t="s">
        <v>2222</v>
      </c>
      <c r="G365" s="279">
        <v>250000</v>
      </c>
      <c r="H365" s="284">
        <v>1</v>
      </c>
      <c r="K365" s="279">
        <v>250000</v>
      </c>
    </row>
    <row r="366" spans="1:12">
      <c r="A366" s="287">
        <v>365</v>
      </c>
      <c r="B366" s="277">
        <v>45789</v>
      </c>
      <c r="C366" s="284" t="s">
        <v>1183</v>
      </c>
      <c r="E366" s="284" t="s">
        <v>2224</v>
      </c>
      <c r="G366" s="279">
        <v>1100000</v>
      </c>
      <c r="H366" s="284">
        <v>1</v>
      </c>
      <c r="K366" s="279">
        <v>1100000</v>
      </c>
    </row>
    <row r="367" spans="1:12">
      <c r="A367" s="287">
        <v>366</v>
      </c>
      <c r="B367" s="277">
        <v>45789</v>
      </c>
      <c r="C367" s="284" t="s">
        <v>2228</v>
      </c>
      <c r="D367" s="278" t="s">
        <v>1239</v>
      </c>
      <c r="E367" s="284" t="s">
        <v>1701</v>
      </c>
      <c r="F367" s="284" t="s">
        <v>1239</v>
      </c>
      <c r="G367" s="279">
        <v>1500000</v>
      </c>
      <c r="H367" s="284">
        <v>1</v>
      </c>
      <c r="J367" s="280">
        <v>150000</v>
      </c>
      <c r="K367" s="279">
        <v>1650000</v>
      </c>
    </row>
    <row r="368" spans="1:12">
      <c r="A368" s="287">
        <v>367</v>
      </c>
      <c r="B368" s="277">
        <v>45789</v>
      </c>
      <c r="C368" s="284" t="s">
        <v>1445</v>
      </c>
      <c r="E368" s="284" t="s">
        <v>2232</v>
      </c>
      <c r="G368" s="279">
        <v>1650000</v>
      </c>
      <c r="H368" s="284">
        <v>1</v>
      </c>
      <c r="K368" s="279">
        <v>1650000</v>
      </c>
    </row>
    <row r="369" spans="1:12">
      <c r="A369" s="287">
        <v>368</v>
      </c>
      <c r="B369" s="277">
        <v>45790</v>
      </c>
      <c r="C369" s="284" t="s">
        <v>2228</v>
      </c>
      <c r="E369" s="284" t="s">
        <v>1161</v>
      </c>
      <c r="L369" s="279">
        <v>-1650000</v>
      </c>
    </row>
    <row r="370" spans="1:12">
      <c r="A370" s="287">
        <v>369</v>
      </c>
      <c r="B370" s="277">
        <v>45790</v>
      </c>
      <c r="C370" s="284" t="s">
        <v>1647</v>
      </c>
      <c r="E370" s="284" t="s">
        <v>1161</v>
      </c>
      <c r="L370" s="279">
        <v>-549000</v>
      </c>
    </row>
    <row r="371" spans="1:12">
      <c r="A371" s="287">
        <v>370</v>
      </c>
      <c r="B371" s="277">
        <v>45790</v>
      </c>
      <c r="C371" s="284" t="s">
        <v>1495</v>
      </c>
      <c r="E371" s="284" t="s">
        <v>1176</v>
      </c>
      <c r="G371" s="279">
        <v>1000000</v>
      </c>
      <c r="H371" s="284">
        <v>1</v>
      </c>
      <c r="K371" s="279">
        <v>1000000</v>
      </c>
    </row>
    <row r="372" spans="1:12">
      <c r="A372" s="287">
        <v>371</v>
      </c>
      <c r="B372" s="277">
        <v>45790</v>
      </c>
      <c r="C372" s="284" t="s">
        <v>1495</v>
      </c>
      <c r="D372" s="278">
        <v>1068298046</v>
      </c>
      <c r="E372" s="284" t="s">
        <v>2185</v>
      </c>
      <c r="F372" s="284">
        <v>1068298046</v>
      </c>
      <c r="G372" s="279">
        <v>450000</v>
      </c>
      <c r="H372" s="284">
        <v>1</v>
      </c>
      <c r="K372" s="279">
        <v>450000</v>
      </c>
    </row>
    <row r="373" spans="1:12">
      <c r="A373" s="287">
        <v>372</v>
      </c>
      <c r="B373" s="277">
        <v>45790</v>
      </c>
      <c r="C373" s="284" t="s">
        <v>2016</v>
      </c>
      <c r="D373" s="278">
        <v>1068298046</v>
      </c>
      <c r="E373" s="284" t="s">
        <v>2185</v>
      </c>
      <c r="F373" s="284">
        <v>1068298046</v>
      </c>
      <c r="G373" s="279">
        <v>500000</v>
      </c>
      <c r="H373" s="284">
        <v>1</v>
      </c>
      <c r="K373" s="279">
        <v>500000</v>
      </c>
    </row>
    <row r="374" spans="1:12">
      <c r="A374" s="287">
        <v>373</v>
      </c>
      <c r="B374" s="277">
        <v>45790</v>
      </c>
      <c r="C374" s="284" t="s">
        <v>2016</v>
      </c>
      <c r="D374" s="278">
        <v>24152333903</v>
      </c>
      <c r="E374" s="284" t="s">
        <v>1595</v>
      </c>
      <c r="F374" s="284">
        <v>24152333903</v>
      </c>
      <c r="G374" s="279">
        <v>50000</v>
      </c>
      <c r="H374" s="284">
        <v>1</v>
      </c>
      <c r="K374" s="279">
        <v>50000</v>
      </c>
    </row>
    <row r="375" spans="1:12">
      <c r="A375" s="287">
        <v>374</v>
      </c>
      <c r="B375" s="277">
        <v>45790</v>
      </c>
      <c r="C375" s="284" t="s">
        <v>2258</v>
      </c>
      <c r="D375" s="278" t="s">
        <v>2259</v>
      </c>
      <c r="E375" s="284" t="s">
        <v>2260</v>
      </c>
      <c r="F375" s="284" t="s">
        <v>2259</v>
      </c>
      <c r="G375" s="279">
        <v>200000</v>
      </c>
      <c r="H375" s="284">
        <v>1</v>
      </c>
      <c r="K375" s="279">
        <v>200000</v>
      </c>
    </row>
    <row r="376" spans="1:12">
      <c r="A376" s="287">
        <v>375</v>
      </c>
      <c r="B376" s="277">
        <v>45790</v>
      </c>
      <c r="C376" s="284" t="s">
        <v>1866</v>
      </c>
      <c r="D376" s="278" t="s">
        <v>1245</v>
      </c>
      <c r="E376" s="284" t="s">
        <v>1246</v>
      </c>
      <c r="F376" s="284" t="s">
        <v>1245</v>
      </c>
      <c r="G376" s="279">
        <v>549000</v>
      </c>
      <c r="H376" s="284">
        <v>1</v>
      </c>
      <c r="I376" s="280">
        <v>480000</v>
      </c>
      <c r="K376" s="279">
        <v>549000</v>
      </c>
    </row>
    <row r="377" spans="1:12">
      <c r="A377" s="287">
        <v>376</v>
      </c>
      <c r="B377" s="277">
        <v>45790</v>
      </c>
      <c r="C377" s="284" t="s">
        <v>2241</v>
      </c>
      <c r="D377" s="278">
        <v>7252703114</v>
      </c>
      <c r="E377" s="284" t="s">
        <v>1770</v>
      </c>
      <c r="F377" s="284">
        <v>7252703114</v>
      </c>
      <c r="G377" s="279">
        <v>129000</v>
      </c>
      <c r="H377" s="284">
        <v>1</v>
      </c>
      <c r="I377" s="280">
        <v>70000</v>
      </c>
      <c r="K377" s="279">
        <v>129000</v>
      </c>
    </row>
    <row r="378" spans="1:12">
      <c r="A378" s="287">
        <v>377</v>
      </c>
      <c r="B378" s="277">
        <v>45790</v>
      </c>
      <c r="C378" s="284" t="s">
        <v>2245</v>
      </c>
      <c r="D378" s="278">
        <v>2800802</v>
      </c>
      <c r="E378" s="284" t="s">
        <v>1785</v>
      </c>
      <c r="F378" s="284">
        <v>2800802</v>
      </c>
      <c r="G378" s="279">
        <v>150000</v>
      </c>
      <c r="H378" s="284">
        <v>3</v>
      </c>
      <c r="I378" s="280">
        <v>85000</v>
      </c>
      <c r="K378" s="279">
        <v>450000</v>
      </c>
    </row>
    <row r="379" spans="1:12">
      <c r="A379" s="287">
        <v>378</v>
      </c>
      <c r="B379" s="277">
        <v>45790</v>
      </c>
      <c r="C379" s="284" t="s">
        <v>1445</v>
      </c>
      <c r="E379" s="284" t="s">
        <v>2248</v>
      </c>
      <c r="G379" s="279">
        <v>1550000</v>
      </c>
      <c r="H379" s="284">
        <v>1</v>
      </c>
      <c r="K379" s="279">
        <v>1550000</v>
      </c>
    </row>
    <row r="380" spans="1:12">
      <c r="A380" s="287">
        <v>379</v>
      </c>
      <c r="B380" s="277">
        <v>45790</v>
      </c>
      <c r="C380" s="284" t="s">
        <v>1351</v>
      </c>
      <c r="E380" s="284" t="s">
        <v>2251</v>
      </c>
      <c r="G380" s="279">
        <v>990000</v>
      </c>
      <c r="H380" s="284">
        <v>1</v>
      </c>
      <c r="I380" s="280">
        <v>940000</v>
      </c>
      <c r="K380" s="279">
        <v>990000</v>
      </c>
    </row>
    <row r="381" spans="1:12">
      <c r="A381" s="287">
        <v>380</v>
      </c>
      <c r="B381" s="277">
        <v>45790</v>
      </c>
      <c r="C381" s="284" t="s">
        <v>2241</v>
      </c>
      <c r="E381" s="284" t="s">
        <v>1161</v>
      </c>
      <c r="L381" s="279">
        <v>-129000</v>
      </c>
    </row>
    <row r="382" spans="1:12">
      <c r="A382" s="287">
        <v>381</v>
      </c>
      <c r="B382" s="277">
        <v>45790</v>
      </c>
      <c r="C382" s="284" t="s">
        <v>1734</v>
      </c>
      <c r="E382" s="284" t="s">
        <v>2254</v>
      </c>
      <c r="G382" s="279">
        <v>1000000</v>
      </c>
      <c r="H382" s="284">
        <v>1</v>
      </c>
      <c r="J382" s="280">
        <v>100000</v>
      </c>
      <c r="K382" s="279">
        <v>1100000</v>
      </c>
    </row>
    <row r="383" spans="1:12">
      <c r="A383" s="287">
        <v>382</v>
      </c>
      <c r="B383" s="277">
        <v>45790</v>
      </c>
      <c r="C383" s="284" t="s">
        <v>1424</v>
      </c>
      <c r="E383" s="284" t="s">
        <v>2256</v>
      </c>
      <c r="G383" s="279">
        <v>1200000</v>
      </c>
      <c r="H383" s="284">
        <v>1</v>
      </c>
      <c r="K383" s="279">
        <v>1200000</v>
      </c>
    </row>
    <row r="384" spans="1:12">
      <c r="A384" s="287">
        <v>383</v>
      </c>
      <c r="B384" s="277">
        <v>45790</v>
      </c>
      <c r="C384" s="284" t="s">
        <v>2063</v>
      </c>
      <c r="E384" s="284" t="s">
        <v>1161</v>
      </c>
      <c r="L384" s="279">
        <v>-1300000</v>
      </c>
    </row>
    <row r="385" spans="1:12">
      <c r="A385" s="287">
        <v>384</v>
      </c>
      <c r="B385" s="277">
        <v>45791</v>
      </c>
      <c r="C385" s="284" t="s">
        <v>1424</v>
      </c>
      <c r="E385" s="284" t="s">
        <v>1161</v>
      </c>
      <c r="L385" s="279">
        <v>-1200000</v>
      </c>
    </row>
    <row r="386" spans="1:12">
      <c r="A386" s="287">
        <v>385</v>
      </c>
      <c r="B386" s="277">
        <v>45791</v>
      </c>
      <c r="C386" s="284" t="s">
        <v>1790</v>
      </c>
      <c r="E386" s="284" t="s">
        <v>2123</v>
      </c>
      <c r="G386" s="279">
        <v>1200000</v>
      </c>
      <c r="H386" s="284">
        <v>1</v>
      </c>
      <c r="K386" s="279">
        <v>1200000</v>
      </c>
    </row>
    <row r="387" spans="1:12">
      <c r="A387" s="287">
        <v>386</v>
      </c>
      <c r="B387" s="277">
        <v>45791</v>
      </c>
      <c r="C387" s="284" t="s">
        <v>1790</v>
      </c>
      <c r="E387" s="284" t="s">
        <v>2261</v>
      </c>
      <c r="G387" s="279">
        <v>150000</v>
      </c>
      <c r="H387" s="284">
        <v>1</v>
      </c>
      <c r="K387" s="279">
        <v>150000</v>
      </c>
    </row>
    <row r="388" spans="1:12">
      <c r="A388" s="287">
        <v>387</v>
      </c>
      <c r="B388" s="277">
        <v>45791</v>
      </c>
      <c r="C388" s="284" t="s">
        <v>1495</v>
      </c>
      <c r="E388" s="284" t="s">
        <v>1161</v>
      </c>
      <c r="L388" s="279">
        <v>-1450000</v>
      </c>
    </row>
    <row r="389" spans="1:12">
      <c r="A389" s="287">
        <v>388</v>
      </c>
      <c r="B389" s="277">
        <v>45791</v>
      </c>
      <c r="C389" s="284" t="s">
        <v>1351</v>
      </c>
      <c r="E389" s="284" t="s">
        <v>1161</v>
      </c>
      <c r="L389" s="279">
        <v>-990000</v>
      </c>
    </row>
    <row r="390" spans="1:12">
      <c r="A390" s="287">
        <v>389</v>
      </c>
      <c r="B390" s="277">
        <v>45791</v>
      </c>
      <c r="C390" s="284" t="s">
        <v>2268</v>
      </c>
      <c r="D390" s="278" t="s">
        <v>1254</v>
      </c>
      <c r="E390" s="284" t="s">
        <v>1165</v>
      </c>
      <c r="F390" s="284" t="s">
        <v>1510</v>
      </c>
      <c r="G390" s="279">
        <v>1500000</v>
      </c>
      <c r="H390" s="284">
        <v>1</v>
      </c>
      <c r="K390" s="279">
        <v>1500000</v>
      </c>
    </row>
    <row r="391" spans="1:12">
      <c r="A391" s="287">
        <v>390</v>
      </c>
      <c r="B391" s="277">
        <v>45791</v>
      </c>
      <c r="C391" s="284" t="s">
        <v>1030</v>
      </c>
      <c r="D391" s="278">
        <v>2295001282</v>
      </c>
      <c r="E391" s="284" t="s">
        <v>2657</v>
      </c>
      <c r="F391" s="284">
        <v>2295001282</v>
      </c>
      <c r="G391" s="279">
        <v>422000</v>
      </c>
      <c r="H391" s="284">
        <v>1</v>
      </c>
      <c r="K391" s="279">
        <v>422000</v>
      </c>
    </row>
    <row r="392" spans="1:12">
      <c r="A392" s="287">
        <v>391</v>
      </c>
      <c r="B392" s="277">
        <v>45791</v>
      </c>
      <c r="C392" s="284" t="s">
        <v>1866</v>
      </c>
      <c r="E392" s="284" t="s">
        <v>1813</v>
      </c>
      <c r="G392" s="279">
        <v>680000</v>
      </c>
      <c r="H392" s="284">
        <v>1</v>
      </c>
      <c r="K392" s="279">
        <v>680000</v>
      </c>
    </row>
    <row r="393" spans="1:12">
      <c r="A393" s="287">
        <v>392</v>
      </c>
      <c r="B393" s="277">
        <v>45791</v>
      </c>
      <c r="C393" s="284" t="s">
        <v>1647</v>
      </c>
      <c r="D393" s="278" t="s">
        <v>1406</v>
      </c>
      <c r="E393" s="284" t="s">
        <v>1241</v>
      </c>
      <c r="F393" s="284" t="s">
        <v>1406</v>
      </c>
      <c r="G393" s="279">
        <v>1000000</v>
      </c>
      <c r="H393" s="284">
        <v>1</v>
      </c>
      <c r="K393" s="279">
        <v>1000000</v>
      </c>
    </row>
    <row r="394" spans="1:12">
      <c r="A394" s="287">
        <v>393</v>
      </c>
      <c r="B394" s="277">
        <v>45792</v>
      </c>
      <c r="C394" s="284" t="s">
        <v>1647</v>
      </c>
      <c r="E394" s="284" t="s">
        <v>1161</v>
      </c>
      <c r="L394" s="279">
        <v>-1000000</v>
      </c>
    </row>
    <row r="395" spans="1:12">
      <c r="A395" s="287">
        <v>394</v>
      </c>
      <c r="B395" s="277">
        <v>45792</v>
      </c>
      <c r="C395" s="284" t="s">
        <v>1629</v>
      </c>
      <c r="D395" s="278" t="s">
        <v>1245</v>
      </c>
      <c r="E395" s="284" t="s">
        <v>2284</v>
      </c>
      <c r="F395" s="284" t="s">
        <v>1245</v>
      </c>
      <c r="G395" s="279">
        <v>499091</v>
      </c>
      <c r="H395" s="284">
        <v>1</v>
      </c>
      <c r="J395" s="280">
        <v>49909.100000000006</v>
      </c>
      <c r="K395" s="279">
        <v>549000.1</v>
      </c>
    </row>
    <row r="396" spans="1:12">
      <c r="A396" s="287">
        <v>395</v>
      </c>
      <c r="B396" s="277">
        <v>45792</v>
      </c>
      <c r="C396" s="284" t="s">
        <v>2180</v>
      </c>
      <c r="D396" s="278" t="s">
        <v>1239</v>
      </c>
      <c r="E396" s="284" t="s">
        <v>2277</v>
      </c>
      <c r="F396" s="284" t="s">
        <v>1239</v>
      </c>
      <c r="G396" s="279">
        <v>1500000</v>
      </c>
      <c r="H396" s="284">
        <v>1</v>
      </c>
      <c r="K396" s="279">
        <v>1500000</v>
      </c>
    </row>
    <row r="397" spans="1:12">
      <c r="A397" s="287">
        <v>396</v>
      </c>
      <c r="B397" s="277">
        <v>45792</v>
      </c>
      <c r="C397" s="284" t="s">
        <v>2180</v>
      </c>
      <c r="D397" s="278" t="s">
        <v>1879</v>
      </c>
      <c r="E397" s="284" t="s">
        <v>2278</v>
      </c>
      <c r="F397" s="284" t="s">
        <v>1879</v>
      </c>
      <c r="G397" s="279">
        <v>50000</v>
      </c>
      <c r="H397" s="284">
        <v>1</v>
      </c>
      <c r="I397" s="280">
        <v>33000</v>
      </c>
      <c r="K397" s="279">
        <v>50000</v>
      </c>
    </row>
    <row r="398" spans="1:12">
      <c r="A398" s="287">
        <v>397</v>
      </c>
      <c r="B398" s="277">
        <v>45792</v>
      </c>
      <c r="C398" s="284" t="s">
        <v>2180</v>
      </c>
      <c r="E398" s="284" t="s">
        <v>1161</v>
      </c>
      <c r="L398" s="279">
        <v>-1550000</v>
      </c>
    </row>
    <row r="399" spans="1:12">
      <c r="A399" s="287">
        <v>398</v>
      </c>
      <c r="B399" s="277">
        <v>45792</v>
      </c>
      <c r="C399" s="284" t="s">
        <v>1587</v>
      </c>
      <c r="E399" s="284" t="s">
        <v>2096</v>
      </c>
      <c r="G399" s="279">
        <v>2000000</v>
      </c>
      <c r="H399" s="284">
        <v>1</v>
      </c>
      <c r="K399" s="279">
        <v>2000000</v>
      </c>
    </row>
    <row r="400" spans="1:12">
      <c r="A400" s="287">
        <v>399</v>
      </c>
      <c r="B400" s="277">
        <v>45792</v>
      </c>
      <c r="C400" s="284" t="s">
        <v>2195</v>
      </c>
      <c r="E400" s="284" t="s">
        <v>1161</v>
      </c>
      <c r="L400" s="279">
        <v>-1000000</v>
      </c>
    </row>
    <row r="401" spans="1:12">
      <c r="A401" s="287">
        <v>400</v>
      </c>
      <c r="B401" s="277">
        <v>45792</v>
      </c>
      <c r="C401" s="284" t="s">
        <v>1817</v>
      </c>
      <c r="D401" s="278">
        <v>50229</v>
      </c>
      <c r="E401" s="284" t="s">
        <v>2287</v>
      </c>
      <c r="F401" s="284">
        <v>50229</v>
      </c>
      <c r="G401" s="279">
        <v>75000</v>
      </c>
      <c r="H401" s="61">
        <v>2</v>
      </c>
      <c r="J401" s="280">
        <v>15000</v>
      </c>
      <c r="K401" s="279">
        <v>165000</v>
      </c>
    </row>
    <row r="402" spans="1:12">
      <c r="A402" s="287">
        <v>401</v>
      </c>
      <c r="B402" s="277">
        <v>45792</v>
      </c>
      <c r="C402" s="284" t="s">
        <v>2314</v>
      </c>
      <c r="E402" s="284" t="s">
        <v>2312</v>
      </c>
      <c r="G402" s="279">
        <v>500000</v>
      </c>
      <c r="H402" s="284">
        <v>1</v>
      </c>
      <c r="J402" s="280">
        <v>50000</v>
      </c>
      <c r="K402" s="279">
        <v>550000</v>
      </c>
    </row>
    <row r="403" spans="1:12">
      <c r="A403" s="287">
        <v>402</v>
      </c>
      <c r="B403" s="277">
        <v>45792</v>
      </c>
      <c r="C403" s="284" t="s">
        <v>1955</v>
      </c>
      <c r="D403" s="278" t="s">
        <v>1239</v>
      </c>
      <c r="E403" s="284" t="s">
        <v>2277</v>
      </c>
      <c r="F403" s="284" t="s">
        <v>1239</v>
      </c>
      <c r="G403" s="279">
        <v>1500000</v>
      </c>
      <c r="H403" s="284">
        <v>1</v>
      </c>
      <c r="J403" s="280">
        <v>150000</v>
      </c>
      <c r="K403" s="279">
        <v>1650000</v>
      </c>
    </row>
    <row r="404" spans="1:12">
      <c r="A404" s="287">
        <v>403</v>
      </c>
      <c r="B404" s="277">
        <v>45792</v>
      </c>
      <c r="C404" s="284" t="s">
        <v>1955</v>
      </c>
      <c r="D404" s="278" t="s">
        <v>1879</v>
      </c>
      <c r="E404" s="284" t="s">
        <v>2278</v>
      </c>
      <c r="F404" s="284" t="s">
        <v>1879</v>
      </c>
      <c r="G404" s="279">
        <v>50000</v>
      </c>
      <c r="H404" s="284">
        <v>1</v>
      </c>
      <c r="I404" s="280">
        <v>33000</v>
      </c>
      <c r="J404" s="280">
        <v>5000</v>
      </c>
      <c r="K404" s="279">
        <v>55000</v>
      </c>
    </row>
    <row r="405" spans="1:12">
      <c r="A405" s="287">
        <v>404</v>
      </c>
      <c r="B405" s="277">
        <v>45792</v>
      </c>
      <c r="C405" s="284" t="s">
        <v>1955</v>
      </c>
      <c r="D405" s="278" t="s">
        <v>2316</v>
      </c>
      <c r="E405" s="284" t="s">
        <v>2279</v>
      </c>
      <c r="F405" s="284" t="s">
        <v>2316</v>
      </c>
      <c r="G405" s="279">
        <v>250000</v>
      </c>
      <c r="H405" s="284">
        <v>1</v>
      </c>
      <c r="I405" s="280">
        <v>45000</v>
      </c>
      <c r="J405" s="280">
        <v>25000</v>
      </c>
      <c r="K405" s="279">
        <v>275000</v>
      </c>
    </row>
    <row r="406" spans="1:12">
      <c r="A406" s="287">
        <v>405</v>
      </c>
      <c r="B406" s="277">
        <v>45793</v>
      </c>
      <c r="C406" s="284" t="s">
        <v>1955</v>
      </c>
      <c r="E406" s="284" t="s">
        <v>1161</v>
      </c>
      <c r="L406" s="279">
        <v>-1980000</v>
      </c>
    </row>
    <row r="407" spans="1:12">
      <c r="A407" s="287">
        <v>406</v>
      </c>
      <c r="B407" s="277">
        <v>45793</v>
      </c>
      <c r="C407" s="284" t="s">
        <v>2189</v>
      </c>
      <c r="D407" s="278" t="s">
        <v>2316</v>
      </c>
      <c r="E407" s="284" t="s">
        <v>2279</v>
      </c>
      <c r="F407" s="284" t="s">
        <v>2316</v>
      </c>
      <c r="G407" s="279">
        <v>250000</v>
      </c>
      <c r="H407" s="284">
        <v>1</v>
      </c>
      <c r="I407" s="280">
        <v>45000</v>
      </c>
      <c r="K407" s="279">
        <v>250000</v>
      </c>
    </row>
    <row r="408" spans="1:12">
      <c r="A408" s="287">
        <v>407</v>
      </c>
      <c r="B408" s="277">
        <v>45793</v>
      </c>
      <c r="C408" s="284" t="s">
        <v>2016</v>
      </c>
      <c r="E408" s="284" t="s">
        <v>1161</v>
      </c>
      <c r="L408" s="279">
        <v>-550000</v>
      </c>
    </row>
    <row r="409" spans="1:12">
      <c r="A409" s="287">
        <v>408</v>
      </c>
      <c r="B409" s="277">
        <v>45793</v>
      </c>
      <c r="C409" s="284" t="s">
        <v>1817</v>
      </c>
      <c r="D409" s="278">
        <v>50229</v>
      </c>
      <c r="E409" s="284" t="s">
        <v>2287</v>
      </c>
      <c r="F409" s="284">
        <v>50229</v>
      </c>
      <c r="G409" s="279">
        <v>75000</v>
      </c>
      <c r="H409" s="61">
        <v>2</v>
      </c>
      <c r="J409" s="280">
        <v>15000</v>
      </c>
      <c r="K409" s="279">
        <v>165000</v>
      </c>
    </row>
    <row r="410" spans="1:12">
      <c r="A410" s="287">
        <v>409</v>
      </c>
      <c r="B410" s="277">
        <v>45793</v>
      </c>
      <c r="C410" s="284" t="s">
        <v>1817</v>
      </c>
      <c r="D410" s="278" t="s">
        <v>1303</v>
      </c>
      <c r="E410" s="284" t="s">
        <v>2285</v>
      </c>
      <c r="F410" s="284" t="s">
        <v>1303</v>
      </c>
      <c r="G410" s="279">
        <v>130000</v>
      </c>
      <c r="H410" s="61">
        <v>1</v>
      </c>
      <c r="I410" s="280">
        <v>90000</v>
      </c>
      <c r="J410" s="280">
        <v>13000</v>
      </c>
      <c r="K410" s="279">
        <v>143000</v>
      </c>
    </row>
    <row r="411" spans="1:12">
      <c r="A411" s="287">
        <v>410</v>
      </c>
      <c r="B411" s="277">
        <v>45793</v>
      </c>
      <c r="C411" s="284" t="s">
        <v>1817</v>
      </c>
      <c r="D411" s="278" t="s">
        <v>1901</v>
      </c>
      <c r="E411" s="284" t="s">
        <v>2289</v>
      </c>
      <c r="F411" s="284" t="s">
        <v>1901</v>
      </c>
      <c r="G411" s="279">
        <v>10000</v>
      </c>
      <c r="H411" s="61">
        <v>2</v>
      </c>
      <c r="I411" s="280">
        <v>8500</v>
      </c>
      <c r="J411" s="280">
        <v>2000</v>
      </c>
      <c r="K411" s="279">
        <v>22000</v>
      </c>
    </row>
    <row r="412" spans="1:12">
      <c r="A412" s="287">
        <v>411</v>
      </c>
      <c r="B412" s="277">
        <v>45793</v>
      </c>
      <c r="C412" s="284" t="s">
        <v>1955</v>
      </c>
      <c r="E412" s="284" t="s">
        <v>2327</v>
      </c>
      <c r="G412" s="279">
        <v>150000</v>
      </c>
      <c r="H412" s="284">
        <v>1</v>
      </c>
      <c r="K412" s="279">
        <v>150000</v>
      </c>
    </row>
    <row r="413" spans="1:12">
      <c r="A413" s="287">
        <v>412</v>
      </c>
      <c r="B413" s="277">
        <v>45793</v>
      </c>
      <c r="C413" s="284" t="s">
        <v>1955</v>
      </c>
      <c r="E413" s="284" t="s">
        <v>1161</v>
      </c>
      <c r="L413" s="279">
        <v>-150000</v>
      </c>
    </row>
    <row r="414" spans="1:12">
      <c r="A414" s="287">
        <v>413</v>
      </c>
      <c r="B414" s="277">
        <v>45794</v>
      </c>
      <c r="C414" s="284" t="s">
        <v>1932</v>
      </c>
      <c r="E414" s="284" t="s">
        <v>2329</v>
      </c>
      <c r="G414" s="279">
        <v>150000</v>
      </c>
      <c r="H414" s="284">
        <v>1</v>
      </c>
      <c r="K414" s="279">
        <v>150000</v>
      </c>
    </row>
    <row r="415" spans="1:12">
      <c r="A415" s="287">
        <v>414</v>
      </c>
      <c r="B415" s="277">
        <v>45794</v>
      </c>
      <c r="C415" s="284" t="s">
        <v>1817</v>
      </c>
      <c r="E415" s="284" t="s">
        <v>1565</v>
      </c>
      <c r="G415" s="279">
        <v>20000</v>
      </c>
      <c r="H415" s="61">
        <v>1</v>
      </c>
      <c r="J415" s="280">
        <v>2000</v>
      </c>
      <c r="K415" s="279">
        <v>22000</v>
      </c>
    </row>
    <row r="416" spans="1:12">
      <c r="A416" s="287">
        <v>415</v>
      </c>
      <c r="B416" s="277">
        <v>45794</v>
      </c>
      <c r="C416" s="284" t="s">
        <v>1817</v>
      </c>
      <c r="E416" s="284" t="s">
        <v>1581</v>
      </c>
      <c r="G416" s="279">
        <v>450000</v>
      </c>
      <c r="H416" s="61">
        <v>1</v>
      </c>
      <c r="J416" s="280">
        <v>45000</v>
      </c>
      <c r="K416" s="279">
        <v>495000</v>
      </c>
    </row>
    <row r="417" spans="1:12">
      <c r="A417" s="287">
        <v>416</v>
      </c>
      <c r="B417" s="277">
        <v>45794</v>
      </c>
      <c r="C417" s="284" t="s">
        <v>1069</v>
      </c>
      <c r="E417" s="284" t="s">
        <v>1581</v>
      </c>
      <c r="G417" s="279">
        <v>450000</v>
      </c>
      <c r="H417" s="284">
        <v>1</v>
      </c>
      <c r="K417" s="279">
        <v>450000</v>
      </c>
    </row>
    <row r="418" spans="1:12">
      <c r="A418" s="287">
        <v>417</v>
      </c>
      <c r="B418" s="277">
        <v>45794</v>
      </c>
      <c r="C418" s="284" t="s">
        <v>2343</v>
      </c>
      <c r="D418" s="278">
        <v>1087298388</v>
      </c>
      <c r="E418" s="284" t="s">
        <v>2344</v>
      </c>
      <c r="F418" s="286">
        <v>1087298388</v>
      </c>
      <c r="G418" s="279">
        <v>550000</v>
      </c>
      <c r="H418" s="284">
        <v>1</v>
      </c>
      <c r="K418" s="279">
        <v>500000</v>
      </c>
    </row>
    <row r="419" spans="1:12">
      <c r="A419" s="287">
        <v>418</v>
      </c>
      <c r="B419" s="277">
        <v>45794</v>
      </c>
      <c r="C419" s="284" t="s">
        <v>2354</v>
      </c>
      <c r="D419" s="278" t="s">
        <v>2355</v>
      </c>
      <c r="E419" s="284" t="s">
        <v>2356</v>
      </c>
      <c r="F419" s="284" t="s">
        <v>2355</v>
      </c>
      <c r="G419" s="279">
        <v>1650000</v>
      </c>
      <c r="H419" s="284">
        <v>1</v>
      </c>
      <c r="J419" s="280">
        <v>165000</v>
      </c>
      <c r="K419" s="279">
        <v>1815000</v>
      </c>
    </row>
    <row r="420" spans="1:12">
      <c r="A420" s="287">
        <v>419</v>
      </c>
      <c r="B420" s="277">
        <v>45794</v>
      </c>
      <c r="C420" s="284" t="s">
        <v>1932</v>
      </c>
      <c r="E420" s="284" t="s">
        <v>1816</v>
      </c>
      <c r="L420" s="279">
        <v>-150000</v>
      </c>
    </row>
    <row r="421" spans="1:12">
      <c r="A421" s="287">
        <v>420</v>
      </c>
      <c r="B421" s="277">
        <v>45796</v>
      </c>
      <c r="C421" s="284" t="s">
        <v>1734</v>
      </c>
      <c r="E421" s="284" t="s">
        <v>1161</v>
      </c>
      <c r="L421" s="279">
        <v>-1100000</v>
      </c>
    </row>
    <row r="422" spans="1:12">
      <c r="A422" s="287">
        <v>421</v>
      </c>
      <c r="B422" s="277">
        <v>45796</v>
      </c>
      <c r="C422" s="284" t="s">
        <v>1515</v>
      </c>
      <c r="E422" s="284" t="s">
        <v>1161</v>
      </c>
      <c r="L422" s="279">
        <v>-200000</v>
      </c>
    </row>
    <row r="423" spans="1:12">
      <c r="A423" s="287">
        <v>422</v>
      </c>
      <c r="B423" s="277">
        <v>45796</v>
      </c>
      <c r="C423" s="284" t="s">
        <v>1790</v>
      </c>
      <c r="D423" s="278" t="s">
        <v>1239</v>
      </c>
      <c r="E423" s="284" t="s">
        <v>2277</v>
      </c>
      <c r="F423" s="284" t="s">
        <v>1239</v>
      </c>
      <c r="G423" s="279">
        <v>1500000</v>
      </c>
      <c r="H423" s="284">
        <v>1</v>
      </c>
      <c r="K423" s="279">
        <v>1500000</v>
      </c>
    </row>
    <row r="424" spans="1:12">
      <c r="A424" s="287">
        <v>423</v>
      </c>
      <c r="B424" s="277">
        <v>45796</v>
      </c>
      <c r="C424" s="284" t="s">
        <v>1790</v>
      </c>
      <c r="D424" s="278" t="s">
        <v>1879</v>
      </c>
      <c r="E424" s="284" t="s">
        <v>2278</v>
      </c>
      <c r="F424" s="284" t="s">
        <v>1879</v>
      </c>
      <c r="G424" s="279">
        <v>50000</v>
      </c>
      <c r="H424" s="284">
        <v>1</v>
      </c>
      <c r="I424" s="280">
        <v>33000</v>
      </c>
      <c r="K424" s="279">
        <v>50000</v>
      </c>
    </row>
    <row r="425" spans="1:12">
      <c r="A425" s="287">
        <v>424</v>
      </c>
      <c r="B425" s="277">
        <v>45796</v>
      </c>
      <c r="C425" s="284" t="s">
        <v>1790</v>
      </c>
      <c r="D425" s="278" t="s">
        <v>1788</v>
      </c>
      <c r="E425" s="284" t="s">
        <v>2280</v>
      </c>
      <c r="F425" s="284" t="s">
        <v>1788</v>
      </c>
      <c r="G425" s="279">
        <v>60000</v>
      </c>
      <c r="H425" s="284">
        <v>1</v>
      </c>
      <c r="I425" s="280">
        <v>40000</v>
      </c>
      <c r="K425" s="279">
        <v>60000</v>
      </c>
    </row>
    <row r="426" spans="1:12">
      <c r="A426" s="287">
        <v>425</v>
      </c>
      <c r="B426" s="277">
        <v>45796</v>
      </c>
      <c r="C426" s="284" t="s">
        <v>1790</v>
      </c>
      <c r="E426" s="284" t="s">
        <v>2340</v>
      </c>
      <c r="G426" s="279">
        <v>800000</v>
      </c>
      <c r="H426" s="284">
        <v>1</v>
      </c>
      <c r="K426" s="279">
        <v>800000</v>
      </c>
    </row>
    <row r="427" spans="1:12">
      <c r="A427" s="287">
        <v>426</v>
      </c>
      <c r="B427" s="277">
        <v>45796</v>
      </c>
      <c r="C427" s="284" t="s">
        <v>1437</v>
      </c>
      <c r="E427" s="284" t="s">
        <v>2123</v>
      </c>
      <c r="G427" s="279">
        <v>1100000</v>
      </c>
      <c r="H427" s="284">
        <v>1</v>
      </c>
      <c r="J427" s="280">
        <v>110000</v>
      </c>
      <c r="K427" s="279">
        <v>1210000</v>
      </c>
    </row>
    <row r="428" spans="1:12">
      <c r="A428" s="287">
        <v>427</v>
      </c>
      <c r="B428" s="277">
        <v>45796</v>
      </c>
      <c r="C428" s="284" t="s">
        <v>1490</v>
      </c>
      <c r="E428" s="284" t="s">
        <v>2345</v>
      </c>
      <c r="L428" s="279">
        <v>-600000</v>
      </c>
    </row>
    <row r="429" spans="1:12">
      <c r="A429" s="287">
        <v>428</v>
      </c>
      <c r="B429" s="277">
        <v>45796</v>
      </c>
      <c r="C429" s="284" t="s">
        <v>1183</v>
      </c>
      <c r="E429" s="284" t="s">
        <v>2346</v>
      </c>
      <c r="G429" s="279">
        <v>900000</v>
      </c>
      <c r="H429" s="284">
        <v>1</v>
      </c>
      <c r="K429" s="279">
        <v>900000</v>
      </c>
    </row>
    <row r="430" spans="1:12">
      <c r="A430" s="287">
        <v>429</v>
      </c>
      <c r="B430" s="277">
        <v>45796</v>
      </c>
      <c r="C430" s="284" t="s">
        <v>1069</v>
      </c>
      <c r="D430" s="278" t="s">
        <v>1822</v>
      </c>
      <c r="E430" s="284" t="s">
        <v>1241</v>
      </c>
      <c r="F430" s="284" t="s">
        <v>1822</v>
      </c>
      <c r="G430" s="279">
        <v>1200000</v>
      </c>
      <c r="H430" s="284">
        <v>1</v>
      </c>
      <c r="K430" s="279">
        <v>1200000</v>
      </c>
    </row>
    <row r="431" spans="1:12">
      <c r="A431" s="287">
        <v>430</v>
      </c>
      <c r="B431" s="277">
        <v>45796</v>
      </c>
      <c r="C431" s="284" t="s">
        <v>1069</v>
      </c>
      <c r="E431" s="284" t="s">
        <v>1161</v>
      </c>
      <c r="L431" s="279">
        <v>-1650000</v>
      </c>
    </row>
    <row r="432" spans="1:12">
      <c r="A432" s="287">
        <v>431</v>
      </c>
      <c r="B432" s="277">
        <v>45797</v>
      </c>
      <c r="C432" s="284" t="s">
        <v>1027</v>
      </c>
      <c r="D432" s="278" t="s">
        <v>1238</v>
      </c>
      <c r="E432" s="284" t="s">
        <v>2283</v>
      </c>
      <c r="F432" s="284" t="s">
        <v>1238</v>
      </c>
      <c r="G432" s="279">
        <v>800000</v>
      </c>
      <c r="H432" s="284">
        <v>1</v>
      </c>
      <c r="K432" s="279">
        <v>800000</v>
      </c>
    </row>
    <row r="433" spans="1:12">
      <c r="A433" s="287">
        <v>432</v>
      </c>
      <c r="B433" s="277">
        <v>45797</v>
      </c>
      <c r="C433" s="284" t="s">
        <v>2452</v>
      </c>
      <c r="D433" s="278" t="s">
        <v>2453</v>
      </c>
      <c r="E433" s="284" t="s">
        <v>2454</v>
      </c>
      <c r="F433" s="284" t="s">
        <v>2453</v>
      </c>
      <c r="G433" s="279">
        <v>1500000</v>
      </c>
      <c r="H433" s="284">
        <v>1</v>
      </c>
      <c r="J433" s="280">
        <v>150000</v>
      </c>
      <c r="K433" s="279">
        <v>1650000</v>
      </c>
    </row>
    <row r="434" spans="1:12">
      <c r="A434" s="287">
        <v>433</v>
      </c>
      <c r="B434" s="277">
        <v>45797</v>
      </c>
      <c r="C434" s="284" t="s">
        <v>1946</v>
      </c>
      <c r="D434" s="278" t="s">
        <v>1238</v>
      </c>
      <c r="E434" s="284" t="s">
        <v>2283</v>
      </c>
      <c r="F434" s="284" t="s">
        <v>1238</v>
      </c>
      <c r="G434" s="279">
        <v>900000</v>
      </c>
      <c r="H434" s="284">
        <v>1</v>
      </c>
      <c r="K434" s="279">
        <v>900000</v>
      </c>
    </row>
    <row r="435" spans="1:12">
      <c r="A435" s="287">
        <v>434</v>
      </c>
      <c r="B435" s="277">
        <v>45798</v>
      </c>
      <c r="C435" s="284" t="s">
        <v>2189</v>
      </c>
      <c r="E435" s="284" t="s">
        <v>1161</v>
      </c>
      <c r="L435" s="279">
        <v>-250000</v>
      </c>
    </row>
    <row r="436" spans="1:12">
      <c r="A436" s="287">
        <v>435</v>
      </c>
      <c r="B436" s="277">
        <v>45798</v>
      </c>
      <c r="C436" s="284" t="s">
        <v>2338</v>
      </c>
      <c r="E436" s="284" t="s">
        <v>1161</v>
      </c>
      <c r="L436" s="279">
        <v>-1815000</v>
      </c>
    </row>
    <row r="437" spans="1:12">
      <c r="A437" s="287">
        <v>436</v>
      </c>
      <c r="B437" s="277">
        <v>45798</v>
      </c>
      <c r="C437" s="284" t="s">
        <v>1437</v>
      </c>
      <c r="E437" s="284" t="s">
        <v>1161</v>
      </c>
      <c r="L437" s="279">
        <v>-1210000</v>
      </c>
    </row>
    <row r="438" spans="1:12">
      <c r="A438" s="287">
        <v>437</v>
      </c>
      <c r="B438" s="277">
        <v>45798</v>
      </c>
      <c r="C438" s="284" t="s">
        <v>1600</v>
      </c>
      <c r="E438" s="284" t="s">
        <v>2357</v>
      </c>
      <c r="G438" s="279">
        <v>900000</v>
      </c>
      <c r="H438" s="284">
        <v>1</v>
      </c>
      <c r="I438" s="280">
        <v>600000</v>
      </c>
      <c r="K438" s="279">
        <v>900000</v>
      </c>
    </row>
    <row r="439" spans="1:12">
      <c r="A439" s="287">
        <v>438</v>
      </c>
      <c r="B439" s="277">
        <v>45798</v>
      </c>
      <c r="C439" s="284" t="s">
        <v>2359</v>
      </c>
      <c r="D439" s="278" t="s">
        <v>1254</v>
      </c>
      <c r="E439" s="284" t="s">
        <v>2275</v>
      </c>
      <c r="F439" s="284" t="s">
        <v>1510</v>
      </c>
      <c r="G439" s="279">
        <v>1500000</v>
      </c>
      <c r="H439" s="284">
        <v>1</v>
      </c>
      <c r="K439" s="279">
        <v>1500000</v>
      </c>
    </row>
    <row r="440" spans="1:12">
      <c r="A440" s="287">
        <v>439</v>
      </c>
      <c r="B440" s="277">
        <v>45798</v>
      </c>
      <c r="C440" s="284" t="s">
        <v>1734</v>
      </c>
      <c r="D440" s="278" t="s">
        <v>2041</v>
      </c>
      <c r="E440" s="284" t="s">
        <v>2300</v>
      </c>
      <c r="F440" s="284" t="s">
        <v>2041</v>
      </c>
      <c r="G440" s="279">
        <v>1800000</v>
      </c>
      <c r="H440" s="284">
        <v>1</v>
      </c>
      <c r="J440" s="280">
        <v>180000</v>
      </c>
      <c r="K440" s="279">
        <v>1980000</v>
      </c>
    </row>
    <row r="441" spans="1:12">
      <c r="A441" s="287">
        <v>440</v>
      </c>
      <c r="B441" s="277">
        <v>45798</v>
      </c>
      <c r="C441" s="284" t="s">
        <v>1734</v>
      </c>
      <c r="D441" s="278" t="s">
        <v>1879</v>
      </c>
      <c r="E441" s="284" t="s">
        <v>2278</v>
      </c>
      <c r="F441" s="284" t="s">
        <v>1879</v>
      </c>
      <c r="G441" s="279">
        <v>50000</v>
      </c>
      <c r="H441" s="284">
        <v>1</v>
      </c>
      <c r="I441" s="280">
        <v>33000</v>
      </c>
      <c r="J441" s="280">
        <v>5000</v>
      </c>
      <c r="K441" s="279">
        <v>55000</v>
      </c>
    </row>
    <row r="442" spans="1:12">
      <c r="A442" s="287">
        <v>441</v>
      </c>
      <c r="B442" s="277">
        <v>45798</v>
      </c>
      <c r="C442" s="284" t="s">
        <v>1734</v>
      </c>
      <c r="E442" s="284" t="s">
        <v>2301</v>
      </c>
      <c r="G442" s="279">
        <v>150000</v>
      </c>
      <c r="H442" s="284">
        <v>1</v>
      </c>
      <c r="J442" s="280">
        <v>15000</v>
      </c>
      <c r="K442" s="279">
        <v>165000</v>
      </c>
    </row>
    <row r="443" spans="1:12">
      <c r="A443" s="287">
        <v>442</v>
      </c>
      <c r="B443" s="277">
        <v>45798</v>
      </c>
      <c r="C443" s="284" t="s">
        <v>2362</v>
      </c>
      <c r="D443" s="278" t="s">
        <v>1239</v>
      </c>
      <c r="E443" s="284" t="s">
        <v>2277</v>
      </c>
      <c r="F443" s="284" t="s">
        <v>1239</v>
      </c>
      <c r="G443" s="279">
        <v>1500000</v>
      </c>
      <c r="H443" s="284">
        <v>1</v>
      </c>
      <c r="K443" s="279">
        <v>1500000</v>
      </c>
    </row>
    <row r="444" spans="1:12">
      <c r="A444" s="287">
        <v>443</v>
      </c>
      <c r="B444" s="277">
        <v>45798</v>
      </c>
      <c r="C444" s="284" t="s">
        <v>2362</v>
      </c>
      <c r="D444" s="278" t="s">
        <v>1879</v>
      </c>
      <c r="E444" s="284" t="s">
        <v>2278</v>
      </c>
      <c r="F444" s="284" t="s">
        <v>1879</v>
      </c>
      <c r="G444" s="279">
        <v>50000</v>
      </c>
      <c r="H444" s="284">
        <v>1</v>
      </c>
      <c r="I444" s="280">
        <v>33000</v>
      </c>
      <c r="K444" s="279">
        <v>50000</v>
      </c>
    </row>
    <row r="445" spans="1:12">
      <c r="A445" s="287">
        <v>444</v>
      </c>
      <c r="B445" s="277">
        <v>45798</v>
      </c>
      <c r="C445" s="284" t="s">
        <v>1946</v>
      </c>
      <c r="D445" s="278" t="s">
        <v>1239</v>
      </c>
      <c r="E445" s="284" t="s">
        <v>2277</v>
      </c>
      <c r="F445" s="284" t="s">
        <v>1239</v>
      </c>
      <c r="G445" s="279">
        <v>1500000</v>
      </c>
      <c r="H445" s="284">
        <v>1</v>
      </c>
      <c r="K445" s="279">
        <v>1500000</v>
      </c>
    </row>
    <row r="446" spans="1:12">
      <c r="A446" s="287">
        <v>445</v>
      </c>
      <c r="B446" s="277">
        <v>45798</v>
      </c>
      <c r="C446" s="284" t="s">
        <v>1946</v>
      </c>
      <c r="D446" s="278" t="s">
        <v>1879</v>
      </c>
      <c r="E446" s="284" t="s">
        <v>2278</v>
      </c>
      <c r="F446" s="284" t="s">
        <v>1879</v>
      </c>
      <c r="G446" s="279">
        <v>50000</v>
      </c>
      <c r="H446" s="284">
        <v>1</v>
      </c>
      <c r="I446" s="280">
        <v>33000</v>
      </c>
      <c r="K446" s="279">
        <v>50000</v>
      </c>
    </row>
    <row r="447" spans="1:12">
      <c r="A447" s="287">
        <v>446</v>
      </c>
      <c r="B447" s="277">
        <v>45798</v>
      </c>
      <c r="C447" s="284" t="s">
        <v>2362</v>
      </c>
      <c r="E447" s="284" t="s">
        <v>1161</v>
      </c>
      <c r="L447" s="279">
        <v>-1550000</v>
      </c>
    </row>
    <row r="448" spans="1:12">
      <c r="A448" s="287">
        <v>447</v>
      </c>
      <c r="B448" s="277">
        <v>45798</v>
      </c>
      <c r="C448" s="284" t="s">
        <v>2359</v>
      </c>
      <c r="E448" s="284" t="s">
        <v>1161</v>
      </c>
      <c r="L448" s="279">
        <v>-1500000</v>
      </c>
    </row>
    <row r="449" spans="1:12">
      <c r="A449" s="287">
        <v>448</v>
      </c>
      <c r="B449" s="277">
        <v>45798</v>
      </c>
      <c r="C449" s="284" t="s">
        <v>1500</v>
      </c>
      <c r="E449" s="284" t="s">
        <v>1161</v>
      </c>
      <c r="L449" s="279">
        <v>-450000</v>
      </c>
    </row>
    <row r="450" spans="1:12">
      <c r="A450" s="287">
        <v>449</v>
      </c>
      <c r="B450" s="277">
        <v>45798</v>
      </c>
      <c r="C450" s="284" t="s">
        <v>1019</v>
      </c>
      <c r="E450" s="284" t="s">
        <v>1161</v>
      </c>
      <c r="L450" s="279">
        <v>-140000</v>
      </c>
    </row>
    <row r="451" spans="1:12">
      <c r="A451" s="287">
        <v>450</v>
      </c>
      <c r="B451" s="277">
        <v>45799</v>
      </c>
      <c r="C451" s="284" t="s">
        <v>1445</v>
      </c>
      <c r="D451" s="278">
        <v>7252703114</v>
      </c>
      <c r="E451" s="284" t="s">
        <v>1770</v>
      </c>
      <c r="F451" s="284">
        <v>7252703114</v>
      </c>
      <c r="G451" s="279">
        <v>129000</v>
      </c>
      <c r="H451" s="284">
        <v>1</v>
      </c>
      <c r="I451" s="280">
        <v>70000</v>
      </c>
      <c r="K451" s="279">
        <v>129000</v>
      </c>
    </row>
    <row r="452" spans="1:12">
      <c r="A452" s="287">
        <v>451</v>
      </c>
      <c r="B452" s="277">
        <v>45799</v>
      </c>
      <c r="C452" s="284" t="s">
        <v>1069</v>
      </c>
      <c r="E452" s="284" t="s">
        <v>1581</v>
      </c>
      <c r="G452" s="279">
        <v>450000</v>
      </c>
      <c r="H452" s="284">
        <v>1</v>
      </c>
      <c r="K452" s="279">
        <v>450000</v>
      </c>
    </row>
    <row r="453" spans="1:12">
      <c r="A453" s="287">
        <v>452</v>
      </c>
      <c r="B453" s="277">
        <v>45799</v>
      </c>
      <c r="C453" s="284" t="s">
        <v>1600</v>
      </c>
      <c r="D453" s="278" t="s">
        <v>1309</v>
      </c>
      <c r="E453" s="284" t="s">
        <v>1310</v>
      </c>
      <c r="F453" s="284" t="s">
        <v>1309</v>
      </c>
      <c r="G453" s="279">
        <v>50000</v>
      </c>
      <c r="H453" s="284">
        <v>5</v>
      </c>
      <c r="K453" s="279">
        <v>250000</v>
      </c>
    </row>
    <row r="454" spans="1:12">
      <c r="A454" s="287">
        <v>453</v>
      </c>
      <c r="B454" s="277">
        <v>45799</v>
      </c>
      <c r="C454" s="284" t="s">
        <v>1495</v>
      </c>
      <c r="D454" s="278" t="s">
        <v>1236</v>
      </c>
      <c r="E454" s="284" t="s">
        <v>2368</v>
      </c>
      <c r="F454" s="284" t="s">
        <v>1236</v>
      </c>
      <c r="G454" s="279">
        <v>100000</v>
      </c>
      <c r="H454" s="284">
        <v>1</v>
      </c>
      <c r="K454" s="279">
        <v>100000</v>
      </c>
    </row>
    <row r="455" spans="1:12">
      <c r="A455" s="287">
        <v>454</v>
      </c>
      <c r="B455" s="277">
        <v>45799</v>
      </c>
      <c r="C455" s="284" t="s">
        <v>1525</v>
      </c>
      <c r="E455" s="284" t="s">
        <v>1813</v>
      </c>
      <c r="G455" s="279">
        <v>1100000</v>
      </c>
      <c r="H455" s="284">
        <v>1</v>
      </c>
      <c r="K455" s="279">
        <v>1100000</v>
      </c>
    </row>
    <row r="456" spans="1:12">
      <c r="A456" s="287">
        <v>455</v>
      </c>
      <c r="B456" s="277">
        <v>45799</v>
      </c>
      <c r="C456" s="284" t="s">
        <v>1069</v>
      </c>
      <c r="E456" s="284" t="s">
        <v>1161</v>
      </c>
      <c r="L456" s="279">
        <v>-450000</v>
      </c>
    </row>
    <row r="457" spans="1:12">
      <c r="A457" s="287">
        <v>456</v>
      </c>
      <c r="B457" s="277">
        <v>45800</v>
      </c>
      <c r="C457" s="284" t="s">
        <v>1495</v>
      </c>
      <c r="E457" s="284" t="s">
        <v>1161</v>
      </c>
      <c r="L457" s="279">
        <v>-100000</v>
      </c>
    </row>
    <row r="458" spans="1:12">
      <c r="A458" s="287">
        <v>457</v>
      </c>
      <c r="B458" s="277">
        <v>45800</v>
      </c>
      <c r="C458" s="284" t="s">
        <v>1069</v>
      </c>
      <c r="D458" s="278" t="s">
        <v>1242</v>
      </c>
      <c r="E458" s="284" t="s">
        <v>1243</v>
      </c>
      <c r="F458" s="284" t="s">
        <v>1242</v>
      </c>
      <c r="G458" s="279">
        <v>1200000</v>
      </c>
      <c r="H458" s="284">
        <v>1</v>
      </c>
      <c r="K458" s="279">
        <v>1200000</v>
      </c>
    </row>
    <row r="459" spans="1:12">
      <c r="A459" s="287">
        <v>458</v>
      </c>
      <c r="B459" s="277">
        <v>45800</v>
      </c>
      <c r="C459" s="284" t="s">
        <v>2561</v>
      </c>
      <c r="E459" s="284" t="s">
        <v>1787</v>
      </c>
      <c r="G459" s="279">
        <v>250000</v>
      </c>
      <c r="H459" s="284">
        <v>1</v>
      </c>
      <c r="J459" s="280">
        <v>25000</v>
      </c>
      <c r="K459" s="279">
        <v>275000</v>
      </c>
    </row>
    <row r="460" spans="1:12">
      <c r="A460" s="287">
        <v>459</v>
      </c>
      <c r="B460" s="277">
        <v>45800</v>
      </c>
      <c r="C460" s="284" t="s">
        <v>1790</v>
      </c>
      <c r="D460" s="278">
        <v>4150862090</v>
      </c>
      <c r="E460" s="284" t="s">
        <v>2657</v>
      </c>
      <c r="F460" s="284">
        <v>4150862090</v>
      </c>
      <c r="G460" s="279">
        <v>445000</v>
      </c>
      <c r="H460" s="284">
        <v>1</v>
      </c>
      <c r="K460" s="279">
        <v>445000</v>
      </c>
    </row>
    <row r="461" spans="1:12">
      <c r="A461" s="287">
        <v>460</v>
      </c>
      <c r="B461" s="277">
        <v>45801</v>
      </c>
      <c r="C461" s="284" t="s">
        <v>1498</v>
      </c>
      <c r="E461" s="284" t="s">
        <v>1814</v>
      </c>
      <c r="G461" s="279">
        <v>1650000</v>
      </c>
      <c r="H461" s="284">
        <v>1</v>
      </c>
      <c r="J461" s="280">
        <v>165000</v>
      </c>
      <c r="K461" s="279">
        <v>1815000</v>
      </c>
    </row>
    <row r="462" spans="1:12">
      <c r="A462" s="287">
        <v>461</v>
      </c>
      <c r="B462" s="277">
        <v>45801</v>
      </c>
      <c r="C462" s="284" t="s">
        <v>1030</v>
      </c>
      <c r="D462" s="278">
        <v>4150862090</v>
      </c>
      <c r="E462" s="284" t="s">
        <v>2657</v>
      </c>
      <c r="F462" s="284">
        <v>4150862090</v>
      </c>
      <c r="G462" s="279">
        <v>450000</v>
      </c>
      <c r="H462" s="284">
        <v>1</v>
      </c>
      <c r="K462" s="279">
        <v>450000</v>
      </c>
    </row>
    <row r="463" spans="1:12">
      <c r="A463" s="287">
        <v>462</v>
      </c>
      <c r="B463" s="277">
        <v>45801</v>
      </c>
      <c r="C463" s="284" t="s">
        <v>1030</v>
      </c>
      <c r="D463" s="278">
        <v>50229</v>
      </c>
      <c r="E463" s="284" t="s">
        <v>2287</v>
      </c>
      <c r="F463" s="284">
        <v>50229</v>
      </c>
      <c r="G463" s="279">
        <v>75000</v>
      </c>
      <c r="H463" s="284">
        <v>1</v>
      </c>
      <c r="K463" s="279">
        <v>75000</v>
      </c>
    </row>
    <row r="464" spans="1:12">
      <c r="A464" s="287">
        <v>463</v>
      </c>
      <c r="B464" s="277">
        <v>45801</v>
      </c>
      <c r="C464" s="284" t="s">
        <v>1030</v>
      </c>
      <c r="E464" s="284" t="s">
        <v>2281</v>
      </c>
      <c r="G464" s="279">
        <v>35000</v>
      </c>
      <c r="H464" s="284">
        <v>1</v>
      </c>
      <c r="K464" s="279">
        <v>35000</v>
      </c>
    </row>
    <row r="465" spans="1:12">
      <c r="A465" s="287">
        <v>464</v>
      </c>
      <c r="B465" s="277">
        <v>45801</v>
      </c>
      <c r="C465" s="284" t="s">
        <v>1030</v>
      </c>
      <c r="D465" s="278" t="s">
        <v>1901</v>
      </c>
      <c r="E465" s="284" t="s">
        <v>2289</v>
      </c>
      <c r="F465" s="284" t="s">
        <v>1901</v>
      </c>
      <c r="G465" s="279">
        <v>10000</v>
      </c>
      <c r="H465" s="284">
        <v>2</v>
      </c>
      <c r="I465" s="280">
        <v>8500</v>
      </c>
      <c r="K465" s="279">
        <v>20000</v>
      </c>
    </row>
    <row r="466" spans="1:12">
      <c r="A466" s="287">
        <v>465</v>
      </c>
      <c r="B466" s="277">
        <v>45801</v>
      </c>
      <c r="C466" s="284" t="s">
        <v>1590</v>
      </c>
      <c r="E466" s="284" t="s">
        <v>2391</v>
      </c>
      <c r="G466" s="279">
        <v>1600000</v>
      </c>
      <c r="H466" s="284">
        <v>1</v>
      </c>
      <c r="K466" s="279">
        <v>1600000</v>
      </c>
    </row>
    <row r="467" spans="1:12">
      <c r="A467" s="287">
        <v>466</v>
      </c>
      <c r="B467" s="277">
        <v>45801</v>
      </c>
      <c r="C467" s="284" t="s">
        <v>1590</v>
      </c>
      <c r="E467" s="284" t="s">
        <v>1816</v>
      </c>
      <c r="L467" s="279">
        <v>-1600000</v>
      </c>
    </row>
    <row r="468" spans="1:12">
      <c r="A468" s="287">
        <v>467</v>
      </c>
      <c r="B468" s="277">
        <v>45803</v>
      </c>
      <c r="C468" s="284" t="s">
        <v>1600</v>
      </c>
      <c r="E468" s="284" t="s">
        <v>1161</v>
      </c>
      <c r="L468" s="279">
        <v>-900000</v>
      </c>
    </row>
    <row r="469" spans="1:12">
      <c r="A469" s="287">
        <v>468</v>
      </c>
      <c r="B469" s="277">
        <v>45803</v>
      </c>
      <c r="C469" s="284" t="s">
        <v>2393</v>
      </c>
      <c r="D469" s="278" t="s">
        <v>1236</v>
      </c>
      <c r="E469" s="284" t="s">
        <v>2295</v>
      </c>
      <c r="F469" s="284" t="s">
        <v>1236</v>
      </c>
      <c r="G469" s="279">
        <v>1000000</v>
      </c>
      <c r="H469" s="284">
        <v>1</v>
      </c>
      <c r="J469" s="280">
        <v>100000</v>
      </c>
      <c r="K469" s="279">
        <v>1100000</v>
      </c>
    </row>
    <row r="470" spans="1:12">
      <c r="A470" s="287">
        <v>469</v>
      </c>
      <c r="B470" s="277">
        <v>45803</v>
      </c>
      <c r="C470" s="284" t="s">
        <v>2393</v>
      </c>
      <c r="E470" s="284" t="s">
        <v>1161</v>
      </c>
      <c r="L470" s="279">
        <v>-1100000</v>
      </c>
    </row>
    <row r="471" spans="1:12">
      <c r="A471" s="287">
        <v>470</v>
      </c>
      <c r="B471" s="277">
        <v>45803</v>
      </c>
      <c r="C471" s="284" t="s">
        <v>1183</v>
      </c>
      <c r="E471" s="284" t="s">
        <v>1161</v>
      </c>
      <c r="L471" s="279">
        <v>-2000000</v>
      </c>
    </row>
    <row r="472" spans="1:12">
      <c r="A472" s="287">
        <v>471</v>
      </c>
      <c r="B472" s="277">
        <v>45803</v>
      </c>
      <c r="C472" s="284" t="s">
        <v>1445</v>
      </c>
      <c r="E472" s="284" t="s">
        <v>1813</v>
      </c>
      <c r="G472" s="279">
        <v>650000</v>
      </c>
      <c r="H472" s="284">
        <v>1</v>
      </c>
      <c r="K472" s="279">
        <v>650000</v>
      </c>
    </row>
    <row r="473" spans="1:12">
      <c r="A473" s="287">
        <v>472</v>
      </c>
      <c r="B473" s="277">
        <v>45803</v>
      </c>
      <c r="C473" s="284" t="s">
        <v>1600</v>
      </c>
      <c r="E473" s="284" t="s">
        <v>1161</v>
      </c>
      <c r="L473" s="279">
        <v>-250000</v>
      </c>
    </row>
    <row r="474" spans="1:12">
      <c r="A474" s="287">
        <v>473</v>
      </c>
      <c r="B474" s="277">
        <v>45803</v>
      </c>
      <c r="C474" s="284" t="s">
        <v>1734</v>
      </c>
      <c r="E474" s="284" t="s">
        <v>1161</v>
      </c>
      <c r="L474" s="279">
        <v>-2550000</v>
      </c>
    </row>
    <row r="475" spans="1:12">
      <c r="A475" s="287">
        <v>474</v>
      </c>
      <c r="B475" s="277">
        <v>45803</v>
      </c>
      <c r="C475" s="284" t="s">
        <v>1027</v>
      </c>
      <c r="E475" s="284" t="s">
        <v>1161</v>
      </c>
      <c r="L475" s="279">
        <v>-1350000</v>
      </c>
    </row>
    <row r="476" spans="1:12">
      <c r="A476" s="287">
        <v>475</v>
      </c>
      <c r="B476" s="277">
        <v>45803</v>
      </c>
      <c r="C476" s="284" t="s">
        <v>1626</v>
      </c>
      <c r="D476" s="278" t="s">
        <v>1245</v>
      </c>
      <c r="E476" s="284" t="s">
        <v>2284</v>
      </c>
      <c r="F476" s="284" t="s">
        <v>1245</v>
      </c>
      <c r="G476" s="279">
        <v>517273</v>
      </c>
      <c r="H476" s="284">
        <v>1</v>
      </c>
      <c r="I476" s="280">
        <v>480000</v>
      </c>
      <c r="J476" s="280">
        <v>51727</v>
      </c>
      <c r="K476" s="279">
        <v>569000</v>
      </c>
    </row>
    <row r="477" spans="1:12">
      <c r="A477" s="287">
        <v>476</v>
      </c>
      <c r="B477" s="277">
        <v>45803</v>
      </c>
      <c r="C477" s="284" t="s">
        <v>1626</v>
      </c>
      <c r="D477" s="278">
        <v>50229</v>
      </c>
      <c r="E477" s="284" t="s">
        <v>2287</v>
      </c>
      <c r="F477" s="284">
        <v>50229</v>
      </c>
      <c r="G477" s="279">
        <v>72728</v>
      </c>
      <c r="H477" s="284">
        <v>1</v>
      </c>
      <c r="J477" s="280">
        <v>7272.8</v>
      </c>
      <c r="K477" s="279">
        <v>80000</v>
      </c>
    </row>
    <row r="478" spans="1:12">
      <c r="A478" s="287">
        <v>477</v>
      </c>
      <c r="B478" s="277">
        <v>45803</v>
      </c>
      <c r="C478" s="284" t="s">
        <v>1626</v>
      </c>
      <c r="D478" s="278" t="s">
        <v>1871</v>
      </c>
      <c r="E478" s="284" t="s">
        <v>2288</v>
      </c>
      <c r="F478" s="284" t="s">
        <v>1871</v>
      </c>
      <c r="G478" s="279">
        <v>32000</v>
      </c>
      <c r="H478" s="284">
        <v>1</v>
      </c>
      <c r="I478" s="280">
        <v>16000</v>
      </c>
      <c r="J478" s="280">
        <v>3200</v>
      </c>
      <c r="K478" s="279">
        <v>35000</v>
      </c>
    </row>
    <row r="479" spans="1:12">
      <c r="A479" s="287">
        <v>478</v>
      </c>
      <c r="B479" s="277">
        <v>45803</v>
      </c>
      <c r="C479" s="284" t="s">
        <v>2408</v>
      </c>
      <c r="D479" s="278" t="s">
        <v>1822</v>
      </c>
      <c r="E479" s="284" t="s">
        <v>2401</v>
      </c>
      <c r="F479" s="284" t="s">
        <v>1822</v>
      </c>
      <c r="G479" s="279">
        <v>650000</v>
      </c>
      <c r="H479" s="284">
        <v>1</v>
      </c>
      <c r="J479" s="280">
        <v>65000</v>
      </c>
      <c r="K479" s="279">
        <v>715000</v>
      </c>
    </row>
    <row r="480" spans="1:12">
      <c r="A480" s="287">
        <v>479</v>
      </c>
      <c r="B480" s="277">
        <v>45803</v>
      </c>
      <c r="C480" s="284" t="s">
        <v>2408</v>
      </c>
      <c r="E480" s="284" t="s">
        <v>1542</v>
      </c>
      <c r="G480" s="279">
        <v>350000</v>
      </c>
      <c r="H480" s="284">
        <v>1</v>
      </c>
      <c r="J480" s="280">
        <v>35000</v>
      </c>
      <c r="K480" s="279">
        <v>385000</v>
      </c>
    </row>
    <row r="481" spans="1:12">
      <c r="A481" s="287">
        <v>480</v>
      </c>
      <c r="B481" s="277">
        <v>45803</v>
      </c>
      <c r="C481" s="284" t="s">
        <v>1030</v>
      </c>
      <c r="D481" s="278" t="s">
        <v>1303</v>
      </c>
      <c r="E481" s="284" t="s">
        <v>2285</v>
      </c>
      <c r="F481" s="284" t="s">
        <v>1303</v>
      </c>
      <c r="G481" s="279">
        <v>130000</v>
      </c>
      <c r="H481" s="284">
        <v>2</v>
      </c>
      <c r="I481" s="280">
        <v>90000</v>
      </c>
      <c r="K481" s="279">
        <v>260000</v>
      </c>
    </row>
    <row r="482" spans="1:12">
      <c r="A482" s="287">
        <v>481</v>
      </c>
      <c r="B482" s="277">
        <v>45803</v>
      </c>
      <c r="C482" s="284" t="s">
        <v>1734</v>
      </c>
      <c r="E482" s="284" t="s">
        <v>1542</v>
      </c>
      <c r="G482" s="279">
        <v>350000</v>
      </c>
      <c r="H482" s="284">
        <v>1</v>
      </c>
      <c r="J482" s="280">
        <v>35000</v>
      </c>
      <c r="K482" s="279">
        <v>385000</v>
      </c>
    </row>
    <row r="483" spans="1:12">
      <c r="A483" s="287">
        <v>482</v>
      </c>
      <c r="B483" s="277">
        <v>45804</v>
      </c>
      <c r="C483" s="284" t="s">
        <v>1946</v>
      </c>
      <c r="E483" s="284" t="s">
        <v>1161</v>
      </c>
      <c r="L483" s="279">
        <v>-2450000</v>
      </c>
    </row>
    <row r="484" spans="1:12">
      <c r="A484" s="287">
        <v>483</v>
      </c>
      <c r="B484" s="277">
        <v>45803</v>
      </c>
      <c r="C484" s="284" t="s">
        <v>1635</v>
      </c>
      <c r="D484" s="278" t="s">
        <v>1254</v>
      </c>
      <c r="E484" s="284" t="s">
        <v>2275</v>
      </c>
      <c r="F484" s="284" t="s">
        <v>1510</v>
      </c>
      <c r="G484" s="279">
        <v>1500000</v>
      </c>
      <c r="H484" s="284">
        <v>1</v>
      </c>
      <c r="J484" s="280">
        <v>150000</v>
      </c>
      <c r="K484" s="279">
        <v>1650000</v>
      </c>
    </row>
    <row r="485" spans="1:12">
      <c r="A485" s="287">
        <v>484</v>
      </c>
      <c r="B485" s="277">
        <v>45804</v>
      </c>
      <c r="C485" s="284" t="s">
        <v>2408</v>
      </c>
      <c r="E485" s="284" t="s">
        <v>1161</v>
      </c>
      <c r="L485" s="279">
        <v>-1100000</v>
      </c>
    </row>
    <row r="486" spans="1:12">
      <c r="A486" s="287">
        <v>485</v>
      </c>
      <c r="B486" s="277">
        <v>45804</v>
      </c>
      <c r="C486" s="284" t="s">
        <v>1734</v>
      </c>
      <c r="E486" s="284" t="s">
        <v>1161</v>
      </c>
      <c r="L486" s="279">
        <v>-35000</v>
      </c>
    </row>
    <row r="487" spans="1:12">
      <c r="A487" s="287">
        <v>486</v>
      </c>
      <c r="B487" s="277">
        <v>45804</v>
      </c>
      <c r="C487" s="284" t="s">
        <v>1525</v>
      </c>
      <c r="D487" s="278">
        <v>501220639</v>
      </c>
      <c r="E487" s="284" t="s">
        <v>1831</v>
      </c>
      <c r="F487" s="284">
        <v>501220639</v>
      </c>
      <c r="G487" s="279">
        <v>350000</v>
      </c>
      <c r="H487" s="284">
        <v>1</v>
      </c>
      <c r="I487" s="280">
        <v>250000</v>
      </c>
      <c r="K487" s="279">
        <v>350000</v>
      </c>
    </row>
    <row r="488" spans="1:12">
      <c r="A488" s="287">
        <v>487</v>
      </c>
      <c r="B488" s="277">
        <v>45796</v>
      </c>
      <c r="C488" s="284" t="s">
        <v>1629</v>
      </c>
      <c r="E488" s="284" t="s">
        <v>1161</v>
      </c>
      <c r="L488" s="279">
        <v>-549000</v>
      </c>
    </row>
    <row r="489" spans="1:12">
      <c r="A489" s="287">
        <v>488</v>
      </c>
      <c r="B489" s="277">
        <v>45804</v>
      </c>
      <c r="C489" s="284" t="s">
        <v>1790</v>
      </c>
      <c r="E489" s="284" t="s">
        <v>1814</v>
      </c>
      <c r="G489" s="279">
        <v>1550000</v>
      </c>
      <c r="H489" s="284">
        <v>1</v>
      </c>
      <c r="K489" s="279">
        <v>1550000</v>
      </c>
    </row>
    <row r="490" spans="1:12">
      <c r="A490" s="287">
        <v>489</v>
      </c>
      <c r="B490" s="277">
        <v>45804</v>
      </c>
      <c r="C490" s="284" t="s">
        <v>1626</v>
      </c>
      <c r="E490" s="284" t="s">
        <v>1581</v>
      </c>
      <c r="G490" s="279">
        <v>450000</v>
      </c>
      <c r="H490" s="284">
        <v>1</v>
      </c>
      <c r="J490" s="280">
        <v>45000</v>
      </c>
      <c r="K490" s="279">
        <v>495000</v>
      </c>
    </row>
    <row r="491" spans="1:12">
      <c r="A491" s="287">
        <v>490</v>
      </c>
      <c r="B491" s="277">
        <v>45804</v>
      </c>
      <c r="C491" s="284" t="s">
        <v>1866</v>
      </c>
      <c r="E491" s="284" t="s">
        <v>1161</v>
      </c>
      <c r="L491" s="279">
        <v>-1229000</v>
      </c>
    </row>
    <row r="492" spans="1:12">
      <c r="A492" s="287">
        <v>491</v>
      </c>
      <c r="B492" s="277">
        <v>45804</v>
      </c>
      <c r="C492" s="284" t="s">
        <v>1069</v>
      </c>
      <c r="E492" s="284" t="s">
        <v>1161</v>
      </c>
      <c r="L492" s="279">
        <v>-1200000</v>
      </c>
    </row>
    <row r="493" spans="1:12">
      <c r="A493" s="287">
        <v>492</v>
      </c>
      <c r="B493" s="277">
        <v>45804</v>
      </c>
      <c r="C493" s="284" t="s">
        <v>1418</v>
      </c>
      <c r="E493" s="284" t="s">
        <v>1813</v>
      </c>
      <c r="G493" s="279">
        <v>650000</v>
      </c>
      <c r="H493" s="284">
        <v>1</v>
      </c>
      <c r="K493" s="279">
        <v>650000</v>
      </c>
    </row>
    <row r="494" spans="1:12">
      <c r="A494" s="287">
        <v>493</v>
      </c>
      <c r="B494" s="277">
        <v>45804</v>
      </c>
      <c r="C494" s="284" t="s">
        <v>1587</v>
      </c>
      <c r="E494" s="284" t="s">
        <v>1167</v>
      </c>
      <c r="G494" s="279">
        <v>1000000</v>
      </c>
      <c r="H494" s="284">
        <v>1</v>
      </c>
      <c r="K494" s="279">
        <v>1000000</v>
      </c>
    </row>
    <row r="495" spans="1:12">
      <c r="A495" s="287">
        <v>494</v>
      </c>
      <c r="B495" s="277">
        <v>45804</v>
      </c>
      <c r="C495" s="284" t="s">
        <v>1587</v>
      </c>
      <c r="E495" s="284" t="s">
        <v>2418</v>
      </c>
      <c r="L495" s="279">
        <v>-50000</v>
      </c>
    </row>
    <row r="496" spans="1:12">
      <c r="A496" s="287">
        <v>495</v>
      </c>
      <c r="B496" s="277">
        <v>45805</v>
      </c>
      <c r="C496" s="284" t="s">
        <v>2244</v>
      </c>
      <c r="E496" s="284" t="s">
        <v>1940</v>
      </c>
      <c r="F496" s="284">
        <v>2800801</v>
      </c>
      <c r="G496" s="279">
        <v>150000</v>
      </c>
      <c r="H496" s="284">
        <v>3</v>
      </c>
      <c r="K496" s="280">
        <v>450000</v>
      </c>
    </row>
    <row r="497" spans="1:12">
      <c r="A497" s="287">
        <v>496</v>
      </c>
      <c r="B497" s="277">
        <v>45805</v>
      </c>
      <c r="C497" s="284" t="s">
        <v>1445</v>
      </c>
      <c r="E497" s="284" t="s">
        <v>2420</v>
      </c>
      <c r="G497" s="279">
        <v>1200000</v>
      </c>
      <c r="H497" s="284">
        <v>1</v>
      </c>
      <c r="K497" s="280">
        <v>1200000</v>
      </c>
    </row>
    <row r="498" spans="1:12">
      <c r="A498" s="287">
        <v>497</v>
      </c>
      <c r="B498" s="277">
        <v>45805</v>
      </c>
      <c r="C498" s="284" t="s">
        <v>1817</v>
      </c>
      <c r="E498" s="284" t="s">
        <v>1161</v>
      </c>
      <c r="H498" s="61"/>
      <c r="L498" s="279">
        <v>-2332000</v>
      </c>
    </row>
    <row r="499" spans="1:12">
      <c r="A499" s="287">
        <v>498</v>
      </c>
      <c r="B499" s="277">
        <v>45805</v>
      </c>
      <c r="C499" s="284" t="s">
        <v>1635</v>
      </c>
      <c r="E499" s="284" t="s">
        <v>1161</v>
      </c>
      <c r="L499" s="279">
        <v>-1650000</v>
      </c>
    </row>
    <row r="500" spans="1:12">
      <c r="A500" s="287">
        <v>499</v>
      </c>
      <c r="B500" s="277">
        <v>45805</v>
      </c>
      <c r="C500" s="284" t="s">
        <v>1979</v>
      </c>
      <c r="E500" s="284" t="s">
        <v>2422</v>
      </c>
      <c r="G500" s="279">
        <v>200000</v>
      </c>
      <c r="H500" s="284">
        <v>1</v>
      </c>
      <c r="K500" s="280">
        <v>200000</v>
      </c>
    </row>
    <row r="501" spans="1:12">
      <c r="A501" s="287">
        <v>500</v>
      </c>
      <c r="B501" s="277">
        <v>45805</v>
      </c>
      <c r="C501" s="284" t="s">
        <v>1069</v>
      </c>
      <c r="E501" s="284" t="s">
        <v>2129</v>
      </c>
      <c r="G501" s="279">
        <v>800000</v>
      </c>
      <c r="H501" s="284">
        <v>1</v>
      </c>
      <c r="K501" s="280">
        <v>800000</v>
      </c>
    </row>
    <row r="502" spans="1:12">
      <c r="A502" s="287">
        <v>501</v>
      </c>
      <c r="B502" s="277">
        <v>45805</v>
      </c>
      <c r="C502" s="284" t="s">
        <v>2421</v>
      </c>
      <c r="E502" s="284" t="s">
        <v>2295</v>
      </c>
      <c r="F502" s="284">
        <v>927769</v>
      </c>
      <c r="G502" s="279">
        <v>1000000</v>
      </c>
      <c r="H502" s="284">
        <v>1</v>
      </c>
      <c r="J502" s="280">
        <v>100000</v>
      </c>
      <c r="K502" s="280">
        <v>1100000</v>
      </c>
    </row>
    <row r="503" spans="1:12">
      <c r="A503" s="287">
        <v>502</v>
      </c>
      <c r="B503" s="277">
        <v>45805</v>
      </c>
      <c r="C503" s="284" t="s">
        <v>2421</v>
      </c>
      <c r="E503" s="284" t="s">
        <v>1161</v>
      </c>
      <c r="L503" s="279">
        <v>-1100000</v>
      </c>
    </row>
    <row r="504" spans="1:12">
      <c r="A504" s="287">
        <v>503</v>
      </c>
      <c r="B504" s="277">
        <v>45805</v>
      </c>
      <c r="C504" s="284" t="s">
        <v>2423</v>
      </c>
      <c r="E504" s="284" t="s">
        <v>1785</v>
      </c>
      <c r="F504" s="284">
        <v>2800802</v>
      </c>
      <c r="G504" s="279">
        <v>200000</v>
      </c>
      <c r="H504" s="284">
        <v>1</v>
      </c>
      <c r="K504" s="280">
        <v>200000</v>
      </c>
    </row>
    <row r="505" spans="1:12">
      <c r="A505" s="287">
        <v>504</v>
      </c>
      <c r="B505" s="277">
        <v>45805</v>
      </c>
      <c r="C505" s="284" t="s">
        <v>1979</v>
      </c>
      <c r="E505" s="284" t="s">
        <v>1161</v>
      </c>
      <c r="L505" s="279">
        <v>-200000</v>
      </c>
    </row>
    <row r="506" spans="1:12">
      <c r="A506" s="287">
        <v>505</v>
      </c>
      <c r="B506" s="277">
        <v>45805</v>
      </c>
      <c r="C506" s="284" t="s">
        <v>2377</v>
      </c>
      <c r="E506" s="284" t="s">
        <v>1161</v>
      </c>
      <c r="L506" s="279">
        <v>-275000</v>
      </c>
    </row>
    <row r="507" spans="1:12">
      <c r="A507" s="287">
        <v>506</v>
      </c>
      <c r="B507" s="277">
        <v>45805</v>
      </c>
      <c r="C507" s="284" t="s">
        <v>2423</v>
      </c>
      <c r="E507" s="284" t="s">
        <v>1161</v>
      </c>
      <c r="L507" s="279">
        <v>-200000</v>
      </c>
    </row>
    <row r="508" spans="1:12">
      <c r="A508" s="287">
        <v>507</v>
      </c>
      <c r="B508" s="277">
        <v>45800</v>
      </c>
      <c r="C508" s="284" t="s">
        <v>1817</v>
      </c>
      <c r="E508" s="284" t="s">
        <v>2401</v>
      </c>
      <c r="G508" s="279">
        <v>650000</v>
      </c>
      <c r="H508" s="61">
        <v>1</v>
      </c>
      <c r="J508" s="280">
        <v>65000</v>
      </c>
      <c r="K508" s="279">
        <v>715000</v>
      </c>
    </row>
    <row r="509" spans="1:12">
      <c r="A509" s="287">
        <v>508</v>
      </c>
      <c r="B509" s="277">
        <v>45800</v>
      </c>
      <c r="C509" s="284" t="s">
        <v>1817</v>
      </c>
      <c r="E509" s="284" t="s">
        <v>1542</v>
      </c>
      <c r="G509" s="284">
        <v>350000</v>
      </c>
      <c r="H509" s="61">
        <v>1</v>
      </c>
      <c r="J509" s="286">
        <v>35000</v>
      </c>
      <c r="K509" s="286">
        <v>385000</v>
      </c>
    </row>
    <row r="510" spans="1:12">
      <c r="A510" s="287">
        <v>509</v>
      </c>
      <c r="B510" s="277">
        <v>45800</v>
      </c>
      <c r="C510" s="284" t="s">
        <v>1817</v>
      </c>
      <c r="E510" s="284" t="s">
        <v>1565</v>
      </c>
      <c r="G510" s="284">
        <v>20000</v>
      </c>
      <c r="H510" s="61">
        <v>1</v>
      </c>
      <c r="J510" s="286">
        <v>2000</v>
      </c>
      <c r="K510" s="286">
        <v>22000</v>
      </c>
    </row>
    <row r="511" spans="1:12">
      <c r="A511" s="287">
        <v>510</v>
      </c>
      <c r="B511" s="277">
        <v>45806</v>
      </c>
      <c r="C511" s="284" t="s">
        <v>1437</v>
      </c>
      <c r="E511" s="284" t="s">
        <v>2657</v>
      </c>
      <c r="G511" s="279">
        <v>498000</v>
      </c>
      <c r="H511" s="284">
        <v>1</v>
      </c>
      <c r="K511" s="279">
        <v>498000</v>
      </c>
    </row>
    <row r="512" spans="1:12">
      <c r="A512" s="287">
        <v>511</v>
      </c>
      <c r="B512" s="277">
        <v>45806</v>
      </c>
      <c r="C512" s="284" t="s">
        <v>1445</v>
      </c>
      <c r="E512" s="284" t="s">
        <v>2113</v>
      </c>
      <c r="F512" s="284" t="s">
        <v>1258</v>
      </c>
      <c r="G512" s="279">
        <v>1500000</v>
      </c>
      <c r="H512" s="284">
        <v>1</v>
      </c>
      <c r="K512" s="279">
        <v>1500000</v>
      </c>
    </row>
    <row r="513" spans="1:12">
      <c r="A513" s="287">
        <v>512</v>
      </c>
      <c r="B513" s="277">
        <v>45807</v>
      </c>
      <c r="C513" s="284" t="s">
        <v>1587</v>
      </c>
      <c r="E513" s="284" t="s">
        <v>1161</v>
      </c>
      <c r="L513" s="279">
        <v>-3400000</v>
      </c>
    </row>
    <row r="514" spans="1:12">
      <c r="A514" s="287">
        <v>513</v>
      </c>
      <c r="B514" s="277">
        <v>45807</v>
      </c>
      <c r="C514" s="284" t="s">
        <v>2460</v>
      </c>
      <c r="E514" s="284" t="s">
        <v>2461</v>
      </c>
      <c r="F514" s="286">
        <v>2800802</v>
      </c>
      <c r="G514" s="279">
        <v>200000</v>
      </c>
      <c r="H514" s="284">
        <v>1</v>
      </c>
      <c r="J514" s="280">
        <v>20000</v>
      </c>
      <c r="K514" s="279">
        <v>220000</v>
      </c>
    </row>
    <row r="515" spans="1:12">
      <c r="A515" s="287">
        <v>514</v>
      </c>
      <c r="B515" s="277">
        <v>45807</v>
      </c>
      <c r="C515" s="284" t="s">
        <v>1069</v>
      </c>
      <c r="E515" s="284" t="s">
        <v>1241</v>
      </c>
      <c r="F515" s="284" t="s">
        <v>1822</v>
      </c>
      <c r="G515" s="279">
        <v>1200000</v>
      </c>
      <c r="H515" s="284">
        <v>1</v>
      </c>
      <c r="K515" s="279">
        <v>1200000</v>
      </c>
    </row>
    <row r="516" spans="1:12">
      <c r="A516" s="287">
        <v>515</v>
      </c>
      <c r="B516" s="277">
        <v>45807</v>
      </c>
      <c r="C516" s="284" t="s">
        <v>2592</v>
      </c>
      <c r="E516" s="284" t="s">
        <v>2430</v>
      </c>
      <c r="F516" s="284" t="s">
        <v>2429</v>
      </c>
      <c r="G516" s="279">
        <v>900000</v>
      </c>
      <c r="H516" s="284">
        <v>1</v>
      </c>
      <c r="J516" s="280">
        <v>90000</v>
      </c>
      <c r="K516" s="279">
        <v>990000</v>
      </c>
    </row>
    <row r="517" spans="1:12">
      <c r="A517" s="287">
        <v>516</v>
      </c>
      <c r="B517" s="277">
        <v>45807</v>
      </c>
      <c r="C517" s="284" t="s">
        <v>2195</v>
      </c>
      <c r="E517" s="284" t="s">
        <v>1241</v>
      </c>
      <c r="F517" s="284" t="s">
        <v>1822</v>
      </c>
      <c r="G517" s="279">
        <v>1200000</v>
      </c>
      <c r="H517" s="284">
        <v>1</v>
      </c>
      <c r="K517" s="279">
        <v>1200000</v>
      </c>
    </row>
    <row r="518" spans="1:12">
      <c r="A518" s="287">
        <v>517</v>
      </c>
      <c r="B518" s="277">
        <v>45807</v>
      </c>
      <c r="C518" s="284" t="s">
        <v>2195</v>
      </c>
      <c r="E518" s="284" t="s">
        <v>2440</v>
      </c>
      <c r="G518" s="279">
        <v>350000</v>
      </c>
      <c r="H518" s="284">
        <v>1</v>
      </c>
      <c r="K518" s="279">
        <v>350000</v>
      </c>
    </row>
    <row r="519" spans="1:12">
      <c r="A519" s="287">
        <v>518</v>
      </c>
      <c r="B519" s="277">
        <v>45807</v>
      </c>
      <c r="C519" s="284" t="s">
        <v>1817</v>
      </c>
      <c r="E519" s="284" t="s">
        <v>1161</v>
      </c>
      <c r="H519" s="61"/>
      <c r="L519" s="279">
        <v>-1122000</v>
      </c>
    </row>
    <row r="520" spans="1:12">
      <c r="A520" s="287">
        <v>519</v>
      </c>
      <c r="B520" s="277">
        <v>45808</v>
      </c>
      <c r="C520" s="284" t="s">
        <v>2208</v>
      </c>
      <c r="E520" s="284" t="s">
        <v>1161</v>
      </c>
      <c r="L520" s="279">
        <v>-660000</v>
      </c>
    </row>
    <row r="521" spans="1:12">
      <c r="A521" s="287">
        <v>520</v>
      </c>
      <c r="B521" s="277">
        <v>45808</v>
      </c>
      <c r="C521" s="284" t="s">
        <v>1281</v>
      </c>
      <c r="E521" s="284" t="s">
        <v>2447</v>
      </c>
      <c r="G521" s="279">
        <v>150000</v>
      </c>
      <c r="H521" s="284">
        <v>1</v>
      </c>
      <c r="K521" s="279">
        <v>150000</v>
      </c>
    </row>
    <row r="522" spans="1:12">
      <c r="A522" s="287">
        <v>521</v>
      </c>
      <c r="B522" s="277">
        <v>45808</v>
      </c>
      <c r="C522" s="284" t="s">
        <v>1351</v>
      </c>
      <c r="E522" s="284" t="s">
        <v>2275</v>
      </c>
      <c r="F522" s="284" t="s">
        <v>1510</v>
      </c>
      <c r="G522" s="279">
        <v>1500000</v>
      </c>
      <c r="H522" s="284">
        <v>1</v>
      </c>
      <c r="K522" s="279">
        <v>1500000</v>
      </c>
    </row>
    <row r="523" spans="1:12">
      <c r="A523" s="287">
        <v>522</v>
      </c>
      <c r="B523" s="277">
        <v>45808</v>
      </c>
      <c r="C523" s="284" t="s">
        <v>1629</v>
      </c>
      <c r="E523" s="284" t="s">
        <v>2144</v>
      </c>
      <c r="L523" s="279">
        <v>-2200000</v>
      </c>
    </row>
    <row r="524" spans="1:12">
      <c r="A524" s="287">
        <v>523</v>
      </c>
      <c r="B524" s="277">
        <v>45808</v>
      </c>
      <c r="C524" s="284" t="s">
        <v>1418</v>
      </c>
      <c r="E524" s="284" t="s">
        <v>1161</v>
      </c>
      <c r="L524" s="279">
        <v>-650000</v>
      </c>
    </row>
    <row r="525" spans="1:12">
      <c r="A525" s="287">
        <v>524</v>
      </c>
      <c r="B525" s="277">
        <v>45808</v>
      </c>
      <c r="C525" s="284" t="s">
        <v>2458</v>
      </c>
      <c r="E525" s="284" t="s">
        <v>2459</v>
      </c>
      <c r="F525" s="286">
        <v>1068298044</v>
      </c>
      <c r="G525" s="279">
        <v>400000</v>
      </c>
      <c r="H525" s="284">
        <v>1</v>
      </c>
      <c r="K525" s="279">
        <v>400000</v>
      </c>
    </row>
    <row r="526" spans="1:12">
      <c r="A526" s="287">
        <v>525</v>
      </c>
      <c r="B526" s="277">
        <v>45808</v>
      </c>
      <c r="C526" s="284" t="s">
        <v>1626</v>
      </c>
      <c r="E526" s="284" t="s">
        <v>1816</v>
      </c>
      <c r="L526" s="279">
        <v>-1179000</v>
      </c>
    </row>
    <row r="527" spans="1:12">
      <c r="A527" s="287">
        <v>526</v>
      </c>
      <c r="B527" s="277">
        <v>45808</v>
      </c>
      <c r="C527" s="284" t="s">
        <v>1498</v>
      </c>
      <c r="E527" s="284" t="s">
        <v>1816</v>
      </c>
      <c r="L527" s="279">
        <v>-1815000</v>
      </c>
    </row>
    <row r="528" spans="1:12">
      <c r="A528" s="287">
        <v>527</v>
      </c>
      <c r="B528" s="277">
        <v>45808</v>
      </c>
      <c r="C528" s="284" t="s">
        <v>2435</v>
      </c>
      <c r="E528" s="284" t="s">
        <v>1816</v>
      </c>
      <c r="L528" s="279">
        <v>-220000</v>
      </c>
    </row>
    <row r="529" spans="1:12">
      <c r="A529" s="287">
        <v>528</v>
      </c>
      <c r="B529" s="277">
        <v>45808</v>
      </c>
      <c r="C529" s="284" t="s">
        <v>1437</v>
      </c>
      <c r="E529" s="284" t="s">
        <v>1816</v>
      </c>
      <c r="L529" s="279">
        <v>-498000</v>
      </c>
    </row>
    <row r="530" spans="1:12">
      <c r="A530" s="287">
        <v>529</v>
      </c>
      <c r="B530" s="277">
        <v>45809</v>
      </c>
      <c r="C530" s="284" t="s">
        <v>1525</v>
      </c>
      <c r="E530" s="284" t="s">
        <v>1816</v>
      </c>
      <c r="L530" s="279">
        <v>-2000000</v>
      </c>
    </row>
    <row r="531" spans="1:12">
      <c r="A531" s="287">
        <v>530</v>
      </c>
      <c r="B531" s="277">
        <v>45810</v>
      </c>
      <c r="C531" s="284" t="s">
        <v>1351</v>
      </c>
      <c r="E531" s="284" t="s">
        <v>1161</v>
      </c>
      <c r="L531" s="279">
        <v>-1500000</v>
      </c>
    </row>
    <row r="532" spans="1:12">
      <c r="A532" s="287">
        <v>531</v>
      </c>
      <c r="B532" s="277">
        <v>45810</v>
      </c>
      <c r="C532" s="284" t="s">
        <v>2470</v>
      </c>
      <c r="E532" s="284" t="s">
        <v>2471</v>
      </c>
      <c r="F532" s="284" t="s">
        <v>2472</v>
      </c>
      <c r="G532" s="279">
        <v>1000000</v>
      </c>
      <c r="H532" s="284">
        <v>1</v>
      </c>
      <c r="K532" s="279">
        <v>1000000</v>
      </c>
    </row>
    <row r="533" spans="1:12">
      <c r="A533" s="287">
        <v>532</v>
      </c>
      <c r="B533" s="277">
        <v>45810</v>
      </c>
      <c r="C533" s="284" t="s">
        <v>1587</v>
      </c>
      <c r="E533" s="284" t="s">
        <v>1310</v>
      </c>
      <c r="F533" s="284" t="s">
        <v>1309</v>
      </c>
      <c r="G533" s="279">
        <v>50000</v>
      </c>
      <c r="H533" s="284">
        <v>2</v>
      </c>
      <c r="K533" s="279">
        <v>100000</v>
      </c>
    </row>
    <row r="534" spans="1:12">
      <c r="A534" s="287">
        <v>533</v>
      </c>
      <c r="B534" s="277">
        <v>45810</v>
      </c>
      <c r="C534" s="284" t="s">
        <v>2393</v>
      </c>
      <c r="E534" s="284" t="s">
        <v>2284</v>
      </c>
      <c r="F534" s="284" t="s">
        <v>1245</v>
      </c>
      <c r="G534" s="279">
        <v>517273</v>
      </c>
      <c r="H534" s="284">
        <v>1</v>
      </c>
      <c r="J534" s="280">
        <v>51727</v>
      </c>
      <c r="K534" s="279">
        <v>569000</v>
      </c>
    </row>
    <row r="535" spans="1:12">
      <c r="A535" s="287">
        <v>534</v>
      </c>
      <c r="B535" s="277">
        <v>45810</v>
      </c>
      <c r="C535" s="284" t="s">
        <v>2393</v>
      </c>
      <c r="E535" s="284" t="s">
        <v>2287</v>
      </c>
      <c r="F535" s="284">
        <v>50229</v>
      </c>
      <c r="G535" s="279">
        <v>70000</v>
      </c>
      <c r="H535" s="284">
        <v>1</v>
      </c>
      <c r="J535" s="280">
        <v>7000</v>
      </c>
      <c r="K535" s="279">
        <v>77000</v>
      </c>
    </row>
    <row r="536" spans="1:12">
      <c r="A536" s="287">
        <v>535</v>
      </c>
      <c r="B536" s="277">
        <v>45810</v>
      </c>
      <c r="C536" s="284" t="s">
        <v>2393</v>
      </c>
      <c r="E536" s="284" t="s">
        <v>1161</v>
      </c>
      <c r="L536" s="279">
        <v>-646000</v>
      </c>
    </row>
    <row r="537" spans="1:12">
      <c r="A537" s="287">
        <v>536</v>
      </c>
      <c r="B537" s="277">
        <v>45810</v>
      </c>
      <c r="C537" s="284" t="s">
        <v>1502</v>
      </c>
      <c r="E537" s="284" t="s">
        <v>1785</v>
      </c>
      <c r="F537" s="284">
        <v>2800802</v>
      </c>
      <c r="G537" s="279">
        <v>150000</v>
      </c>
      <c r="H537" s="284">
        <v>1</v>
      </c>
      <c r="K537" s="279">
        <v>150000</v>
      </c>
    </row>
    <row r="538" spans="1:12">
      <c r="A538" s="287">
        <v>537</v>
      </c>
      <c r="B538" s="277">
        <v>45810</v>
      </c>
      <c r="C538" s="284" t="s">
        <v>1445</v>
      </c>
      <c r="E538" s="284" t="s">
        <v>1161</v>
      </c>
      <c r="L538" s="279">
        <v>-10907000</v>
      </c>
    </row>
    <row r="539" spans="1:12">
      <c r="A539" s="287">
        <v>538</v>
      </c>
      <c r="B539" s="277">
        <v>45810</v>
      </c>
      <c r="C539" s="284" t="s">
        <v>1587</v>
      </c>
      <c r="E539" s="284" t="s">
        <v>1241</v>
      </c>
      <c r="F539" s="284" t="s">
        <v>1822</v>
      </c>
      <c r="G539" s="279">
        <v>1200000</v>
      </c>
      <c r="H539" s="284">
        <v>1</v>
      </c>
      <c r="K539" s="279">
        <v>1200000</v>
      </c>
    </row>
    <row r="540" spans="1:12">
      <c r="A540" s="287">
        <v>539</v>
      </c>
      <c r="B540" s="277">
        <v>45810</v>
      </c>
      <c r="C540" s="284" t="s">
        <v>1587</v>
      </c>
      <c r="E540" s="284" t="s">
        <v>1542</v>
      </c>
      <c r="G540" s="279">
        <v>350000</v>
      </c>
      <c r="H540" s="284">
        <v>1</v>
      </c>
      <c r="K540" s="279">
        <v>350000</v>
      </c>
    </row>
    <row r="541" spans="1:12">
      <c r="A541" s="287">
        <v>540</v>
      </c>
      <c r="B541" s="277">
        <v>45810</v>
      </c>
      <c r="C541" s="284" t="s">
        <v>1587</v>
      </c>
      <c r="E541" s="284" t="s">
        <v>1770</v>
      </c>
      <c r="F541" s="284">
        <v>7252703114</v>
      </c>
      <c r="G541" s="279">
        <v>129000</v>
      </c>
      <c r="H541" s="284">
        <v>1</v>
      </c>
      <c r="K541" s="279">
        <v>129000</v>
      </c>
    </row>
    <row r="542" spans="1:12">
      <c r="A542" s="287">
        <v>541</v>
      </c>
      <c r="B542" s="277">
        <v>45810</v>
      </c>
      <c r="C542" s="284" t="s">
        <v>2359</v>
      </c>
      <c r="E542" s="284" t="s">
        <v>2294</v>
      </c>
      <c r="G542" s="279">
        <v>1500000</v>
      </c>
      <c r="H542" s="284">
        <v>1</v>
      </c>
      <c r="K542" s="279">
        <v>1500000</v>
      </c>
    </row>
    <row r="543" spans="1:12">
      <c r="A543" s="287">
        <v>542</v>
      </c>
      <c r="B543" s="277">
        <v>45811</v>
      </c>
      <c r="C543" s="284" t="s">
        <v>997</v>
      </c>
      <c r="E543" s="284" t="s">
        <v>1161</v>
      </c>
      <c r="L543" s="279">
        <v>-1000000</v>
      </c>
    </row>
    <row r="544" spans="1:12">
      <c r="A544" s="287">
        <v>543</v>
      </c>
      <c r="B544" s="277">
        <v>45811</v>
      </c>
      <c r="C544" s="284" t="s">
        <v>2503</v>
      </c>
      <c r="E544" s="284" t="s">
        <v>2504</v>
      </c>
      <c r="G544" s="279">
        <v>700000</v>
      </c>
      <c r="H544" s="284">
        <v>1</v>
      </c>
      <c r="K544" s="279">
        <v>700000</v>
      </c>
    </row>
    <row r="545" spans="1:12">
      <c r="A545" s="287">
        <v>544</v>
      </c>
      <c r="B545" s="277">
        <v>45811</v>
      </c>
      <c r="C545" s="284" t="s">
        <v>1495</v>
      </c>
      <c r="E545" s="284" t="s">
        <v>2476</v>
      </c>
      <c r="G545" s="279">
        <v>200000</v>
      </c>
      <c r="H545" s="284">
        <v>1</v>
      </c>
      <c r="K545" s="279">
        <v>200000</v>
      </c>
    </row>
    <row r="546" spans="1:12">
      <c r="A546" s="287">
        <v>545</v>
      </c>
      <c r="B546" s="277">
        <v>45811</v>
      </c>
      <c r="C546" s="284" t="s">
        <v>2491</v>
      </c>
      <c r="E546" s="284" t="s">
        <v>2487</v>
      </c>
      <c r="G546" s="279">
        <v>1818182</v>
      </c>
      <c r="H546" s="284">
        <v>1</v>
      </c>
      <c r="J546" s="280">
        <v>181818</v>
      </c>
      <c r="K546" s="279">
        <v>2000000</v>
      </c>
    </row>
    <row r="547" spans="1:12">
      <c r="A547" s="287">
        <v>546</v>
      </c>
      <c r="B547" s="277">
        <v>45812</v>
      </c>
      <c r="C547" s="284" t="s">
        <v>1495</v>
      </c>
      <c r="E547" s="284" t="s">
        <v>1161</v>
      </c>
      <c r="L547" s="279">
        <v>-200000</v>
      </c>
    </row>
    <row r="548" spans="1:12">
      <c r="A548" s="287">
        <v>547</v>
      </c>
      <c r="B548" s="277">
        <v>45812</v>
      </c>
      <c r="C548" s="284" t="s">
        <v>1027</v>
      </c>
      <c r="E548" s="284" t="s">
        <v>1161</v>
      </c>
      <c r="L548" s="279">
        <v>-990000</v>
      </c>
    </row>
    <row r="549" spans="1:12">
      <c r="A549" s="287">
        <v>548</v>
      </c>
      <c r="B549" s="277">
        <v>45812</v>
      </c>
      <c r="C549" s="284" t="s">
        <v>1647</v>
      </c>
      <c r="E549" s="284" t="s">
        <v>2294</v>
      </c>
      <c r="G549" s="279">
        <v>1500000</v>
      </c>
      <c r="H549" s="284">
        <v>1</v>
      </c>
      <c r="K549" s="279">
        <v>1500000</v>
      </c>
    </row>
    <row r="550" spans="1:12">
      <c r="A550" s="287">
        <v>549</v>
      </c>
      <c r="B550" s="277">
        <v>45812</v>
      </c>
      <c r="C550" s="284" t="s">
        <v>2495</v>
      </c>
      <c r="E550" s="284" t="s">
        <v>2500</v>
      </c>
      <c r="F550" s="284" t="s">
        <v>2501</v>
      </c>
      <c r="G550" s="279">
        <v>700000</v>
      </c>
      <c r="H550" s="284">
        <v>1</v>
      </c>
      <c r="J550" s="280">
        <v>70000</v>
      </c>
      <c r="K550" s="279">
        <v>770000</v>
      </c>
    </row>
    <row r="551" spans="1:12">
      <c r="A551" s="287">
        <v>550</v>
      </c>
      <c r="B551" s="277">
        <v>45812</v>
      </c>
      <c r="C551" s="284" t="s">
        <v>1502</v>
      </c>
      <c r="E551" s="284" t="s">
        <v>1161</v>
      </c>
      <c r="L551" s="279">
        <v>-150000</v>
      </c>
    </row>
    <row r="552" spans="1:12">
      <c r="A552" s="287">
        <v>551</v>
      </c>
      <c r="B552" s="277">
        <v>45812</v>
      </c>
      <c r="C552" s="284" t="s">
        <v>2502</v>
      </c>
      <c r="E552" s="284" t="s">
        <v>1161</v>
      </c>
      <c r="L552" s="279">
        <v>-2000000</v>
      </c>
    </row>
    <row r="553" spans="1:12">
      <c r="A553" s="287">
        <v>552</v>
      </c>
      <c r="B553" s="277">
        <v>45812</v>
      </c>
      <c r="C553" s="284" t="s">
        <v>2494</v>
      </c>
      <c r="E553" s="284" t="s">
        <v>1161</v>
      </c>
      <c r="L553" s="279">
        <v>-770000</v>
      </c>
    </row>
    <row r="554" spans="1:12">
      <c r="A554" s="287">
        <v>553</v>
      </c>
      <c r="B554" s="277">
        <v>45812</v>
      </c>
      <c r="C554" s="284" t="s">
        <v>1629</v>
      </c>
      <c r="E554" s="284" t="s">
        <v>1581</v>
      </c>
      <c r="G554" s="279">
        <v>450000</v>
      </c>
      <c r="H554" s="284">
        <v>1</v>
      </c>
      <c r="J554" s="280">
        <v>45000</v>
      </c>
      <c r="K554" s="279">
        <v>495000</v>
      </c>
    </row>
    <row r="555" spans="1:12">
      <c r="A555" s="287">
        <v>554</v>
      </c>
      <c r="B555" s="277">
        <v>45812</v>
      </c>
      <c r="C555" s="284" t="s">
        <v>1629</v>
      </c>
      <c r="E555" s="284" t="s">
        <v>1595</v>
      </c>
      <c r="F555" s="284">
        <v>24152333907</v>
      </c>
      <c r="G555" s="279">
        <v>50000</v>
      </c>
      <c r="H555" s="284">
        <v>1</v>
      </c>
      <c r="J555" s="280">
        <v>5000</v>
      </c>
      <c r="K555" s="279">
        <v>55000</v>
      </c>
    </row>
    <row r="556" spans="1:12">
      <c r="A556" s="287">
        <v>555</v>
      </c>
      <c r="B556" s="277">
        <v>45812</v>
      </c>
      <c r="C556" s="284" t="s">
        <v>1790</v>
      </c>
      <c r="E556" s="284" t="s">
        <v>1161</v>
      </c>
      <c r="L556" s="279">
        <v>-7000000</v>
      </c>
    </row>
    <row r="557" spans="1:12">
      <c r="A557" s="287">
        <v>556</v>
      </c>
      <c r="B557" s="277">
        <v>45812</v>
      </c>
      <c r="C557" s="284" t="s">
        <v>1790</v>
      </c>
      <c r="E557" s="284" t="s">
        <v>2506</v>
      </c>
      <c r="L557" s="279">
        <v>-805000</v>
      </c>
    </row>
    <row r="558" spans="1:12">
      <c r="A558" s="287">
        <v>557</v>
      </c>
      <c r="B558" s="277">
        <v>45813</v>
      </c>
      <c r="C558" s="284" t="s">
        <v>1587</v>
      </c>
      <c r="E558" s="284" t="s">
        <v>2284</v>
      </c>
      <c r="F558" s="284" t="s">
        <v>1245</v>
      </c>
      <c r="G558" s="279">
        <v>569000</v>
      </c>
      <c r="H558" s="284">
        <v>1</v>
      </c>
      <c r="K558" s="279">
        <v>569000</v>
      </c>
    </row>
    <row r="559" spans="1:12">
      <c r="A559" s="287">
        <v>558</v>
      </c>
      <c r="B559" s="277">
        <v>45813</v>
      </c>
      <c r="C559" s="284" t="s">
        <v>1587</v>
      </c>
      <c r="E559" s="284" t="s">
        <v>2287</v>
      </c>
      <c r="F559" s="284">
        <v>50229</v>
      </c>
      <c r="G559" s="279">
        <v>77000</v>
      </c>
      <c r="H559" s="284">
        <v>1</v>
      </c>
      <c r="K559" s="279">
        <v>77000</v>
      </c>
    </row>
    <row r="560" spans="1:12">
      <c r="A560" s="287">
        <v>559</v>
      </c>
      <c r="B560" s="277">
        <v>45813</v>
      </c>
      <c r="C560" s="284" t="s">
        <v>1587</v>
      </c>
      <c r="E560" s="284" t="s">
        <v>2285</v>
      </c>
      <c r="F560" s="284" t="s">
        <v>1303</v>
      </c>
      <c r="G560" s="279">
        <v>130000</v>
      </c>
      <c r="H560" s="284">
        <v>1</v>
      </c>
      <c r="K560" s="279">
        <v>130000</v>
      </c>
    </row>
    <row r="561" spans="1:12">
      <c r="A561" s="287">
        <v>560</v>
      </c>
      <c r="B561" s="277">
        <v>45813</v>
      </c>
      <c r="C561" s="284" t="s">
        <v>1587</v>
      </c>
      <c r="E561" s="284" t="s">
        <v>2289</v>
      </c>
      <c r="F561" s="284" t="s">
        <v>1901</v>
      </c>
      <c r="G561" s="279">
        <v>10000</v>
      </c>
      <c r="H561" s="284">
        <v>2</v>
      </c>
      <c r="K561" s="279">
        <v>20000</v>
      </c>
    </row>
    <row r="562" spans="1:12">
      <c r="A562" s="287">
        <v>561</v>
      </c>
      <c r="B562" s="277">
        <v>45813</v>
      </c>
      <c r="C562" s="284" t="s">
        <v>1587</v>
      </c>
      <c r="E562" s="284" t="s">
        <v>2288</v>
      </c>
      <c r="F562" s="284" t="s">
        <v>1871</v>
      </c>
      <c r="G562" s="279">
        <v>35000</v>
      </c>
      <c r="H562" s="284">
        <v>1</v>
      </c>
      <c r="K562" s="279">
        <v>35000</v>
      </c>
    </row>
    <row r="563" spans="1:12">
      <c r="A563" s="287">
        <v>562</v>
      </c>
      <c r="B563" s="277">
        <v>45813</v>
      </c>
      <c r="C563" s="284" t="s">
        <v>1647</v>
      </c>
      <c r="E563" s="284" t="s">
        <v>1161</v>
      </c>
      <c r="L563" s="279">
        <v>-1500000</v>
      </c>
    </row>
    <row r="564" spans="1:12">
      <c r="A564" s="287">
        <v>563</v>
      </c>
      <c r="B564" s="277">
        <v>45813</v>
      </c>
      <c r="C564" s="284" t="s">
        <v>1502</v>
      </c>
      <c r="E564" s="284" t="s">
        <v>1785</v>
      </c>
      <c r="F564" s="284">
        <v>2800802</v>
      </c>
      <c r="G564" s="279">
        <v>150000</v>
      </c>
      <c r="H564" s="284">
        <v>1</v>
      </c>
      <c r="K564" s="279">
        <v>150000</v>
      </c>
    </row>
    <row r="565" spans="1:12">
      <c r="A565" s="287">
        <v>564</v>
      </c>
      <c r="B565" s="277">
        <v>45813</v>
      </c>
      <c r="C565" s="284" t="s">
        <v>1183</v>
      </c>
      <c r="E565" s="284" t="s">
        <v>2513</v>
      </c>
      <c r="G565" s="279">
        <v>450000</v>
      </c>
      <c r="H565" s="284">
        <v>1</v>
      </c>
      <c r="K565" s="279">
        <v>450000</v>
      </c>
    </row>
    <row r="566" spans="1:12">
      <c r="A566" s="287">
        <v>565</v>
      </c>
      <c r="B566" s="277">
        <v>45813</v>
      </c>
      <c r="C566" s="284" t="s">
        <v>1183</v>
      </c>
      <c r="E566" s="284" t="s">
        <v>2288</v>
      </c>
      <c r="F566" s="284" t="s">
        <v>1871</v>
      </c>
      <c r="G566" s="279">
        <v>55000</v>
      </c>
      <c r="H566" s="284">
        <v>1</v>
      </c>
      <c r="K566" s="279">
        <v>55000</v>
      </c>
    </row>
    <row r="567" spans="1:12">
      <c r="A567" s="287">
        <v>566</v>
      </c>
      <c r="B567" s="277">
        <v>45813</v>
      </c>
      <c r="C567" s="284" t="s">
        <v>1183</v>
      </c>
      <c r="E567" s="284" t="s">
        <v>2291</v>
      </c>
      <c r="G567" s="279">
        <v>600000</v>
      </c>
      <c r="H567" s="284">
        <v>1</v>
      </c>
      <c r="K567" s="279">
        <v>600000</v>
      </c>
    </row>
    <row r="568" spans="1:12">
      <c r="A568" s="287">
        <v>567</v>
      </c>
      <c r="B568" s="277">
        <v>45813</v>
      </c>
      <c r="C568" s="284" t="s">
        <v>1183</v>
      </c>
      <c r="E568" s="284" t="s">
        <v>2514</v>
      </c>
      <c r="G568" s="279">
        <v>600000</v>
      </c>
      <c r="H568" s="284">
        <v>1</v>
      </c>
      <c r="K568" s="279">
        <v>600000</v>
      </c>
    </row>
    <row r="569" spans="1:12">
      <c r="A569" s="287">
        <v>568</v>
      </c>
      <c r="B569" s="277">
        <v>45813</v>
      </c>
      <c r="C569" s="284" t="s">
        <v>1629</v>
      </c>
      <c r="E569" s="284" t="s">
        <v>1161</v>
      </c>
      <c r="L569" s="279">
        <v>-550000</v>
      </c>
    </row>
    <row r="570" spans="1:12">
      <c r="A570" s="287">
        <v>569</v>
      </c>
      <c r="B570" s="277">
        <v>45813</v>
      </c>
      <c r="C570" s="284" t="s">
        <v>2522</v>
      </c>
      <c r="E570" s="284" t="s">
        <v>2521</v>
      </c>
      <c r="G570" s="279">
        <v>200000</v>
      </c>
      <c r="H570" s="284">
        <v>1</v>
      </c>
      <c r="K570" s="279">
        <v>200000</v>
      </c>
    </row>
    <row r="571" spans="1:12">
      <c r="A571" s="287">
        <v>570</v>
      </c>
      <c r="B571" s="277">
        <v>45814</v>
      </c>
      <c r="C571" s="284" t="s">
        <v>1790</v>
      </c>
      <c r="E571" s="284" t="s">
        <v>2284</v>
      </c>
      <c r="F571" s="284" t="s">
        <v>1245</v>
      </c>
      <c r="G571" s="279">
        <v>500000</v>
      </c>
      <c r="H571" s="284">
        <v>5</v>
      </c>
      <c r="K571" s="279">
        <v>2500000</v>
      </c>
    </row>
    <row r="572" spans="1:12">
      <c r="A572" s="287">
        <v>571</v>
      </c>
      <c r="B572" s="277">
        <v>45817</v>
      </c>
      <c r="C572" s="284" t="s">
        <v>2546</v>
      </c>
      <c r="E572" s="284" t="s">
        <v>2547</v>
      </c>
      <c r="F572" s="284" t="s">
        <v>2548</v>
      </c>
      <c r="G572" s="279">
        <v>2200000</v>
      </c>
      <c r="H572" s="284">
        <v>1</v>
      </c>
      <c r="J572" s="280">
        <v>220000</v>
      </c>
      <c r="K572" s="279">
        <v>2420000</v>
      </c>
    </row>
    <row r="573" spans="1:12">
      <c r="A573" s="287">
        <v>572</v>
      </c>
      <c r="B573" s="277">
        <v>45817</v>
      </c>
      <c r="C573" s="284" t="s">
        <v>2553</v>
      </c>
      <c r="E573" s="284" t="s">
        <v>2554</v>
      </c>
      <c r="F573" s="284" t="s">
        <v>2555</v>
      </c>
      <c r="G573" s="279">
        <v>1550000</v>
      </c>
      <c r="H573" s="284">
        <v>1</v>
      </c>
      <c r="K573" s="279">
        <v>1550000</v>
      </c>
    </row>
    <row r="574" spans="1:12">
      <c r="A574" s="287">
        <v>573</v>
      </c>
      <c r="B574" s="277">
        <v>45817</v>
      </c>
      <c r="C574" s="284" t="s">
        <v>2553</v>
      </c>
      <c r="E574" s="284" t="s">
        <v>2556</v>
      </c>
      <c r="F574" s="284" t="s">
        <v>2557</v>
      </c>
      <c r="G574" s="279">
        <v>650000</v>
      </c>
      <c r="H574" s="284">
        <v>1</v>
      </c>
      <c r="K574" s="279">
        <v>650000</v>
      </c>
    </row>
    <row r="575" spans="1:12">
      <c r="A575" s="287">
        <v>574</v>
      </c>
      <c r="B575" s="277">
        <v>45817</v>
      </c>
      <c r="C575" s="284" t="s">
        <v>1183</v>
      </c>
      <c r="E575" s="284" t="s">
        <v>2530</v>
      </c>
      <c r="G575" s="279">
        <v>35000</v>
      </c>
      <c r="H575" s="284">
        <v>1</v>
      </c>
      <c r="K575" s="279">
        <v>35000</v>
      </c>
    </row>
    <row r="576" spans="1:12">
      <c r="A576" s="287">
        <v>575</v>
      </c>
      <c r="B576" s="277">
        <v>45817</v>
      </c>
      <c r="C576" s="284" t="s">
        <v>1183</v>
      </c>
      <c r="E576" s="284" t="s">
        <v>1959</v>
      </c>
      <c r="F576" s="284" t="s">
        <v>2531</v>
      </c>
      <c r="G576" s="279">
        <v>20000</v>
      </c>
      <c r="H576" s="284">
        <v>1</v>
      </c>
      <c r="K576" s="279">
        <v>20000</v>
      </c>
    </row>
    <row r="577" spans="1:12">
      <c r="A577" s="287">
        <v>576</v>
      </c>
      <c r="B577" s="277">
        <v>45817</v>
      </c>
      <c r="C577" s="284" t="s">
        <v>1790</v>
      </c>
      <c r="E577" s="284" t="s">
        <v>1813</v>
      </c>
      <c r="G577" s="279">
        <v>1100000</v>
      </c>
      <c r="H577" s="284">
        <v>1</v>
      </c>
      <c r="K577" s="279">
        <v>1100000</v>
      </c>
    </row>
    <row r="578" spans="1:12">
      <c r="A578" s="287">
        <v>577</v>
      </c>
      <c r="B578" s="277">
        <v>45817</v>
      </c>
      <c r="C578" s="284" t="s">
        <v>1030</v>
      </c>
      <c r="E578" s="284" t="s">
        <v>2535</v>
      </c>
      <c r="G578" s="279">
        <v>1100000</v>
      </c>
      <c r="H578" s="284">
        <v>1</v>
      </c>
      <c r="K578" s="279">
        <v>1100000</v>
      </c>
    </row>
    <row r="579" spans="1:12">
      <c r="A579" s="287">
        <v>578</v>
      </c>
      <c r="B579" s="277">
        <v>45817</v>
      </c>
      <c r="C579" s="284" t="s">
        <v>1490</v>
      </c>
      <c r="E579" s="284" t="s">
        <v>2294</v>
      </c>
      <c r="G579" s="279">
        <v>1500000</v>
      </c>
      <c r="H579" s="284">
        <v>1</v>
      </c>
      <c r="K579" s="279">
        <v>1500000</v>
      </c>
    </row>
    <row r="580" spans="1:12">
      <c r="A580" s="287">
        <v>579</v>
      </c>
      <c r="B580" s="277">
        <v>45817</v>
      </c>
      <c r="C580" s="284" t="s">
        <v>1445</v>
      </c>
      <c r="E580" s="284" t="s">
        <v>2294</v>
      </c>
      <c r="G580" s="279">
        <v>1500000</v>
      </c>
      <c r="H580" s="284">
        <v>1</v>
      </c>
      <c r="K580" s="279">
        <v>1500000</v>
      </c>
    </row>
    <row r="581" spans="1:12">
      <c r="A581" s="287">
        <v>580</v>
      </c>
      <c r="B581" s="277">
        <v>45817</v>
      </c>
      <c r="C581" s="284" t="s">
        <v>1629</v>
      </c>
      <c r="E581" s="284" t="s">
        <v>2284</v>
      </c>
      <c r="F581" s="284" t="s">
        <v>1245</v>
      </c>
      <c r="G581" s="279">
        <v>517273</v>
      </c>
      <c r="H581" s="284">
        <v>1</v>
      </c>
      <c r="J581" s="280">
        <v>51727</v>
      </c>
      <c r="K581" s="279">
        <v>569000</v>
      </c>
    </row>
    <row r="582" spans="1:12">
      <c r="A582" s="287">
        <v>581</v>
      </c>
      <c r="B582" s="277">
        <v>45817</v>
      </c>
      <c r="C582" s="284" t="s">
        <v>1629</v>
      </c>
      <c r="E582" s="284" t="s">
        <v>2285</v>
      </c>
      <c r="F582" s="284" t="s">
        <v>1303</v>
      </c>
      <c r="G582" s="279">
        <v>130000</v>
      </c>
      <c r="H582" s="284">
        <v>2</v>
      </c>
      <c r="J582" s="280">
        <v>26000</v>
      </c>
      <c r="K582" s="279">
        <v>286000</v>
      </c>
    </row>
    <row r="583" spans="1:12">
      <c r="A583" s="287">
        <v>582</v>
      </c>
      <c r="B583" s="277">
        <v>45817</v>
      </c>
      <c r="C583" s="284" t="s">
        <v>2558</v>
      </c>
      <c r="E583" s="284" t="s">
        <v>2559</v>
      </c>
      <c r="G583" s="279">
        <v>600000</v>
      </c>
      <c r="H583" s="284">
        <v>1</v>
      </c>
      <c r="J583" s="280">
        <v>60000</v>
      </c>
      <c r="K583" s="279">
        <v>660000</v>
      </c>
    </row>
    <row r="584" spans="1:12">
      <c r="A584" s="287">
        <v>583</v>
      </c>
      <c r="B584" s="277">
        <v>45817</v>
      </c>
      <c r="C584" s="284" t="s">
        <v>1626</v>
      </c>
      <c r="E584" s="284" t="s">
        <v>2540</v>
      </c>
      <c r="H584" s="284">
        <v>1</v>
      </c>
      <c r="K584" s="279">
        <v>0</v>
      </c>
    </row>
    <row r="585" spans="1:12">
      <c r="A585" s="287">
        <v>584</v>
      </c>
      <c r="B585" s="277">
        <v>45817</v>
      </c>
      <c r="C585" s="284" t="s">
        <v>1626</v>
      </c>
      <c r="E585" s="284" t="s">
        <v>2542</v>
      </c>
      <c r="F585" s="284" t="s">
        <v>2541</v>
      </c>
      <c r="G585" s="279">
        <v>590910</v>
      </c>
      <c r="H585" s="284">
        <v>1</v>
      </c>
      <c r="J585" s="280">
        <v>59091</v>
      </c>
      <c r="K585" s="279">
        <v>650001</v>
      </c>
    </row>
    <row r="586" spans="1:12">
      <c r="A586" s="287">
        <v>585</v>
      </c>
      <c r="B586" s="277">
        <v>45817</v>
      </c>
      <c r="C586" s="284" t="s">
        <v>1626</v>
      </c>
      <c r="E586" s="284" t="s">
        <v>2544</v>
      </c>
      <c r="F586" s="284" t="s">
        <v>2543</v>
      </c>
      <c r="G586" s="279">
        <v>100000</v>
      </c>
      <c r="H586" s="284">
        <v>1</v>
      </c>
      <c r="J586" s="280">
        <v>10000</v>
      </c>
      <c r="K586" s="279">
        <v>110000</v>
      </c>
    </row>
    <row r="587" spans="1:12">
      <c r="A587" s="287">
        <v>586</v>
      </c>
      <c r="B587" s="277">
        <v>45817</v>
      </c>
      <c r="C587" s="284" t="s">
        <v>1626</v>
      </c>
      <c r="E587" s="284" t="s">
        <v>2289</v>
      </c>
      <c r="F587" s="284" t="s">
        <v>1901</v>
      </c>
      <c r="G587" s="279">
        <v>20000</v>
      </c>
      <c r="H587" s="284">
        <v>1</v>
      </c>
      <c r="J587" s="280">
        <v>2000</v>
      </c>
      <c r="K587" s="279">
        <v>22000</v>
      </c>
    </row>
    <row r="588" spans="1:12">
      <c r="A588" s="287">
        <v>587</v>
      </c>
      <c r="B588" s="277">
        <v>45817</v>
      </c>
      <c r="C588" s="284" t="s">
        <v>2527</v>
      </c>
      <c r="E588" s="284" t="s">
        <v>1161</v>
      </c>
      <c r="L588" s="279">
        <v>-2420000</v>
      </c>
    </row>
    <row r="589" spans="1:12">
      <c r="A589" s="287">
        <v>588</v>
      </c>
      <c r="B589" s="277">
        <v>45817</v>
      </c>
      <c r="C589" s="284" t="s">
        <v>1490</v>
      </c>
      <c r="E589" s="284" t="s">
        <v>2549</v>
      </c>
      <c r="L589" s="279">
        <v>-500000</v>
      </c>
    </row>
    <row r="590" spans="1:12">
      <c r="A590" s="287">
        <v>589</v>
      </c>
      <c r="B590" s="277">
        <v>45817</v>
      </c>
      <c r="C590" s="284" t="s">
        <v>1490</v>
      </c>
      <c r="E590" s="284" t="s">
        <v>2550</v>
      </c>
      <c r="L590" s="279">
        <v>-300000</v>
      </c>
    </row>
    <row r="591" spans="1:12">
      <c r="A591" s="287">
        <v>590</v>
      </c>
      <c r="B591" s="277">
        <v>45817</v>
      </c>
      <c r="C591" s="284" t="s">
        <v>1490</v>
      </c>
      <c r="E591" s="284" t="s">
        <v>2551</v>
      </c>
      <c r="L591" s="279">
        <v>-300000</v>
      </c>
    </row>
    <row r="592" spans="1:12">
      <c r="A592" s="287">
        <v>591</v>
      </c>
      <c r="B592" s="277">
        <v>45817</v>
      </c>
      <c r="C592" s="284" t="s">
        <v>1490</v>
      </c>
      <c r="E592" s="284" t="s">
        <v>2552</v>
      </c>
      <c r="L592" s="279">
        <v>-380000</v>
      </c>
    </row>
    <row r="593" spans="1:12">
      <c r="A593" s="287">
        <v>592</v>
      </c>
      <c r="B593" s="277">
        <v>45817</v>
      </c>
      <c r="C593" s="284" t="s">
        <v>997</v>
      </c>
      <c r="E593" s="284" t="s">
        <v>1161</v>
      </c>
      <c r="L593" s="279">
        <v>-2200000</v>
      </c>
    </row>
    <row r="594" spans="1:12">
      <c r="A594" s="287">
        <v>593</v>
      </c>
      <c r="B594" s="277">
        <v>45817</v>
      </c>
      <c r="C594" s="284" t="s">
        <v>2359</v>
      </c>
      <c r="E594" s="284" t="s">
        <v>1161</v>
      </c>
      <c r="L594" s="279">
        <v>-1500000</v>
      </c>
    </row>
    <row r="595" spans="1:12">
      <c r="A595" s="287">
        <v>594</v>
      </c>
      <c r="B595" s="277">
        <v>45807</v>
      </c>
      <c r="C595" s="284" t="s">
        <v>1069</v>
      </c>
      <c r="E595" s="284" t="s">
        <v>1161</v>
      </c>
      <c r="L595" s="279">
        <v>-2000000</v>
      </c>
    </row>
    <row r="596" spans="1:12">
      <c r="A596" s="287">
        <v>595</v>
      </c>
      <c r="B596" s="277">
        <v>45817</v>
      </c>
      <c r="C596" s="284" t="s">
        <v>1445</v>
      </c>
      <c r="E596" s="284" t="s">
        <v>2442</v>
      </c>
      <c r="F596" s="284">
        <v>1087298437</v>
      </c>
      <c r="G596" s="279">
        <v>80000</v>
      </c>
      <c r="H596" s="284">
        <v>1</v>
      </c>
      <c r="K596" s="279">
        <v>80000</v>
      </c>
    </row>
    <row r="597" spans="1:12">
      <c r="A597" s="287">
        <v>596</v>
      </c>
      <c r="B597" s="277">
        <v>45818</v>
      </c>
      <c r="C597" s="284" t="s">
        <v>2195</v>
      </c>
      <c r="E597" s="284" t="s">
        <v>1161</v>
      </c>
      <c r="L597" s="279">
        <v>-1550000</v>
      </c>
    </row>
    <row r="598" spans="1:12">
      <c r="A598" s="287">
        <v>597</v>
      </c>
      <c r="B598" s="277">
        <v>45818</v>
      </c>
      <c r="C598" s="284" t="s">
        <v>1645</v>
      </c>
      <c r="E598" s="284" t="s">
        <v>1161</v>
      </c>
      <c r="L598" s="279">
        <v>-700000</v>
      </c>
    </row>
    <row r="599" spans="1:12">
      <c r="A599" s="287">
        <v>598</v>
      </c>
      <c r="B599" s="277">
        <v>45818</v>
      </c>
      <c r="C599" s="284" t="s">
        <v>2478</v>
      </c>
      <c r="E599" s="284" t="s">
        <v>2577</v>
      </c>
      <c r="G599" s="279">
        <v>3000000</v>
      </c>
      <c r="H599" s="284">
        <v>1</v>
      </c>
      <c r="K599" s="279">
        <v>3000000</v>
      </c>
    </row>
    <row r="600" spans="1:12">
      <c r="A600" s="287">
        <v>599</v>
      </c>
      <c r="B600" s="277">
        <v>45818</v>
      </c>
      <c r="C600" s="284" t="s">
        <v>1817</v>
      </c>
      <c r="E600" s="284" t="s">
        <v>2287</v>
      </c>
      <c r="F600" s="284">
        <v>50229</v>
      </c>
      <c r="G600" s="279">
        <v>75000</v>
      </c>
      <c r="H600" s="284">
        <v>2</v>
      </c>
      <c r="J600" s="280">
        <v>15000</v>
      </c>
      <c r="K600" s="279">
        <v>165000</v>
      </c>
    </row>
    <row r="601" spans="1:12">
      <c r="A601" s="287">
        <v>600</v>
      </c>
      <c r="B601" s="277">
        <v>45818</v>
      </c>
      <c r="C601" s="284" t="s">
        <v>1817</v>
      </c>
      <c r="E601" s="284" t="s">
        <v>2285</v>
      </c>
      <c r="F601" s="284" t="s">
        <v>1303</v>
      </c>
      <c r="G601" s="279">
        <v>130000</v>
      </c>
      <c r="H601" s="284">
        <v>1</v>
      </c>
      <c r="J601" s="280">
        <v>13000</v>
      </c>
      <c r="K601" s="279">
        <v>143000</v>
      </c>
    </row>
    <row r="602" spans="1:12">
      <c r="A602" s="287">
        <v>601</v>
      </c>
      <c r="B602" s="277">
        <v>45818</v>
      </c>
      <c r="C602" s="284" t="s">
        <v>2887</v>
      </c>
      <c r="E602" s="284" t="s">
        <v>2888</v>
      </c>
      <c r="F602" s="286">
        <v>602000700</v>
      </c>
      <c r="G602" s="279">
        <v>340000</v>
      </c>
      <c r="H602" s="284">
        <v>1</v>
      </c>
      <c r="K602" s="279">
        <v>340000</v>
      </c>
    </row>
    <row r="603" spans="1:12">
      <c r="A603" s="287">
        <v>602</v>
      </c>
      <c r="B603" s="277">
        <v>45818</v>
      </c>
      <c r="C603" s="284" t="s">
        <v>1351</v>
      </c>
      <c r="E603" s="284" t="s">
        <v>2581</v>
      </c>
      <c r="G603" s="279">
        <v>850000</v>
      </c>
      <c r="H603" s="284">
        <v>1</v>
      </c>
      <c r="K603" s="279">
        <v>850000</v>
      </c>
    </row>
    <row r="604" spans="1:12">
      <c r="A604" s="287">
        <v>603</v>
      </c>
      <c r="B604" s="277">
        <v>45818</v>
      </c>
      <c r="C604" s="284" t="s">
        <v>1351</v>
      </c>
      <c r="E604" s="284" t="s">
        <v>2198</v>
      </c>
      <c r="G604" s="279">
        <v>1000000</v>
      </c>
      <c r="H604" s="284">
        <v>1</v>
      </c>
      <c r="K604" s="279">
        <v>1000000</v>
      </c>
    </row>
    <row r="605" spans="1:12">
      <c r="A605" s="287">
        <v>604</v>
      </c>
      <c r="B605" s="277">
        <v>45818</v>
      </c>
      <c r="C605" s="284" t="s">
        <v>1626</v>
      </c>
      <c r="E605" s="284" t="s">
        <v>2303</v>
      </c>
      <c r="G605" s="279">
        <v>1600000</v>
      </c>
      <c r="H605" s="284">
        <v>1</v>
      </c>
      <c r="J605" s="280">
        <v>160000</v>
      </c>
      <c r="K605" s="279">
        <v>1760000</v>
      </c>
    </row>
    <row r="606" spans="1:12">
      <c r="A606" s="287">
        <v>605</v>
      </c>
      <c r="B606" s="277">
        <v>45818</v>
      </c>
      <c r="C606" s="284" t="s">
        <v>1626</v>
      </c>
      <c r="E606" s="284" t="s">
        <v>1565</v>
      </c>
      <c r="G606" s="279">
        <v>20000</v>
      </c>
      <c r="H606" s="284">
        <v>1</v>
      </c>
      <c r="J606" s="280">
        <v>2000</v>
      </c>
      <c r="K606" s="279">
        <v>22000</v>
      </c>
    </row>
    <row r="607" spans="1:12">
      <c r="A607" s="287">
        <v>606</v>
      </c>
      <c r="B607" s="277">
        <v>45818</v>
      </c>
      <c r="C607" s="284" t="s">
        <v>1490</v>
      </c>
      <c r="E607" s="284" t="s">
        <v>2584</v>
      </c>
      <c r="G607" s="279">
        <v>100000</v>
      </c>
      <c r="H607" s="284">
        <v>1</v>
      </c>
      <c r="K607" s="279">
        <v>100000</v>
      </c>
    </row>
    <row r="608" spans="1:12">
      <c r="A608" s="287">
        <v>607</v>
      </c>
      <c r="B608" s="277">
        <v>45818</v>
      </c>
      <c r="C608" s="284" t="s">
        <v>2421</v>
      </c>
      <c r="E608" s="284" t="s">
        <v>2588</v>
      </c>
      <c r="F608" s="284" t="s">
        <v>1236</v>
      </c>
      <c r="G608" s="279">
        <v>100000</v>
      </c>
      <c r="H608" s="284">
        <v>1</v>
      </c>
      <c r="K608" s="279">
        <v>100000</v>
      </c>
    </row>
    <row r="609" spans="1:12">
      <c r="A609" s="287">
        <v>608</v>
      </c>
      <c r="B609" s="277">
        <v>45818</v>
      </c>
      <c r="C609" s="284" t="s">
        <v>1979</v>
      </c>
      <c r="E609" s="284" t="s">
        <v>1241</v>
      </c>
      <c r="F609" s="284" t="s">
        <v>1406</v>
      </c>
      <c r="G609" s="279">
        <v>1200000</v>
      </c>
      <c r="H609" s="284">
        <v>1</v>
      </c>
      <c r="K609" s="279">
        <v>1200000</v>
      </c>
    </row>
    <row r="610" spans="1:12">
      <c r="A610" s="287">
        <v>609</v>
      </c>
      <c r="B610" s="277">
        <v>45818</v>
      </c>
      <c r="C610" s="284" t="s">
        <v>1490</v>
      </c>
      <c r="E610" s="284" t="s">
        <v>2591</v>
      </c>
      <c r="L610" s="279">
        <v>-1200000</v>
      </c>
    </row>
    <row r="611" spans="1:12">
      <c r="A611" s="287">
        <v>610</v>
      </c>
      <c r="B611" s="277">
        <v>45813</v>
      </c>
      <c r="C611" s="284" t="s">
        <v>1502</v>
      </c>
      <c r="E611" s="284" t="s">
        <v>1161</v>
      </c>
      <c r="L611" s="279">
        <v>-150000</v>
      </c>
    </row>
    <row r="612" spans="1:12">
      <c r="A612" s="287">
        <v>611</v>
      </c>
      <c r="B612" s="277">
        <v>45818</v>
      </c>
      <c r="C612" s="284" t="s">
        <v>2594</v>
      </c>
      <c r="D612" s="278" t="s">
        <v>1254</v>
      </c>
      <c r="E612" s="284" t="s">
        <v>2595</v>
      </c>
      <c r="F612" s="284" t="s">
        <v>2596</v>
      </c>
      <c r="G612" s="279">
        <v>-1500000</v>
      </c>
      <c r="H612" s="284">
        <v>1</v>
      </c>
      <c r="J612" s="280">
        <v>-150000</v>
      </c>
      <c r="K612" s="279">
        <v>-1650000</v>
      </c>
    </row>
    <row r="613" spans="1:12">
      <c r="A613" s="287">
        <v>612</v>
      </c>
      <c r="B613" s="277">
        <v>45819</v>
      </c>
      <c r="C613" s="284" t="s">
        <v>1351</v>
      </c>
      <c r="E613" s="284" t="s">
        <v>1161</v>
      </c>
      <c r="L613" s="279">
        <v>-1850000</v>
      </c>
    </row>
    <row r="614" spans="1:12">
      <c r="A614" s="287">
        <v>613</v>
      </c>
      <c r="B614" s="277">
        <v>45819</v>
      </c>
      <c r="C614" s="284" t="s">
        <v>1030</v>
      </c>
      <c r="E614" s="284" t="s">
        <v>1161</v>
      </c>
      <c r="L614" s="279">
        <v>-5487000</v>
      </c>
    </row>
    <row r="615" spans="1:12">
      <c r="A615" s="287">
        <v>614</v>
      </c>
      <c r="B615" s="277">
        <v>45819</v>
      </c>
      <c r="C615" s="284" t="s">
        <v>2606</v>
      </c>
      <c r="E615" s="284" t="s">
        <v>1241</v>
      </c>
      <c r="F615" s="284" t="s">
        <v>1822</v>
      </c>
      <c r="G615" s="279">
        <v>1200000</v>
      </c>
      <c r="H615" s="284">
        <v>1</v>
      </c>
      <c r="J615" s="280">
        <v>120000</v>
      </c>
      <c r="K615" s="279">
        <v>1320000</v>
      </c>
    </row>
    <row r="616" spans="1:12">
      <c r="A616" s="287">
        <v>615</v>
      </c>
      <c r="B616" s="277">
        <v>45819</v>
      </c>
      <c r="C616" s="284" t="s">
        <v>1498</v>
      </c>
      <c r="E616" s="284" t="s">
        <v>1243</v>
      </c>
      <c r="F616" s="284" t="s">
        <v>1242</v>
      </c>
      <c r="G616" s="279">
        <v>1200000</v>
      </c>
      <c r="H616" s="284">
        <v>1</v>
      </c>
      <c r="J616" s="280">
        <v>120000</v>
      </c>
      <c r="K616" s="279">
        <v>1320000</v>
      </c>
    </row>
    <row r="617" spans="1:12">
      <c r="A617" s="287">
        <v>616</v>
      </c>
      <c r="B617" s="277">
        <v>45819</v>
      </c>
      <c r="C617" s="284" t="s">
        <v>1418</v>
      </c>
      <c r="E617" s="284" t="s">
        <v>1805</v>
      </c>
      <c r="F617" s="284">
        <v>2850701</v>
      </c>
      <c r="G617" s="279">
        <v>600000</v>
      </c>
      <c r="H617" s="284">
        <v>1</v>
      </c>
      <c r="K617" s="279">
        <v>600000</v>
      </c>
    </row>
    <row r="618" spans="1:12">
      <c r="A618" s="287">
        <v>617</v>
      </c>
      <c r="B618" s="277">
        <v>45819</v>
      </c>
      <c r="C618" s="284" t="s">
        <v>2597</v>
      </c>
      <c r="E618" s="284" t="s">
        <v>1785</v>
      </c>
      <c r="F618" s="284">
        <v>2800802</v>
      </c>
      <c r="G618" s="279">
        <v>200000</v>
      </c>
      <c r="H618" s="284">
        <v>1</v>
      </c>
      <c r="J618" s="280">
        <v>20000</v>
      </c>
      <c r="K618" s="279">
        <v>220000</v>
      </c>
    </row>
    <row r="619" spans="1:12">
      <c r="A619" s="287">
        <v>618</v>
      </c>
      <c r="B619" s="277">
        <v>45819</v>
      </c>
      <c r="C619" s="284" t="s">
        <v>1495</v>
      </c>
      <c r="E619" s="284" t="s">
        <v>1241</v>
      </c>
      <c r="F619" s="284" t="s">
        <v>1822</v>
      </c>
      <c r="G619" s="279">
        <v>1200000</v>
      </c>
      <c r="H619" s="284">
        <v>1</v>
      </c>
      <c r="K619" s="279">
        <v>1200000</v>
      </c>
    </row>
    <row r="620" spans="1:12">
      <c r="A620" s="287">
        <v>619</v>
      </c>
      <c r="B620" s="277">
        <v>45818</v>
      </c>
      <c r="C620" s="284" t="s">
        <v>2478</v>
      </c>
      <c r="E620" s="284" t="s">
        <v>1161</v>
      </c>
      <c r="L620" s="279">
        <v>-3000000</v>
      </c>
    </row>
    <row r="621" spans="1:12">
      <c r="A621" s="287">
        <v>620</v>
      </c>
      <c r="B621" s="277">
        <v>45819</v>
      </c>
      <c r="C621" s="284" t="s">
        <v>2597</v>
      </c>
      <c r="E621" s="284" t="s">
        <v>1161</v>
      </c>
      <c r="L621" s="279">
        <v>-220000</v>
      </c>
    </row>
    <row r="622" spans="1:12">
      <c r="A622" s="287">
        <v>621</v>
      </c>
      <c r="B622" s="277">
        <v>45818</v>
      </c>
      <c r="C622" s="284" t="s">
        <v>2421</v>
      </c>
      <c r="E622" s="284" t="s">
        <v>1161</v>
      </c>
      <c r="L622" s="279">
        <v>-100000</v>
      </c>
    </row>
    <row r="623" spans="1:12">
      <c r="A623" s="287">
        <v>622</v>
      </c>
      <c r="B623" s="277">
        <v>45820</v>
      </c>
      <c r="C623" s="284" t="s">
        <v>1495</v>
      </c>
      <c r="E623" s="284" t="s">
        <v>1161</v>
      </c>
      <c r="L623" s="279">
        <v>-1200000</v>
      </c>
    </row>
    <row r="624" spans="1:12">
      <c r="A624" s="287">
        <v>623</v>
      </c>
      <c r="B624" s="277">
        <v>45820</v>
      </c>
      <c r="C624" s="284" t="s">
        <v>2614</v>
      </c>
      <c r="E624" s="284" t="s">
        <v>2277</v>
      </c>
      <c r="F624" s="284" t="s">
        <v>1239</v>
      </c>
      <c r="G624" s="279">
        <v>1500000</v>
      </c>
      <c r="H624" s="284">
        <v>1</v>
      </c>
      <c r="K624" s="279">
        <v>1500000</v>
      </c>
    </row>
    <row r="625" spans="1:12">
      <c r="A625" s="287">
        <v>624</v>
      </c>
      <c r="B625" s="277">
        <v>45820</v>
      </c>
      <c r="C625" s="284" t="s">
        <v>2614</v>
      </c>
      <c r="E625" s="284" t="s">
        <v>2278</v>
      </c>
      <c r="F625" s="284" t="s">
        <v>1879</v>
      </c>
      <c r="G625" s="279">
        <v>50000</v>
      </c>
      <c r="H625" s="284">
        <v>1</v>
      </c>
      <c r="K625" s="279">
        <v>50000</v>
      </c>
    </row>
    <row r="626" spans="1:12">
      <c r="A626" s="287">
        <v>625</v>
      </c>
      <c r="B626" s="277">
        <v>45820</v>
      </c>
      <c r="C626" s="284" t="s">
        <v>1519</v>
      </c>
      <c r="E626" s="284" t="s">
        <v>2294</v>
      </c>
      <c r="G626" s="279">
        <v>1500000</v>
      </c>
      <c r="H626" s="284">
        <v>1</v>
      </c>
      <c r="K626" s="279">
        <v>1500000</v>
      </c>
    </row>
    <row r="627" spans="1:12">
      <c r="A627" s="287">
        <v>626</v>
      </c>
      <c r="B627" s="277">
        <v>45820</v>
      </c>
      <c r="C627" s="284" t="s">
        <v>1525</v>
      </c>
      <c r="E627" s="284" t="s">
        <v>1243</v>
      </c>
      <c r="F627" s="284" t="s">
        <v>1242</v>
      </c>
      <c r="G627" s="279">
        <v>1100000</v>
      </c>
      <c r="H627" s="284">
        <v>1</v>
      </c>
      <c r="K627" s="279">
        <v>1100000</v>
      </c>
    </row>
    <row r="628" spans="1:12">
      <c r="A628" s="287">
        <v>627</v>
      </c>
      <c r="B628" s="277">
        <v>45820</v>
      </c>
      <c r="C628" s="284" t="s">
        <v>2606</v>
      </c>
      <c r="E628" s="284" t="s">
        <v>1161</v>
      </c>
      <c r="L628" s="279">
        <v>-1320000</v>
      </c>
    </row>
    <row r="629" spans="1:12">
      <c r="A629" s="287">
        <v>628</v>
      </c>
      <c r="B629" s="277">
        <v>45821</v>
      </c>
      <c r="C629" s="284" t="s">
        <v>2244</v>
      </c>
      <c r="E629" s="284" t="s">
        <v>1161</v>
      </c>
      <c r="L629" s="279">
        <v>-900000</v>
      </c>
    </row>
    <row r="630" spans="1:12">
      <c r="A630" s="287">
        <v>629</v>
      </c>
      <c r="B630" s="277">
        <v>45821</v>
      </c>
      <c r="C630" s="284" t="s">
        <v>2617</v>
      </c>
      <c r="E630" s="284" t="s">
        <v>1785</v>
      </c>
      <c r="F630" s="284">
        <v>2800802</v>
      </c>
      <c r="G630" s="279">
        <v>150000</v>
      </c>
      <c r="H630" s="284">
        <v>1</v>
      </c>
      <c r="K630" s="279">
        <v>150000</v>
      </c>
    </row>
    <row r="631" spans="1:12">
      <c r="A631" s="287">
        <v>630</v>
      </c>
      <c r="B631" s="277">
        <v>45821</v>
      </c>
      <c r="C631" s="284" t="s">
        <v>1979</v>
      </c>
      <c r="E631" s="284" t="s">
        <v>1161</v>
      </c>
      <c r="L631" s="279">
        <v>-1200000</v>
      </c>
    </row>
    <row r="632" spans="1:12">
      <c r="A632" s="287">
        <v>631</v>
      </c>
      <c r="B632" s="277">
        <v>45728</v>
      </c>
      <c r="C632" s="284" t="s">
        <v>1105</v>
      </c>
      <c r="E632" s="284" t="s">
        <v>1161</v>
      </c>
      <c r="L632" s="279">
        <v>-1500000</v>
      </c>
    </row>
    <row r="633" spans="1:12">
      <c r="A633" s="287">
        <v>632</v>
      </c>
      <c r="B633" s="277">
        <v>45821</v>
      </c>
      <c r="C633" s="284" t="s">
        <v>1030</v>
      </c>
      <c r="E633" s="284" t="s">
        <v>2288</v>
      </c>
      <c r="F633" s="284" t="s">
        <v>1871</v>
      </c>
      <c r="G633" s="279">
        <v>35000</v>
      </c>
      <c r="H633" s="284">
        <v>1</v>
      </c>
      <c r="K633" s="279">
        <v>35000</v>
      </c>
    </row>
    <row r="634" spans="1:12">
      <c r="A634" s="287">
        <v>633</v>
      </c>
      <c r="B634" s="277">
        <v>45821</v>
      </c>
      <c r="C634" s="284" t="s">
        <v>1030</v>
      </c>
      <c r="E634" s="284" t="s">
        <v>2289</v>
      </c>
      <c r="F634" s="284" t="s">
        <v>1901</v>
      </c>
      <c r="G634" s="279">
        <v>10000</v>
      </c>
      <c r="H634" s="284">
        <v>1</v>
      </c>
      <c r="K634" s="279">
        <v>10000</v>
      </c>
    </row>
    <row r="635" spans="1:12">
      <c r="A635" s="287">
        <v>634</v>
      </c>
      <c r="B635" s="277">
        <v>45821</v>
      </c>
      <c r="C635" s="284" t="s">
        <v>1885</v>
      </c>
      <c r="E635" s="284" t="s">
        <v>2275</v>
      </c>
      <c r="F635" s="284" t="s">
        <v>1510</v>
      </c>
      <c r="G635" s="279">
        <v>1500000</v>
      </c>
      <c r="H635" s="284">
        <v>1</v>
      </c>
      <c r="K635" s="279">
        <v>1500000</v>
      </c>
    </row>
    <row r="636" spans="1:12">
      <c r="A636" s="287">
        <v>635</v>
      </c>
      <c r="B636" s="277">
        <v>45821</v>
      </c>
      <c r="C636" s="284" t="s">
        <v>2066</v>
      </c>
      <c r="E636" s="284" t="s">
        <v>2283</v>
      </c>
      <c r="F636" s="284" t="s">
        <v>1238</v>
      </c>
      <c r="G636" s="279">
        <v>1400000</v>
      </c>
      <c r="H636" s="284">
        <v>1</v>
      </c>
      <c r="K636" s="279">
        <v>1400000</v>
      </c>
    </row>
    <row r="637" spans="1:12">
      <c r="A637" s="287">
        <v>636</v>
      </c>
      <c r="B637" s="277">
        <v>45821</v>
      </c>
      <c r="C637" s="284" t="s">
        <v>2627</v>
      </c>
      <c r="E637" s="284" t="s">
        <v>2277</v>
      </c>
      <c r="F637" s="284" t="s">
        <v>1239</v>
      </c>
      <c r="G637" s="279">
        <v>1500000</v>
      </c>
      <c r="H637" s="284">
        <v>1</v>
      </c>
      <c r="K637" s="279">
        <v>1500000</v>
      </c>
    </row>
    <row r="638" spans="1:12">
      <c r="A638" s="287">
        <v>637</v>
      </c>
      <c r="B638" s="277">
        <v>45821</v>
      </c>
      <c r="C638" s="284" t="s">
        <v>2627</v>
      </c>
      <c r="E638" s="284" t="s">
        <v>2278</v>
      </c>
      <c r="F638" s="284" t="s">
        <v>1879</v>
      </c>
      <c r="G638" s="279">
        <v>50000</v>
      </c>
      <c r="H638" s="284">
        <v>1</v>
      </c>
      <c r="K638" s="279">
        <v>50000</v>
      </c>
    </row>
    <row r="639" spans="1:12">
      <c r="A639" s="287">
        <v>638</v>
      </c>
      <c r="B639" s="277">
        <v>45821</v>
      </c>
      <c r="C639" s="284" t="s">
        <v>1375</v>
      </c>
      <c r="E639" s="284" t="s">
        <v>2848</v>
      </c>
      <c r="G639" s="279">
        <v>480000</v>
      </c>
      <c r="H639" s="284">
        <v>1</v>
      </c>
      <c r="K639" s="279">
        <v>480000</v>
      </c>
    </row>
    <row r="640" spans="1:12">
      <c r="A640" s="287">
        <v>639</v>
      </c>
      <c r="B640" s="277">
        <v>45821</v>
      </c>
      <c r="C640" s="284" t="s">
        <v>1515</v>
      </c>
      <c r="E640" s="284" t="s">
        <v>2631</v>
      </c>
      <c r="G640" s="279">
        <v>150000</v>
      </c>
      <c r="H640" s="284">
        <v>1</v>
      </c>
      <c r="K640" s="279">
        <v>150000</v>
      </c>
    </row>
    <row r="641" spans="1:12">
      <c r="A641" s="287">
        <v>640</v>
      </c>
      <c r="B641" s="277">
        <v>45821</v>
      </c>
      <c r="C641" s="284" t="s">
        <v>1540</v>
      </c>
      <c r="E641" s="284" t="s">
        <v>2401</v>
      </c>
      <c r="G641" s="279">
        <v>650000</v>
      </c>
      <c r="H641" s="284">
        <v>1</v>
      </c>
      <c r="K641" s="279">
        <v>650000</v>
      </c>
    </row>
    <row r="642" spans="1:12">
      <c r="A642" s="287">
        <v>641</v>
      </c>
      <c r="B642" s="277">
        <v>45821</v>
      </c>
      <c r="C642" s="284" t="s">
        <v>1540</v>
      </c>
      <c r="E642" s="284" t="s">
        <v>1542</v>
      </c>
      <c r="G642" s="279">
        <v>350000</v>
      </c>
      <c r="H642" s="284">
        <v>1</v>
      </c>
      <c r="K642" s="279">
        <v>350000</v>
      </c>
    </row>
    <row r="643" spans="1:12">
      <c r="A643" s="287">
        <v>642</v>
      </c>
      <c r="B643" s="277">
        <v>45821</v>
      </c>
      <c r="C643" s="284" t="s">
        <v>2627</v>
      </c>
      <c r="E643" s="284" t="s">
        <v>1161</v>
      </c>
      <c r="L643" s="279">
        <v>-1550000</v>
      </c>
    </row>
    <row r="644" spans="1:12">
      <c r="A644" s="287">
        <v>643</v>
      </c>
      <c r="B644" s="277">
        <v>45821</v>
      </c>
      <c r="C644" s="284" t="s">
        <v>2066</v>
      </c>
      <c r="E644" s="284" t="s">
        <v>1161</v>
      </c>
      <c r="L644" s="279">
        <v>-1400000</v>
      </c>
    </row>
    <row r="645" spans="1:12">
      <c r="A645" s="287">
        <v>644</v>
      </c>
      <c r="B645" s="277">
        <v>45822</v>
      </c>
      <c r="C645" s="284" t="s">
        <v>1445</v>
      </c>
      <c r="E645" s="284" t="s">
        <v>1813</v>
      </c>
      <c r="G645" s="279">
        <v>650000</v>
      </c>
      <c r="H645" s="284">
        <v>1</v>
      </c>
      <c r="K645" s="279">
        <v>650000</v>
      </c>
    </row>
    <row r="646" spans="1:12">
      <c r="A646" s="287">
        <v>645</v>
      </c>
      <c r="B646" s="277">
        <v>45822</v>
      </c>
      <c r="C646" s="284" t="s">
        <v>2617</v>
      </c>
      <c r="E646" s="284" t="s">
        <v>1161</v>
      </c>
      <c r="L646" s="279">
        <v>-150000</v>
      </c>
    </row>
    <row r="647" spans="1:12">
      <c r="A647" s="287">
        <v>646</v>
      </c>
      <c r="B647" s="277">
        <v>45822</v>
      </c>
      <c r="C647" s="284" t="s">
        <v>1587</v>
      </c>
      <c r="E647" s="284" t="s">
        <v>1813</v>
      </c>
      <c r="G647" s="279">
        <v>1100000</v>
      </c>
      <c r="H647" s="284">
        <v>1</v>
      </c>
      <c r="K647" s="279">
        <v>1100000</v>
      </c>
    </row>
    <row r="648" spans="1:12">
      <c r="A648" s="287">
        <v>647</v>
      </c>
      <c r="B648" s="277">
        <v>45824</v>
      </c>
      <c r="C648" s="284" t="s">
        <v>1060</v>
      </c>
      <c r="E648" s="284" t="s">
        <v>1161</v>
      </c>
      <c r="L648" s="279">
        <v>-1550000</v>
      </c>
    </row>
    <row r="649" spans="1:12">
      <c r="A649" s="287">
        <v>648</v>
      </c>
      <c r="B649" s="277">
        <v>45824</v>
      </c>
      <c r="C649" s="284" t="s">
        <v>1500</v>
      </c>
      <c r="E649" s="284" t="s">
        <v>2222</v>
      </c>
      <c r="G649" s="279">
        <v>250000</v>
      </c>
      <c r="H649" s="284">
        <v>1</v>
      </c>
      <c r="K649" s="279">
        <v>250000</v>
      </c>
    </row>
    <row r="650" spans="1:12">
      <c r="A650" s="287">
        <v>649</v>
      </c>
      <c r="B650" s="277">
        <v>45824</v>
      </c>
      <c r="C650" s="284" t="s">
        <v>1540</v>
      </c>
      <c r="E650" s="284" t="s">
        <v>1161</v>
      </c>
      <c r="L650" s="279">
        <v>-1000000</v>
      </c>
    </row>
    <row r="651" spans="1:12">
      <c r="A651" s="287">
        <v>650</v>
      </c>
      <c r="B651" s="277">
        <v>45824</v>
      </c>
      <c r="C651" s="284" t="s">
        <v>1030</v>
      </c>
      <c r="E651" s="284" t="s">
        <v>1607</v>
      </c>
      <c r="F651" s="284" t="s">
        <v>1841</v>
      </c>
      <c r="G651" s="279">
        <v>1400000</v>
      </c>
      <c r="H651" s="284">
        <v>1</v>
      </c>
      <c r="K651" s="279">
        <v>1400000</v>
      </c>
    </row>
    <row r="652" spans="1:12">
      <c r="A652" s="287">
        <v>651</v>
      </c>
      <c r="B652" s="277">
        <v>45824</v>
      </c>
      <c r="C652" s="284" t="s">
        <v>1030</v>
      </c>
      <c r="E652" s="284" t="s">
        <v>2644</v>
      </c>
      <c r="F652" s="284">
        <v>2463772400</v>
      </c>
      <c r="G652" s="279">
        <v>67500</v>
      </c>
      <c r="H652" s="284">
        <v>1</v>
      </c>
      <c r="K652" s="279">
        <v>67500</v>
      </c>
    </row>
    <row r="653" spans="1:12">
      <c r="A653" s="287">
        <v>652</v>
      </c>
      <c r="B653" s="277">
        <v>45824</v>
      </c>
      <c r="C653" s="284" t="s">
        <v>2860</v>
      </c>
      <c r="E653" s="284" t="s">
        <v>2862</v>
      </c>
      <c r="F653" s="286">
        <v>2462500901</v>
      </c>
      <c r="G653" s="279">
        <v>1170000</v>
      </c>
      <c r="H653" s="284">
        <v>1</v>
      </c>
      <c r="K653" s="279">
        <v>1170000</v>
      </c>
    </row>
    <row r="654" spans="1:12">
      <c r="A654" s="287">
        <v>653</v>
      </c>
      <c r="B654" s="277">
        <v>45824</v>
      </c>
      <c r="C654" s="284" t="s">
        <v>1030</v>
      </c>
      <c r="E654" s="284" t="s">
        <v>1806</v>
      </c>
      <c r="F654" s="284">
        <v>2810701</v>
      </c>
      <c r="G654" s="279">
        <v>450000</v>
      </c>
      <c r="H654" s="284">
        <v>1</v>
      </c>
      <c r="K654" s="279">
        <v>450000</v>
      </c>
    </row>
    <row r="655" spans="1:12">
      <c r="A655" s="287">
        <v>654</v>
      </c>
      <c r="B655" s="277">
        <v>45824</v>
      </c>
      <c r="C655" s="284" t="s">
        <v>1445</v>
      </c>
      <c r="E655" s="284" t="s">
        <v>1813</v>
      </c>
      <c r="G655" s="279">
        <v>650000</v>
      </c>
      <c r="H655" s="284">
        <v>1</v>
      </c>
      <c r="K655" s="279">
        <v>650000</v>
      </c>
    </row>
    <row r="656" spans="1:12">
      <c r="A656" s="287">
        <v>655</v>
      </c>
      <c r="B656" s="277">
        <v>45824</v>
      </c>
      <c r="C656" s="284" t="s">
        <v>1515</v>
      </c>
      <c r="E656" s="284" t="s">
        <v>1161</v>
      </c>
      <c r="L656" s="279">
        <v>-650000</v>
      </c>
    </row>
    <row r="657" spans="1:12">
      <c r="A657" s="287">
        <v>656</v>
      </c>
      <c r="B657" s="277">
        <v>45824</v>
      </c>
      <c r="C657" s="284" t="s">
        <v>1525</v>
      </c>
      <c r="E657" s="284" t="s">
        <v>1161</v>
      </c>
      <c r="L657" s="279">
        <v>-2000000</v>
      </c>
    </row>
    <row r="658" spans="1:12">
      <c r="A658" s="287">
        <v>657</v>
      </c>
      <c r="B658" s="277">
        <v>45825</v>
      </c>
      <c r="C658" s="284" t="s">
        <v>1424</v>
      </c>
      <c r="E658" s="284" t="s">
        <v>1241</v>
      </c>
      <c r="F658" s="284" t="s">
        <v>1822</v>
      </c>
      <c r="G658" s="279">
        <v>1300000</v>
      </c>
      <c r="H658" s="284">
        <v>1</v>
      </c>
      <c r="K658" s="279">
        <v>1300000</v>
      </c>
    </row>
    <row r="659" spans="1:12">
      <c r="A659" s="287">
        <v>658</v>
      </c>
      <c r="B659" s="277">
        <v>45825</v>
      </c>
      <c r="C659" s="284" t="s">
        <v>1424</v>
      </c>
      <c r="E659" s="284" t="s">
        <v>1542</v>
      </c>
      <c r="G659" s="279">
        <v>350000</v>
      </c>
      <c r="H659" s="284">
        <v>1</v>
      </c>
      <c r="K659" s="279">
        <v>350000</v>
      </c>
    </row>
    <row r="660" spans="1:12">
      <c r="A660" s="287">
        <v>659</v>
      </c>
      <c r="B660" s="277">
        <v>45825</v>
      </c>
      <c r="C660" s="284" t="s">
        <v>1424</v>
      </c>
      <c r="E660" s="284" t="s">
        <v>1565</v>
      </c>
      <c r="G660" s="279">
        <v>20000</v>
      </c>
      <c r="H660" s="284">
        <v>1</v>
      </c>
      <c r="K660" s="279">
        <v>20000</v>
      </c>
    </row>
    <row r="661" spans="1:12">
      <c r="A661" s="287">
        <v>660</v>
      </c>
      <c r="B661" s="277">
        <v>45825</v>
      </c>
      <c r="C661" s="284" t="s">
        <v>1424</v>
      </c>
      <c r="E661" s="284" t="s">
        <v>1161</v>
      </c>
      <c r="L661" s="279">
        <v>-1670000</v>
      </c>
    </row>
    <row r="662" spans="1:12">
      <c r="A662" s="287">
        <v>661</v>
      </c>
      <c r="B662" s="277">
        <v>45825</v>
      </c>
      <c r="C662" s="284" t="s">
        <v>1587</v>
      </c>
      <c r="E662" s="284" t="s">
        <v>2689</v>
      </c>
      <c r="G662" s="279">
        <v>2500000</v>
      </c>
      <c r="H662" s="284">
        <v>1</v>
      </c>
      <c r="K662" s="279">
        <v>2500000</v>
      </c>
    </row>
    <row r="663" spans="1:12">
      <c r="A663" s="287">
        <v>662</v>
      </c>
      <c r="B663" s="277">
        <v>45825</v>
      </c>
      <c r="C663" s="284" t="s">
        <v>1587</v>
      </c>
      <c r="E663" s="284" t="s">
        <v>2691</v>
      </c>
      <c r="L663" s="279">
        <v>-2500000</v>
      </c>
    </row>
    <row r="664" spans="1:12">
      <c r="A664" s="287">
        <v>663</v>
      </c>
      <c r="B664" s="277">
        <v>45825</v>
      </c>
      <c r="C664" s="284" t="s">
        <v>1445</v>
      </c>
      <c r="E664" s="284" t="s">
        <v>1813</v>
      </c>
      <c r="G664" s="279">
        <v>650000</v>
      </c>
      <c r="H664" s="284">
        <v>1</v>
      </c>
      <c r="K664" s="279">
        <v>650000</v>
      </c>
    </row>
    <row r="665" spans="1:12">
      <c r="A665" s="287">
        <v>664</v>
      </c>
      <c r="B665" s="277">
        <v>45825</v>
      </c>
      <c r="C665" s="284" t="s">
        <v>2692</v>
      </c>
      <c r="E665" s="284" t="s">
        <v>2275</v>
      </c>
      <c r="F665" s="284" t="s">
        <v>1510</v>
      </c>
      <c r="G665" s="279">
        <v>1500000</v>
      </c>
      <c r="H665" s="284">
        <v>1</v>
      </c>
      <c r="K665" s="279">
        <v>1500000</v>
      </c>
    </row>
    <row r="666" spans="1:12">
      <c r="A666" s="287">
        <v>665</v>
      </c>
      <c r="B666" s="277">
        <v>45825</v>
      </c>
      <c r="C666" s="284" t="s">
        <v>2692</v>
      </c>
      <c r="E666" s="284" t="s">
        <v>1161</v>
      </c>
      <c r="L666" s="279">
        <v>-1500000</v>
      </c>
    </row>
    <row r="667" spans="1:12">
      <c r="A667" s="287">
        <v>666</v>
      </c>
      <c r="B667" s="277">
        <v>45826</v>
      </c>
      <c r="C667" s="284" t="s">
        <v>1498</v>
      </c>
      <c r="E667" s="284" t="s">
        <v>1161</v>
      </c>
      <c r="L667" s="279">
        <v>-1320000</v>
      </c>
    </row>
    <row r="668" spans="1:12">
      <c r="A668" s="287">
        <v>667</v>
      </c>
      <c r="B668" s="277">
        <v>45826</v>
      </c>
      <c r="C668" s="284" t="s">
        <v>2860</v>
      </c>
      <c r="E668" s="284" t="s">
        <v>2861</v>
      </c>
      <c r="G668" s="279">
        <v>1350000</v>
      </c>
      <c r="H668" s="284">
        <v>1</v>
      </c>
      <c r="K668" s="279">
        <v>1350000</v>
      </c>
    </row>
    <row r="669" spans="1:12">
      <c r="A669" s="287">
        <v>668</v>
      </c>
      <c r="B669" s="277">
        <v>45826</v>
      </c>
      <c r="C669" s="284" t="s">
        <v>1445</v>
      </c>
      <c r="E669" s="284" t="s">
        <v>2702</v>
      </c>
      <c r="F669" s="284" t="s">
        <v>2701</v>
      </c>
      <c r="G669" s="279">
        <v>1000000</v>
      </c>
      <c r="H669" s="284">
        <v>1</v>
      </c>
      <c r="K669" s="279">
        <v>1000000</v>
      </c>
    </row>
    <row r="670" spans="1:12">
      <c r="A670" s="287">
        <v>669</v>
      </c>
      <c r="B670" s="277">
        <v>45826</v>
      </c>
      <c r="C670" s="284" t="s">
        <v>1350</v>
      </c>
      <c r="E670" s="284" t="s">
        <v>2337</v>
      </c>
      <c r="F670" s="286">
        <v>1087298388</v>
      </c>
      <c r="G670" s="279">
        <v>550000</v>
      </c>
      <c r="H670" s="284">
        <v>2</v>
      </c>
      <c r="J670" s="280">
        <v>110000</v>
      </c>
      <c r="K670" s="279" t="s">
        <v>2959</v>
      </c>
    </row>
    <row r="671" spans="1:12">
      <c r="A671" s="287">
        <v>670</v>
      </c>
      <c r="B671" s="277">
        <v>45826</v>
      </c>
      <c r="C671" s="284" t="s">
        <v>2063</v>
      </c>
      <c r="E671" s="284" t="s">
        <v>2295</v>
      </c>
      <c r="F671" s="284" t="s">
        <v>1236</v>
      </c>
      <c r="G671" s="279">
        <v>1000000</v>
      </c>
      <c r="H671" s="284">
        <v>1</v>
      </c>
      <c r="K671" s="279">
        <v>1000000</v>
      </c>
    </row>
    <row r="672" spans="1:12">
      <c r="A672" s="287">
        <v>671</v>
      </c>
      <c r="B672" s="277">
        <v>45826</v>
      </c>
      <c r="C672" s="284" t="s">
        <v>2063</v>
      </c>
      <c r="E672" s="284" t="s">
        <v>1565</v>
      </c>
      <c r="G672" s="279">
        <v>20000</v>
      </c>
      <c r="H672" s="284">
        <v>1</v>
      </c>
      <c r="K672" s="279">
        <v>20000</v>
      </c>
    </row>
    <row r="673" spans="1:12">
      <c r="A673" s="287">
        <v>672</v>
      </c>
      <c r="B673" s="277">
        <v>45826</v>
      </c>
      <c r="C673" s="284" t="s">
        <v>2063</v>
      </c>
      <c r="E673" s="284" t="s">
        <v>2295</v>
      </c>
      <c r="F673" s="284" t="s">
        <v>1236</v>
      </c>
      <c r="G673" s="279">
        <v>1000000</v>
      </c>
      <c r="H673" s="284">
        <v>1</v>
      </c>
      <c r="K673" s="279">
        <v>1000000</v>
      </c>
    </row>
    <row r="674" spans="1:12">
      <c r="A674" s="287">
        <v>673</v>
      </c>
      <c r="B674" s="277">
        <v>45826</v>
      </c>
      <c r="C674" s="284" t="s">
        <v>2393</v>
      </c>
      <c r="E674" s="284" t="s">
        <v>2123</v>
      </c>
      <c r="G674" s="279">
        <v>1000000</v>
      </c>
      <c r="H674" s="284">
        <v>1</v>
      </c>
      <c r="J674" s="280">
        <v>100000</v>
      </c>
      <c r="K674" s="279">
        <v>1100000</v>
      </c>
    </row>
    <row r="675" spans="1:12">
      <c r="A675" s="287">
        <v>674</v>
      </c>
      <c r="B675" s="277">
        <v>45826</v>
      </c>
      <c r="C675" s="284" t="s">
        <v>2393</v>
      </c>
      <c r="E675" s="284" t="s">
        <v>1161</v>
      </c>
      <c r="L675" s="279">
        <v>-1100000</v>
      </c>
    </row>
    <row r="676" spans="1:12">
      <c r="A676" s="287">
        <v>675</v>
      </c>
      <c r="B676" s="277">
        <v>45826</v>
      </c>
      <c r="C676" s="284" t="s">
        <v>1500</v>
      </c>
      <c r="E676" s="284" t="s">
        <v>1161</v>
      </c>
      <c r="L676" s="279">
        <v>-250000</v>
      </c>
    </row>
    <row r="677" spans="1:12">
      <c r="A677" s="287">
        <v>676</v>
      </c>
      <c r="B677" s="277">
        <v>45826</v>
      </c>
      <c r="C677" s="284" t="s">
        <v>2063</v>
      </c>
      <c r="E677" s="284" t="s">
        <v>1161</v>
      </c>
      <c r="L677" s="279">
        <v>-2020000</v>
      </c>
    </row>
    <row r="678" spans="1:12">
      <c r="A678" s="287">
        <v>677</v>
      </c>
      <c r="B678" s="277">
        <v>45826</v>
      </c>
      <c r="C678" s="284" t="s">
        <v>1790</v>
      </c>
      <c r="E678" s="284" t="s">
        <v>2432</v>
      </c>
      <c r="F678" s="284">
        <v>28120411</v>
      </c>
      <c r="G678" s="279">
        <v>1350000</v>
      </c>
      <c r="H678" s="284">
        <v>1</v>
      </c>
      <c r="K678" s="279">
        <v>1350000</v>
      </c>
    </row>
    <row r="679" spans="1:12">
      <c r="A679" s="287">
        <v>678</v>
      </c>
      <c r="B679" s="277">
        <v>45826</v>
      </c>
      <c r="C679" s="284" t="s">
        <v>1445</v>
      </c>
      <c r="E679" s="284" t="s">
        <v>1241</v>
      </c>
      <c r="F679" s="284" t="s">
        <v>1822</v>
      </c>
      <c r="G679" s="279">
        <v>1200000</v>
      </c>
      <c r="H679" s="284">
        <v>1</v>
      </c>
      <c r="K679" s="279">
        <v>1200000</v>
      </c>
    </row>
    <row r="680" spans="1:12">
      <c r="A680" s="287">
        <v>679</v>
      </c>
      <c r="B680" s="277">
        <v>45826</v>
      </c>
      <c r="C680" s="284" t="s">
        <v>1445</v>
      </c>
      <c r="E680" s="284" t="s">
        <v>1935</v>
      </c>
      <c r="F680" s="284" t="s">
        <v>1934</v>
      </c>
      <c r="G680" s="279">
        <v>190000</v>
      </c>
      <c r="H680" s="284">
        <v>1</v>
      </c>
      <c r="K680" s="279">
        <v>190000</v>
      </c>
    </row>
    <row r="681" spans="1:12">
      <c r="A681" s="287">
        <v>680</v>
      </c>
      <c r="B681" s="277">
        <v>45827</v>
      </c>
      <c r="C681" s="284" t="s">
        <v>2063</v>
      </c>
      <c r="E681" s="284" t="s">
        <v>2303</v>
      </c>
      <c r="G681" s="279">
        <v>1500000</v>
      </c>
      <c r="H681" s="284">
        <v>1</v>
      </c>
      <c r="J681" s="280">
        <v>150000</v>
      </c>
      <c r="K681" s="279">
        <v>1650000</v>
      </c>
    </row>
    <row r="682" spans="1:12">
      <c r="A682" s="287">
        <v>681</v>
      </c>
      <c r="B682" s="277">
        <v>45827</v>
      </c>
      <c r="C682" s="284" t="s">
        <v>1495</v>
      </c>
      <c r="E682" s="284" t="s">
        <v>1241</v>
      </c>
      <c r="F682" s="284" t="s">
        <v>1822</v>
      </c>
      <c r="G682" s="279">
        <v>1200000</v>
      </c>
      <c r="H682" s="284">
        <v>1</v>
      </c>
      <c r="K682" s="279">
        <v>1200000</v>
      </c>
    </row>
    <row r="683" spans="1:12">
      <c r="A683" s="287">
        <v>682</v>
      </c>
      <c r="B683" s="277">
        <v>45827</v>
      </c>
      <c r="C683" s="284" t="s">
        <v>2692</v>
      </c>
      <c r="E683" s="284" t="s">
        <v>1241</v>
      </c>
      <c r="F683" s="284" t="s">
        <v>1822</v>
      </c>
      <c r="G683" s="279">
        <v>1200000</v>
      </c>
      <c r="H683" s="284">
        <v>1</v>
      </c>
      <c r="J683" s="280">
        <v>120000</v>
      </c>
      <c r="K683" s="279">
        <v>1320000</v>
      </c>
    </row>
    <row r="684" spans="1:12">
      <c r="A684" s="287">
        <v>683</v>
      </c>
      <c r="B684" s="277">
        <v>45827</v>
      </c>
      <c r="C684" s="284" t="s">
        <v>2692</v>
      </c>
      <c r="E684" s="284" t="s">
        <v>1161</v>
      </c>
      <c r="L684" s="279">
        <v>-1320000</v>
      </c>
    </row>
    <row r="685" spans="1:12">
      <c r="A685" s="287">
        <v>684</v>
      </c>
      <c r="B685" s="277">
        <v>45827</v>
      </c>
      <c r="C685" s="284" t="s">
        <v>1445</v>
      </c>
      <c r="E685" s="284" t="s">
        <v>2277</v>
      </c>
      <c r="F685" s="284" t="s">
        <v>1239</v>
      </c>
      <c r="G685" s="279">
        <v>1500000</v>
      </c>
      <c r="H685" s="284">
        <v>1</v>
      </c>
      <c r="K685" s="279">
        <v>1500000</v>
      </c>
    </row>
    <row r="686" spans="1:12">
      <c r="A686" s="287">
        <v>685</v>
      </c>
      <c r="B686" s="277">
        <v>45827</v>
      </c>
      <c r="C686" s="284" t="s">
        <v>1445</v>
      </c>
      <c r="E686" s="284" t="s">
        <v>2278</v>
      </c>
      <c r="F686" s="284" t="s">
        <v>1879</v>
      </c>
      <c r="G686" s="279">
        <v>50000</v>
      </c>
      <c r="H686" s="284">
        <v>1</v>
      </c>
      <c r="K686" s="279">
        <v>50000</v>
      </c>
    </row>
    <row r="687" spans="1:12">
      <c r="A687" s="287">
        <v>686</v>
      </c>
      <c r="B687" s="277">
        <v>45827</v>
      </c>
      <c r="C687" s="284" t="s">
        <v>1490</v>
      </c>
      <c r="E687" s="284" t="s">
        <v>2275</v>
      </c>
      <c r="F687" s="284" t="s">
        <v>1510</v>
      </c>
      <c r="G687" s="279">
        <v>1500000</v>
      </c>
      <c r="H687" s="284">
        <v>1</v>
      </c>
      <c r="K687" s="279">
        <v>1500000</v>
      </c>
    </row>
    <row r="688" spans="1:12">
      <c r="A688" s="287">
        <v>687</v>
      </c>
      <c r="B688" s="277">
        <v>45827</v>
      </c>
      <c r="C688" s="284" t="s">
        <v>2806</v>
      </c>
      <c r="E688" s="284" t="s">
        <v>2807</v>
      </c>
      <c r="G688" s="279">
        <v>650000</v>
      </c>
      <c r="H688" s="284">
        <v>1</v>
      </c>
      <c r="K688" s="279">
        <v>650000</v>
      </c>
    </row>
    <row r="689" spans="1:12">
      <c r="A689" s="287">
        <v>688</v>
      </c>
      <c r="B689" s="277">
        <v>45827</v>
      </c>
      <c r="C689" s="284" t="s">
        <v>2527</v>
      </c>
      <c r="E689" s="284" t="s">
        <v>2113</v>
      </c>
      <c r="F689" s="284" t="s">
        <v>1258</v>
      </c>
      <c r="G689" s="279">
        <v>1500000</v>
      </c>
      <c r="H689" s="284">
        <v>1</v>
      </c>
      <c r="J689" s="280">
        <v>150000</v>
      </c>
      <c r="K689" s="279">
        <v>1650000</v>
      </c>
    </row>
    <row r="690" spans="1:12">
      <c r="A690" s="287">
        <v>689</v>
      </c>
      <c r="B690" s="277">
        <v>45827</v>
      </c>
      <c r="C690" s="284" t="s">
        <v>1626</v>
      </c>
      <c r="E690" s="284" t="s">
        <v>2725</v>
      </c>
      <c r="G690" s="279">
        <v>500000</v>
      </c>
      <c r="H690" s="284">
        <v>1</v>
      </c>
      <c r="J690" s="280">
        <v>50000</v>
      </c>
      <c r="K690" s="279">
        <v>550000</v>
      </c>
    </row>
    <row r="691" spans="1:12">
      <c r="A691" s="287">
        <v>690</v>
      </c>
      <c r="B691" s="277">
        <v>45827</v>
      </c>
      <c r="C691" s="284" t="s">
        <v>1626</v>
      </c>
      <c r="E691" s="284" t="s">
        <v>1831</v>
      </c>
      <c r="F691" s="284">
        <v>6172091600</v>
      </c>
      <c r="G691" s="279">
        <v>250000</v>
      </c>
      <c r="H691" s="284">
        <v>1</v>
      </c>
      <c r="J691" s="280">
        <v>25000</v>
      </c>
      <c r="K691" s="279">
        <v>275000</v>
      </c>
    </row>
    <row r="692" spans="1:12">
      <c r="A692" s="287">
        <v>691</v>
      </c>
      <c r="B692" s="277">
        <v>45827</v>
      </c>
      <c r="C692" s="284" t="s">
        <v>1626</v>
      </c>
      <c r="E692" s="284" t="s">
        <v>2207</v>
      </c>
      <c r="F692" s="284" t="s">
        <v>2720</v>
      </c>
      <c r="G692" s="279">
        <v>59091</v>
      </c>
      <c r="H692" s="284">
        <v>1</v>
      </c>
      <c r="J692" s="280">
        <v>5909</v>
      </c>
      <c r="K692" s="279">
        <v>65000</v>
      </c>
    </row>
    <row r="693" spans="1:12">
      <c r="A693" s="287">
        <v>692</v>
      </c>
      <c r="B693" s="277">
        <v>45827</v>
      </c>
      <c r="C693" s="284" t="s">
        <v>1626</v>
      </c>
      <c r="E693" s="284" t="s">
        <v>2727</v>
      </c>
      <c r="G693" s="279">
        <v>330000</v>
      </c>
      <c r="H693" s="284">
        <v>1</v>
      </c>
      <c r="K693" s="279">
        <v>330000</v>
      </c>
    </row>
    <row r="694" spans="1:12">
      <c r="A694" s="287">
        <v>693</v>
      </c>
      <c r="B694" s="277">
        <v>45827</v>
      </c>
      <c r="C694" s="284" t="s">
        <v>2063</v>
      </c>
      <c r="E694" s="284" t="s">
        <v>1161</v>
      </c>
      <c r="L694" s="279">
        <v>-1650000</v>
      </c>
    </row>
    <row r="695" spans="1:12">
      <c r="A695" s="287">
        <v>694</v>
      </c>
      <c r="B695" s="277">
        <v>45827</v>
      </c>
      <c r="C695" s="284" t="s">
        <v>1885</v>
      </c>
      <c r="E695" s="284" t="s">
        <v>1161</v>
      </c>
      <c r="L695" s="279">
        <v>-1500000</v>
      </c>
    </row>
    <row r="696" spans="1:12">
      <c r="A696" s="287">
        <v>695</v>
      </c>
      <c r="B696" s="277">
        <v>45828</v>
      </c>
      <c r="C696" s="284" t="s">
        <v>2751</v>
      </c>
      <c r="E696" s="284" t="s">
        <v>2752</v>
      </c>
      <c r="F696" s="284" t="s">
        <v>2753</v>
      </c>
      <c r="G696" s="279">
        <v>1500000</v>
      </c>
      <c r="H696" s="284">
        <v>1</v>
      </c>
      <c r="J696" s="280">
        <v>150000</v>
      </c>
      <c r="K696" s="279">
        <v>1650000</v>
      </c>
    </row>
    <row r="697" spans="1:12">
      <c r="A697" s="287">
        <v>696</v>
      </c>
      <c r="B697" s="277">
        <v>45828</v>
      </c>
      <c r="C697" s="284" t="s">
        <v>2751</v>
      </c>
      <c r="E697" s="284" t="s">
        <v>2754</v>
      </c>
      <c r="F697" s="284" t="s">
        <v>2755</v>
      </c>
      <c r="G697" s="279">
        <v>50000</v>
      </c>
      <c r="H697" s="284">
        <v>1</v>
      </c>
      <c r="J697" s="280">
        <v>5000</v>
      </c>
      <c r="K697" s="279">
        <v>55000</v>
      </c>
    </row>
    <row r="698" spans="1:12">
      <c r="A698" s="287">
        <v>697</v>
      </c>
      <c r="B698" s="277">
        <v>45828</v>
      </c>
      <c r="C698" s="284" t="s">
        <v>2527</v>
      </c>
      <c r="E698" s="284" t="s">
        <v>1161</v>
      </c>
      <c r="L698" s="279">
        <v>-1650000</v>
      </c>
    </row>
    <row r="699" spans="1:12">
      <c r="A699" s="287">
        <v>698</v>
      </c>
      <c r="B699" s="277">
        <v>45828</v>
      </c>
      <c r="C699" s="284" t="s">
        <v>1587</v>
      </c>
      <c r="E699" s="284" t="s">
        <v>1161</v>
      </c>
      <c r="L699" s="279">
        <v>-3000000</v>
      </c>
    </row>
    <row r="700" spans="1:12">
      <c r="A700" s="287">
        <v>699</v>
      </c>
      <c r="B700" s="277">
        <v>45828</v>
      </c>
      <c r="C700" s="284" t="s">
        <v>1629</v>
      </c>
      <c r="E700" s="284" t="s">
        <v>1241</v>
      </c>
      <c r="F700" s="284" t="s">
        <v>1822</v>
      </c>
      <c r="G700" s="279">
        <v>1200000</v>
      </c>
      <c r="H700" s="284">
        <v>1</v>
      </c>
      <c r="J700" s="280">
        <v>120000</v>
      </c>
      <c r="K700" s="279">
        <v>1320000</v>
      </c>
    </row>
    <row r="701" spans="1:12">
      <c r="A701" s="287">
        <v>700</v>
      </c>
      <c r="B701" s="277">
        <v>45828</v>
      </c>
      <c r="C701" s="284" t="s">
        <v>1629</v>
      </c>
      <c r="E701" s="284" t="s">
        <v>1773</v>
      </c>
      <c r="F701" s="284" t="s">
        <v>1772</v>
      </c>
      <c r="G701" s="279">
        <v>50000</v>
      </c>
      <c r="H701" s="284">
        <v>1</v>
      </c>
      <c r="J701" s="280">
        <v>5000</v>
      </c>
      <c r="K701" s="279">
        <v>55000</v>
      </c>
    </row>
    <row r="702" spans="1:12">
      <c r="A702" s="287">
        <v>701</v>
      </c>
      <c r="B702" s="277">
        <v>45828</v>
      </c>
      <c r="C702" s="284" t="s">
        <v>2824</v>
      </c>
      <c r="E702" s="284" t="s">
        <v>2825</v>
      </c>
      <c r="F702" s="284" t="s">
        <v>2826</v>
      </c>
      <c r="G702" s="279">
        <v>1200000</v>
      </c>
      <c r="H702" s="284">
        <v>1</v>
      </c>
      <c r="K702" s="279">
        <v>1200000</v>
      </c>
    </row>
    <row r="703" spans="1:12">
      <c r="A703" s="287">
        <v>702</v>
      </c>
      <c r="B703" s="277">
        <v>45828</v>
      </c>
      <c r="C703" s="284" t="s">
        <v>2824</v>
      </c>
      <c r="E703" s="284" t="s">
        <v>2827</v>
      </c>
      <c r="G703" s="279">
        <v>350000</v>
      </c>
      <c r="H703" s="284">
        <v>1</v>
      </c>
      <c r="K703" s="279">
        <v>350000</v>
      </c>
    </row>
    <row r="704" spans="1:12">
      <c r="A704" s="287">
        <v>703</v>
      </c>
      <c r="B704" s="277">
        <v>45828</v>
      </c>
      <c r="C704" s="284" t="s">
        <v>1587</v>
      </c>
      <c r="E704" s="284" t="s">
        <v>1241</v>
      </c>
      <c r="F704" s="284" t="s">
        <v>1822</v>
      </c>
      <c r="G704" s="279">
        <v>1200000</v>
      </c>
      <c r="H704" s="284">
        <v>1</v>
      </c>
      <c r="K704" s="279">
        <v>1200000</v>
      </c>
    </row>
    <row r="705" spans="1:12">
      <c r="A705" s="287">
        <v>704</v>
      </c>
      <c r="B705" s="277">
        <v>45828</v>
      </c>
      <c r="C705" s="284" t="s">
        <v>1587</v>
      </c>
      <c r="E705" s="284" t="s">
        <v>1770</v>
      </c>
      <c r="F705" s="284">
        <v>7252703114</v>
      </c>
      <c r="G705" s="279">
        <v>129000</v>
      </c>
      <c r="H705" s="284">
        <v>1</v>
      </c>
      <c r="K705" s="279">
        <v>129000</v>
      </c>
    </row>
    <row r="706" spans="1:12">
      <c r="A706" s="287">
        <v>705</v>
      </c>
      <c r="B706" s="277">
        <v>45828</v>
      </c>
      <c r="C706" s="284" t="s">
        <v>1587</v>
      </c>
      <c r="E706" s="284" t="s">
        <v>1542</v>
      </c>
      <c r="G706" s="279">
        <v>350000</v>
      </c>
      <c r="H706" s="284">
        <v>1</v>
      </c>
      <c r="K706" s="279">
        <v>350000</v>
      </c>
    </row>
    <row r="707" spans="1:12">
      <c r="A707" s="287">
        <v>706</v>
      </c>
      <c r="B707" s="277">
        <v>45828</v>
      </c>
      <c r="C707" s="284" t="s">
        <v>2740</v>
      </c>
      <c r="E707" s="284" t="s">
        <v>1241</v>
      </c>
      <c r="F707" s="284" t="s">
        <v>1822</v>
      </c>
      <c r="G707" s="279">
        <v>1300000</v>
      </c>
      <c r="H707" s="284">
        <v>1</v>
      </c>
      <c r="K707" s="279">
        <v>1300000</v>
      </c>
    </row>
    <row r="708" spans="1:12">
      <c r="A708" s="287">
        <v>707</v>
      </c>
      <c r="B708" s="277">
        <v>45828</v>
      </c>
      <c r="C708" s="284" t="s">
        <v>2740</v>
      </c>
      <c r="E708" s="284" t="s">
        <v>1565</v>
      </c>
      <c r="G708" s="279">
        <v>20000</v>
      </c>
      <c r="H708" s="284">
        <v>1</v>
      </c>
      <c r="K708" s="279">
        <v>20000</v>
      </c>
    </row>
    <row r="709" spans="1:12">
      <c r="A709" s="287">
        <v>708</v>
      </c>
      <c r="B709" s="277">
        <v>45828</v>
      </c>
      <c r="C709" s="284" t="s">
        <v>1629</v>
      </c>
      <c r="E709" s="284" t="s">
        <v>1310</v>
      </c>
      <c r="F709" s="284" t="s">
        <v>1309</v>
      </c>
      <c r="G709" s="279">
        <v>50000</v>
      </c>
      <c r="H709" s="284">
        <v>1</v>
      </c>
      <c r="J709" s="280">
        <v>5000</v>
      </c>
      <c r="K709" s="279">
        <v>55000</v>
      </c>
    </row>
    <row r="710" spans="1:12">
      <c r="A710" s="287">
        <v>709</v>
      </c>
      <c r="B710" s="277">
        <v>45828</v>
      </c>
      <c r="C710" s="284" t="s">
        <v>1495</v>
      </c>
      <c r="E710" s="284" t="s">
        <v>1161</v>
      </c>
      <c r="L710" s="279">
        <v>-1200000</v>
      </c>
    </row>
    <row r="711" spans="1:12">
      <c r="A711" s="287">
        <v>710</v>
      </c>
      <c r="B711" s="277">
        <v>45828</v>
      </c>
      <c r="C711" s="284" t="s">
        <v>1629</v>
      </c>
      <c r="E711" s="284" t="s">
        <v>1161</v>
      </c>
      <c r="L711" s="279">
        <v>-2285000</v>
      </c>
    </row>
    <row r="712" spans="1:12">
      <c r="A712" s="287">
        <v>711</v>
      </c>
      <c r="B712" s="277">
        <v>45828</v>
      </c>
      <c r="C712" s="284" t="s">
        <v>2749</v>
      </c>
      <c r="E712" s="284" t="s">
        <v>1785</v>
      </c>
      <c r="F712" s="284">
        <v>2800802</v>
      </c>
      <c r="G712" s="279">
        <v>200000</v>
      </c>
      <c r="H712" s="284">
        <v>1</v>
      </c>
      <c r="K712" s="279">
        <v>200000</v>
      </c>
    </row>
    <row r="713" spans="1:12">
      <c r="A713" s="287">
        <v>712</v>
      </c>
      <c r="B713" s="277">
        <v>45828</v>
      </c>
      <c r="C713" s="284" t="s">
        <v>2749</v>
      </c>
      <c r="E713" s="284" t="s">
        <v>1816</v>
      </c>
      <c r="L713" s="279">
        <v>-200000</v>
      </c>
    </row>
    <row r="714" spans="1:12">
      <c r="A714" s="287">
        <v>713</v>
      </c>
      <c r="B714" s="277">
        <v>45829</v>
      </c>
      <c r="C714" s="284" t="s">
        <v>2735</v>
      </c>
      <c r="E714" s="284" t="s">
        <v>1161</v>
      </c>
      <c r="L714" s="279">
        <v>-1705000</v>
      </c>
    </row>
    <row r="715" spans="1:12">
      <c r="A715" s="287">
        <v>714</v>
      </c>
      <c r="B715" s="277">
        <v>45829</v>
      </c>
      <c r="C715" s="284" t="s">
        <v>1635</v>
      </c>
      <c r="E715" s="284" t="s">
        <v>1813</v>
      </c>
      <c r="G715" s="279">
        <v>650000</v>
      </c>
      <c r="H715" s="284">
        <v>1</v>
      </c>
      <c r="J715" s="280">
        <v>65000</v>
      </c>
      <c r="K715" s="279">
        <v>715000</v>
      </c>
    </row>
    <row r="716" spans="1:12">
      <c r="A716" s="287">
        <v>715</v>
      </c>
      <c r="B716" s="277">
        <v>45829</v>
      </c>
      <c r="C716" s="284" t="s">
        <v>2831</v>
      </c>
      <c r="E716" s="284" t="s">
        <v>2832</v>
      </c>
      <c r="G716" s="279">
        <v>300000</v>
      </c>
      <c r="H716" s="284">
        <v>1</v>
      </c>
      <c r="J716" s="280">
        <v>30000</v>
      </c>
      <c r="K716" s="279">
        <v>330000</v>
      </c>
    </row>
    <row r="717" spans="1:12">
      <c r="A717" s="287">
        <v>716</v>
      </c>
      <c r="B717" s="277">
        <v>45829</v>
      </c>
      <c r="C717" s="284" t="s">
        <v>1790</v>
      </c>
      <c r="E717" s="284" t="s">
        <v>2759</v>
      </c>
      <c r="F717" s="284" t="s">
        <v>2758</v>
      </c>
      <c r="G717" s="279">
        <v>1500000</v>
      </c>
      <c r="H717" s="284">
        <v>1</v>
      </c>
      <c r="K717" s="279">
        <v>1500000</v>
      </c>
    </row>
    <row r="718" spans="1:12">
      <c r="A718" s="287">
        <v>717</v>
      </c>
      <c r="B718" s="277">
        <v>45831</v>
      </c>
      <c r="C718" s="284" t="s">
        <v>1817</v>
      </c>
      <c r="E718" s="284" t="s">
        <v>1161</v>
      </c>
      <c r="L718" s="279">
        <v>-308000</v>
      </c>
    </row>
    <row r="719" spans="1:12">
      <c r="A719" s="287">
        <v>718</v>
      </c>
      <c r="B719" s="277">
        <v>45831</v>
      </c>
      <c r="C719" s="284" t="s">
        <v>2740</v>
      </c>
      <c r="E719" s="284" t="s">
        <v>1161</v>
      </c>
      <c r="L719" s="279">
        <v>-1320000</v>
      </c>
    </row>
    <row r="720" spans="1:12">
      <c r="A720" s="287">
        <v>719</v>
      </c>
      <c r="B720" s="277">
        <v>45831</v>
      </c>
      <c r="C720" s="284" t="s">
        <v>2761</v>
      </c>
      <c r="E720" s="284" t="s">
        <v>1243</v>
      </c>
      <c r="F720" s="284" t="s">
        <v>1609</v>
      </c>
      <c r="G720" s="279">
        <v>600000</v>
      </c>
      <c r="H720" s="284">
        <v>1</v>
      </c>
      <c r="K720" s="279">
        <v>600000</v>
      </c>
    </row>
    <row r="721" spans="1:14">
      <c r="A721" s="287">
        <v>720</v>
      </c>
      <c r="B721" s="277">
        <v>45831</v>
      </c>
      <c r="C721" s="284" t="s">
        <v>2761</v>
      </c>
      <c r="E721" s="284" t="s">
        <v>1161</v>
      </c>
      <c r="L721" s="279">
        <v>-600000</v>
      </c>
    </row>
    <row r="722" spans="1:14">
      <c r="A722" s="287">
        <v>721</v>
      </c>
      <c r="B722" s="277">
        <v>45831</v>
      </c>
      <c r="C722" s="284" t="s">
        <v>2768</v>
      </c>
      <c r="E722" s="284" t="s">
        <v>2767</v>
      </c>
      <c r="G722" s="279">
        <v>1100000</v>
      </c>
      <c r="H722" s="284">
        <v>1</v>
      </c>
      <c r="J722" s="280">
        <v>110000</v>
      </c>
      <c r="K722" s="279">
        <v>1210000</v>
      </c>
    </row>
    <row r="723" spans="1:14">
      <c r="A723" s="287">
        <v>722</v>
      </c>
      <c r="B723" s="277">
        <v>45831</v>
      </c>
      <c r="C723" s="284" t="s">
        <v>2802</v>
      </c>
      <c r="E723" s="284" t="s">
        <v>2803</v>
      </c>
      <c r="G723" s="279">
        <v>100000</v>
      </c>
      <c r="H723" s="284">
        <v>2</v>
      </c>
      <c r="J723" s="280">
        <v>10000</v>
      </c>
      <c r="K723" s="279">
        <v>110000</v>
      </c>
    </row>
    <row r="724" spans="1:14">
      <c r="A724" s="287">
        <v>723</v>
      </c>
      <c r="B724" s="277">
        <v>45831</v>
      </c>
      <c r="C724" s="284" t="s">
        <v>1490</v>
      </c>
      <c r="E724" s="284" t="s">
        <v>2770</v>
      </c>
      <c r="L724" s="279">
        <v>-300000</v>
      </c>
    </row>
    <row r="725" spans="1:14">
      <c r="A725" s="287">
        <v>724</v>
      </c>
      <c r="B725" s="277">
        <v>45832</v>
      </c>
      <c r="C725" s="284" t="s">
        <v>1183</v>
      </c>
      <c r="E725" s="284" t="s">
        <v>1542</v>
      </c>
      <c r="G725" s="279">
        <v>350000</v>
      </c>
      <c r="H725" s="284">
        <v>1</v>
      </c>
      <c r="K725" s="279">
        <v>350000</v>
      </c>
    </row>
    <row r="726" spans="1:14">
      <c r="A726" s="287">
        <v>725</v>
      </c>
      <c r="B726" s="277">
        <v>45832</v>
      </c>
      <c r="C726" s="284" t="s">
        <v>1183</v>
      </c>
      <c r="E726" s="284" t="s">
        <v>2774</v>
      </c>
    </row>
    <row r="727" spans="1:14">
      <c r="A727" s="287">
        <v>726</v>
      </c>
      <c r="B727" s="277">
        <v>45832</v>
      </c>
      <c r="C727" s="284" t="s">
        <v>1629</v>
      </c>
      <c r="E727" s="284" t="s">
        <v>2277</v>
      </c>
      <c r="F727" s="284" t="s">
        <v>1239</v>
      </c>
      <c r="G727" s="279">
        <v>1500000</v>
      </c>
      <c r="H727" s="284">
        <v>1</v>
      </c>
      <c r="J727" s="280">
        <v>150000</v>
      </c>
      <c r="K727" s="279">
        <v>1650000</v>
      </c>
    </row>
    <row r="728" spans="1:14">
      <c r="A728" s="287">
        <v>727</v>
      </c>
      <c r="B728" s="277">
        <v>45832</v>
      </c>
      <c r="C728" s="284" t="s">
        <v>1629</v>
      </c>
      <c r="E728" s="284" t="s">
        <v>2278</v>
      </c>
      <c r="F728" s="284" t="s">
        <v>1879</v>
      </c>
      <c r="G728" s="279">
        <v>50000</v>
      </c>
      <c r="H728" s="284">
        <v>1</v>
      </c>
      <c r="J728" s="280">
        <v>5000</v>
      </c>
      <c r="K728" s="279">
        <v>55000</v>
      </c>
    </row>
    <row r="729" spans="1:14">
      <c r="A729" s="287">
        <v>728</v>
      </c>
      <c r="B729" s="277">
        <v>45832</v>
      </c>
      <c r="C729" s="284" t="s">
        <v>2828</v>
      </c>
      <c r="E729" s="284" t="s">
        <v>2825</v>
      </c>
      <c r="F729" s="284" t="s">
        <v>2826</v>
      </c>
      <c r="G729" s="279">
        <v>1200000</v>
      </c>
      <c r="H729" s="284">
        <v>1</v>
      </c>
      <c r="J729" s="280">
        <v>120000</v>
      </c>
      <c r="K729" s="279">
        <v>1320000</v>
      </c>
      <c r="N729" s="299"/>
    </row>
    <row r="730" spans="1:14">
      <c r="A730" s="287">
        <v>729</v>
      </c>
      <c r="B730" s="277">
        <v>45832</v>
      </c>
      <c r="C730" s="284" t="s">
        <v>2828</v>
      </c>
      <c r="E730" s="284" t="s">
        <v>2829</v>
      </c>
      <c r="F730" s="286">
        <v>7252703114</v>
      </c>
      <c r="G730" s="279">
        <v>129000</v>
      </c>
      <c r="H730" s="284">
        <v>1</v>
      </c>
      <c r="J730" s="280">
        <v>12900</v>
      </c>
      <c r="K730" s="279">
        <v>141900</v>
      </c>
    </row>
    <row r="731" spans="1:14">
      <c r="A731" s="287">
        <v>730</v>
      </c>
      <c r="B731" s="277">
        <v>45832</v>
      </c>
      <c r="C731" s="284" t="s">
        <v>2777</v>
      </c>
      <c r="E731" s="284" t="s">
        <v>1542</v>
      </c>
      <c r="G731" s="279">
        <v>350000</v>
      </c>
      <c r="H731" s="284">
        <v>1</v>
      </c>
      <c r="J731" s="280">
        <v>35000</v>
      </c>
      <c r="K731" s="279">
        <v>385000</v>
      </c>
    </row>
    <row r="732" spans="1:14">
      <c r="A732" s="287">
        <v>731</v>
      </c>
      <c r="B732" s="277">
        <v>45832</v>
      </c>
      <c r="C732" s="284" t="s">
        <v>1790</v>
      </c>
      <c r="E732" s="284" t="s">
        <v>2283</v>
      </c>
      <c r="F732" s="284" t="s">
        <v>1238</v>
      </c>
      <c r="G732" s="279">
        <v>1400000</v>
      </c>
      <c r="H732" s="284">
        <v>1</v>
      </c>
      <c r="K732" s="279">
        <v>1400000</v>
      </c>
    </row>
    <row r="733" spans="1:14">
      <c r="A733" s="287">
        <v>732</v>
      </c>
      <c r="B733" s="277">
        <v>45832</v>
      </c>
      <c r="C733" s="284" t="s">
        <v>1587</v>
      </c>
      <c r="E733" s="284" t="s">
        <v>2278</v>
      </c>
      <c r="F733" s="284" t="s">
        <v>1879</v>
      </c>
      <c r="G733" s="279">
        <v>50000</v>
      </c>
      <c r="H733" s="284">
        <v>1</v>
      </c>
      <c r="K733" s="279">
        <v>50000</v>
      </c>
    </row>
    <row r="734" spans="1:14">
      <c r="A734" s="287">
        <v>733</v>
      </c>
      <c r="B734" s="277">
        <v>45833</v>
      </c>
      <c r="C734" s="284" t="s">
        <v>1060</v>
      </c>
      <c r="E734" s="284" t="s">
        <v>2277</v>
      </c>
      <c r="F734" s="284" t="s">
        <v>1239</v>
      </c>
      <c r="G734" s="279">
        <v>1500000</v>
      </c>
      <c r="H734" s="284">
        <v>1</v>
      </c>
      <c r="K734" s="279">
        <v>1500000</v>
      </c>
    </row>
    <row r="735" spans="1:14">
      <c r="A735" s="287">
        <v>734</v>
      </c>
      <c r="B735" s="277">
        <v>45833</v>
      </c>
      <c r="C735" s="284" t="s">
        <v>1060</v>
      </c>
      <c r="E735" s="284" t="s">
        <v>2278</v>
      </c>
      <c r="F735" s="284" t="s">
        <v>1879</v>
      </c>
      <c r="G735" s="279">
        <v>50000</v>
      </c>
      <c r="H735" s="284">
        <v>1</v>
      </c>
      <c r="K735" s="279">
        <v>50000</v>
      </c>
    </row>
    <row r="736" spans="1:14">
      <c r="A736" s="287">
        <v>735</v>
      </c>
      <c r="B736" s="277">
        <v>45833</v>
      </c>
      <c r="C736" s="284" t="s">
        <v>987</v>
      </c>
      <c r="E736" s="284" t="s">
        <v>1630</v>
      </c>
      <c r="F736" s="284" t="s">
        <v>2008</v>
      </c>
      <c r="G736" s="279">
        <v>1000000</v>
      </c>
      <c r="H736" s="284">
        <v>1</v>
      </c>
      <c r="J736" s="280">
        <v>100000</v>
      </c>
      <c r="K736" s="279">
        <v>1100000</v>
      </c>
    </row>
    <row r="737" spans="1:12">
      <c r="A737" s="287">
        <v>736</v>
      </c>
      <c r="B737" s="277">
        <v>45833</v>
      </c>
      <c r="C737" s="284" t="s">
        <v>1979</v>
      </c>
      <c r="E737" s="284" t="s">
        <v>1241</v>
      </c>
      <c r="F737" s="284" t="s">
        <v>1822</v>
      </c>
      <c r="G737" s="279">
        <v>1200000</v>
      </c>
      <c r="H737" s="284">
        <v>1</v>
      </c>
      <c r="K737" s="279">
        <v>1200000</v>
      </c>
    </row>
    <row r="738" spans="1:12">
      <c r="A738" s="287">
        <v>737</v>
      </c>
      <c r="B738" s="277">
        <v>45833</v>
      </c>
      <c r="C738" s="284" t="s">
        <v>2800</v>
      </c>
      <c r="E738" s="284" t="s">
        <v>2801</v>
      </c>
      <c r="G738" s="279">
        <v>1700000</v>
      </c>
      <c r="H738" s="284">
        <v>1</v>
      </c>
      <c r="J738" s="280">
        <v>170000</v>
      </c>
      <c r="K738" s="279">
        <v>1870000</v>
      </c>
    </row>
    <row r="739" spans="1:12">
      <c r="A739" s="287">
        <v>738</v>
      </c>
      <c r="B739" s="277">
        <v>45833</v>
      </c>
      <c r="C739" s="284" t="s">
        <v>2789</v>
      </c>
      <c r="E739" s="284" t="s">
        <v>2401</v>
      </c>
      <c r="G739" s="279">
        <v>600000</v>
      </c>
      <c r="H739" s="284">
        <v>2</v>
      </c>
      <c r="J739" s="280">
        <v>120000</v>
      </c>
      <c r="K739" s="279">
        <v>1320000</v>
      </c>
    </row>
    <row r="740" spans="1:12">
      <c r="A740" s="287">
        <v>739</v>
      </c>
      <c r="B740" s="277">
        <v>45833</v>
      </c>
      <c r="C740" s="284" t="s">
        <v>1647</v>
      </c>
      <c r="E740" s="284" t="s">
        <v>1161</v>
      </c>
      <c r="L740" s="279">
        <v>-1870000</v>
      </c>
    </row>
    <row r="741" spans="1:12">
      <c r="A741" s="287">
        <v>740</v>
      </c>
      <c r="B741" s="277">
        <v>45833</v>
      </c>
      <c r="C741" s="284" t="s">
        <v>1069</v>
      </c>
      <c r="E741" s="284" t="s">
        <v>1176</v>
      </c>
      <c r="G741" s="279">
        <v>800000</v>
      </c>
      <c r="H741" s="284">
        <v>1</v>
      </c>
      <c r="K741" s="279">
        <v>800000</v>
      </c>
    </row>
    <row r="742" spans="1:12">
      <c r="A742" s="287">
        <v>741</v>
      </c>
      <c r="B742" s="277">
        <v>45833</v>
      </c>
      <c r="C742" s="284" t="s">
        <v>1635</v>
      </c>
      <c r="E742" s="284" t="s">
        <v>1813</v>
      </c>
      <c r="G742" s="279">
        <v>650000</v>
      </c>
      <c r="H742" s="284">
        <v>1</v>
      </c>
      <c r="J742" s="280">
        <v>65000</v>
      </c>
      <c r="K742" s="279">
        <v>715000</v>
      </c>
    </row>
    <row r="743" spans="1:12">
      <c r="A743" s="287">
        <v>742</v>
      </c>
      <c r="B743" s="277">
        <v>45833</v>
      </c>
      <c r="C743" s="284" t="s">
        <v>2789</v>
      </c>
      <c r="E743" s="284" t="s">
        <v>1161</v>
      </c>
      <c r="L743" s="279">
        <v>-1320000</v>
      </c>
    </row>
    <row r="744" spans="1:12">
      <c r="A744" s="287">
        <v>743</v>
      </c>
      <c r="B744" s="277">
        <v>45832</v>
      </c>
      <c r="C744" s="284" t="s">
        <v>2777</v>
      </c>
      <c r="E744" s="284" t="s">
        <v>1161</v>
      </c>
      <c r="L744" s="279">
        <v>-385000</v>
      </c>
    </row>
    <row r="745" spans="1:12">
      <c r="A745" s="287">
        <v>744</v>
      </c>
      <c r="B745" s="277">
        <v>45833</v>
      </c>
      <c r="C745" s="284" t="s">
        <v>2819</v>
      </c>
      <c r="E745" s="284" t="s">
        <v>2820</v>
      </c>
      <c r="F745" s="286">
        <v>1087298437</v>
      </c>
      <c r="G745" s="279">
        <v>80000</v>
      </c>
      <c r="H745" s="284">
        <v>3</v>
      </c>
      <c r="K745" s="279">
        <v>240000</v>
      </c>
    </row>
    <row r="746" spans="1:12">
      <c r="A746" s="287">
        <v>745</v>
      </c>
      <c r="B746" s="277">
        <v>45821</v>
      </c>
      <c r="C746" s="284" t="s">
        <v>2813</v>
      </c>
      <c r="E746" s="284" t="s">
        <v>2814</v>
      </c>
      <c r="F746" s="284" t="s">
        <v>2815</v>
      </c>
      <c r="G746" s="279">
        <v>10000</v>
      </c>
      <c r="H746" s="284">
        <v>2</v>
      </c>
      <c r="K746" s="279">
        <v>20000</v>
      </c>
    </row>
    <row r="747" spans="1:12">
      <c r="A747" s="287">
        <v>746</v>
      </c>
      <c r="B747" s="277">
        <v>45834</v>
      </c>
      <c r="C747" s="284" t="s">
        <v>1790</v>
      </c>
      <c r="E747" s="284" t="s">
        <v>2816</v>
      </c>
      <c r="F747" s="284" t="s">
        <v>1871</v>
      </c>
      <c r="G747" s="279">
        <v>20000</v>
      </c>
      <c r="H747" s="284">
        <v>3</v>
      </c>
      <c r="K747" s="279">
        <v>60000</v>
      </c>
    </row>
    <row r="748" spans="1:12">
      <c r="A748" s="287">
        <v>747</v>
      </c>
      <c r="B748" s="277">
        <v>45834</v>
      </c>
      <c r="C748" s="284" t="s">
        <v>1445</v>
      </c>
      <c r="E748" s="284" t="s">
        <v>2277</v>
      </c>
      <c r="F748" s="284" t="s">
        <v>1239</v>
      </c>
      <c r="G748" s="279">
        <v>1500000</v>
      </c>
      <c r="H748" s="284">
        <v>1</v>
      </c>
      <c r="K748" s="279">
        <v>1500000</v>
      </c>
    </row>
    <row r="749" spans="1:12">
      <c r="A749" s="287">
        <v>748</v>
      </c>
      <c r="B749" s="277">
        <v>45834</v>
      </c>
      <c r="C749" s="284" t="s">
        <v>1445</v>
      </c>
      <c r="E749" s="284" t="s">
        <v>2278</v>
      </c>
      <c r="F749" s="284" t="s">
        <v>1879</v>
      </c>
      <c r="G749" s="279">
        <v>50000</v>
      </c>
      <c r="H749" s="284">
        <v>1</v>
      </c>
      <c r="K749" s="279">
        <v>50000</v>
      </c>
    </row>
    <row r="750" spans="1:12">
      <c r="A750" s="287">
        <v>749</v>
      </c>
      <c r="B750" s="277">
        <v>45834</v>
      </c>
      <c r="C750" s="284" t="s">
        <v>987</v>
      </c>
      <c r="E750" s="284" t="s">
        <v>1161</v>
      </c>
      <c r="L750" s="279">
        <v>-1100000</v>
      </c>
    </row>
    <row r="751" spans="1:12">
      <c r="A751" s="287">
        <v>750</v>
      </c>
      <c r="B751" s="277">
        <v>45834</v>
      </c>
      <c r="C751" s="284" t="s">
        <v>1445</v>
      </c>
      <c r="E751" s="284" t="s">
        <v>1770</v>
      </c>
      <c r="F751" s="284">
        <v>7252703114</v>
      </c>
      <c r="G751" s="279">
        <v>129000</v>
      </c>
      <c r="H751" s="284">
        <v>1</v>
      </c>
      <c r="K751" s="279">
        <v>129000</v>
      </c>
    </row>
    <row r="752" spans="1:12">
      <c r="A752" s="287">
        <v>751</v>
      </c>
      <c r="B752" s="277">
        <v>45834</v>
      </c>
      <c r="C752" s="284" t="s">
        <v>2822</v>
      </c>
      <c r="E752" s="284" t="s">
        <v>2823</v>
      </c>
      <c r="G752" s="279">
        <v>25000</v>
      </c>
      <c r="H752" s="284">
        <v>1</v>
      </c>
      <c r="K752" s="279">
        <v>25000</v>
      </c>
    </row>
    <row r="753" spans="1:12">
      <c r="A753" s="287">
        <v>752</v>
      </c>
      <c r="B753" s="277">
        <v>45834</v>
      </c>
      <c r="C753" s="284" t="s">
        <v>1027</v>
      </c>
      <c r="E753" s="284" t="s">
        <v>2830</v>
      </c>
      <c r="L753" s="279">
        <v>-1550000</v>
      </c>
    </row>
    <row r="754" spans="1:12">
      <c r="A754" s="287">
        <v>753</v>
      </c>
      <c r="B754" s="277">
        <v>45834</v>
      </c>
      <c r="C754" s="284" t="s">
        <v>2633</v>
      </c>
      <c r="E754" s="284" t="s">
        <v>1161</v>
      </c>
      <c r="L754" s="279">
        <v>-330000</v>
      </c>
    </row>
    <row r="755" spans="1:12">
      <c r="A755" s="287">
        <v>754</v>
      </c>
      <c r="B755" s="277">
        <v>45834</v>
      </c>
      <c r="C755" s="284" t="s">
        <v>2606</v>
      </c>
      <c r="E755" s="284" t="s">
        <v>1161</v>
      </c>
      <c r="L755" s="279">
        <v>-2671900</v>
      </c>
    </row>
    <row r="756" spans="1:12">
      <c r="A756" s="287">
        <v>755</v>
      </c>
      <c r="B756" s="277">
        <v>45834</v>
      </c>
      <c r="C756" s="284" t="s">
        <v>1445</v>
      </c>
      <c r="E756" s="284" t="s">
        <v>2391</v>
      </c>
      <c r="G756" s="279">
        <v>1100000</v>
      </c>
      <c r="H756" s="284">
        <v>1</v>
      </c>
      <c r="K756" s="279">
        <v>1100000</v>
      </c>
    </row>
    <row r="757" spans="1:12">
      <c r="A757" s="287">
        <v>756</v>
      </c>
      <c r="B757" s="277">
        <v>45834</v>
      </c>
      <c r="C757" s="284" t="s">
        <v>1069</v>
      </c>
      <c r="E757" s="284" t="s">
        <v>2300</v>
      </c>
      <c r="F757" s="284" t="s">
        <v>2041</v>
      </c>
      <c r="G757" s="279">
        <v>1800000</v>
      </c>
      <c r="H757" s="284">
        <v>1</v>
      </c>
      <c r="K757" s="279">
        <v>1800000</v>
      </c>
    </row>
    <row r="758" spans="1:12">
      <c r="A758" s="287">
        <v>757</v>
      </c>
      <c r="B758" s="277">
        <v>45834</v>
      </c>
      <c r="C758" s="284" t="s">
        <v>1069</v>
      </c>
      <c r="E758" s="284" t="s">
        <v>2278</v>
      </c>
      <c r="F758" s="284" t="s">
        <v>1879</v>
      </c>
      <c r="G758" s="279">
        <v>50000</v>
      </c>
      <c r="H758" s="284">
        <v>1</v>
      </c>
      <c r="K758" s="279">
        <v>50000</v>
      </c>
    </row>
    <row r="759" spans="1:12">
      <c r="A759" s="287">
        <v>758</v>
      </c>
      <c r="B759" s="277">
        <v>45834</v>
      </c>
      <c r="C759" s="284" t="s">
        <v>1069</v>
      </c>
      <c r="E759" s="284" t="s">
        <v>2840</v>
      </c>
      <c r="G759" s="279">
        <v>150000</v>
      </c>
      <c r="H759" s="284">
        <v>1</v>
      </c>
      <c r="K759" s="279">
        <v>150000</v>
      </c>
    </row>
    <row r="760" spans="1:12">
      <c r="A760" s="287">
        <v>759</v>
      </c>
      <c r="B760" s="277">
        <v>45835</v>
      </c>
      <c r="C760" s="284" t="s">
        <v>1424</v>
      </c>
      <c r="E760" s="284" t="s">
        <v>1785</v>
      </c>
      <c r="F760" s="284">
        <v>2800802</v>
      </c>
      <c r="G760" s="279">
        <v>150000</v>
      </c>
      <c r="H760" s="284">
        <v>3</v>
      </c>
      <c r="K760" s="279">
        <v>450000</v>
      </c>
    </row>
    <row r="761" spans="1:12">
      <c r="A761" s="287">
        <v>760</v>
      </c>
      <c r="B761" s="277">
        <v>45835</v>
      </c>
      <c r="C761" s="284" t="s">
        <v>1424</v>
      </c>
      <c r="E761" s="284" t="s">
        <v>1940</v>
      </c>
      <c r="F761" s="284">
        <v>2800801</v>
      </c>
      <c r="G761" s="279">
        <v>150000</v>
      </c>
      <c r="H761" s="284">
        <v>1</v>
      </c>
      <c r="K761" s="279">
        <v>150000</v>
      </c>
    </row>
    <row r="762" spans="1:12">
      <c r="A762" s="287">
        <v>761</v>
      </c>
      <c r="B762" s="277">
        <v>45835</v>
      </c>
      <c r="C762" s="284" t="s">
        <v>1513</v>
      </c>
      <c r="E762" s="284" t="s">
        <v>1978</v>
      </c>
      <c r="G762" s="279">
        <v>200000</v>
      </c>
      <c r="H762" s="284">
        <v>1</v>
      </c>
      <c r="K762" s="279">
        <v>200000</v>
      </c>
    </row>
    <row r="763" spans="1:12">
      <c r="A763" s="287">
        <v>762</v>
      </c>
      <c r="B763" s="277">
        <v>45835</v>
      </c>
      <c r="C763" s="284" t="s">
        <v>1069</v>
      </c>
      <c r="E763" s="284" t="s">
        <v>2277</v>
      </c>
      <c r="F763" s="284" t="s">
        <v>1239</v>
      </c>
      <c r="G763" s="279">
        <v>1500000</v>
      </c>
      <c r="H763" s="284">
        <v>1</v>
      </c>
      <c r="K763" s="279">
        <v>1500000</v>
      </c>
    </row>
    <row r="764" spans="1:12">
      <c r="A764" s="287">
        <v>763</v>
      </c>
      <c r="B764" s="277">
        <v>45835</v>
      </c>
      <c r="C764" s="284" t="s">
        <v>1069</v>
      </c>
      <c r="E764" s="284" t="s">
        <v>2278</v>
      </c>
      <c r="F764" s="284" t="s">
        <v>1879</v>
      </c>
      <c r="G764" s="279">
        <v>50000</v>
      </c>
      <c r="H764" s="284">
        <v>1</v>
      </c>
      <c r="K764" s="279">
        <v>50000</v>
      </c>
    </row>
    <row r="765" spans="1:12">
      <c r="A765" s="287">
        <v>764</v>
      </c>
      <c r="B765" s="277">
        <v>45835</v>
      </c>
      <c r="C765" s="284" t="s">
        <v>1069</v>
      </c>
      <c r="E765" s="284" t="s">
        <v>1161</v>
      </c>
      <c r="L765" s="279">
        <v>-4350000</v>
      </c>
    </row>
    <row r="766" spans="1:12">
      <c r="A766" s="287">
        <v>765</v>
      </c>
      <c r="B766" s="277">
        <v>45835</v>
      </c>
      <c r="C766" s="284" t="s">
        <v>1626</v>
      </c>
      <c r="E766" s="284" t="s">
        <v>1243</v>
      </c>
      <c r="F766" s="284" t="s">
        <v>1242</v>
      </c>
      <c r="G766" s="279">
        <v>1200000</v>
      </c>
      <c r="H766" s="284">
        <v>1</v>
      </c>
      <c r="J766" s="280">
        <v>120000</v>
      </c>
      <c r="K766" s="279">
        <v>1320000</v>
      </c>
    </row>
    <row r="767" spans="1:12">
      <c r="A767" s="287">
        <v>766</v>
      </c>
      <c r="B767" s="277">
        <v>45835</v>
      </c>
      <c r="C767" s="284" t="s">
        <v>1519</v>
      </c>
      <c r="E767" s="284" t="s">
        <v>1161</v>
      </c>
      <c r="L767" s="279">
        <v>-1500000</v>
      </c>
    </row>
    <row r="768" spans="1:12">
      <c r="A768" s="287">
        <v>767</v>
      </c>
      <c r="B768" s="277">
        <v>45835</v>
      </c>
      <c r="C768" s="284" t="s">
        <v>1790</v>
      </c>
      <c r="E768" s="284" t="s">
        <v>1607</v>
      </c>
      <c r="F768" s="284" t="s">
        <v>2857</v>
      </c>
      <c r="G768" s="279">
        <v>1600000</v>
      </c>
      <c r="H768" s="284">
        <v>1</v>
      </c>
      <c r="K768" s="279">
        <v>1600000</v>
      </c>
    </row>
    <row r="769" spans="1:12">
      <c r="A769" s="287">
        <v>768</v>
      </c>
      <c r="B769" s="277">
        <v>45835</v>
      </c>
      <c r="C769" s="284" t="s">
        <v>1519</v>
      </c>
      <c r="E769" s="284" t="s">
        <v>2294</v>
      </c>
      <c r="F769" s="284">
        <v>2820403</v>
      </c>
      <c r="G769" s="279">
        <v>1500000</v>
      </c>
      <c r="H769" s="284">
        <v>1</v>
      </c>
      <c r="K769" s="279">
        <v>1500000</v>
      </c>
    </row>
    <row r="770" spans="1:12">
      <c r="A770" s="287">
        <v>769</v>
      </c>
      <c r="B770" s="277">
        <v>45835</v>
      </c>
      <c r="C770" s="284" t="s">
        <v>1635</v>
      </c>
      <c r="E770" s="284" t="s">
        <v>1161</v>
      </c>
      <c r="L770" s="279">
        <v>-1430000</v>
      </c>
    </row>
    <row r="771" spans="1:12">
      <c r="A771" s="287">
        <v>770</v>
      </c>
      <c r="B771" s="277">
        <v>45838</v>
      </c>
      <c r="C771" s="284" t="s">
        <v>2393</v>
      </c>
      <c r="E771" s="284" t="s">
        <v>1814</v>
      </c>
      <c r="F771" s="284">
        <v>2830501</v>
      </c>
      <c r="G771" s="279">
        <v>1550000</v>
      </c>
      <c r="H771" s="284">
        <v>1</v>
      </c>
      <c r="K771" s="279">
        <v>1550000</v>
      </c>
    </row>
    <row r="772" spans="1:12">
      <c r="A772" s="287">
        <v>771</v>
      </c>
      <c r="B772" s="277">
        <v>45838</v>
      </c>
      <c r="C772" s="284" t="s">
        <v>2768</v>
      </c>
      <c r="E772" s="284" t="s">
        <v>1161</v>
      </c>
      <c r="L772" s="279">
        <v>-1320000</v>
      </c>
    </row>
    <row r="773" spans="1:12">
      <c r="A773" s="287">
        <v>772</v>
      </c>
      <c r="B773" s="277">
        <v>45838</v>
      </c>
      <c r="C773" s="284" t="s">
        <v>2884</v>
      </c>
      <c r="E773" s="284" t="s">
        <v>2885</v>
      </c>
      <c r="F773" s="284" t="s">
        <v>2886</v>
      </c>
      <c r="G773" s="279">
        <v>1450000</v>
      </c>
      <c r="H773" s="284">
        <v>1</v>
      </c>
      <c r="K773" s="279">
        <v>1450000</v>
      </c>
    </row>
    <row r="774" spans="1:12">
      <c r="A774" s="287">
        <v>773</v>
      </c>
      <c r="B774" s="277">
        <v>45838</v>
      </c>
      <c r="C774" s="284" t="s">
        <v>1105</v>
      </c>
      <c r="E774" s="284" t="s">
        <v>2874</v>
      </c>
      <c r="F774" s="284" t="s">
        <v>2873</v>
      </c>
      <c r="G774" s="279">
        <v>1500000</v>
      </c>
      <c r="H774" s="284">
        <v>1</v>
      </c>
      <c r="K774" s="279">
        <v>1500000</v>
      </c>
    </row>
    <row r="775" spans="1:12">
      <c r="A775" s="287">
        <v>774</v>
      </c>
      <c r="B775" s="277">
        <v>45838</v>
      </c>
      <c r="C775" s="284" t="s">
        <v>2880</v>
      </c>
      <c r="E775" s="284" t="s">
        <v>2881</v>
      </c>
      <c r="F775" s="284" t="s">
        <v>2882</v>
      </c>
      <c r="G775" s="279">
        <v>350000</v>
      </c>
      <c r="H775" s="284">
        <v>1</v>
      </c>
      <c r="J775" s="280">
        <v>35000</v>
      </c>
      <c r="K775" s="279">
        <v>385000</v>
      </c>
    </row>
    <row r="776" spans="1:12">
      <c r="A776" s="287">
        <v>775</v>
      </c>
      <c r="B776" s="277">
        <v>45838</v>
      </c>
      <c r="C776" s="284" t="s">
        <v>1490</v>
      </c>
      <c r="E776" s="284" t="s">
        <v>2277</v>
      </c>
      <c r="F776" s="284" t="s">
        <v>1239</v>
      </c>
      <c r="G776" s="279">
        <v>1500000</v>
      </c>
      <c r="H776" s="284">
        <v>1</v>
      </c>
      <c r="K776" s="279">
        <v>1500000</v>
      </c>
    </row>
    <row r="777" spans="1:12">
      <c r="A777" s="287">
        <v>776</v>
      </c>
      <c r="B777" s="277">
        <v>45838</v>
      </c>
      <c r="C777" s="284" t="s">
        <v>1490</v>
      </c>
      <c r="E777" s="284" t="s">
        <v>2278</v>
      </c>
      <c r="F777" s="284" t="s">
        <v>1879</v>
      </c>
      <c r="G777" s="279">
        <v>50000</v>
      </c>
      <c r="H777" s="284">
        <v>1</v>
      </c>
      <c r="K777" s="279">
        <v>50000</v>
      </c>
    </row>
    <row r="778" spans="1:12">
      <c r="A778" s="287">
        <v>777</v>
      </c>
      <c r="B778" s="277">
        <v>45838</v>
      </c>
      <c r="C778" s="284" t="s">
        <v>1790</v>
      </c>
      <c r="E778" s="284" t="s">
        <v>2285</v>
      </c>
      <c r="F778" s="284" t="s">
        <v>1303</v>
      </c>
      <c r="G778" s="279">
        <v>130000</v>
      </c>
      <c r="H778" s="284">
        <v>2</v>
      </c>
      <c r="K778" s="279">
        <v>260000</v>
      </c>
    </row>
    <row r="779" spans="1:12">
      <c r="A779" s="287">
        <v>778</v>
      </c>
      <c r="B779" s="277">
        <v>45838</v>
      </c>
      <c r="C779" s="284" t="s">
        <v>2066</v>
      </c>
      <c r="E779" s="284" t="s">
        <v>2277</v>
      </c>
      <c r="F779" s="284" t="s">
        <v>1239</v>
      </c>
      <c r="G779" s="279">
        <v>1500000</v>
      </c>
      <c r="H779" s="284">
        <v>1</v>
      </c>
      <c r="K779" s="279">
        <v>1500000</v>
      </c>
    </row>
    <row r="780" spans="1:12">
      <c r="A780" s="287">
        <v>779</v>
      </c>
      <c r="B780" s="277">
        <v>45838</v>
      </c>
      <c r="C780" s="284" t="s">
        <v>2066</v>
      </c>
      <c r="E780" s="284" t="s">
        <v>2278</v>
      </c>
      <c r="F780" s="284" t="s">
        <v>1879</v>
      </c>
      <c r="G780" s="279">
        <v>50000</v>
      </c>
      <c r="H780" s="284">
        <v>1</v>
      </c>
      <c r="K780" s="279">
        <v>50000</v>
      </c>
    </row>
    <row r="781" spans="1:12">
      <c r="A781" s="287">
        <v>780</v>
      </c>
      <c r="B781" s="277">
        <v>45838</v>
      </c>
      <c r="C781" s="284" t="s">
        <v>1513</v>
      </c>
      <c r="E781" s="284" t="s">
        <v>2275</v>
      </c>
      <c r="F781" s="284" t="s">
        <v>1510</v>
      </c>
      <c r="G781" s="279">
        <v>1500000</v>
      </c>
      <c r="H781" s="284">
        <v>1</v>
      </c>
      <c r="K781" s="279">
        <v>1500000</v>
      </c>
    </row>
    <row r="782" spans="1:12">
      <c r="A782" s="287">
        <v>781</v>
      </c>
      <c r="B782" s="277">
        <v>45838</v>
      </c>
      <c r="C782" s="284" t="s">
        <v>2865</v>
      </c>
      <c r="E782" s="284" t="s">
        <v>1161</v>
      </c>
      <c r="L782" s="279">
        <v>-385000</v>
      </c>
    </row>
    <row r="783" spans="1:12">
      <c r="A783" s="287">
        <v>782</v>
      </c>
      <c r="B783" s="277">
        <v>45836</v>
      </c>
      <c r="C783" s="284" t="s">
        <v>1979</v>
      </c>
      <c r="E783" s="284" t="s">
        <v>1161</v>
      </c>
      <c r="L783" s="279">
        <v>-1200000</v>
      </c>
    </row>
    <row r="784" spans="1:12">
      <c r="A784" s="287">
        <v>783</v>
      </c>
      <c r="B784" s="277">
        <v>45838</v>
      </c>
      <c r="C784" s="284" t="s">
        <v>2393</v>
      </c>
      <c r="E784" s="284" t="s">
        <v>1161</v>
      </c>
      <c r="L784" s="279">
        <v>-1550000</v>
      </c>
    </row>
    <row r="785" spans="1:12">
      <c r="A785" s="287">
        <v>784</v>
      </c>
      <c r="B785" s="277">
        <v>45838</v>
      </c>
      <c r="C785" s="284" t="s">
        <v>1587</v>
      </c>
      <c r="E785" s="284" t="s">
        <v>1161</v>
      </c>
      <c r="L785" s="279">
        <v>-2439000</v>
      </c>
    </row>
    <row r="786" spans="1:12">
      <c r="A786" s="287">
        <v>785</v>
      </c>
      <c r="B786" s="277">
        <v>45838</v>
      </c>
      <c r="C786" s="284" t="s">
        <v>1626</v>
      </c>
      <c r="E786" s="284" t="s">
        <v>1161</v>
      </c>
      <c r="L786" s="279">
        <v>-5764000</v>
      </c>
    </row>
    <row r="787" spans="1:12">
      <c r="A787" s="287">
        <v>786</v>
      </c>
      <c r="B787" s="277">
        <v>45838</v>
      </c>
      <c r="C787" s="284" t="s">
        <v>1629</v>
      </c>
      <c r="E787" s="284" t="s">
        <v>1161</v>
      </c>
      <c r="L787" s="279">
        <v>-1705000</v>
      </c>
    </row>
    <row r="788" spans="1:12">
      <c r="A788" s="287">
        <v>787</v>
      </c>
      <c r="B788" s="277">
        <v>45839</v>
      </c>
      <c r="C788" s="284" t="s">
        <v>1183</v>
      </c>
      <c r="E788" s="284" t="s">
        <v>1161</v>
      </c>
      <c r="L788" s="279">
        <v>-2110000</v>
      </c>
    </row>
    <row r="789" spans="1:12">
      <c r="A789" s="287">
        <v>788</v>
      </c>
      <c r="B789" s="277">
        <v>45838</v>
      </c>
      <c r="C789" s="284" t="s">
        <v>2890</v>
      </c>
      <c r="E789" s="284" t="s">
        <v>2891</v>
      </c>
      <c r="L789" s="279">
        <v>-450000</v>
      </c>
    </row>
    <row r="790" spans="1:12">
      <c r="A790" s="287">
        <v>789</v>
      </c>
      <c r="B790" s="277">
        <v>45838</v>
      </c>
      <c r="C790" s="284" t="s">
        <v>1424</v>
      </c>
      <c r="E790" s="284" t="s">
        <v>2889</v>
      </c>
      <c r="L790" s="279">
        <v>-150000</v>
      </c>
    </row>
    <row r="791" spans="1:12">
      <c r="A791" s="287">
        <v>790</v>
      </c>
      <c r="B791" s="277">
        <v>45839</v>
      </c>
      <c r="C791" s="284" t="s">
        <v>1060</v>
      </c>
      <c r="E791" s="284" t="s">
        <v>1161</v>
      </c>
      <c r="L791" s="279">
        <v>-1550000</v>
      </c>
    </row>
    <row r="792" spans="1:12">
      <c r="A792" s="287">
        <v>791</v>
      </c>
      <c r="B792" s="277">
        <v>45839</v>
      </c>
      <c r="C792" s="284" t="s">
        <v>2893</v>
      </c>
      <c r="E792" s="284" t="s">
        <v>2892</v>
      </c>
      <c r="G792" s="279">
        <v>150000</v>
      </c>
      <c r="H792" s="284">
        <v>1</v>
      </c>
      <c r="K792" s="279">
        <v>150000</v>
      </c>
    </row>
    <row r="793" spans="1:12">
      <c r="A793" s="287">
        <v>792</v>
      </c>
      <c r="B793" s="277">
        <v>45839</v>
      </c>
      <c r="C793" s="284" t="s">
        <v>1525</v>
      </c>
      <c r="E793" s="284" t="s">
        <v>1814</v>
      </c>
      <c r="F793" s="284">
        <v>2830501</v>
      </c>
      <c r="G793" s="279">
        <v>1550000</v>
      </c>
      <c r="H793" s="284">
        <v>1</v>
      </c>
      <c r="K793" s="279">
        <v>1550000</v>
      </c>
    </row>
    <row r="794" spans="1:12">
      <c r="A794" s="287">
        <v>793</v>
      </c>
      <c r="B794" s="277">
        <v>45839</v>
      </c>
      <c r="C794" s="284" t="s">
        <v>1629</v>
      </c>
      <c r="E794" s="284" t="s">
        <v>1243</v>
      </c>
      <c r="F794" s="284" t="s">
        <v>1242</v>
      </c>
      <c r="G794" s="279">
        <v>1200000</v>
      </c>
      <c r="H794" s="284">
        <v>1</v>
      </c>
      <c r="J794" s="280">
        <v>120000</v>
      </c>
      <c r="K794" s="279">
        <v>1320000</v>
      </c>
    </row>
    <row r="795" spans="1:12">
      <c r="A795" s="287">
        <v>794</v>
      </c>
      <c r="B795" s="277">
        <v>45839</v>
      </c>
      <c r="C795" s="284" t="s">
        <v>1418</v>
      </c>
      <c r="E795" s="284" t="s">
        <v>1816</v>
      </c>
      <c r="L795" s="279">
        <v>-600000</v>
      </c>
    </row>
    <row r="796" spans="1:12">
      <c r="A796" s="287">
        <v>795</v>
      </c>
      <c r="B796" s="277">
        <v>45839</v>
      </c>
      <c r="C796" s="284" t="s">
        <v>2898</v>
      </c>
      <c r="E796" s="284" t="s">
        <v>2900</v>
      </c>
      <c r="L796" s="279">
        <v>-1500000</v>
      </c>
    </row>
    <row r="797" spans="1:12">
      <c r="A797" s="287">
        <v>796</v>
      </c>
      <c r="B797" s="277">
        <v>45839</v>
      </c>
      <c r="C797" s="284" t="s">
        <v>1445</v>
      </c>
      <c r="E797" s="284" t="s">
        <v>1161</v>
      </c>
      <c r="L797" s="279">
        <v>-10500000</v>
      </c>
    </row>
    <row r="798" spans="1:12">
      <c r="A798" s="287">
        <v>797</v>
      </c>
      <c r="B798" s="277">
        <v>45839</v>
      </c>
      <c r="C798" s="284" t="s">
        <v>1445</v>
      </c>
      <c r="E798" s="284" t="s">
        <v>2901</v>
      </c>
      <c r="L798" s="279">
        <v>-114000</v>
      </c>
    </row>
    <row r="799" spans="1:12">
      <c r="A799" s="287">
        <v>798</v>
      </c>
      <c r="B799" s="277">
        <v>45839</v>
      </c>
      <c r="C799" s="284" t="s">
        <v>2902</v>
      </c>
      <c r="E799" s="284" t="s">
        <v>2447</v>
      </c>
      <c r="G799" s="279">
        <v>150000</v>
      </c>
      <c r="H799" s="284">
        <v>1</v>
      </c>
      <c r="K799" s="279">
        <v>150000</v>
      </c>
    </row>
    <row r="800" spans="1:12">
      <c r="A800" s="287">
        <v>799</v>
      </c>
      <c r="B800" s="277">
        <v>45839</v>
      </c>
      <c r="C800" s="284" t="s">
        <v>1490</v>
      </c>
      <c r="E800" s="284" t="s">
        <v>1770</v>
      </c>
      <c r="F800" s="284">
        <v>7252703114</v>
      </c>
      <c r="G800" s="279">
        <v>129000</v>
      </c>
      <c r="H800" s="284">
        <v>3</v>
      </c>
      <c r="K800" s="279">
        <v>387000</v>
      </c>
    </row>
    <row r="801" spans="1:12">
      <c r="A801" s="287">
        <v>800</v>
      </c>
      <c r="B801" s="277">
        <v>45839</v>
      </c>
      <c r="C801" s="284" t="s">
        <v>1490</v>
      </c>
      <c r="E801" s="284" t="s">
        <v>2908</v>
      </c>
      <c r="F801" s="284">
        <v>1087298437</v>
      </c>
      <c r="G801" s="279">
        <v>80000</v>
      </c>
      <c r="H801" s="284">
        <v>1</v>
      </c>
      <c r="K801" s="279">
        <v>80000</v>
      </c>
    </row>
    <row r="802" spans="1:12">
      <c r="A802" s="287">
        <v>801</v>
      </c>
      <c r="B802" s="277">
        <v>45839</v>
      </c>
      <c r="C802" s="284" t="s">
        <v>2902</v>
      </c>
      <c r="E802" s="284" t="s">
        <v>1161</v>
      </c>
      <c r="L802" s="279">
        <v>-150000</v>
      </c>
    </row>
    <row r="803" spans="1:12">
      <c r="A803" s="287">
        <v>802</v>
      </c>
      <c r="B803" s="277">
        <v>45839</v>
      </c>
      <c r="C803" s="284" t="s">
        <v>2066</v>
      </c>
      <c r="E803" s="284" t="s">
        <v>1161</v>
      </c>
      <c r="L803" s="279">
        <v>-1550000</v>
      </c>
    </row>
    <row r="804" spans="1:12">
      <c r="A804" s="287">
        <v>803</v>
      </c>
      <c r="B804" s="277">
        <v>45840</v>
      </c>
      <c r="C804" s="284" t="s">
        <v>2912</v>
      </c>
      <c r="E804" s="284" t="s">
        <v>2401</v>
      </c>
      <c r="G804" s="279">
        <v>650000</v>
      </c>
      <c r="H804" s="284">
        <v>1</v>
      </c>
      <c r="J804" s="280">
        <v>65000</v>
      </c>
      <c r="K804" s="279">
        <v>715000</v>
      </c>
    </row>
    <row r="805" spans="1:12">
      <c r="A805" s="287">
        <v>804</v>
      </c>
      <c r="B805" s="277">
        <v>45840</v>
      </c>
      <c r="C805" s="284" t="s">
        <v>2914</v>
      </c>
      <c r="E805" s="284" t="s">
        <v>1241</v>
      </c>
      <c r="F805" s="284" t="s">
        <v>1822</v>
      </c>
      <c r="G805" s="279">
        <v>1200000</v>
      </c>
      <c r="H805" s="284">
        <v>1</v>
      </c>
      <c r="K805" s="279">
        <v>1200000</v>
      </c>
    </row>
    <row r="806" spans="1:12">
      <c r="A806" s="287">
        <v>805</v>
      </c>
      <c r="B806" s="277">
        <v>45840</v>
      </c>
      <c r="C806" s="284" t="s">
        <v>2914</v>
      </c>
      <c r="E806" s="284" t="s">
        <v>2919</v>
      </c>
      <c r="L806" s="279">
        <v>-1200000</v>
      </c>
    </row>
    <row r="807" spans="1:12">
      <c r="A807" s="287">
        <v>806</v>
      </c>
      <c r="B807" s="277">
        <v>45840</v>
      </c>
      <c r="C807" s="284" t="s">
        <v>1629</v>
      </c>
      <c r="E807" s="284" t="s">
        <v>1161</v>
      </c>
      <c r="L807" s="279">
        <v>-1375000</v>
      </c>
    </row>
    <row r="808" spans="1:12">
      <c r="A808" s="287">
        <v>807</v>
      </c>
      <c r="B808" s="277">
        <v>45840</v>
      </c>
      <c r="C808" s="284" t="s">
        <v>1629</v>
      </c>
      <c r="E808" s="284" t="s">
        <v>1310</v>
      </c>
      <c r="F808" s="284" t="s">
        <v>1309</v>
      </c>
      <c r="G808" s="279">
        <v>50000</v>
      </c>
      <c r="H808" s="284">
        <v>1</v>
      </c>
      <c r="J808" s="280">
        <v>5000</v>
      </c>
      <c r="K808" s="279">
        <v>55000</v>
      </c>
    </row>
    <row r="809" spans="1:12">
      <c r="A809" s="287">
        <v>808</v>
      </c>
      <c r="B809" s="277">
        <v>45840</v>
      </c>
      <c r="C809" s="284" t="s">
        <v>2046</v>
      </c>
      <c r="E809" s="284" t="s">
        <v>2277</v>
      </c>
      <c r="F809" s="284" t="s">
        <v>1239</v>
      </c>
      <c r="G809" s="279">
        <v>1500000</v>
      </c>
      <c r="H809" s="284">
        <v>1</v>
      </c>
      <c r="K809" s="279">
        <v>1500000</v>
      </c>
    </row>
    <row r="810" spans="1:12">
      <c r="A810" s="287">
        <v>809</v>
      </c>
      <c r="B810" s="277">
        <v>45840</v>
      </c>
      <c r="C810" s="284" t="s">
        <v>2046</v>
      </c>
      <c r="E810" s="284" t="s">
        <v>2278</v>
      </c>
      <c r="F810" s="284" t="s">
        <v>1879</v>
      </c>
      <c r="G810" s="279">
        <v>50000</v>
      </c>
      <c r="H810" s="284">
        <v>1</v>
      </c>
      <c r="K810" s="279">
        <v>50000</v>
      </c>
    </row>
    <row r="811" spans="1:12">
      <c r="A811" s="287">
        <v>810</v>
      </c>
      <c r="B811" s="277">
        <v>45840</v>
      </c>
      <c r="C811" s="284" t="s">
        <v>2046</v>
      </c>
      <c r="E811" s="284" t="s">
        <v>2279</v>
      </c>
      <c r="F811" s="284" t="s">
        <v>2316</v>
      </c>
      <c r="G811" s="279">
        <v>250000</v>
      </c>
      <c r="H811" s="284">
        <v>1</v>
      </c>
      <c r="K811" s="279">
        <v>250000</v>
      </c>
    </row>
    <row r="812" spans="1:12">
      <c r="A812" s="287">
        <v>811</v>
      </c>
      <c r="B812" s="277">
        <v>45840</v>
      </c>
      <c r="C812" s="284" t="s">
        <v>2046</v>
      </c>
      <c r="E812" s="284" t="s">
        <v>2280</v>
      </c>
      <c r="F812" s="284" t="s">
        <v>1788</v>
      </c>
      <c r="G812" s="279">
        <v>70000</v>
      </c>
      <c r="H812" s="284">
        <v>1</v>
      </c>
      <c r="K812" s="279">
        <v>70000</v>
      </c>
    </row>
    <row r="813" spans="1:12">
      <c r="A813" s="287">
        <v>812</v>
      </c>
      <c r="B813" s="277">
        <v>45840</v>
      </c>
      <c r="C813" s="284" t="s">
        <v>2195</v>
      </c>
      <c r="E813" s="284" t="s">
        <v>1241</v>
      </c>
      <c r="F813" s="284" t="s">
        <v>1822</v>
      </c>
      <c r="G813" s="279">
        <v>1200000</v>
      </c>
      <c r="H813" s="284">
        <v>1</v>
      </c>
      <c r="J813" s="280">
        <v>120000</v>
      </c>
      <c r="K813" s="279">
        <v>1320000</v>
      </c>
    </row>
    <row r="814" spans="1:12">
      <c r="A814" s="287">
        <v>813</v>
      </c>
      <c r="B814" s="277">
        <v>45841</v>
      </c>
      <c r="C814" s="284" t="s">
        <v>1060</v>
      </c>
      <c r="E814" s="284" t="s">
        <v>2277</v>
      </c>
      <c r="F814" s="284" t="s">
        <v>1239</v>
      </c>
      <c r="G814" s="279">
        <v>1500000</v>
      </c>
      <c r="H814" s="284">
        <v>1</v>
      </c>
      <c r="K814" s="279">
        <v>1500000</v>
      </c>
    </row>
    <row r="815" spans="1:12">
      <c r="A815" s="287">
        <v>814</v>
      </c>
      <c r="B815" s="277">
        <v>45841</v>
      </c>
      <c r="C815" s="284" t="s">
        <v>1060</v>
      </c>
      <c r="E815" s="284" t="s">
        <v>2278</v>
      </c>
      <c r="F815" s="284" t="s">
        <v>1879</v>
      </c>
      <c r="G815" s="279">
        <v>50000</v>
      </c>
      <c r="H815" s="284">
        <v>1</v>
      </c>
      <c r="K815" s="279">
        <v>50000</v>
      </c>
    </row>
    <row r="816" spans="1:12">
      <c r="A816" s="287">
        <v>815</v>
      </c>
      <c r="B816" s="277">
        <v>45841</v>
      </c>
      <c r="C816" s="284" t="s">
        <v>2893</v>
      </c>
      <c r="E816" s="284" t="s">
        <v>1161</v>
      </c>
      <c r="L816" s="279">
        <v>-150000</v>
      </c>
    </row>
    <row r="817" spans="1:12">
      <c r="A817" s="287">
        <v>816</v>
      </c>
      <c r="B817" s="277">
        <v>45841</v>
      </c>
      <c r="C817" s="284" t="s">
        <v>2935</v>
      </c>
      <c r="E817" s="284" t="s">
        <v>1607</v>
      </c>
      <c r="F817" s="284">
        <v>54463610</v>
      </c>
      <c r="G817" s="279">
        <v>1600000</v>
      </c>
      <c r="H817" s="284">
        <v>1</v>
      </c>
      <c r="K817" s="279">
        <v>1600000</v>
      </c>
    </row>
    <row r="818" spans="1:12">
      <c r="A818" s="287">
        <v>817</v>
      </c>
      <c r="B818" s="277">
        <v>45841</v>
      </c>
      <c r="C818" s="284" t="s">
        <v>1885</v>
      </c>
      <c r="E818" s="284" t="s">
        <v>1542</v>
      </c>
      <c r="F818" s="284" t="s">
        <v>2839</v>
      </c>
      <c r="G818" s="279">
        <v>350000</v>
      </c>
      <c r="H818" s="284">
        <v>1</v>
      </c>
      <c r="K818" s="279">
        <v>350000</v>
      </c>
    </row>
    <row r="819" spans="1:12">
      <c r="A819" s="287">
        <v>818</v>
      </c>
      <c r="B819" s="277">
        <v>45841</v>
      </c>
      <c r="C819" s="284" t="s">
        <v>2362</v>
      </c>
      <c r="E819" s="284" t="s">
        <v>1241</v>
      </c>
      <c r="F819" s="284" t="s">
        <v>1822</v>
      </c>
      <c r="G819" s="279">
        <v>1200000</v>
      </c>
      <c r="H819" s="284">
        <v>1</v>
      </c>
      <c r="K819" s="279">
        <v>1200000</v>
      </c>
    </row>
    <row r="820" spans="1:12">
      <c r="A820" s="287">
        <v>819</v>
      </c>
      <c r="B820" s="277">
        <v>45841</v>
      </c>
      <c r="C820" s="284" t="s">
        <v>2942</v>
      </c>
      <c r="E820" s="284" t="s">
        <v>2943</v>
      </c>
      <c r="F820" s="284" t="s">
        <v>2944</v>
      </c>
      <c r="G820" s="279">
        <v>1200000</v>
      </c>
      <c r="H820" s="284">
        <v>1</v>
      </c>
      <c r="J820" s="280">
        <v>120000</v>
      </c>
      <c r="K820" s="279">
        <v>1320000</v>
      </c>
    </row>
    <row r="821" spans="1:12">
      <c r="A821" s="287">
        <v>820</v>
      </c>
      <c r="B821" s="277">
        <v>45841</v>
      </c>
      <c r="C821" s="284" t="s">
        <v>2935</v>
      </c>
      <c r="E821" s="284" t="s">
        <v>1161</v>
      </c>
      <c r="L821" s="279">
        <v>-1600000</v>
      </c>
    </row>
    <row r="822" spans="1:12">
      <c r="A822" s="287">
        <v>821</v>
      </c>
      <c r="B822" s="277">
        <v>45841</v>
      </c>
      <c r="C822" s="284" t="s">
        <v>2362</v>
      </c>
      <c r="E822" s="284" t="s">
        <v>1161</v>
      </c>
      <c r="L822" s="279">
        <v>-1200000</v>
      </c>
    </row>
    <row r="823" spans="1:12">
      <c r="A823" s="287">
        <v>822</v>
      </c>
      <c r="B823" s="277">
        <v>45841</v>
      </c>
      <c r="C823" s="284" t="s">
        <v>2046</v>
      </c>
      <c r="E823" s="284" t="s">
        <v>1161</v>
      </c>
      <c r="L823" s="279">
        <v>-1870000</v>
      </c>
    </row>
    <row r="824" spans="1:12">
      <c r="A824" s="287">
        <v>823</v>
      </c>
      <c r="B824" s="277">
        <v>45842</v>
      </c>
      <c r="C824" s="284" t="s">
        <v>2946</v>
      </c>
      <c r="E824" s="284" t="s">
        <v>2947</v>
      </c>
      <c r="F824" s="284" t="s">
        <v>2948</v>
      </c>
      <c r="G824" s="279">
        <v>1600000</v>
      </c>
      <c r="H824" s="284">
        <v>1</v>
      </c>
      <c r="J824" s="280">
        <v>160000</v>
      </c>
      <c r="K824" s="279">
        <v>1760000</v>
      </c>
    </row>
    <row r="825" spans="1:12">
      <c r="A825" s="287">
        <v>824</v>
      </c>
      <c r="B825" s="277">
        <v>45842</v>
      </c>
      <c r="C825" s="284" t="s">
        <v>2946</v>
      </c>
      <c r="E825" s="284" t="s">
        <v>2949</v>
      </c>
      <c r="F825" s="284" t="s">
        <v>2950</v>
      </c>
      <c r="G825" s="279">
        <v>50000</v>
      </c>
      <c r="H825" s="284">
        <v>1</v>
      </c>
      <c r="J825" s="280">
        <v>5000</v>
      </c>
      <c r="K825" s="279">
        <v>55000</v>
      </c>
    </row>
    <row r="826" spans="1:12">
      <c r="A826" s="287">
        <v>825</v>
      </c>
      <c r="B826" s="277">
        <v>45842</v>
      </c>
      <c r="C826" s="284" t="s">
        <v>1105</v>
      </c>
      <c r="E826" s="284" t="s">
        <v>1161</v>
      </c>
      <c r="L826" s="279">
        <v>-1450000</v>
      </c>
    </row>
    <row r="827" spans="1:12">
      <c r="A827" s="287">
        <v>826</v>
      </c>
      <c r="B827" s="277">
        <v>45842</v>
      </c>
      <c r="C827" s="284" t="s">
        <v>2953</v>
      </c>
      <c r="E827" s="284" t="s">
        <v>1161</v>
      </c>
      <c r="L827" s="279">
        <v>-1815000</v>
      </c>
    </row>
    <row r="828" spans="1:12">
      <c r="A828" s="287">
        <v>827</v>
      </c>
      <c r="B828" s="277">
        <v>45842</v>
      </c>
      <c r="C828" s="284" t="s">
        <v>1105</v>
      </c>
      <c r="E828" s="284" t="s">
        <v>2901</v>
      </c>
      <c r="L828" s="279">
        <v>-50000</v>
      </c>
    </row>
    <row r="829" spans="1:12">
      <c r="A829" s="287">
        <v>828</v>
      </c>
      <c r="B829" s="277">
        <v>45842</v>
      </c>
      <c r="C829" s="284" t="s">
        <v>1647</v>
      </c>
      <c r="E829" s="284" t="s">
        <v>1241</v>
      </c>
      <c r="F829" s="284" t="s">
        <v>1822</v>
      </c>
      <c r="G829" s="279">
        <v>1000000</v>
      </c>
      <c r="H829" s="284">
        <v>1</v>
      </c>
      <c r="K829" s="279">
        <v>1000000</v>
      </c>
    </row>
    <row r="830" spans="1:12">
      <c r="A830" s="287">
        <v>829</v>
      </c>
      <c r="B830" s="277">
        <v>45842</v>
      </c>
      <c r="C830" s="284" t="s">
        <v>1629</v>
      </c>
      <c r="E830" s="284" t="s">
        <v>1773</v>
      </c>
      <c r="F830" s="284" t="s">
        <v>1772</v>
      </c>
      <c r="G830" s="279">
        <v>50000</v>
      </c>
      <c r="H830" s="284">
        <v>1</v>
      </c>
      <c r="J830" s="280">
        <v>5000</v>
      </c>
      <c r="K830" s="279">
        <v>55000</v>
      </c>
    </row>
    <row r="831" spans="1:12">
      <c r="A831" s="287">
        <v>830</v>
      </c>
      <c r="B831" s="277">
        <v>45842</v>
      </c>
      <c r="C831" s="284" t="s">
        <v>1513</v>
      </c>
      <c r="E831" s="284" t="s">
        <v>2956</v>
      </c>
      <c r="F831" s="284" t="s">
        <v>1254</v>
      </c>
      <c r="G831" s="279">
        <v>1500000</v>
      </c>
      <c r="H831" s="284">
        <v>1</v>
      </c>
      <c r="K831" s="279">
        <v>1500000</v>
      </c>
    </row>
    <row r="832" spans="1:12">
      <c r="A832" s="287">
        <v>831</v>
      </c>
      <c r="B832" s="277">
        <v>45842</v>
      </c>
      <c r="C832" s="284" t="s">
        <v>1183</v>
      </c>
      <c r="E832" s="284" t="s">
        <v>1241</v>
      </c>
      <c r="F832" s="284" t="s">
        <v>1822</v>
      </c>
      <c r="G832" s="279">
        <v>1200000</v>
      </c>
      <c r="H832" s="284">
        <v>1</v>
      </c>
      <c r="K832" s="279">
        <v>1200000</v>
      </c>
    </row>
    <row r="833" spans="1:12">
      <c r="A833" s="287">
        <v>832</v>
      </c>
      <c r="B833" s="277">
        <v>45842</v>
      </c>
      <c r="C833" s="284" t="s">
        <v>2912</v>
      </c>
      <c r="E833" s="284" t="s">
        <v>1161</v>
      </c>
      <c r="L833" s="279">
        <v>-715000</v>
      </c>
    </row>
    <row r="834" spans="1:12">
      <c r="A834" s="287">
        <v>833</v>
      </c>
      <c r="B834" s="277">
        <v>45842</v>
      </c>
      <c r="C834" s="284" t="s">
        <v>1519</v>
      </c>
      <c r="E834" s="284" t="s">
        <v>1161</v>
      </c>
      <c r="L834" s="279">
        <v>-1500000</v>
      </c>
    </row>
    <row r="835" spans="1:12">
      <c r="A835" s="287">
        <v>834</v>
      </c>
      <c r="B835" s="277">
        <v>45842</v>
      </c>
      <c r="C835" s="284" t="s">
        <v>1885</v>
      </c>
      <c r="E835" s="284" t="s">
        <v>1161</v>
      </c>
      <c r="L835" s="279">
        <v>-350000</v>
      </c>
    </row>
    <row r="836" spans="1:12">
      <c r="A836" s="287">
        <v>835</v>
      </c>
      <c r="B836" s="277">
        <v>45842</v>
      </c>
      <c r="C836" s="284" t="s">
        <v>1647</v>
      </c>
      <c r="E836" s="284" t="s">
        <v>1161</v>
      </c>
      <c r="L836" s="279">
        <v>-1000000</v>
      </c>
    </row>
    <row r="837" spans="1:12">
      <c r="A837" s="287">
        <v>836</v>
      </c>
      <c r="B837" s="277">
        <v>45842</v>
      </c>
      <c r="C837" s="284" t="s">
        <v>1790</v>
      </c>
      <c r="E837" s="284" t="s">
        <v>1161</v>
      </c>
      <c r="L837" s="279">
        <v>-10000000</v>
      </c>
    </row>
    <row r="838" spans="1:12">
      <c r="A838" s="61">
        <v>840</v>
      </c>
      <c r="B838" s="277">
        <v>45843</v>
      </c>
      <c r="C838" s="284" t="s">
        <v>1587</v>
      </c>
      <c r="E838" s="284" t="s">
        <v>1241</v>
      </c>
      <c r="F838" s="284" t="s">
        <v>1822</v>
      </c>
      <c r="G838" s="279">
        <v>1200000</v>
      </c>
      <c r="H838" s="284">
        <v>1</v>
      </c>
      <c r="K838" s="279">
        <v>1200000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workbookViewId="0">
      <selection activeCell="C3" sqref="C3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  <c r="N2" s="73"/>
      <c r="O2" s="73"/>
      <c r="P2" s="73"/>
      <c r="Q2" s="73"/>
    </row>
    <row r="3" spans="1:22" ht="15.95" customHeight="1">
      <c r="A3" s="246">
        <v>45842</v>
      </c>
      <c r="B3" s="247" t="s">
        <v>1162</v>
      </c>
      <c r="C3" s="248">
        <f>SUMIF($B:$B,A3,I:I)</f>
        <v>5570000</v>
      </c>
      <c r="D3" s="249" t="s">
        <v>1148</v>
      </c>
      <c r="E3" s="248">
        <f ca="1">SUMIF($B:$B,TODAY(),E:E)</f>
        <v>0</v>
      </c>
      <c r="F3" s="259" t="s">
        <v>2653</v>
      </c>
      <c r="G3" s="248">
        <f>SUMIF($D:$D,"*schaeffler*",I:I)</f>
        <v>80000</v>
      </c>
      <c r="H3" s="251"/>
      <c r="I3" s="252"/>
      <c r="J3" s="75"/>
      <c r="K3" s="75"/>
      <c r="L3" s="73"/>
      <c r="M3" s="73"/>
      <c r="N3" s="73"/>
      <c r="O3" s="73"/>
      <c r="P3" s="73"/>
      <c r="Q3" s="73"/>
    </row>
    <row r="4" spans="1:22" ht="15.95" customHeight="1">
      <c r="A4" s="253">
        <f>MONTH(A3)</f>
        <v>7</v>
      </c>
      <c r="B4" s="247" t="s">
        <v>1163</v>
      </c>
      <c r="C4" s="248">
        <f>SUMIFS($I:$I,$B:$B,"&gt;="&amp;DATE(A5,A4,1),$B:$B,"&lt;="&amp;EOMONTH(DATE(A5,A4,1),0))</f>
        <v>20387000</v>
      </c>
      <c r="D4" s="250"/>
      <c r="E4" s="254"/>
      <c r="F4" s="259" t="s">
        <v>2654</v>
      </c>
      <c r="G4" s="248">
        <f>SUMIF($D:$D,"*schaeffler*",E:E)</f>
        <v>0</v>
      </c>
      <c r="H4" s="256"/>
      <c r="I4" s="252"/>
      <c r="J4" s="75"/>
      <c r="K4" s="75"/>
      <c r="L4" s="73"/>
      <c r="M4" s="73"/>
      <c r="N4" s="73"/>
      <c r="O4" s="73"/>
      <c r="P4" s="73"/>
      <c r="Q4" s="73"/>
    </row>
    <row r="5" spans="1:22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20387000</v>
      </c>
      <c r="D5" s="257"/>
      <c r="E5" s="254"/>
      <c r="F5" s="255"/>
      <c r="G5" s="254"/>
      <c r="H5" s="256"/>
      <c r="I5" s="252"/>
      <c r="J5" s="75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1147</v>
      </c>
      <c r="F8" s="131" t="s">
        <v>47</v>
      </c>
      <c r="G8" s="84" t="s">
        <v>55</v>
      </c>
      <c r="H8" s="131" t="s">
        <v>88</v>
      </c>
      <c r="I8" s="131" t="s">
        <v>64</v>
      </c>
      <c r="J8" s="131" t="s">
        <v>1750</v>
      </c>
      <c r="K8" s="84" t="s">
        <v>1148</v>
      </c>
      <c r="L8" s="84" t="s">
        <v>1149</v>
      </c>
      <c r="M8" s="84" t="s">
        <v>1150</v>
      </c>
      <c r="N8" s="84" t="s">
        <v>1155</v>
      </c>
      <c r="O8" s="84" t="s">
        <v>1156</v>
      </c>
      <c r="P8" s="85" t="s">
        <v>1157</v>
      </c>
      <c r="S8" s="54"/>
      <c r="T8" s="54"/>
      <c r="U8" s="54"/>
      <c r="V8" s="54"/>
    </row>
    <row r="9" spans="1:22" ht="18" customHeight="1">
      <c r="A9" s="98">
        <v>787</v>
      </c>
      <c r="B9" s="103">
        <v>45839</v>
      </c>
      <c r="C9" s="93" t="s">
        <v>1183</v>
      </c>
      <c r="D9" s="124" t="s">
        <v>1161</v>
      </c>
      <c r="E9" s="87"/>
      <c r="F9" s="236"/>
      <c r="H9" s="140"/>
      <c r="J9" s="88">
        <v>-2110000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98">
        <v>790</v>
      </c>
      <c r="B10" s="103">
        <v>45839</v>
      </c>
      <c r="C10" s="93" t="s">
        <v>1060</v>
      </c>
      <c r="D10" s="124" t="s">
        <v>1161</v>
      </c>
      <c r="E10" s="87"/>
      <c r="F10" s="236"/>
      <c r="H10" s="140"/>
      <c r="J10" s="88">
        <v>-1550000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98">
        <v>791</v>
      </c>
      <c r="B11" s="103">
        <v>45839</v>
      </c>
      <c r="C11" s="93" t="s">
        <v>2893</v>
      </c>
      <c r="D11" s="124" t="s">
        <v>2892</v>
      </c>
      <c r="E11" s="87"/>
      <c r="F11" s="236">
        <v>150000</v>
      </c>
      <c r="G11" s="93">
        <v>1</v>
      </c>
      <c r="H11" s="140"/>
      <c r="I11" s="88">
        <v>150000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98">
        <v>792</v>
      </c>
      <c r="B12" s="103">
        <v>45839</v>
      </c>
      <c r="C12" s="93" t="s">
        <v>1525</v>
      </c>
      <c r="D12" s="124" t="s">
        <v>1814</v>
      </c>
      <c r="E12" s="87"/>
      <c r="F12" s="236">
        <v>1550000</v>
      </c>
      <c r="G12" s="93">
        <v>1</v>
      </c>
      <c r="H12" s="140"/>
      <c r="I12" s="88">
        <v>1550000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98">
        <v>793</v>
      </c>
      <c r="B13" s="103">
        <v>45839</v>
      </c>
      <c r="C13" s="93" t="s">
        <v>1629</v>
      </c>
      <c r="D13" s="124" t="s">
        <v>1243</v>
      </c>
      <c r="E13" s="86"/>
      <c r="F13" s="88">
        <v>1200000</v>
      </c>
      <c r="G13" s="93">
        <v>1</v>
      </c>
      <c r="H13" s="138">
        <v>120000</v>
      </c>
      <c r="I13" s="88">
        <v>1320000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98">
        <v>794</v>
      </c>
      <c r="B14" s="103">
        <v>45839</v>
      </c>
      <c r="C14" s="93" t="s">
        <v>1418</v>
      </c>
      <c r="D14" s="124" t="s">
        <v>1816</v>
      </c>
      <c r="E14" s="87"/>
      <c r="F14" s="236"/>
      <c r="H14" s="140"/>
      <c r="J14" s="88">
        <v>-600000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98">
        <v>795</v>
      </c>
      <c r="B15" s="103">
        <v>45839</v>
      </c>
      <c r="C15" s="93" t="s">
        <v>1513</v>
      </c>
      <c r="D15" s="124" t="s">
        <v>2899</v>
      </c>
      <c r="E15" s="86"/>
      <c r="F15" s="88"/>
      <c r="J15" s="88">
        <v>-1500000</v>
      </c>
      <c r="M15" s="89"/>
      <c r="N15" s="89"/>
      <c r="S15" s="54"/>
      <c r="T15" s="54"/>
      <c r="U15" s="54"/>
      <c r="V15" s="54"/>
    </row>
    <row r="16" spans="1:22" ht="18" customHeight="1">
      <c r="A16" s="90">
        <v>796</v>
      </c>
      <c r="B16" s="102">
        <v>45839</v>
      </c>
      <c r="C16" s="91" t="s">
        <v>1445</v>
      </c>
      <c r="D16" s="125" t="s">
        <v>1161</v>
      </c>
      <c r="J16" s="88">
        <v>-10500000</v>
      </c>
      <c r="S16" s="54"/>
      <c r="T16" s="54"/>
      <c r="U16" s="54"/>
      <c r="V16" s="54"/>
    </row>
    <row r="17" spans="1:22" ht="18" customHeight="1">
      <c r="A17" s="98">
        <v>797</v>
      </c>
      <c r="B17" s="103">
        <v>45839</v>
      </c>
      <c r="C17" s="93" t="s">
        <v>1445</v>
      </c>
      <c r="D17" s="124" t="s">
        <v>2901</v>
      </c>
      <c r="E17" s="86"/>
      <c r="F17" s="88"/>
      <c r="J17" s="88">
        <v>-114000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98">
        <v>798</v>
      </c>
      <c r="B18" s="103">
        <v>45839</v>
      </c>
      <c r="C18" s="93" t="s">
        <v>2902</v>
      </c>
      <c r="D18" s="124" t="s">
        <v>2447</v>
      </c>
      <c r="E18" s="87"/>
      <c r="F18" s="236">
        <v>150000</v>
      </c>
      <c r="G18" s="93">
        <v>1</v>
      </c>
      <c r="H18" s="140"/>
      <c r="I18" s="88">
        <v>150000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98">
        <v>799</v>
      </c>
      <c r="B19" s="103">
        <v>45839</v>
      </c>
      <c r="C19" s="93" t="s">
        <v>1490</v>
      </c>
      <c r="D19" s="124" t="s">
        <v>1770</v>
      </c>
      <c r="E19" s="86"/>
      <c r="F19" s="88">
        <v>129000</v>
      </c>
      <c r="G19" s="93">
        <v>3</v>
      </c>
      <c r="H19" s="138"/>
      <c r="I19" s="88">
        <v>387000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98">
        <v>800</v>
      </c>
      <c r="B20" s="103">
        <v>45839</v>
      </c>
      <c r="C20" s="93" t="s">
        <v>1490</v>
      </c>
      <c r="D20" s="124" t="s">
        <v>2928</v>
      </c>
      <c r="E20" s="87"/>
      <c r="F20" s="236">
        <v>80000</v>
      </c>
      <c r="G20" s="93">
        <v>1</v>
      </c>
      <c r="H20" s="140"/>
      <c r="I20" s="88">
        <v>80000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98">
        <v>801</v>
      </c>
      <c r="B21" s="103">
        <v>45839</v>
      </c>
      <c r="C21" s="93" t="s">
        <v>2902</v>
      </c>
      <c r="D21" s="124" t="s">
        <v>1161</v>
      </c>
      <c r="E21" s="87"/>
      <c r="F21" s="236"/>
      <c r="G21" s="93"/>
      <c r="H21" s="140"/>
      <c r="I21" s="88"/>
      <c r="J21" s="88">
        <v>-150000</v>
      </c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98">
        <v>802</v>
      </c>
      <c r="B22" s="103">
        <v>45839</v>
      </c>
      <c r="C22" s="93" t="s">
        <v>2066</v>
      </c>
      <c r="D22" s="124" t="s">
        <v>1161</v>
      </c>
      <c r="E22" s="86"/>
      <c r="F22" s="88"/>
      <c r="G22" s="93"/>
      <c r="H22" s="138"/>
      <c r="I22" s="88"/>
      <c r="J22" s="88">
        <v>-1550000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98">
        <v>803</v>
      </c>
      <c r="B23" s="103">
        <v>45840</v>
      </c>
      <c r="C23" s="93" t="s">
        <v>2912</v>
      </c>
      <c r="D23" s="124" t="s">
        <v>2401</v>
      </c>
      <c r="E23" s="86"/>
      <c r="F23" s="88">
        <v>650000</v>
      </c>
      <c r="G23" s="93">
        <v>1</v>
      </c>
      <c r="H23" s="138">
        <v>65000</v>
      </c>
      <c r="I23" s="88">
        <v>715000</v>
      </c>
      <c r="J23" s="88"/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98">
        <v>804</v>
      </c>
      <c r="B24" s="103">
        <v>45840</v>
      </c>
      <c r="C24" s="93" t="s">
        <v>2914</v>
      </c>
      <c r="D24" s="124" t="s">
        <v>1241</v>
      </c>
      <c r="E24" s="86"/>
      <c r="F24" s="88">
        <v>1200000</v>
      </c>
      <c r="G24" s="93">
        <v>1</v>
      </c>
      <c r="H24" s="138"/>
      <c r="I24" s="88">
        <v>1200000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98">
        <v>805</v>
      </c>
      <c r="B25" s="103">
        <v>45840</v>
      </c>
      <c r="C25" s="93" t="s">
        <v>2914</v>
      </c>
      <c r="D25" s="124" t="s">
        <v>2919</v>
      </c>
      <c r="E25" s="86"/>
      <c r="F25" s="88"/>
      <c r="J25" s="88">
        <v>-1200000</v>
      </c>
      <c r="M25" s="89"/>
      <c r="N25" s="89"/>
    </row>
    <row r="26" spans="1:22" ht="18" customHeight="1">
      <c r="A26" s="98">
        <v>806</v>
      </c>
      <c r="B26" s="103">
        <v>45840</v>
      </c>
      <c r="C26" s="93" t="s">
        <v>1629</v>
      </c>
      <c r="D26" s="124" t="s">
        <v>1161</v>
      </c>
      <c r="E26" s="86"/>
      <c r="F26" s="88"/>
      <c r="J26" s="88">
        <v>-1375000</v>
      </c>
      <c r="M26" s="89"/>
      <c r="N26" s="89"/>
    </row>
    <row r="27" spans="1:22" ht="18" customHeight="1">
      <c r="A27" s="98">
        <v>807</v>
      </c>
      <c r="B27" s="103">
        <v>45840</v>
      </c>
      <c r="C27" s="93" t="s">
        <v>1629</v>
      </c>
      <c r="D27" s="124" t="s">
        <v>1310</v>
      </c>
      <c r="E27" s="86"/>
      <c r="F27" s="88">
        <v>50000</v>
      </c>
      <c r="G27" s="93">
        <v>1</v>
      </c>
      <c r="H27" s="138">
        <v>5000</v>
      </c>
      <c r="I27" s="88">
        <v>55000</v>
      </c>
      <c r="M27" s="89"/>
      <c r="N27" s="89"/>
    </row>
    <row r="28" spans="1:22" ht="18" customHeight="1">
      <c r="A28" s="98">
        <v>808</v>
      </c>
      <c r="B28" s="103">
        <v>45840</v>
      </c>
      <c r="C28" s="93" t="s">
        <v>2046</v>
      </c>
      <c r="D28" s="124" t="s">
        <v>2277</v>
      </c>
      <c r="E28" s="86"/>
      <c r="F28" s="88">
        <v>1500000</v>
      </c>
      <c r="G28" s="93">
        <v>1</v>
      </c>
      <c r="I28" s="88">
        <v>1500000</v>
      </c>
      <c r="M28" s="89"/>
      <c r="N28" s="89"/>
    </row>
    <row r="29" spans="1:22" ht="18" customHeight="1">
      <c r="A29" s="98">
        <v>809</v>
      </c>
      <c r="B29" s="103">
        <v>45840</v>
      </c>
      <c r="C29" s="93" t="s">
        <v>2046</v>
      </c>
      <c r="D29" s="124" t="s">
        <v>2278</v>
      </c>
      <c r="E29" s="86"/>
      <c r="F29" s="88">
        <v>50000</v>
      </c>
      <c r="G29" s="93">
        <v>1</v>
      </c>
      <c r="I29" s="88">
        <v>50000</v>
      </c>
      <c r="M29" s="89"/>
      <c r="N29" s="89"/>
    </row>
    <row r="30" spans="1:22" ht="18" customHeight="1">
      <c r="A30" s="98">
        <v>810</v>
      </c>
      <c r="B30" s="103">
        <v>45840</v>
      </c>
      <c r="C30" s="93" t="s">
        <v>2046</v>
      </c>
      <c r="D30" s="124" t="s">
        <v>2279</v>
      </c>
      <c r="E30" s="86"/>
      <c r="F30" s="88">
        <v>250000</v>
      </c>
      <c r="G30" s="93">
        <v>1</v>
      </c>
      <c r="I30" s="88">
        <v>250000</v>
      </c>
      <c r="M30" s="89"/>
      <c r="N30" s="89"/>
    </row>
    <row r="31" spans="1:22" ht="18" customHeight="1">
      <c r="A31" s="98">
        <v>811</v>
      </c>
      <c r="B31" s="103">
        <v>45840</v>
      </c>
      <c r="C31" s="93" t="s">
        <v>2046</v>
      </c>
      <c r="D31" s="124" t="s">
        <v>2280</v>
      </c>
      <c r="E31" s="86"/>
      <c r="F31" s="88">
        <v>70000</v>
      </c>
      <c r="G31" s="93">
        <v>1</v>
      </c>
      <c r="I31" s="88">
        <v>70000</v>
      </c>
      <c r="M31" s="89"/>
      <c r="N31" s="89"/>
    </row>
    <row r="32" spans="1:22" ht="18" customHeight="1">
      <c r="A32" s="98">
        <v>812</v>
      </c>
      <c r="B32" s="103">
        <v>45840</v>
      </c>
      <c r="C32" s="93" t="s">
        <v>2195</v>
      </c>
      <c r="D32" s="124" t="s">
        <v>1241</v>
      </c>
      <c r="E32" s="86"/>
      <c r="F32" s="88">
        <v>1200000</v>
      </c>
      <c r="G32" s="93">
        <v>1</v>
      </c>
      <c r="H32" s="138">
        <v>120000</v>
      </c>
      <c r="I32" s="88">
        <v>1320000</v>
      </c>
      <c r="M32" s="89"/>
      <c r="N32" s="89"/>
    </row>
    <row r="33" spans="1:14" ht="18" customHeight="1">
      <c r="A33" s="98">
        <v>813</v>
      </c>
      <c r="B33" s="103">
        <v>45841</v>
      </c>
      <c r="C33" s="93" t="s">
        <v>1060</v>
      </c>
      <c r="D33" s="124" t="s">
        <v>2277</v>
      </c>
      <c r="E33" s="87"/>
      <c r="F33" s="236">
        <v>1500000</v>
      </c>
      <c r="G33" s="93">
        <v>1</v>
      </c>
      <c r="H33" s="140"/>
      <c r="I33" s="88">
        <v>1500000</v>
      </c>
      <c r="K33" s="88"/>
      <c r="L33" s="89"/>
      <c r="M33" s="89"/>
      <c r="N33" s="89"/>
    </row>
    <row r="34" spans="1:14" ht="18" customHeight="1">
      <c r="A34" s="90">
        <v>814</v>
      </c>
      <c r="B34" s="102">
        <v>45841</v>
      </c>
      <c r="C34" s="91" t="s">
        <v>1060</v>
      </c>
      <c r="D34" s="125" t="s">
        <v>2278</v>
      </c>
      <c r="F34" s="132">
        <v>50000</v>
      </c>
      <c r="G34" s="93">
        <v>1</v>
      </c>
      <c r="I34" s="88">
        <v>50000</v>
      </c>
    </row>
    <row r="35" spans="1:14" ht="18" customHeight="1">
      <c r="A35" s="90">
        <v>815</v>
      </c>
      <c r="B35" s="102">
        <v>45841</v>
      </c>
      <c r="C35" s="91" t="s">
        <v>2893</v>
      </c>
      <c r="D35" s="125" t="s">
        <v>1161</v>
      </c>
      <c r="J35" s="88">
        <v>-150000</v>
      </c>
      <c r="M35" s="89"/>
      <c r="N35" s="89"/>
    </row>
    <row r="36" spans="1:14" ht="18" customHeight="1">
      <c r="A36" s="90">
        <v>816</v>
      </c>
      <c r="B36" s="102">
        <v>45841</v>
      </c>
      <c r="C36" s="91" t="s">
        <v>2935</v>
      </c>
      <c r="D36" s="125" t="s">
        <v>1607</v>
      </c>
      <c r="F36" s="132">
        <v>1600000</v>
      </c>
      <c r="G36" s="93">
        <v>1</v>
      </c>
      <c r="I36" s="88">
        <v>1600000</v>
      </c>
      <c r="M36" s="89"/>
      <c r="N36" s="89"/>
    </row>
    <row r="37" spans="1:14" ht="18" customHeight="1">
      <c r="A37" s="90">
        <v>817</v>
      </c>
      <c r="B37" s="102">
        <v>45841</v>
      </c>
      <c r="C37" s="91" t="s">
        <v>1885</v>
      </c>
      <c r="D37" s="125" t="s">
        <v>1542</v>
      </c>
      <c r="F37" s="132">
        <v>350000</v>
      </c>
      <c r="G37" s="93">
        <v>1</v>
      </c>
      <c r="I37" s="88">
        <v>350000</v>
      </c>
    </row>
    <row r="38" spans="1:14" ht="18" customHeight="1">
      <c r="A38" s="90">
        <v>818</v>
      </c>
      <c r="B38" s="102">
        <v>45841</v>
      </c>
      <c r="C38" s="91" t="s">
        <v>2362</v>
      </c>
      <c r="D38" s="125" t="s">
        <v>1241</v>
      </c>
      <c r="F38" s="132">
        <v>1200000</v>
      </c>
      <c r="G38" s="93">
        <v>1</v>
      </c>
      <c r="I38" s="88">
        <v>1200000</v>
      </c>
    </row>
    <row r="39" spans="1:14" ht="18" customHeight="1">
      <c r="A39" s="90">
        <v>819</v>
      </c>
      <c r="B39" s="102">
        <v>45841</v>
      </c>
      <c r="C39" s="91" t="s">
        <v>1629</v>
      </c>
      <c r="D39" s="125" t="s">
        <v>1241</v>
      </c>
      <c r="F39" s="132">
        <v>1200000</v>
      </c>
      <c r="G39" s="93">
        <v>1</v>
      </c>
      <c r="H39" s="138">
        <v>120000</v>
      </c>
      <c r="I39" s="88">
        <v>1320000</v>
      </c>
    </row>
    <row r="40" spans="1:14" ht="18" customHeight="1">
      <c r="A40" s="90">
        <v>820</v>
      </c>
      <c r="B40" s="102">
        <v>45841</v>
      </c>
      <c r="C40" s="91" t="s">
        <v>2935</v>
      </c>
      <c r="D40" s="125" t="s">
        <v>1161</v>
      </c>
      <c r="J40" s="88">
        <v>-1600000</v>
      </c>
    </row>
    <row r="41" spans="1:14" ht="18" customHeight="1">
      <c r="A41" s="90">
        <v>821</v>
      </c>
      <c r="B41" s="102">
        <v>45841</v>
      </c>
      <c r="C41" s="91" t="s">
        <v>2362</v>
      </c>
      <c r="D41" s="125" t="s">
        <v>1161</v>
      </c>
      <c r="J41" s="88">
        <v>-1200000</v>
      </c>
    </row>
    <row r="42" spans="1:14" ht="18" customHeight="1">
      <c r="A42" s="90">
        <v>822</v>
      </c>
      <c r="B42" s="103">
        <v>45841</v>
      </c>
      <c r="C42" s="93" t="s">
        <v>2046</v>
      </c>
      <c r="D42" s="124" t="s">
        <v>1161</v>
      </c>
      <c r="E42" s="86"/>
      <c r="F42" s="88"/>
      <c r="J42" s="88">
        <v>-1870000</v>
      </c>
      <c r="M42" s="89"/>
      <c r="N42" s="89"/>
    </row>
    <row r="43" spans="1:14" ht="18" customHeight="1">
      <c r="A43" s="98">
        <v>823</v>
      </c>
      <c r="B43" s="103">
        <v>45842</v>
      </c>
      <c r="C43" s="93" t="s">
        <v>2953</v>
      </c>
      <c r="D43" s="124" t="s">
        <v>2277</v>
      </c>
      <c r="E43" s="87"/>
      <c r="F43" s="236">
        <v>1600000</v>
      </c>
      <c r="G43" s="93">
        <v>1</v>
      </c>
      <c r="H43" s="140">
        <v>160000</v>
      </c>
      <c r="I43" s="88">
        <v>1760000</v>
      </c>
      <c r="K43" s="88"/>
      <c r="L43" s="89"/>
      <c r="M43" s="89"/>
      <c r="N43" s="89"/>
    </row>
    <row r="44" spans="1:14" ht="18" customHeight="1">
      <c r="A44" s="90">
        <v>824</v>
      </c>
      <c r="B44" s="103">
        <v>45842</v>
      </c>
      <c r="C44" s="93" t="s">
        <v>2953</v>
      </c>
      <c r="D44" s="124" t="s">
        <v>2278</v>
      </c>
      <c r="E44" s="86"/>
      <c r="F44" s="88">
        <v>50000</v>
      </c>
      <c r="G44" s="93">
        <v>1</v>
      </c>
      <c r="H44" s="138">
        <v>5000</v>
      </c>
      <c r="I44" s="88">
        <v>55000</v>
      </c>
      <c r="M44" s="89"/>
      <c r="N44" s="89"/>
    </row>
    <row r="45" spans="1:14" ht="18" customHeight="1">
      <c r="A45" s="90">
        <v>825</v>
      </c>
      <c r="B45" s="103">
        <v>45842</v>
      </c>
      <c r="C45" s="93" t="s">
        <v>1105</v>
      </c>
      <c r="D45" s="124" t="s">
        <v>1161</v>
      </c>
      <c r="E45" s="86"/>
      <c r="F45" s="88"/>
      <c r="J45" s="88">
        <v>-1450000</v>
      </c>
      <c r="M45" s="89"/>
      <c r="N45" s="89"/>
    </row>
    <row r="46" spans="1:14" ht="18" customHeight="1">
      <c r="A46" s="98">
        <v>826</v>
      </c>
      <c r="B46" s="103">
        <v>45842</v>
      </c>
      <c r="C46" s="93" t="s">
        <v>2953</v>
      </c>
      <c r="D46" s="124" t="s">
        <v>1161</v>
      </c>
      <c r="E46" s="86"/>
      <c r="F46" s="88"/>
      <c r="J46" s="88">
        <v>-1815000</v>
      </c>
      <c r="M46" s="89"/>
      <c r="N46" s="89"/>
    </row>
    <row r="47" spans="1:14" ht="18" customHeight="1">
      <c r="A47" s="90">
        <v>827</v>
      </c>
      <c r="B47" s="102">
        <v>45842</v>
      </c>
      <c r="C47" s="91" t="s">
        <v>1105</v>
      </c>
      <c r="D47" s="125" t="s">
        <v>2901</v>
      </c>
      <c r="J47" s="88">
        <v>-50000</v>
      </c>
      <c r="M47" s="89"/>
      <c r="N47" s="89"/>
    </row>
    <row r="48" spans="1:14" ht="18" customHeight="1">
      <c r="A48" s="90">
        <v>828</v>
      </c>
      <c r="B48" s="102">
        <v>45842</v>
      </c>
      <c r="C48" s="91" t="s">
        <v>1647</v>
      </c>
      <c r="D48" s="125" t="s">
        <v>1241</v>
      </c>
      <c r="F48" s="132">
        <v>1000000</v>
      </c>
      <c r="G48" s="93">
        <v>1</v>
      </c>
      <c r="I48" s="88">
        <v>1000000</v>
      </c>
      <c r="M48" s="89"/>
      <c r="N48" s="89"/>
    </row>
    <row r="49" spans="1:14" ht="18" customHeight="1">
      <c r="A49" s="90">
        <v>829</v>
      </c>
      <c r="B49" s="102">
        <v>45842</v>
      </c>
      <c r="C49" s="91" t="s">
        <v>1629</v>
      </c>
      <c r="D49" s="125" t="s">
        <v>1773</v>
      </c>
      <c r="F49" s="132">
        <v>50000</v>
      </c>
      <c r="G49" s="93">
        <v>1</v>
      </c>
      <c r="H49" s="138">
        <v>5000</v>
      </c>
      <c r="I49" s="88">
        <v>55000</v>
      </c>
      <c r="M49" s="89"/>
      <c r="N49" s="89"/>
    </row>
    <row r="50" spans="1:14" ht="18" customHeight="1">
      <c r="A50" s="90">
        <v>830</v>
      </c>
      <c r="B50" s="102">
        <v>45842</v>
      </c>
      <c r="C50" s="91" t="s">
        <v>1513</v>
      </c>
      <c r="D50" s="125" t="s">
        <v>2956</v>
      </c>
      <c r="F50" s="132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831</v>
      </c>
      <c r="B51" s="102">
        <v>45842</v>
      </c>
      <c r="C51" s="91" t="s">
        <v>1183</v>
      </c>
      <c r="D51" s="125" t="s">
        <v>1241</v>
      </c>
      <c r="F51" s="132">
        <v>1200000</v>
      </c>
      <c r="G51" s="93">
        <v>1</v>
      </c>
      <c r="I51" s="88">
        <v>1200000</v>
      </c>
    </row>
    <row r="52" spans="1:14" ht="18" customHeight="1">
      <c r="A52" s="90">
        <v>832</v>
      </c>
      <c r="B52" s="102">
        <v>45842</v>
      </c>
      <c r="C52" s="91" t="s">
        <v>2912</v>
      </c>
      <c r="D52" s="125" t="s">
        <v>1161</v>
      </c>
      <c r="J52" s="88">
        <v>-715000</v>
      </c>
    </row>
    <row r="53" spans="1:14" ht="18" customHeight="1">
      <c r="A53" s="90">
        <v>833</v>
      </c>
      <c r="B53" s="102">
        <v>45842</v>
      </c>
      <c r="C53" s="91" t="s">
        <v>1519</v>
      </c>
      <c r="D53" s="125" t="s">
        <v>1161</v>
      </c>
      <c r="J53" s="88">
        <v>-1500000</v>
      </c>
    </row>
    <row r="54" spans="1:14" ht="18" customHeight="1">
      <c r="A54" s="90">
        <v>834</v>
      </c>
      <c r="B54" s="102">
        <v>45842</v>
      </c>
      <c r="C54" s="91" t="s">
        <v>1885</v>
      </c>
      <c r="D54" s="125" t="s">
        <v>1161</v>
      </c>
      <c r="J54" s="88">
        <v>-350000</v>
      </c>
    </row>
    <row r="55" spans="1:14" ht="18" customHeight="1">
      <c r="A55" s="90">
        <v>838</v>
      </c>
      <c r="B55" s="102">
        <v>45842</v>
      </c>
      <c r="C55" s="91" t="s">
        <v>1647</v>
      </c>
      <c r="D55" s="125" t="s">
        <v>1161</v>
      </c>
      <c r="J55" s="88">
        <v>-1000000</v>
      </c>
    </row>
    <row r="56" spans="1:14" ht="18" customHeight="1">
      <c r="A56" s="90">
        <v>839</v>
      </c>
      <c r="B56" s="102">
        <v>45842</v>
      </c>
      <c r="C56" s="91" t="s">
        <v>1790</v>
      </c>
      <c r="D56" s="125" t="s">
        <v>1161</v>
      </c>
      <c r="J56" s="88">
        <v>-11870000</v>
      </c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3" ht="18" customHeight="1">
      <c r="F97" s="88"/>
      <c r="G97" s="132"/>
      <c r="L97" s="132"/>
    </row>
    <row r="98" spans="6:13" ht="18" customHeight="1">
      <c r="F98" s="88"/>
      <c r="G98" s="132"/>
      <c r="L98" s="132"/>
    </row>
    <row r="99" spans="6:13" ht="18" customHeight="1">
      <c r="F99" s="88"/>
      <c r="G99" s="132"/>
      <c r="L99" s="132"/>
    </row>
    <row r="100" spans="6:13" ht="18" customHeight="1">
      <c r="F100" s="88"/>
      <c r="G100" s="132"/>
      <c r="L100" s="132"/>
    </row>
    <row r="101" spans="6:13" ht="18" customHeight="1">
      <c r="F101" s="88"/>
      <c r="G101" s="132"/>
      <c r="L101" s="132"/>
    </row>
    <row r="102" spans="6:13" ht="18" customHeight="1">
      <c r="F102" s="88"/>
      <c r="G102" s="132"/>
      <c r="L102" s="132"/>
    </row>
    <row r="103" spans="6:13" ht="18" customHeight="1">
      <c r="F103" s="88"/>
      <c r="G103" s="132"/>
      <c r="L103" s="132"/>
    </row>
    <row r="104" spans="6:13" ht="18" customHeight="1">
      <c r="F104" s="88"/>
      <c r="G104" s="132"/>
      <c r="L104" s="132"/>
    </row>
    <row r="105" spans="6:13" ht="18" customHeight="1">
      <c r="F105" s="88"/>
      <c r="G105" s="132"/>
      <c r="L105" s="132"/>
    </row>
    <row r="106" spans="6:13" ht="18" customHeight="1">
      <c r="F106" s="88"/>
      <c r="G106" s="132"/>
      <c r="L106" s="132"/>
    </row>
    <row r="107" spans="6:13" ht="18" customHeight="1">
      <c r="F107" s="88"/>
      <c r="G107" s="132"/>
      <c r="L107" s="132"/>
    </row>
    <row r="108" spans="6:13" ht="18" customHeight="1">
      <c r="F108" s="88"/>
      <c r="G108" s="132"/>
      <c r="L108" s="132"/>
    </row>
    <row r="109" spans="6:13" ht="18" customHeight="1">
      <c r="F109" s="88"/>
      <c r="G109" s="132"/>
      <c r="L109" s="132"/>
    </row>
    <row r="110" spans="6:13" ht="18" customHeight="1">
      <c r="F110" s="88"/>
      <c r="G110" s="132"/>
      <c r="L110" s="132"/>
    </row>
    <row r="111" spans="6:13" ht="18" customHeight="1">
      <c r="F111" s="88"/>
      <c r="G111" s="132"/>
      <c r="L111" s="132"/>
      <c r="M111" s="88"/>
    </row>
    <row r="112" spans="6:13" ht="18" customHeight="1">
      <c r="F112" s="88"/>
      <c r="G112" s="132"/>
      <c r="L112" s="132"/>
    </row>
    <row r="113" spans="6:14" ht="18" customHeight="1">
      <c r="F113" s="88"/>
      <c r="G113" s="132"/>
      <c r="L113" s="132"/>
      <c r="N113" s="88"/>
    </row>
    <row r="114" spans="6:14" ht="18" customHeight="1">
      <c r="F114" s="88"/>
      <c r="G114" s="132"/>
      <c r="L114" s="132"/>
    </row>
    <row r="115" spans="6:14" ht="18" customHeight="1">
      <c r="F115" s="88"/>
      <c r="G115" s="132"/>
      <c r="L115" s="132"/>
    </row>
    <row r="116" spans="6:14" ht="18" customHeight="1">
      <c r="F116" s="88"/>
      <c r="G116" s="132"/>
      <c r="L116" s="132"/>
    </row>
    <row r="117" spans="6:14" ht="18" customHeight="1">
      <c r="F117" s="88"/>
      <c r="G117" s="132"/>
      <c r="L117" s="132"/>
    </row>
    <row r="118" spans="6:14" ht="18" customHeight="1">
      <c r="F118" s="88"/>
      <c r="G118" s="132"/>
      <c r="L118" s="132"/>
    </row>
    <row r="119" spans="6:14" ht="18" customHeight="1">
      <c r="F119" s="88"/>
      <c r="G119" s="132"/>
      <c r="L119" s="132"/>
    </row>
    <row r="120" spans="6:14" ht="18" customHeight="1">
      <c r="F120" s="88"/>
      <c r="G120" s="132"/>
      <c r="L120" s="132"/>
    </row>
    <row r="121" spans="6:14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/>
  <cols>
    <col min="1" max="1" width="4.25" style="262" customWidth="1"/>
    <col min="2" max="2" width="10.25" style="270" bestFit="1" customWidth="1"/>
    <col min="3" max="3" width="9" style="261"/>
    <col min="4" max="4" width="10" style="261" customWidth="1"/>
    <col min="5" max="5" width="5.5" style="261" customWidth="1"/>
    <col min="6" max="6" width="5.25" style="261" bestFit="1" customWidth="1"/>
    <col min="7" max="7" width="10.875" style="261" bestFit="1" customWidth="1"/>
    <col min="8" max="8" width="11.625" style="261" customWidth="1"/>
    <col min="9" max="9" width="9" style="261"/>
    <col min="10" max="10" width="11.625" style="261" customWidth="1"/>
    <col min="11" max="11" width="9" style="261"/>
    <col min="12" max="12" width="15" style="261" bestFit="1" customWidth="1"/>
    <col min="13" max="13" width="12.75" style="261" customWidth="1"/>
    <col min="14" max="14" width="9" style="261"/>
    <col min="15" max="15" width="11.625" style="261" bestFit="1" customWidth="1"/>
    <col min="16" max="253" width="9" style="261"/>
    <col min="254" max="254" width="2" style="261" customWidth="1"/>
    <col min="255" max="255" width="5" style="261" customWidth="1"/>
    <col min="256" max="257" width="3.625" style="261" customWidth="1"/>
    <col min="258" max="258" width="9" style="261"/>
    <col min="259" max="259" width="10" style="261" customWidth="1"/>
    <col min="260" max="261" width="5.5" style="261" customWidth="1"/>
    <col min="262" max="262" width="9" style="261"/>
    <col min="263" max="263" width="11.625" style="261" customWidth="1"/>
    <col min="264" max="264" width="9" style="261"/>
    <col min="265" max="265" width="11.625" style="261" customWidth="1"/>
    <col min="266" max="266" width="9" style="261"/>
    <col min="267" max="267" width="15" style="261" bestFit="1" customWidth="1"/>
    <col min="268" max="268" width="13.625" style="261" bestFit="1" customWidth="1"/>
    <col min="269" max="509" width="9" style="261"/>
    <col min="510" max="510" width="2" style="261" customWidth="1"/>
    <col min="511" max="511" width="5" style="261" customWidth="1"/>
    <col min="512" max="513" width="3.625" style="261" customWidth="1"/>
    <col min="514" max="514" width="9" style="261"/>
    <col min="515" max="515" width="10" style="261" customWidth="1"/>
    <col min="516" max="517" width="5.5" style="261" customWidth="1"/>
    <col min="518" max="518" width="9" style="261"/>
    <col min="519" max="519" width="11.625" style="261" customWidth="1"/>
    <col min="520" max="520" width="9" style="261"/>
    <col min="521" max="521" width="11.625" style="261" customWidth="1"/>
    <col min="522" max="522" width="9" style="261"/>
    <col min="523" max="523" width="15" style="261" bestFit="1" customWidth="1"/>
    <col min="524" max="524" width="13.625" style="261" bestFit="1" customWidth="1"/>
    <col min="525" max="765" width="9" style="261"/>
    <col min="766" max="766" width="2" style="261" customWidth="1"/>
    <col min="767" max="767" width="5" style="261" customWidth="1"/>
    <col min="768" max="769" width="3.625" style="261" customWidth="1"/>
    <col min="770" max="770" width="9" style="261"/>
    <col min="771" max="771" width="10" style="261" customWidth="1"/>
    <col min="772" max="773" width="5.5" style="261" customWidth="1"/>
    <col min="774" max="774" width="9" style="261"/>
    <col min="775" max="775" width="11.625" style="261" customWidth="1"/>
    <col min="776" max="776" width="9" style="261"/>
    <col min="777" max="777" width="11.625" style="261" customWidth="1"/>
    <col min="778" max="778" width="9" style="261"/>
    <col min="779" max="779" width="15" style="261" bestFit="1" customWidth="1"/>
    <col min="780" max="780" width="13.625" style="261" bestFit="1" customWidth="1"/>
    <col min="781" max="1021" width="9" style="261"/>
    <col min="1022" max="1022" width="2" style="261" customWidth="1"/>
    <col min="1023" max="1023" width="5" style="261" customWidth="1"/>
    <col min="1024" max="1025" width="3.625" style="261" customWidth="1"/>
    <col min="1026" max="1026" width="9" style="261"/>
    <col min="1027" max="1027" width="10" style="261" customWidth="1"/>
    <col min="1028" max="1029" width="5.5" style="261" customWidth="1"/>
    <col min="1030" max="1030" width="9" style="261"/>
    <col min="1031" max="1031" width="11.625" style="261" customWidth="1"/>
    <col min="1032" max="1032" width="9" style="261"/>
    <col min="1033" max="1033" width="11.625" style="261" customWidth="1"/>
    <col min="1034" max="1034" width="9" style="261"/>
    <col min="1035" max="1035" width="15" style="261" bestFit="1" customWidth="1"/>
    <col min="1036" max="1036" width="13.625" style="261" bestFit="1" customWidth="1"/>
    <col min="1037" max="1277" width="9" style="261"/>
    <col min="1278" max="1278" width="2" style="261" customWidth="1"/>
    <col min="1279" max="1279" width="5" style="261" customWidth="1"/>
    <col min="1280" max="1281" width="3.625" style="261" customWidth="1"/>
    <col min="1282" max="1282" width="9" style="261"/>
    <col min="1283" max="1283" width="10" style="261" customWidth="1"/>
    <col min="1284" max="1285" width="5.5" style="261" customWidth="1"/>
    <col min="1286" max="1286" width="9" style="261"/>
    <col min="1287" max="1287" width="11.625" style="261" customWidth="1"/>
    <col min="1288" max="1288" width="9" style="261"/>
    <col min="1289" max="1289" width="11.625" style="261" customWidth="1"/>
    <col min="1290" max="1290" width="9" style="261"/>
    <col min="1291" max="1291" width="15" style="261" bestFit="1" customWidth="1"/>
    <col min="1292" max="1292" width="13.625" style="261" bestFit="1" customWidth="1"/>
    <col min="1293" max="1533" width="9" style="261"/>
    <col min="1534" max="1534" width="2" style="261" customWidth="1"/>
    <col min="1535" max="1535" width="5" style="261" customWidth="1"/>
    <col min="1536" max="1537" width="3.625" style="261" customWidth="1"/>
    <col min="1538" max="1538" width="9" style="261"/>
    <col min="1539" max="1539" width="10" style="261" customWidth="1"/>
    <col min="1540" max="1541" width="5.5" style="261" customWidth="1"/>
    <col min="1542" max="1542" width="9" style="261"/>
    <col min="1543" max="1543" width="11.625" style="261" customWidth="1"/>
    <col min="1544" max="1544" width="9" style="261"/>
    <col min="1545" max="1545" width="11.625" style="261" customWidth="1"/>
    <col min="1546" max="1546" width="9" style="261"/>
    <col min="1547" max="1547" width="15" style="261" bestFit="1" customWidth="1"/>
    <col min="1548" max="1548" width="13.625" style="261" bestFit="1" customWidth="1"/>
    <col min="1549" max="1789" width="9" style="261"/>
    <col min="1790" max="1790" width="2" style="261" customWidth="1"/>
    <col min="1791" max="1791" width="5" style="261" customWidth="1"/>
    <col min="1792" max="1793" width="3.625" style="261" customWidth="1"/>
    <col min="1794" max="1794" width="9" style="261"/>
    <col min="1795" max="1795" width="10" style="261" customWidth="1"/>
    <col min="1796" max="1797" width="5.5" style="261" customWidth="1"/>
    <col min="1798" max="1798" width="9" style="261"/>
    <col min="1799" max="1799" width="11.625" style="261" customWidth="1"/>
    <col min="1800" max="1800" width="9" style="261"/>
    <col min="1801" max="1801" width="11.625" style="261" customWidth="1"/>
    <col min="1802" max="1802" width="9" style="261"/>
    <col min="1803" max="1803" width="15" style="261" bestFit="1" customWidth="1"/>
    <col min="1804" max="1804" width="13.625" style="261" bestFit="1" customWidth="1"/>
    <col min="1805" max="2045" width="9" style="261"/>
    <col min="2046" max="2046" width="2" style="261" customWidth="1"/>
    <col min="2047" max="2047" width="5" style="261" customWidth="1"/>
    <col min="2048" max="2049" width="3.625" style="261" customWidth="1"/>
    <col min="2050" max="2050" width="9" style="261"/>
    <col min="2051" max="2051" width="10" style="261" customWidth="1"/>
    <col min="2052" max="2053" width="5.5" style="261" customWidth="1"/>
    <col min="2054" max="2054" width="9" style="261"/>
    <col min="2055" max="2055" width="11.625" style="261" customWidth="1"/>
    <col min="2056" max="2056" width="9" style="261"/>
    <col min="2057" max="2057" width="11.625" style="261" customWidth="1"/>
    <col min="2058" max="2058" width="9" style="261"/>
    <col min="2059" max="2059" width="15" style="261" bestFit="1" customWidth="1"/>
    <col min="2060" max="2060" width="13.625" style="261" bestFit="1" customWidth="1"/>
    <col min="2061" max="2301" width="9" style="261"/>
    <col min="2302" max="2302" width="2" style="261" customWidth="1"/>
    <col min="2303" max="2303" width="5" style="261" customWidth="1"/>
    <col min="2304" max="2305" width="3.625" style="261" customWidth="1"/>
    <col min="2306" max="2306" width="9" style="261"/>
    <col min="2307" max="2307" width="10" style="261" customWidth="1"/>
    <col min="2308" max="2309" width="5.5" style="261" customWidth="1"/>
    <col min="2310" max="2310" width="9" style="261"/>
    <col min="2311" max="2311" width="11.625" style="261" customWidth="1"/>
    <col min="2312" max="2312" width="9" style="261"/>
    <col min="2313" max="2313" width="11.625" style="261" customWidth="1"/>
    <col min="2314" max="2314" width="9" style="261"/>
    <col min="2315" max="2315" width="15" style="261" bestFit="1" customWidth="1"/>
    <col min="2316" max="2316" width="13.625" style="261" bestFit="1" customWidth="1"/>
    <col min="2317" max="2557" width="9" style="261"/>
    <col min="2558" max="2558" width="2" style="261" customWidth="1"/>
    <col min="2559" max="2559" width="5" style="261" customWidth="1"/>
    <col min="2560" max="2561" width="3.625" style="261" customWidth="1"/>
    <col min="2562" max="2562" width="9" style="261"/>
    <col min="2563" max="2563" width="10" style="261" customWidth="1"/>
    <col min="2564" max="2565" width="5.5" style="261" customWidth="1"/>
    <col min="2566" max="2566" width="9" style="261"/>
    <col min="2567" max="2567" width="11.625" style="261" customWidth="1"/>
    <col min="2568" max="2568" width="9" style="261"/>
    <col min="2569" max="2569" width="11.625" style="261" customWidth="1"/>
    <col min="2570" max="2570" width="9" style="261"/>
    <col min="2571" max="2571" width="15" style="261" bestFit="1" customWidth="1"/>
    <col min="2572" max="2572" width="13.625" style="261" bestFit="1" customWidth="1"/>
    <col min="2573" max="2813" width="9" style="261"/>
    <col min="2814" max="2814" width="2" style="261" customWidth="1"/>
    <col min="2815" max="2815" width="5" style="261" customWidth="1"/>
    <col min="2816" max="2817" width="3.625" style="261" customWidth="1"/>
    <col min="2818" max="2818" width="9" style="261"/>
    <col min="2819" max="2819" width="10" style="261" customWidth="1"/>
    <col min="2820" max="2821" width="5.5" style="261" customWidth="1"/>
    <col min="2822" max="2822" width="9" style="261"/>
    <col min="2823" max="2823" width="11.625" style="261" customWidth="1"/>
    <col min="2824" max="2824" width="9" style="261"/>
    <col min="2825" max="2825" width="11.625" style="261" customWidth="1"/>
    <col min="2826" max="2826" width="9" style="261"/>
    <col min="2827" max="2827" width="15" style="261" bestFit="1" customWidth="1"/>
    <col min="2828" max="2828" width="13.625" style="261" bestFit="1" customWidth="1"/>
    <col min="2829" max="3069" width="9" style="261"/>
    <col min="3070" max="3070" width="2" style="261" customWidth="1"/>
    <col min="3071" max="3071" width="5" style="261" customWidth="1"/>
    <col min="3072" max="3073" width="3.625" style="261" customWidth="1"/>
    <col min="3074" max="3074" width="9" style="261"/>
    <col min="3075" max="3075" width="10" style="261" customWidth="1"/>
    <col min="3076" max="3077" width="5.5" style="261" customWidth="1"/>
    <col min="3078" max="3078" width="9" style="261"/>
    <col min="3079" max="3079" width="11.625" style="261" customWidth="1"/>
    <col min="3080" max="3080" width="9" style="261"/>
    <col min="3081" max="3081" width="11.625" style="261" customWidth="1"/>
    <col min="3082" max="3082" width="9" style="261"/>
    <col min="3083" max="3083" width="15" style="261" bestFit="1" customWidth="1"/>
    <col min="3084" max="3084" width="13.625" style="261" bestFit="1" customWidth="1"/>
    <col min="3085" max="3325" width="9" style="261"/>
    <col min="3326" max="3326" width="2" style="261" customWidth="1"/>
    <col min="3327" max="3327" width="5" style="261" customWidth="1"/>
    <col min="3328" max="3329" width="3.625" style="261" customWidth="1"/>
    <col min="3330" max="3330" width="9" style="261"/>
    <col min="3331" max="3331" width="10" style="261" customWidth="1"/>
    <col min="3332" max="3333" width="5.5" style="261" customWidth="1"/>
    <col min="3334" max="3334" width="9" style="261"/>
    <col min="3335" max="3335" width="11.625" style="261" customWidth="1"/>
    <col min="3336" max="3336" width="9" style="261"/>
    <col min="3337" max="3337" width="11.625" style="261" customWidth="1"/>
    <col min="3338" max="3338" width="9" style="261"/>
    <col min="3339" max="3339" width="15" style="261" bestFit="1" customWidth="1"/>
    <col min="3340" max="3340" width="13.625" style="261" bestFit="1" customWidth="1"/>
    <col min="3341" max="3581" width="9" style="261"/>
    <col min="3582" max="3582" width="2" style="261" customWidth="1"/>
    <col min="3583" max="3583" width="5" style="261" customWidth="1"/>
    <col min="3584" max="3585" width="3.625" style="261" customWidth="1"/>
    <col min="3586" max="3586" width="9" style="261"/>
    <col min="3587" max="3587" width="10" style="261" customWidth="1"/>
    <col min="3588" max="3589" width="5.5" style="261" customWidth="1"/>
    <col min="3590" max="3590" width="9" style="261"/>
    <col min="3591" max="3591" width="11.625" style="261" customWidth="1"/>
    <col min="3592" max="3592" width="9" style="261"/>
    <col min="3593" max="3593" width="11.625" style="261" customWidth="1"/>
    <col min="3594" max="3594" width="9" style="261"/>
    <col min="3595" max="3595" width="15" style="261" bestFit="1" customWidth="1"/>
    <col min="3596" max="3596" width="13.625" style="261" bestFit="1" customWidth="1"/>
    <col min="3597" max="3837" width="9" style="261"/>
    <col min="3838" max="3838" width="2" style="261" customWidth="1"/>
    <col min="3839" max="3839" width="5" style="261" customWidth="1"/>
    <col min="3840" max="3841" width="3.625" style="261" customWidth="1"/>
    <col min="3842" max="3842" width="9" style="261"/>
    <col min="3843" max="3843" width="10" style="261" customWidth="1"/>
    <col min="3844" max="3845" width="5.5" style="261" customWidth="1"/>
    <col min="3846" max="3846" width="9" style="261"/>
    <col min="3847" max="3847" width="11.625" style="261" customWidth="1"/>
    <col min="3848" max="3848" width="9" style="261"/>
    <col min="3849" max="3849" width="11.625" style="261" customWidth="1"/>
    <col min="3850" max="3850" width="9" style="261"/>
    <col min="3851" max="3851" width="15" style="261" bestFit="1" customWidth="1"/>
    <col min="3852" max="3852" width="13.625" style="261" bestFit="1" customWidth="1"/>
    <col min="3853" max="4093" width="9" style="261"/>
    <col min="4094" max="4094" width="2" style="261" customWidth="1"/>
    <col min="4095" max="4095" width="5" style="261" customWidth="1"/>
    <col min="4096" max="4097" width="3.625" style="261" customWidth="1"/>
    <col min="4098" max="4098" width="9" style="261"/>
    <col min="4099" max="4099" width="10" style="261" customWidth="1"/>
    <col min="4100" max="4101" width="5.5" style="261" customWidth="1"/>
    <col min="4102" max="4102" width="9" style="261"/>
    <col min="4103" max="4103" width="11.625" style="261" customWidth="1"/>
    <col min="4104" max="4104" width="9" style="261"/>
    <col min="4105" max="4105" width="11.625" style="261" customWidth="1"/>
    <col min="4106" max="4106" width="9" style="261"/>
    <col min="4107" max="4107" width="15" style="261" bestFit="1" customWidth="1"/>
    <col min="4108" max="4108" width="13.625" style="261" bestFit="1" customWidth="1"/>
    <col min="4109" max="4349" width="9" style="261"/>
    <col min="4350" max="4350" width="2" style="261" customWidth="1"/>
    <col min="4351" max="4351" width="5" style="261" customWidth="1"/>
    <col min="4352" max="4353" width="3.625" style="261" customWidth="1"/>
    <col min="4354" max="4354" width="9" style="261"/>
    <col min="4355" max="4355" width="10" style="261" customWidth="1"/>
    <col min="4356" max="4357" width="5.5" style="261" customWidth="1"/>
    <col min="4358" max="4358" width="9" style="261"/>
    <col min="4359" max="4359" width="11.625" style="261" customWidth="1"/>
    <col min="4360" max="4360" width="9" style="261"/>
    <col min="4361" max="4361" width="11.625" style="261" customWidth="1"/>
    <col min="4362" max="4362" width="9" style="261"/>
    <col min="4363" max="4363" width="15" style="261" bestFit="1" customWidth="1"/>
    <col min="4364" max="4364" width="13.625" style="261" bestFit="1" customWidth="1"/>
    <col min="4365" max="4605" width="9" style="261"/>
    <col min="4606" max="4606" width="2" style="261" customWidth="1"/>
    <col min="4607" max="4607" width="5" style="261" customWidth="1"/>
    <col min="4608" max="4609" width="3.625" style="261" customWidth="1"/>
    <col min="4610" max="4610" width="9" style="261"/>
    <col min="4611" max="4611" width="10" style="261" customWidth="1"/>
    <col min="4612" max="4613" width="5.5" style="261" customWidth="1"/>
    <col min="4614" max="4614" width="9" style="261"/>
    <col min="4615" max="4615" width="11.625" style="261" customWidth="1"/>
    <col min="4616" max="4616" width="9" style="261"/>
    <col min="4617" max="4617" width="11.625" style="261" customWidth="1"/>
    <col min="4618" max="4618" width="9" style="261"/>
    <col min="4619" max="4619" width="15" style="261" bestFit="1" customWidth="1"/>
    <col min="4620" max="4620" width="13.625" style="261" bestFit="1" customWidth="1"/>
    <col min="4621" max="4861" width="9" style="261"/>
    <col min="4862" max="4862" width="2" style="261" customWidth="1"/>
    <col min="4863" max="4863" width="5" style="261" customWidth="1"/>
    <col min="4864" max="4865" width="3.625" style="261" customWidth="1"/>
    <col min="4866" max="4866" width="9" style="261"/>
    <col min="4867" max="4867" width="10" style="261" customWidth="1"/>
    <col min="4868" max="4869" width="5.5" style="261" customWidth="1"/>
    <col min="4870" max="4870" width="9" style="261"/>
    <col min="4871" max="4871" width="11.625" style="261" customWidth="1"/>
    <col min="4872" max="4872" width="9" style="261"/>
    <col min="4873" max="4873" width="11.625" style="261" customWidth="1"/>
    <col min="4874" max="4874" width="9" style="261"/>
    <col min="4875" max="4875" width="15" style="261" bestFit="1" customWidth="1"/>
    <col min="4876" max="4876" width="13.625" style="261" bestFit="1" customWidth="1"/>
    <col min="4877" max="5117" width="9" style="261"/>
    <col min="5118" max="5118" width="2" style="261" customWidth="1"/>
    <col min="5119" max="5119" width="5" style="261" customWidth="1"/>
    <col min="5120" max="5121" width="3.625" style="261" customWidth="1"/>
    <col min="5122" max="5122" width="9" style="261"/>
    <col min="5123" max="5123" width="10" style="261" customWidth="1"/>
    <col min="5124" max="5125" width="5.5" style="261" customWidth="1"/>
    <col min="5126" max="5126" width="9" style="261"/>
    <col min="5127" max="5127" width="11.625" style="261" customWidth="1"/>
    <col min="5128" max="5128" width="9" style="261"/>
    <col min="5129" max="5129" width="11.625" style="261" customWidth="1"/>
    <col min="5130" max="5130" width="9" style="261"/>
    <col min="5131" max="5131" width="15" style="261" bestFit="1" customWidth="1"/>
    <col min="5132" max="5132" width="13.625" style="261" bestFit="1" customWidth="1"/>
    <col min="5133" max="5373" width="9" style="261"/>
    <col min="5374" max="5374" width="2" style="261" customWidth="1"/>
    <col min="5375" max="5375" width="5" style="261" customWidth="1"/>
    <col min="5376" max="5377" width="3.625" style="261" customWidth="1"/>
    <col min="5378" max="5378" width="9" style="261"/>
    <col min="5379" max="5379" width="10" style="261" customWidth="1"/>
    <col min="5380" max="5381" width="5.5" style="261" customWidth="1"/>
    <col min="5382" max="5382" width="9" style="261"/>
    <col min="5383" max="5383" width="11.625" style="261" customWidth="1"/>
    <col min="5384" max="5384" width="9" style="261"/>
    <col min="5385" max="5385" width="11.625" style="261" customWidth="1"/>
    <col min="5386" max="5386" width="9" style="261"/>
    <col min="5387" max="5387" width="15" style="261" bestFit="1" customWidth="1"/>
    <col min="5388" max="5388" width="13.625" style="261" bestFit="1" customWidth="1"/>
    <col min="5389" max="5629" width="9" style="261"/>
    <col min="5630" max="5630" width="2" style="261" customWidth="1"/>
    <col min="5631" max="5631" width="5" style="261" customWidth="1"/>
    <col min="5632" max="5633" width="3.625" style="261" customWidth="1"/>
    <col min="5634" max="5634" width="9" style="261"/>
    <col min="5635" max="5635" width="10" style="261" customWidth="1"/>
    <col min="5636" max="5637" width="5.5" style="261" customWidth="1"/>
    <col min="5638" max="5638" width="9" style="261"/>
    <col min="5639" max="5639" width="11.625" style="261" customWidth="1"/>
    <col min="5640" max="5640" width="9" style="261"/>
    <col min="5641" max="5641" width="11.625" style="261" customWidth="1"/>
    <col min="5642" max="5642" width="9" style="261"/>
    <col min="5643" max="5643" width="15" style="261" bestFit="1" customWidth="1"/>
    <col min="5644" max="5644" width="13.625" style="261" bestFit="1" customWidth="1"/>
    <col min="5645" max="5885" width="9" style="261"/>
    <col min="5886" max="5886" width="2" style="261" customWidth="1"/>
    <col min="5887" max="5887" width="5" style="261" customWidth="1"/>
    <col min="5888" max="5889" width="3.625" style="261" customWidth="1"/>
    <col min="5890" max="5890" width="9" style="261"/>
    <col min="5891" max="5891" width="10" style="261" customWidth="1"/>
    <col min="5892" max="5893" width="5.5" style="261" customWidth="1"/>
    <col min="5894" max="5894" width="9" style="261"/>
    <col min="5895" max="5895" width="11.625" style="261" customWidth="1"/>
    <col min="5896" max="5896" width="9" style="261"/>
    <col min="5897" max="5897" width="11.625" style="261" customWidth="1"/>
    <col min="5898" max="5898" width="9" style="261"/>
    <col min="5899" max="5899" width="15" style="261" bestFit="1" customWidth="1"/>
    <col min="5900" max="5900" width="13.625" style="261" bestFit="1" customWidth="1"/>
    <col min="5901" max="6141" width="9" style="261"/>
    <col min="6142" max="6142" width="2" style="261" customWidth="1"/>
    <col min="6143" max="6143" width="5" style="261" customWidth="1"/>
    <col min="6144" max="6145" width="3.625" style="261" customWidth="1"/>
    <col min="6146" max="6146" width="9" style="261"/>
    <col min="6147" max="6147" width="10" style="261" customWidth="1"/>
    <col min="6148" max="6149" width="5.5" style="261" customWidth="1"/>
    <col min="6150" max="6150" width="9" style="261"/>
    <col min="6151" max="6151" width="11.625" style="261" customWidth="1"/>
    <col min="6152" max="6152" width="9" style="261"/>
    <col min="6153" max="6153" width="11.625" style="261" customWidth="1"/>
    <col min="6154" max="6154" width="9" style="261"/>
    <col min="6155" max="6155" width="15" style="261" bestFit="1" customWidth="1"/>
    <col min="6156" max="6156" width="13.625" style="261" bestFit="1" customWidth="1"/>
    <col min="6157" max="6397" width="9" style="261"/>
    <col min="6398" max="6398" width="2" style="261" customWidth="1"/>
    <col min="6399" max="6399" width="5" style="261" customWidth="1"/>
    <col min="6400" max="6401" width="3.625" style="261" customWidth="1"/>
    <col min="6402" max="6402" width="9" style="261"/>
    <col min="6403" max="6403" width="10" style="261" customWidth="1"/>
    <col min="6404" max="6405" width="5.5" style="261" customWidth="1"/>
    <col min="6406" max="6406" width="9" style="261"/>
    <col min="6407" max="6407" width="11.625" style="261" customWidth="1"/>
    <col min="6408" max="6408" width="9" style="261"/>
    <col min="6409" max="6409" width="11.625" style="261" customWidth="1"/>
    <col min="6410" max="6410" width="9" style="261"/>
    <col min="6411" max="6411" width="15" style="261" bestFit="1" customWidth="1"/>
    <col min="6412" max="6412" width="13.625" style="261" bestFit="1" customWidth="1"/>
    <col min="6413" max="6653" width="9" style="261"/>
    <col min="6654" max="6654" width="2" style="261" customWidth="1"/>
    <col min="6655" max="6655" width="5" style="261" customWidth="1"/>
    <col min="6656" max="6657" width="3.625" style="261" customWidth="1"/>
    <col min="6658" max="6658" width="9" style="261"/>
    <col min="6659" max="6659" width="10" style="261" customWidth="1"/>
    <col min="6660" max="6661" width="5.5" style="261" customWidth="1"/>
    <col min="6662" max="6662" width="9" style="261"/>
    <col min="6663" max="6663" width="11.625" style="261" customWidth="1"/>
    <col min="6664" max="6664" width="9" style="261"/>
    <col min="6665" max="6665" width="11.625" style="261" customWidth="1"/>
    <col min="6666" max="6666" width="9" style="261"/>
    <col min="6667" max="6667" width="15" style="261" bestFit="1" customWidth="1"/>
    <col min="6668" max="6668" width="13.625" style="261" bestFit="1" customWidth="1"/>
    <col min="6669" max="6909" width="9" style="261"/>
    <col min="6910" max="6910" width="2" style="261" customWidth="1"/>
    <col min="6911" max="6911" width="5" style="261" customWidth="1"/>
    <col min="6912" max="6913" width="3.625" style="261" customWidth="1"/>
    <col min="6914" max="6914" width="9" style="261"/>
    <col min="6915" max="6915" width="10" style="261" customWidth="1"/>
    <col min="6916" max="6917" width="5.5" style="261" customWidth="1"/>
    <col min="6918" max="6918" width="9" style="261"/>
    <col min="6919" max="6919" width="11.625" style="261" customWidth="1"/>
    <col min="6920" max="6920" width="9" style="261"/>
    <col min="6921" max="6921" width="11.625" style="261" customWidth="1"/>
    <col min="6922" max="6922" width="9" style="261"/>
    <col min="6923" max="6923" width="15" style="261" bestFit="1" customWidth="1"/>
    <col min="6924" max="6924" width="13.625" style="261" bestFit="1" customWidth="1"/>
    <col min="6925" max="7165" width="9" style="261"/>
    <col min="7166" max="7166" width="2" style="261" customWidth="1"/>
    <col min="7167" max="7167" width="5" style="261" customWidth="1"/>
    <col min="7168" max="7169" width="3.625" style="261" customWidth="1"/>
    <col min="7170" max="7170" width="9" style="261"/>
    <col min="7171" max="7171" width="10" style="261" customWidth="1"/>
    <col min="7172" max="7173" width="5.5" style="261" customWidth="1"/>
    <col min="7174" max="7174" width="9" style="261"/>
    <col min="7175" max="7175" width="11.625" style="261" customWidth="1"/>
    <col min="7176" max="7176" width="9" style="261"/>
    <col min="7177" max="7177" width="11.625" style="261" customWidth="1"/>
    <col min="7178" max="7178" width="9" style="261"/>
    <col min="7179" max="7179" width="15" style="261" bestFit="1" customWidth="1"/>
    <col min="7180" max="7180" width="13.625" style="261" bestFit="1" customWidth="1"/>
    <col min="7181" max="7421" width="9" style="261"/>
    <col min="7422" max="7422" width="2" style="261" customWidth="1"/>
    <col min="7423" max="7423" width="5" style="261" customWidth="1"/>
    <col min="7424" max="7425" width="3.625" style="261" customWidth="1"/>
    <col min="7426" max="7426" width="9" style="261"/>
    <col min="7427" max="7427" width="10" style="261" customWidth="1"/>
    <col min="7428" max="7429" width="5.5" style="261" customWidth="1"/>
    <col min="7430" max="7430" width="9" style="261"/>
    <col min="7431" max="7431" width="11.625" style="261" customWidth="1"/>
    <col min="7432" max="7432" width="9" style="261"/>
    <col min="7433" max="7433" width="11.625" style="261" customWidth="1"/>
    <col min="7434" max="7434" width="9" style="261"/>
    <col min="7435" max="7435" width="15" style="261" bestFit="1" customWidth="1"/>
    <col min="7436" max="7436" width="13.625" style="261" bestFit="1" customWidth="1"/>
    <col min="7437" max="7677" width="9" style="261"/>
    <col min="7678" max="7678" width="2" style="261" customWidth="1"/>
    <col min="7679" max="7679" width="5" style="261" customWidth="1"/>
    <col min="7680" max="7681" width="3.625" style="261" customWidth="1"/>
    <col min="7682" max="7682" width="9" style="261"/>
    <col min="7683" max="7683" width="10" style="261" customWidth="1"/>
    <col min="7684" max="7685" width="5.5" style="261" customWidth="1"/>
    <col min="7686" max="7686" width="9" style="261"/>
    <col min="7687" max="7687" width="11.625" style="261" customWidth="1"/>
    <col min="7688" max="7688" width="9" style="261"/>
    <col min="7689" max="7689" width="11.625" style="261" customWidth="1"/>
    <col min="7690" max="7690" width="9" style="261"/>
    <col min="7691" max="7691" width="15" style="261" bestFit="1" customWidth="1"/>
    <col min="7692" max="7692" width="13.625" style="261" bestFit="1" customWidth="1"/>
    <col min="7693" max="7933" width="9" style="261"/>
    <col min="7934" max="7934" width="2" style="261" customWidth="1"/>
    <col min="7935" max="7935" width="5" style="261" customWidth="1"/>
    <col min="7936" max="7937" width="3.625" style="261" customWidth="1"/>
    <col min="7938" max="7938" width="9" style="261"/>
    <col min="7939" max="7939" width="10" style="261" customWidth="1"/>
    <col min="7940" max="7941" width="5.5" style="261" customWidth="1"/>
    <col min="7942" max="7942" width="9" style="261"/>
    <col min="7943" max="7943" width="11.625" style="261" customWidth="1"/>
    <col min="7944" max="7944" width="9" style="261"/>
    <col min="7945" max="7945" width="11.625" style="261" customWidth="1"/>
    <col min="7946" max="7946" width="9" style="261"/>
    <col min="7947" max="7947" width="15" style="261" bestFit="1" customWidth="1"/>
    <col min="7948" max="7948" width="13.625" style="261" bestFit="1" customWidth="1"/>
    <col min="7949" max="8189" width="9" style="261"/>
    <col min="8190" max="8190" width="2" style="261" customWidth="1"/>
    <col min="8191" max="8191" width="5" style="261" customWidth="1"/>
    <col min="8192" max="8193" width="3.625" style="261" customWidth="1"/>
    <col min="8194" max="8194" width="9" style="261"/>
    <col min="8195" max="8195" width="10" style="261" customWidth="1"/>
    <col min="8196" max="8197" width="5.5" style="261" customWidth="1"/>
    <col min="8198" max="8198" width="9" style="261"/>
    <col min="8199" max="8199" width="11.625" style="261" customWidth="1"/>
    <col min="8200" max="8200" width="9" style="261"/>
    <col min="8201" max="8201" width="11.625" style="261" customWidth="1"/>
    <col min="8202" max="8202" width="9" style="261"/>
    <col min="8203" max="8203" width="15" style="261" bestFit="1" customWidth="1"/>
    <col min="8204" max="8204" width="13.625" style="261" bestFit="1" customWidth="1"/>
    <col min="8205" max="8445" width="9" style="261"/>
    <col min="8446" max="8446" width="2" style="261" customWidth="1"/>
    <col min="8447" max="8447" width="5" style="261" customWidth="1"/>
    <col min="8448" max="8449" width="3.625" style="261" customWidth="1"/>
    <col min="8450" max="8450" width="9" style="261"/>
    <col min="8451" max="8451" width="10" style="261" customWidth="1"/>
    <col min="8452" max="8453" width="5.5" style="261" customWidth="1"/>
    <col min="8454" max="8454" width="9" style="261"/>
    <col min="8455" max="8455" width="11.625" style="261" customWidth="1"/>
    <col min="8456" max="8456" width="9" style="261"/>
    <col min="8457" max="8457" width="11.625" style="261" customWidth="1"/>
    <col min="8458" max="8458" width="9" style="261"/>
    <col min="8459" max="8459" width="15" style="261" bestFit="1" customWidth="1"/>
    <col min="8460" max="8460" width="13.625" style="261" bestFit="1" customWidth="1"/>
    <col min="8461" max="8701" width="9" style="261"/>
    <col min="8702" max="8702" width="2" style="261" customWidth="1"/>
    <col min="8703" max="8703" width="5" style="261" customWidth="1"/>
    <col min="8704" max="8705" width="3.625" style="261" customWidth="1"/>
    <col min="8706" max="8706" width="9" style="261"/>
    <col min="8707" max="8707" width="10" style="261" customWidth="1"/>
    <col min="8708" max="8709" width="5.5" style="261" customWidth="1"/>
    <col min="8710" max="8710" width="9" style="261"/>
    <col min="8711" max="8711" width="11.625" style="261" customWidth="1"/>
    <col min="8712" max="8712" width="9" style="261"/>
    <col min="8713" max="8713" width="11.625" style="261" customWidth="1"/>
    <col min="8714" max="8714" width="9" style="261"/>
    <col min="8715" max="8715" width="15" style="261" bestFit="1" customWidth="1"/>
    <col min="8716" max="8716" width="13.625" style="261" bestFit="1" customWidth="1"/>
    <col min="8717" max="8957" width="9" style="261"/>
    <col min="8958" max="8958" width="2" style="261" customWidth="1"/>
    <col min="8959" max="8959" width="5" style="261" customWidth="1"/>
    <col min="8960" max="8961" width="3.625" style="261" customWidth="1"/>
    <col min="8962" max="8962" width="9" style="261"/>
    <col min="8963" max="8963" width="10" style="261" customWidth="1"/>
    <col min="8964" max="8965" width="5.5" style="261" customWidth="1"/>
    <col min="8966" max="8966" width="9" style="261"/>
    <col min="8967" max="8967" width="11.625" style="261" customWidth="1"/>
    <col min="8968" max="8968" width="9" style="261"/>
    <col min="8969" max="8969" width="11.625" style="261" customWidth="1"/>
    <col min="8970" max="8970" width="9" style="261"/>
    <col min="8971" max="8971" width="15" style="261" bestFit="1" customWidth="1"/>
    <col min="8972" max="8972" width="13.625" style="261" bestFit="1" customWidth="1"/>
    <col min="8973" max="9213" width="9" style="261"/>
    <col min="9214" max="9214" width="2" style="261" customWidth="1"/>
    <col min="9215" max="9215" width="5" style="261" customWidth="1"/>
    <col min="9216" max="9217" width="3.625" style="261" customWidth="1"/>
    <col min="9218" max="9218" width="9" style="261"/>
    <col min="9219" max="9219" width="10" style="261" customWidth="1"/>
    <col min="9220" max="9221" width="5.5" style="261" customWidth="1"/>
    <col min="9222" max="9222" width="9" style="261"/>
    <col min="9223" max="9223" width="11.625" style="261" customWidth="1"/>
    <col min="9224" max="9224" width="9" style="261"/>
    <col min="9225" max="9225" width="11.625" style="261" customWidth="1"/>
    <col min="9226" max="9226" width="9" style="261"/>
    <col min="9227" max="9227" width="15" style="261" bestFit="1" customWidth="1"/>
    <col min="9228" max="9228" width="13.625" style="261" bestFit="1" customWidth="1"/>
    <col min="9229" max="9469" width="9" style="261"/>
    <col min="9470" max="9470" width="2" style="261" customWidth="1"/>
    <col min="9471" max="9471" width="5" style="261" customWidth="1"/>
    <col min="9472" max="9473" width="3.625" style="261" customWidth="1"/>
    <col min="9474" max="9474" width="9" style="261"/>
    <col min="9475" max="9475" width="10" style="261" customWidth="1"/>
    <col min="9476" max="9477" width="5.5" style="261" customWidth="1"/>
    <col min="9478" max="9478" width="9" style="261"/>
    <col min="9479" max="9479" width="11.625" style="261" customWidth="1"/>
    <col min="9480" max="9480" width="9" style="261"/>
    <col min="9481" max="9481" width="11.625" style="261" customWidth="1"/>
    <col min="9482" max="9482" width="9" style="261"/>
    <col min="9483" max="9483" width="15" style="261" bestFit="1" customWidth="1"/>
    <col min="9484" max="9484" width="13.625" style="261" bestFit="1" customWidth="1"/>
    <col min="9485" max="9725" width="9" style="261"/>
    <col min="9726" max="9726" width="2" style="261" customWidth="1"/>
    <col min="9727" max="9727" width="5" style="261" customWidth="1"/>
    <col min="9728" max="9729" width="3.625" style="261" customWidth="1"/>
    <col min="9730" max="9730" width="9" style="261"/>
    <col min="9731" max="9731" width="10" style="261" customWidth="1"/>
    <col min="9732" max="9733" width="5.5" style="261" customWidth="1"/>
    <col min="9734" max="9734" width="9" style="261"/>
    <col min="9735" max="9735" width="11.625" style="261" customWidth="1"/>
    <col min="9736" max="9736" width="9" style="261"/>
    <col min="9737" max="9737" width="11.625" style="261" customWidth="1"/>
    <col min="9738" max="9738" width="9" style="261"/>
    <col min="9739" max="9739" width="15" style="261" bestFit="1" customWidth="1"/>
    <col min="9740" max="9740" width="13.625" style="261" bestFit="1" customWidth="1"/>
    <col min="9741" max="9981" width="9" style="261"/>
    <col min="9982" max="9982" width="2" style="261" customWidth="1"/>
    <col min="9983" max="9983" width="5" style="261" customWidth="1"/>
    <col min="9984" max="9985" width="3.625" style="261" customWidth="1"/>
    <col min="9986" max="9986" width="9" style="261"/>
    <col min="9987" max="9987" width="10" style="261" customWidth="1"/>
    <col min="9988" max="9989" width="5.5" style="261" customWidth="1"/>
    <col min="9990" max="9990" width="9" style="261"/>
    <col min="9991" max="9991" width="11.625" style="261" customWidth="1"/>
    <col min="9992" max="9992" width="9" style="261"/>
    <col min="9993" max="9993" width="11.625" style="261" customWidth="1"/>
    <col min="9994" max="9994" width="9" style="261"/>
    <col min="9995" max="9995" width="15" style="261" bestFit="1" customWidth="1"/>
    <col min="9996" max="9996" width="13.625" style="261" bestFit="1" customWidth="1"/>
    <col min="9997" max="10237" width="9" style="261"/>
    <col min="10238" max="10238" width="2" style="261" customWidth="1"/>
    <col min="10239" max="10239" width="5" style="261" customWidth="1"/>
    <col min="10240" max="10241" width="3.625" style="261" customWidth="1"/>
    <col min="10242" max="10242" width="9" style="261"/>
    <col min="10243" max="10243" width="10" style="261" customWidth="1"/>
    <col min="10244" max="10245" width="5.5" style="261" customWidth="1"/>
    <col min="10246" max="10246" width="9" style="261"/>
    <col min="10247" max="10247" width="11.625" style="261" customWidth="1"/>
    <col min="10248" max="10248" width="9" style="261"/>
    <col min="10249" max="10249" width="11.625" style="261" customWidth="1"/>
    <col min="10250" max="10250" width="9" style="261"/>
    <col min="10251" max="10251" width="15" style="261" bestFit="1" customWidth="1"/>
    <col min="10252" max="10252" width="13.625" style="261" bestFit="1" customWidth="1"/>
    <col min="10253" max="10493" width="9" style="261"/>
    <col min="10494" max="10494" width="2" style="261" customWidth="1"/>
    <col min="10495" max="10495" width="5" style="261" customWidth="1"/>
    <col min="10496" max="10497" width="3.625" style="261" customWidth="1"/>
    <col min="10498" max="10498" width="9" style="261"/>
    <col min="10499" max="10499" width="10" style="261" customWidth="1"/>
    <col min="10500" max="10501" width="5.5" style="261" customWidth="1"/>
    <col min="10502" max="10502" width="9" style="261"/>
    <col min="10503" max="10503" width="11.625" style="261" customWidth="1"/>
    <col min="10504" max="10504" width="9" style="261"/>
    <col min="10505" max="10505" width="11.625" style="261" customWidth="1"/>
    <col min="10506" max="10506" width="9" style="261"/>
    <col min="10507" max="10507" width="15" style="261" bestFit="1" customWidth="1"/>
    <col min="10508" max="10508" width="13.625" style="261" bestFit="1" customWidth="1"/>
    <col min="10509" max="10749" width="9" style="261"/>
    <col min="10750" max="10750" width="2" style="261" customWidth="1"/>
    <col min="10751" max="10751" width="5" style="261" customWidth="1"/>
    <col min="10752" max="10753" width="3.625" style="261" customWidth="1"/>
    <col min="10754" max="10754" width="9" style="261"/>
    <col min="10755" max="10755" width="10" style="261" customWidth="1"/>
    <col min="10756" max="10757" width="5.5" style="261" customWidth="1"/>
    <col min="10758" max="10758" width="9" style="261"/>
    <col min="10759" max="10759" width="11.625" style="261" customWidth="1"/>
    <col min="10760" max="10760" width="9" style="261"/>
    <col min="10761" max="10761" width="11.625" style="261" customWidth="1"/>
    <col min="10762" max="10762" width="9" style="261"/>
    <col min="10763" max="10763" width="15" style="261" bestFit="1" customWidth="1"/>
    <col min="10764" max="10764" width="13.625" style="261" bestFit="1" customWidth="1"/>
    <col min="10765" max="11005" width="9" style="261"/>
    <col min="11006" max="11006" width="2" style="261" customWidth="1"/>
    <col min="11007" max="11007" width="5" style="261" customWidth="1"/>
    <col min="11008" max="11009" width="3.625" style="261" customWidth="1"/>
    <col min="11010" max="11010" width="9" style="261"/>
    <col min="11011" max="11011" width="10" style="261" customWidth="1"/>
    <col min="11012" max="11013" width="5.5" style="261" customWidth="1"/>
    <col min="11014" max="11014" width="9" style="261"/>
    <col min="11015" max="11015" width="11.625" style="261" customWidth="1"/>
    <col min="11016" max="11016" width="9" style="261"/>
    <col min="11017" max="11017" width="11.625" style="261" customWidth="1"/>
    <col min="11018" max="11018" width="9" style="261"/>
    <col min="11019" max="11019" width="15" style="261" bestFit="1" customWidth="1"/>
    <col min="11020" max="11020" width="13.625" style="261" bestFit="1" customWidth="1"/>
    <col min="11021" max="11261" width="9" style="261"/>
    <col min="11262" max="11262" width="2" style="261" customWidth="1"/>
    <col min="11263" max="11263" width="5" style="261" customWidth="1"/>
    <col min="11264" max="11265" width="3.625" style="261" customWidth="1"/>
    <col min="11266" max="11266" width="9" style="261"/>
    <col min="11267" max="11267" width="10" style="261" customWidth="1"/>
    <col min="11268" max="11269" width="5.5" style="261" customWidth="1"/>
    <col min="11270" max="11270" width="9" style="261"/>
    <col min="11271" max="11271" width="11.625" style="261" customWidth="1"/>
    <col min="11272" max="11272" width="9" style="261"/>
    <col min="11273" max="11273" width="11.625" style="261" customWidth="1"/>
    <col min="11274" max="11274" width="9" style="261"/>
    <col min="11275" max="11275" width="15" style="261" bestFit="1" customWidth="1"/>
    <col min="11276" max="11276" width="13.625" style="261" bestFit="1" customWidth="1"/>
    <col min="11277" max="11517" width="9" style="261"/>
    <col min="11518" max="11518" width="2" style="261" customWidth="1"/>
    <col min="11519" max="11519" width="5" style="261" customWidth="1"/>
    <col min="11520" max="11521" width="3.625" style="261" customWidth="1"/>
    <col min="11522" max="11522" width="9" style="261"/>
    <col min="11523" max="11523" width="10" style="261" customWidth="1"/>
    <col min="11524" max="11525" width="5.5" style="261" customWidth="1"/>
    <col min="11526" max="11526" width="9" style="261"/>
    <col min="11527" max="11527" width="11.625" style="261" customWidth="1"/>
    <col min="11528" max="11528" width="9" style="261"/>
    <col min="11529" max="11529" width="11.625" style="261" customWidth="1"/>
    <col min="11530" max="11530" width="9" style="261"/>
    <col min="11531" max="11531" width="15" style="261" bestFit="1" customWidth="1"/>
    <col min="11532" max="11532" width="13.625" style="261" bestFit="1" customWidth="1"/>
    <col min="11533" max="11773" width="9" style="261"/>
    <col min="11774" max="11774" width="2" style="261" customWidth="1"/>
    <col min="11775" max="11775" width="5" style="261" customWidth="1"/>
    <col min="11776" max="11777" width="3.625" style="261" customWidth="1"/>
    <col min="11778" max="11778" width="9" style="261"/>
    <col min="11779" max="11779" width="10" style="261" customWidth="1"/>
    <col min="11780" max="11781" width="5.5" style="261" customWidth="1"/>
    <col min="11782" max="11782" width="9" style="261"/>
    <col min="11783" max="11783" width="11.625" style="261" customWidth="1"/>
    <col min="11784" max="11784" width="9" style="261"/>
    <col min="11785" max="11785" width="11.625" style="261" customWidth="1"/>
    <col min="11786" max="11786" width="9" style="261"/>
    <col min="11787" max="11787" width="15" style="261" bestFit="1" customWidth="1"/>
    <col min="11788" max="11788" width="13.625" style="261" bestFit="1" customWidth="1"/>
    <col min="11789" max="12029" width="9" style="261"/>
    <col min="12030" max="12030" width="2" style="261" customWidth="1"/>
    <col min="12031" max="12031" width="5" style="261" customWidth="1"/>
    <col min="12032" max="12033" width="3.625" style="261" customWidth="1"/>
    <col min="12034" max="12034" width="9" style="261"/>
    <col min="12035" max="12035" width="10" style="261" customWidth="1"/>
    <col min="12036" max="12037" width="5.5" style="261" customWidth="1"/>
    <col min="12038" max="12038" width="9" style="261"/>
    <col min="12039" max="12039" width="11.625" style="261" customWidth="1"/>
    <col min="12040" max="12040" width="9" style="261"/>
    <col min="12041" max="12041" width="11.625" style="261" customWidth="1"/>
    <col min="12042" max="12042" width="9" style="261"/>
    <col min="12043" max="12043" width="15" style="261" bestFit="1" customWidth="1"/>
    <col min="12044" max="12044" width="13.625" style="261" bestFit="1" customWidth="1"/>
    <col min="12045" max="12285" width="9" style="261"/>
    <col min="12286" max="12286" width="2" style="261" customWidth="1"/>
    <col min="12287" max="12287" width="5" style="261" customWidth="1"/>
    <col min="12288" max="12289" width="3.625" style="261" customWidth="1"/>
    <col min="12290" max="12290" width="9" style="261"/>
    <col min="12291" max="12291" width="10" style="261" customWidth="1"/>
    <col min="12292" max="12293" width="5.5" style="261" customWidth="1"/>
    <col min="12294" max="12294" width="9" style="261"/>
    <col min="12295" max="12295" width="11.625" style="261" customWidth="1"/>
    <col min="12296" max="12296" width="9" style="261"/>
    <col min="12297" max="12297" width="11.625" style="261" customWidth="1"/>
    <col min="12298" max="12298" width="9" style="261"/>
    <col min="12299" max="12299" width="15" style="261" bestFit="1" customWidth="1"/>
    <col min="12300" max="12300" width="13.625" style="261" bestFit="1" customWidth="1"/>
    <col min="12301" max="12541" width="9" style="261"/>
    <col min="12542" max="12542" width="2" style="261" customWidth="1"/>
    <col min="12543" max="12543" width="5" style="261" customWidth="1"/>
    <col min="12544" max="12545" width="3.625" style="261" customWidth="1"/>
    <col min="12546" max="12546" width="9" style="261"/>
    <col min="12547" max="12547" width="10" style="261" customWidth="1"/>
    <col min="12548" max="12549" width="5.5" style="261" customWidth="1"/>
    <col min="12550" max="12550" width="9" style="261"/>
    <col min="12551" max="12551" width="11.625" style="261" customWidth="1"/>
    <col min="12552" max="12552" width="9" style="261"/>
    <col min="12553" max="12553" width="11.625" style="261" customWidth="1"/>
    <col min="12554" max="12554" width="9" style="261"/>
    <col min="12555" max="12555" width="15" style="261" bestFit="1" customWidth="1"/>
    <col min="12556" max="12556" width="13.625" style="261" bestFit="1" customWidth="1"/>
    <col min="12557" max="12797" width="9" style="261"/>
    <col min="12798" max="12798" width="2" style="261" customWidth="1"/>
    <col min="12799" max="12799" width="5" style="261" customWidth="1"/>
    <col min="12800" max="12801" width="3.625" style="261" customWidth="1"/>
    <col min="12802" max="12802" width="9" style="261"/>
    <col min="12803" max="12803" width="10" style="261" customWidth="1"/>
    <col min="12804" max="12805" width="5.5" style="261" customWidth="1"/>
    <col min="12806" max="12806" width="9" style="261"/>
    <col min="12807" max="12807" width="11.625" style="261" customWidth="1"/>
    <col min="12808" max="12808" width="9" style="261"/>
    <col min="12809" max="12809" width="11.625" style="261" customWidth="1"/>
    <col min="12810" max="12810" width="9" style="261"/>
    <col min="12811" max="12811" width="15" style="261" bestFit="1" customWidth="1"/>
    <col min="12812" max="12812" width="13.625" style="261" bestFit="1" customWidth="1"/>
    <col min="12813" max="13053" width="9" style="261"/>
    <col min="13054" max="13054" width="2" style="261" customWidth="1"/>
    <col min="13055" max="13055" width="5" style="261" customWidth="1"/>
    <col min="13056" max="13057" width="3.625" style="261" customWidth="1"/>
    <col min="13058" max="13058" width="9" style="261"/>
    <col min="13059" max="13059" width="10" style="261" customWidth="1"/>
    <col min="13060" max="13061" width="5.5" style="261" customWidth="1"/>
    <col min="13062" max="13062" width="9" style="261"/>
    <col min="13063" max="13063" width="11.625" style="261" customWidth="1"/>
    <col min="13064" max="13064" width="9" style="261"/>
    <col min="13065" max="13065" width="11.625" style="261" customWidth="1"/>
    <col min="13066" max="13066" width="9" style="261"/>
    <col min="13067" max="13067" width="15" style="261" bestFit="1" customWidth="1"/>
    <col min="13068" max="13068" width="13.625" style="261" bestFit="1" customWidth="1"/>
    <col min="13069" max="13309" width="9" style="261"/>
    <col min="13310" max="13310" width="2" style="261" customWidth="1"/>
    <col min="13311" max="13311" width="5" style="261" customWidth="1"/>
    <col min="13312" max="13313" width="3.625" style="261" customWidth="1"/>
    <col min="13314" max="13314" width="9" style="261"/>
    <col min="13315" max="13315" width="10" style="261" customWidth="1"/>
    <col min="13316" max="13317" width="5.5" style="261" customWidth="1"/>
    <col min="13318" max="13318" width="9" style="261"/>
    <col min="13319" max="13319" width="11.625" style="261" customWidth="1"/>
    <col min="13320" max="13320" width="9" style="261"/>
    <col min="13321" max="13321" width="11.625" style="261" customWidth="1"/>
    <col min="13322" max="13322" width="9" style="261"/>
    <col min="13323" max="13323" width="15" style="261" bestFit="1" customWidth="1"/>
    <col min="13324" max="13324" width="13.625" style="261" bestFit="1" customWidth="1"/>
    <col min="13325" max="13565" width="9" style="261"/>
    <col min="13566" max="13566" width="2" style="261" customWidth="1"/>
    <col min="13567" max="13567" width="5" style="261" customWidth="1"/>
    <col min="13568" max="13569" width="3.625" style="261" customWidth="1"/>
    <col min="13570" max="13570" width="9" style="261"/>
    <col min="13571" max="13571" width="10" style="261" customWidth="1"/>
    <col min="13572" max="13573" width="5.5" style="261" customWidth="1"/>
    <col min="13574" max="13574" width="9" style="261"/>
    <col min="13575" max="13575" width="11.625" style="261" customWidth="1"/>
    <col min="13576" max="13576" width="9" style="261"/>
    <col min="13577" max="13577" width="11.625" style="261" customWidth="1"/>
    <col min="13578" max="13578" width="9" style="261"/>
    <col min="13579" max="13579" width="15" style="261" bestFit="1" customWidth="1"/>
    <col min="13580" max="13580" width="13.625" style="261" bestFit="1" customWidth="1"/>
    <col min="13581" max="13821" width="9" style="261"/>
    <col min="13822" max="13822" width="2" style="261" customWidth="1"/>
    <col min="13823" max="13823" width="5" style="261" customWidth="1"/>
    <col min="13824" max="13825" width="3.625" style="261" customWidth="1"/>
    <col min="13826" max="13826" width="9" style="261"/>
    <col min="13827" max="13827" width="10" style="261" customWidth="1"/>
    <col min="13828" max="13829" width="5.5" style="261" customWidth="1"/>
    <col min="13830" max="13830" width="9" style="261"/>
    <col min="13831" max="13831" width="11.625" style="261" customWidth="1"/>
    <col min="13832" max="13832" width="9" style="261"/>
    <col min="13833" max="13833" width="11.625" style="261" customWidth="1"/>
    <col min="13834" max="13834" width="9" style="261"/>
    <col min="13835" max="13835" width="15" style="261" bestFit="1" customWidth="1"/>
    <col min="13836" max="13836" width="13.625" style="261" bestFit="1" customWidth="1"/>
    <col min="13837" max="14077" width="9" style="261"/>
    <col min="14078" max="14078" width="2" style="261" customWidth="1"/>
    <col min="14079" max="14079" width="5" style="261" customWidth="1"/>
    <col min="14080" max="14081" width="3.625" style="261" customWidth="1"/>
    <col min="14082" max="14082" width="9" style="261"/>
    <col min="14083" max="14083" width="10" style="261" customWidth="1"/>
    <col min="14084" max="14085" width="5.5" style="261" customWidth="1"/>
    <col min="14086" max="14086" width="9" style="261"/>
    <col min="14087" max="14087" width="11.625" style="261" customWidth="1"/>
    <col min="14088" max="14088" width="9" style="261"/>
    <col min="14089" max="14089" width="11.625" style="261" customWidth="1"/>
    <col min="14090" max="14090" width="9" style="261"/>
    <col min="14091" max="14091" width="15" style="261" bestFit="1" customWidth="1"/>
    <col min="14092" max="14092" width="13.625" style="261" bestFit="1" customWidth="1"/>
    <col min="14093" max="14333" width="9" style="261"/>
    <col min="14334" max="14334" width="2" style="261" customWidth="1"/>
    <col min="14335" max="14335" width="5" style="261" customWidth="1"/>
    <col min="14336" max="14337" width="3.625" style="261" customWidth="1"/>
    <col min="14338" max="14338" width="9" style="261"/>
    <col min="14339" max="14339" width="10" style="261" customWidth="1"/>
    <col min="14340" max="14341" width="5.5" style="261" customWidth="1"/>
    <col min="14342" max="14342" width="9" style="261"/>
    <col min="14343" max="14343" width="11.625" style="261" customWidth="1"/>
    <col min="14344" max="14344" width="9" style="261"/>
    <col min="14345" max="14345" width="11.625" style="261" customWidth="1"/>
    <col min="14346" max="14346" width="9" style="261"/>
    <col min="14347" max="14347" width="15" style="261" bestFit="1" customWidth="1"/>
    <col min="14348" max="14348" width="13.625" style="261" bestFit="1" customWidth="1"/>
    <col min="14349" max="14589" width="9" style="261"/>
    <col min="14590" max="14590" width="2" style="261" customWidth="1"/>
    <col min="14591" max="14591" width="5" style="261" customWidth="1"/>
    <col min="14592" max="14593" width="3.625" style="261" customWidth="1"/>
    <col min="14594" max="14594" width="9" style="261"/>
    <col min="14595" max="14595" width="10" style="261" customWidth="1"/>
    <col min="14596" max="14597" width="5.5" style="261" customWidth="1"/>
    <col min="14598" max="14598" width="9" style="261"/>
    <col min="14599" max="14599" width="11.625" style="261" customWidth="1"/>
    <col min="14600" max="14600" width="9" style="261"/>
    <col min="14601" max="14601" width="11.625" style="261" customWidth="1"/>
    <col min="14602" max="14602" width="9" style="261"/>
    <col min="14603" max="14603" width="15" style="261" bestFit="1" customWidth="1"/>
    <col min="14604" max="14604" width="13.625" style="261" bestFit="1" customWidth="1"/>
    <col min="14605" max="14845" width="9" style="261"/>
    <col min="14846" max="14846" width="2" style="261" customWidth="1"/>
    <col min="14847" max="14847" width="5" style="261" customWidth="1"/>
    <col min="14848" max="14849" width="3.625" style="261" customWidth="1"/>
    <col min="14850" max="14850" width="9" style="261"/>
    <col min="14851" max="14851" width="10" style="261" customWidth="1"/>
    <col min="14852" max="14853" width="5.5" style="261" customWidth="1"/>
    <col min="14854" max="14854" width="9" style="261"/>
    <col min="14855" max="14855" width="11.625" style="261" customWidth="1"/>
    <col min="14856" max="14856" width="9" style="261"/>
    <col min="14857" max="14857" width="11.625" style="261" customWidth="1"/>
    <col min="14858" max="14858" width="9" style="261"/>
    <col min="14859" max="14859" width="15" style="261" bestFit="1" customWidth="1"/>
    <col min="14860" max="14860" width="13.625" style="261" bestFit="1" customWidth="1"/>
    <col min="14861" max="15101" width="9" style="261"/>
    <col min="15102" max="15102" width="2" style="261" customWidth="1"/>
    <col min="15103" max="15103" width="5" style="261" customWidth="1"/>
    <col min="15104" max="15105" width="3.625" style="261" customWidth="1"/>
    <col min="15106" max="15106" width="9" style="261"/>
    <col min="15107" max="15107" width="10" style="261" customWidth="1"/>
    <col min="15108" max="15109" width="5.5" style="261" customWidth="1"/>
    <col min="15110" max="15110" width="9" style="261"/>
    <col min="15111" max="15111" width="11.625" style="261" customWidth="1"/>
    <col min="15112" max="15112" width="9" style="261"/>
    <col min="15113" max="15113" width="11.625" style="261" customWidth="1"/>
    <col min="15114" max="15114" width="9" style="261"/>
    <col min="15115" max="15115" width="15" style="261" bestFit="1" customWidth="1"/>
    <col min="15116" max="15116" width="13.625" style="261" bestFit="1" customWidth="1"/>
    <col min="15117" max="15357" width="9" style="261"/>
    <col min="15358" max="15358" width="2" style="261" customWidth="1"/>
    <col min="15359" max="15359" width="5" style="261" customWidth="1"/>
    <col min="15360" max="15361" width="3.625" style="261" customWidth="1"/>
    <col min="15362" max="15362" width="9" style="261"/>
    <col min="15363" max="15363" width="10" style="261" customWidth="1"/>
    <col min="15364" max="15365" width="5.5" style="261" customWidth="1"/>
    <col min="15366" max="15366" width="9" style="261"/>
    <col min="15367" max="15367" width="11.625" style="261" customWidth="1"/>
    <col min="15368" max="15368" width="9" style="261"/>
    <col min="15369" max="15369" width="11.625" style="261" customWidth="1"/>
    <col min="15370" max="15370" width="9" style="261"/>
    <col min="15371" max="15371" width="15" style="261" bestFit="1" customWidth="1"/>
    <col min="15372" max="15372" width="13.625" style="261" bestFit="1" customWidth="1"/>
    <col min="15373" max="15613" width="9" style="261"/>
    <col min="15614" max="15614" width="2" style="261" customWidth="1"/>
    <col min="15615" max="15615" width="5" style="261" customWidth="1"/>
    <col min="15616" max="15617" width="3.625" style="261" customWidth="1"/>
    <col min="15618" max="15618" width="9" style="261"/>
    <col min="15619" max="15619" width="10" style="261" customWidth="1"/>
    <col min="15620" max="15621" width="5.5" style="261" customWidth="1"/>
    <col min="15622" max="15622" width="9" style="261"/>
    <col min="15623" max="15623" width="11.625" style="261" customWidth="1"/>
    <col min="15624" max="15624" width="9" style="261"/>
    <col min="15625" max="15625" width="11.625" style="261" customWidth="1"/>
    <col min="15626" max="15626" width="9" style="261"/>
    <col min="15627" max="15627" width="15" style="261" bestFit="1" customWidth="1"/>
    <col min="15628" max="15628" width="13.625" style="261" bestFit="1" customWidth="1"/>
    <col min="15629" max="15869" width="9" style="261"/>
    <col min="15870" max="15870" width="2" style="261" customWidth="1"/>
    <col min="15871" max="15871" width="5" style="261" customWidth="1"/>
    <col min="15872" max="15873" width="3.625" style="261" customWidth="1"/>
    <col min="15874" max="15874" width="9" style="261"/>
    <col min="15875" max="15875" width="10" style="261" customWidth="1"/>
    <col min="15876" max="15877" width="5.5" style="261" customWidth="1"/>
    <col min="15878" max="15878" width="9" style="261"/>
    <col min="15879" max="15879" width="11.625" style="261" customWidth="1"/>
    <col min="15880" max="15880" width="9" style="261"/>
    <col min="15881" max="15881" width="11.625" style="261" customWidth="1"/>
    <col min="15882" max="15882" width="9" style="261"/>
    <col min="15883" max="15883" width="15" style="261" bestFit="1" customWidth="1"/>
    <col min="15884" max="15884" width="13.625" style="261" bestFit="1" customWidth="1"/>
    <col min="15885" max="16125" width="9" style="261"/>
    <col min="16126" max="16126" width="2" style="261" customWidth="1"/>
    <col min="16127" max="16127" width="5" style="261" customWidth="1"/>
    <col min="16128" max="16129" width="3.625" style="261" customWidth="1"/>
    <col min="16130" max="16130" width="9" style="261"/>
    <col min="16131" max="16131" width="10" style="261" customWidth="1"/>
    <col min="16132" max="16133" width="5.5" style="261" customWidth="1"/>
    <col min="16134" max="16134" width="9" style="261"/>
    <col min="16135" max="16135" width="11.625" style="261" customWidth="1"/>
    <col min="16136" max="16136" width="9" style="261"/>
    <col min="16137" max="16137" width="11.625" style="261" customWidth="1"/>
    <col min="16138" max="16138" width="9" style="261"/>
    <col min="16139" max="16139" width="15" style="261" bestFit="1" customWidth="1"/>
    <col min="16140" max="16140" width="13.625" style="261" bestFit="1" customWidth="1"/>
    <col min="16141" max="16384" width="9" style="261"/>
  </cols>
  <sheetData>
    <row r="1" spans="1:15">
      <c r="A1" s="444" t="s">
        <v>2</v>
      </c>
      <c r="B1" s="449" t="s">
        <v>2424</v>
      </c>
      <c r="C1" s="447" t="s">
        <v>2658</v>
      </c>
      <c r="D1" s="444" t="s">
        <v>2687</v>
      </c>
      <c r="E1" s="444" t="s">
        <v>40</v>
      </c>
      <c r="F1" s="444" t="s">
        <v>2869</v>
      </c>
      <c r="G1" s="444"/>
      <c r="H1" s="444" t="s">
        <v>2870</v>
      </c>
      <c r="I1" s="444"/>
      <c r="J1" s="444" t="s">
        <v>2871</v>
      </c>
      <c r="K1" s="444"/>
      <c r="L1" s="292"/>
    </row>
    <row r="2" spans="1:15" ht="17.25" thickBot="1">
      <c r="A2" s="445"/>
      <c r="B2" s="450"/>
      <c r="C2" s="448"/>
      <c r="D2" s="445"/>
      <c r="E2" s="445"/>
      <c r="F2" s="298" t="s">
        <v>2659</v>
      </c>
      <c r="G2" s="298" t="s">
        <v>2660</v>
      </c>
      <c r="H2" s="298" t="s">
        <v>2661</v>
      </c>
      <c r="I2" s="298" t="s">
        <v>2662</v>
      </c>
      <c r="J2" s="298" t="s">
        <v>2661</v>
      </c>
      <c r="K2" s="298" t="s">
        <v>2662</v>
      </c>
      <c r="L2" s="298"/>
    </row>
    <row r="3" spans="1:15" ht="18" customHeight="1">
      <c r="A3" s="288">
        <v>1</v>
      </c>
      <c r="B3" s="293">
        <v>45659</v>
      </c>
      <c r="C3" s="294" t="s">
        <v>2663</v>
      </c>
      <c r="D3" s="294" t="s">
        <v>2664</v>
      </c>
      <c r="E3" s="294" t="s">
        <v>2665</v>
      </c>
      <c r="F3" s="295">
        <v>1</v>
      </c>
      <c r="G3" s="295">
        <f t="shared" ref="G3:G68" si="0">L3/F3/1.1</f>
        <v>278181.81818181818</v>
      </c>
      <c r="H3" s="296">
        <f t="shared" ref="H3:H68" si="1">F3*G3</f>
        <v>278181.81818181818</v>
      </c>
      <c r="I3" s="296">
        <f>H3*10%</f>
        <v>27818.18181818182</v>
      </c>
      <c r="J3" s="296">
        <f>IF(E3="매출",F3*G3,0)</f>
        <v>0</v>
      </c>
      <c r="K3" s="296">
        <f t="shared" ref="K3:K39" si="2">J3*10%</f>
        <v>0</v>
      </c>
      <c r="L3" s="297">
        <v>306000</v>
      </c>
      <c r="M3" s="290"/>
      <c r="O3" s="291"/>
    </row>
    <row r="4" spans="1:15" ht="18" customHeight="1">
      <c r="A4" s="263">
        <v>2</v>
      </c>
      <c r="B4" s="269">
        <v>45663</v>
      </c>
      <c r="C4" s="264" t="s">
        <v>2666</v>
      </c>
      <c r="D4" s="264" t="s">
        <v>2667</v>
      </c>
      <c r="E4" s="264" t="s">
        <v>2665</v>
      </c>
      <c r="F4" s="265">
        <v>1</v>
      </c>
      <c r="G4" s="265">
        <f t="shared" si="0"/>
        <v>21818.181818181816</v>
      </c>
      <c r="H4" s="266">
        <f t="shared" si="1"/>
        <v>21818.181818181816</v>
      </c>
      <c r="I4" s="266">
        <f t="shared" ref="I4:I69" si="3">H4*10%</f>
        <v>2181.8181818181815</v>
      </c>
      <c r="J4" s="266">
        <f t="shared" ref="J4:J69" si="4">IF(E4="매출",F4*G4,0)</f>
        <v>0</v>
      </c>
      <c r="K4" s="266">
        <f t="shared" si="2"/>
        <v>0</v>
      </c>
      <c r="L4" s="267">
        <v>24000</v>
      </c>
      <c r="M4" s="290"/>
    </row>
    <row r="5" spans="1:15" ht="18" customHeight="1">
      <c r="A5" s="263">
        <v>3</v>
      </c>
      <c r="B5" s="269">
        <v>45663</v>
      </c>
      <c r="C5" s="264" t="s">
        <v>2663</v>
      </c>
      <c r="D5" s="264" t="s">
        <v>2664</v>
      </c>
      <c r="E5" s="264" t="s">
        <v>2665</v>
      </c>
      <c r="F5" s="265">
        <v>1</v>
      </c>
      <c r="G5" s="265">
        <f t="shared" si="0"/>
        <v>600909.09090909082</v>
      </c>
      <c r="H5" s="266">
        <f t="shared" si="1"/>
        <v>600909.09090909082</v>
      </c>
      <c r="I5" s="266">
        <f t="shared" si="3"/>
        <v>60090.909090909088</v>
      </c>
      <c r="J5" s="266">
        <f t="shared" si="4"/>
        <v>0</v>
      </c>
      <c r="K5" s="266">
        <f t="shared" si="2"/>
        <v>0</v>
      </c>
      <c r="L5" s="267">
        <v>661000</v>
      </c>
      <c r="M5" s="290"/>
    </row>
    <row r="6" spans="1:15" ht="18" customHeight="1">
      <c r="A6" s="263">
        <v>4</v>
      </c>
      <c r="B6" s="269">
        <v>45670</v>
      </c>
      <c r="C6" s="264" t="s">
        <v>2663</v>
      </c>
      <c r="D6" s="264" t="s">
        <v>2664</v>
      </c>
      <c r="E6" s="264" t="s">
        <v>2665</v>
      </c>
      <c r="F6" s="265">
        <v>1</v>
      </c>
      <c r="G6" s="265">
        <f t="shared" si="0"/>
        <v>417272.72727272724</v>
      </c>
      <c r="H6" s="266">
        <f t="shared" si="1"/>
        <v>417272.72727272724</v>
      </c>
      <c r="I6" s="266">
        <f t="shared" si="3"/>
        <v>41727.272727272728</v>
      </c>
      <c r="J6" s="266">
        <f t="shared" si="4"/>
        <v>0</v>
      </c>
      <c r="K6" s="266">
        <f t="shared" si="2"/>
        <v>0</v>
      </c>
      <c r="L6" s="267">
        <v>459000</v>
      </c>
      <c r="M6" s="290"/>
    </row>
    <row r="7" spans="1:15" ht="18" customHeight="1">
      <c r="A7" s="263">
        <v>5</v>
      </c>
      <c r="B7" s="269">
        <v>45671</v>
      </c>
      <c r="C7" s="264" t="s">
        <v>2663</v>
      </c>
      <c r="D7" s="264" t="s">
        <v>2664</v>
      </c>
      <c r="E7" s="264" t="s">
        <v>2668</v>
      </c>
      <c r="F7" s="265">
        <v>1</v>
      </c>
      <c r="G7" s="265">
        <f t="shared" si="0"/>
        <v>87818.181818181809</v>
      </c>
      <c r="H7" s="266">
        <f t="shared" si="1"/>
        <v>87818.181818181809</v>
      </c>
      <c r="I7" s="266">
        <f t="shared" si="3"/>
        <v>8781.818181818182</v>
      </c>
      <c r="J7" s="266">
        <f t="shared" si="4"/>
        <v>0</v>
      </c>
      <c r="K7" s="266">
        <f t="shared" si="2"/>
        <v>0</v>
      </c>
      <c r="L7" s="267">
        <v>96600</v>
      </c>
      <c r="M7" s="290"/>
    </row>
    <row r="8" spans="1:15" ht="18" customHeight="1">
      <c r="A8" s="263">
        <v>6</v>
      </c>
      <c r="B8" s="269">
        <v>45671</v>
      </c>
      <c r="C8" s="264" t="s">
        <v>2669</v>
      </c>
      <c r="D8" s="264" t="s">
        <v>2670</v>
      </c>
      <c r="E8" s="264" t="s">
        <v>2665</v>
      </c>
      <c r="F8" s="265">
        <v>1</v>
      </c>
      <c r="G8" s="265">
        <f t="shared" si="0"/>
        <v>49999.999999999993</v>
      </c>
      <c r="H8" s="266">
        <f t="shared" si="1"/>
        <v>49999.999999999993</v>
      </c>
      <c r="I8" s="266">
        <f t="shared" si="3"/>
        <v>5000</v>
      </c>
      <c r="J8" s="266">
        <f t="shared" si="4"/>
        <v>0</v>
      </c>
      <c r="K8" s="266">
        <f t="shared" si="2"/>
        <v>0</v>
      </c>
      <c r="L8" s="267">
        <v>55000</v>
      </c>
      <c r="M8" s="290"/>
    </row>
    <row r="9" spans="1:15" ht="18" customHeight="1">
      <c r="A9" s="263">
        <v>7</v>
      </c>
      <c r="B9" s="269">
        <v>45680</v>
      </c>
      <c r="C9" s="264" t="s">
        <v>2671</v>
      </c>
      <c r="D9" s="264" t="s">
        <v>2672</v>
      </c>
      <c r="E9" s="264" t="s">
        <v>2665</v>
      </c>
      <c r="F9" s="265">
        <v>1</v>
      </c>
      <c r="G9" s="265">
        <f t="shared" si="0"/>
        <v>727272.72727272718</v>
      </c>
      <c r="H9" s="266">
        <f t="shared" si="1"/>
        <v>727272.72727272718</v>
      </c>
      <c r="I9" s="266">
        <f t="shared" si="3"/>
        <v>72727.272727272721</v>
      </c>
      <c r="J9" s="266">
        <f t="shared" si="4"/>
        <v>0</v>
      </c>
      <c r="K9" s="266">
        <f t="shared" si="2"/>
        <v>0</v>
      </c>
      <c r="L9" s="267">
        <v>800000</v>
      </c>
      <c r="M9" s="290"/>
    </row>
    <row r="10" spans="1:15" ht="18" customHeight="1">
      <c r="A10" s="263">
        <v>8</v>
      </c>
      <c r="B10" s="269">
        <v>45681</v>
      </c>
      <c r="C10" s="264" t="s">
        <v>2673</v>
      </c>
      <c r="D10" s="264" t="s">
        <v>2664</v>
      </c>
      <c r="E10" s="264" t="s">
        <v>2668</v>
      </c>
      <c r="F10" s="265">
        <v>1</v>
      </c>
      <c r="G10" s="265">
        <f t="shared" si="0"/>
        <v>766363.63636363635</v>
      </c>
      <c r="H10" s="266">
        <f t="shared" si="1"/>
        <v>766363.63636363635</v>
      </c>
      <c r="I10" s="266">
        <f t="shared" si="3"/>
        <v>76636.363636363632</v>
      </c>
      <c r="J10" s="266">
        <f t="shared" si="4"/>
        <v>0</v>
      </c>
      <c r="K10" s="266">
        <f t="shared" si="2"/>
        <v>0</v>
      </c>
      <c r="L10" s="267">
        <v>843000</v>
      </c>
      <c r="M10" s="290"/>
    </row>
    <row r="11" spans="1:15" ht="18" customHeight="1">
      <c r="A11" s="263">
        <v>9</v>
      </c>
      <c r="B11" s="269">
        <v>45681</v>
      </c>
      <c r="C11" s="264" t="s">
        <v>2674</v>
      </c>
      <c r="D11" s="264" t="s">
        <v>2664</v>
      </c>
      <c r="E11" s="264" t="s">
        <v>2668</v>
      </c>
      <c r="F11" s="265">
        <v>1</v>
      </c>
      <c r="G11" s="265">
        <f t="shared" si="0"/>
        <v>299090.90909090906</v>
      </c>
      <c r="H11" s="266">
        <f t="shared" si="1"/>
        <v>299090.90909090906</v>
      </c>
      <c r="I11" s="266">
        <f t="shared" si="3"/>
        <v>29909.090909090908</v>
      </c>
      <c r="J11" s="266">
        <f t="shared" si="4"/>
        <v>0</v>
      </c>
      <c r="K11" s="266">
        <f t="shared" si="2"/>
        <v>0</v>
      </c>
      <c r="L11" s="267">
        <v>329000</v>
      </c>
      <c r="M11" s="290"/>
    </row>
    <row r="12" spans="1:15" ht="18" customHeight="1">
      <c r="A12" s="263">
        <v>10</v>
      </c>
      <c r="B12" s="269">
        <v>45691</v>
      </c>
      <c r="C12" s="264" t="s">
        <v>2663</v>
      </c>
      <c r="D12" s="264" t="s">
        <v>2664</v>
      </c>
      <c r="E12" s="264" t="s">
        <v>2665</v>
      </c>
      <c r="F12" s="265">
        <v>1</v>
      </c>
      <c r="G12" s="265">
        <f t="shared" si="0"/>
        <v>87818.181818181809</v>
      </c>
      <c r="H12" s="266">
        <f t="shared" si="1"/>
        <v>87818.181818181809</v>
      </c>
      <c r="I12" s="266">
        <f t="shared" si="3"/>
        <v>8781.818181818182</v>
      </c>
      <c r="J12" s="266">
        <f t="shared" si="4"/>
        <v>0</v>
      </c>
      <c r="K12" s="266">
        <f t="shared" si="2"/>
        <v>0</v>
      </c>
      <c r="L12" s="267">
        <v>96600</v>
      </c>
      <c r="M12" s="290"/>
    </row>
    <row r="13" spans="1:15" ht="18" customHeight="1">
      <c r="A13" s="263">
        <v>11</v>
      </c>
      <c r="B13" s="269">
        <v>45699</v>
      </c>
      <c r="C13" s="264" t="s">
        <v>2663</v>
      </c>
      <c r="D13" s="264" t="s">
        <v>2664</v>
      </c>
      <c r="E13" s="264" t="s">
        <v>2665</v>
      </c>
      <c r="F13" s="265">
        <v>1</v>
      </c>
      <c r="G13" s="265">
        <f t="shared" si="0"/>
        <v>139090.90909090909</v>
      </c>
      <c r="H13" s="266">
        <f t="shared" si="1"/>
        <v>139090.90909090909</v>
      </c>
      <c r="I13" s="266">
        <f t="shared" si="3"/>
        <v>13909.09090909091</v>
      </c>
      <c r="J13" s="266">
        <f t="shared" si="4"/>
        <v>0</v>
      </c>
      <c r="K13" s="266">
        <f t="shared" si="2"/>
        <v>0</v>
      </c>
      <c r="L13" s="267">
        <v>153000</v>
      </c>
      <c r="M13" s="290"/>
    </row>
    <row r="14" spans="1:15" ht="18" customHeight="1">
      <c r="A14" s="263">
        <v>12</v>
      </c>
      <c r="B14" s="269">
        <v>45699</v>
      </c>
      <c r="C14" s="264" t="s">
        <v>2666</v>
      </c>
      <c r="D14" s="264" t="s">
        <v>2667</v>
      </c>
      <c r="E14" s="264" t="s">
        <v>2668</v>
      </c>
      <c r="F14" s="265">
        <v>1</v>
      </c>
      <c r="G14" s="265">
        <f t="shared" si="0"/>
        <v>21818.181818181816</v>
      </c>
      <c r="H14" s="266">
        <f t="shared" si="1"/>
        <v>21818.181818181816</v>
      </c>
      <c r="I14" s="266">
        <f t="shared" si="3"/>
        <v>2181.8181818181815</v>
      </c>
      <c r="J14" s="266">
        <f t="shared" si="4"/>
        <v>0</v>
      </c>
      <c r="K14" s="266">
        <f t="shared" si="2"/>
        <v>0</v>
      </c>
      <c r="L14" s="267">
        <v>24000</v>
      </c>
      <c r="M14" s="290"/>
    </row>
    <row r="15" spans="1:15" ht="18" customHeight="1">
      <c r="A15" s="263">
        <v>13</v>
      </c>
      <c r="B15" s="269">
        <v>45706</v>
      </c>
      <c r="C15" s="264" t="s">
        <v>2663</v>
      </c>
      <c r="D15" s="264" t="s">
        <v>2664</v>
      </c>
      <c r="E15" s="264" t="s">
        <v>2668</v>
      </c>
      <c r="F15" s="265">
        <v>1</v>
      </c>
      <c r="G15" s="265">
        <f t="shared" si="0"/>
        <v>87818.181818181809</v>
      </c>
      <c r="H15" s="266">
        <f t="shared" si="1"/>
        <v>87818.181818181809</v>
      </c>
      <c r="I15" s="266">
        <f t="shared" si="3"/>
        <v>8781.818181818182</v>
      </c>
      <c r="J15" s="266">
        <f t="shared" si="4"/>
        <v>0</v>
      </c>
      <c r="K15" s="266">
        <f t="shared" si="2"/>
        <v>0</v>
      </c>
      <c r="L15" s="267">
        <v>96600</v>
      </c>
      <c r="M15" s="290"/>
    </row>
    <row r="16" spans="1:15" ht="18" customHeight="1">
      <c r="A16" s="263">
        <v>14</v>
      </c>
      <c r="B16" s="269">
        <v>45714</v>
      </c>
      <c r="C16" s="264" t="s">
        <v>2675</v>
      </c>
      <c r="D16" s="264" t="s">
        <v>2676</v>
      </c>
      <c r="E16" s="264" t="s">
        <v>2668</v>
      </c>
      <c r="F16" s="265">
        <v>1</v>
      </c>
      <c r="G16" s="265">
        <f t="shared" si="0"/>
        <v>97636.363636363632</v>
      </c>
      <c r="H16" s="266">
        <f t="shared" si="1"/>
        <v>97636.363636363632</v>
      </c>
      <c r="I16" s="266">
        <f t="shared" si="3"/>
        <v>9763.636363636364</v>
      </c>
      <c r="J16" s="266">
        <f t="shared" si="4"/>
        <v>0</v>
      </c>
      <c r="K16" s="266">
        <f t="shared" si="2"/>
        <v>0</v>
      </c>
      <c r="L16" s="267">
        <v>107400</v>
      </c>
      <c r="M16" s="290"/>
    </row>
    <row r="17" spans="1:13" ht="18" customHeight="1">
      <c r="A17" s="263">
        <v>15</v>
      </c>
      <c r="B17" s="269">
        <v>45714</v>
      </c>
      <c r="C17" s="264" t="s">
        <v>2663</v>
      </c>
      <c r="D17" s="264" t="s">
        <v>2664</v>
      </c>
      <c r="E17" s="264" t="s">
        <v>2668</v>
      </c>
      <c r="F17" s="265">
        <v>1</v>
      </c>
      <c r="G17" s="265">
        <f t="shared" si="0"/>
        <v>278181.81818181818</v>
      </c>
      <c r="H17" s="266">
        <f t="shared" si="1"/>
        <v>278181.81818181818</v>
      </c>
      <c r="I17" s="266">
        <f t="shared" si="3"/>
        <v>27818.18181818182</v>
      </c>
      <c r="J17" s="266">
        <f t="shared" si="4"/>
        <v>0</v>
      </c>
      <c r="K17" s="266">
        <f t="shared" si="2"/>
        <v>0</v>
      </c>
      <c r="L17" s="267">
        <v>306000</v>
      </c>
      <c r="M17" s="290"/>
    </row>
    <row r="18" spans="1:13" ht="18" customHeight="1">
      <c r="A18" s="263">
        <v>16</v>
      </c>
      <c r="B18" s="269">
        <v>45719</v>
      </c>
      <c r="C18" s="264" t="s">
        <v>2674</v>
      </c>
      <c r="D18" s="264" t="s">
        <v>2664</v>
      </c>
      <c r="E18" s="264" t="s">
        <v>2665</v>
      </c>
      <c r="F18" s="265">
        <v>1</v>
      </c>
      <c r="G18" s="265">
        <f t="shared" si="0"/>
        <v>346363.63636363635</v>
      </c>
      <c r="H18" s="266">
        <f t="shared" si="1"/>
        <v>346363.63636363635</v>
      </c>
      <c r="I18" s="266">
        <f t="shared" si="3"/>
        <v>34636.36363636364</v>
      </c>
      <c r="J18" s="266">
        <f t="shared" si="4"/>
        <v>0</v>
      </c>
      <c r="K18" s="266">
        <f t="shared" si="2"/>
        <v>0</v>
      </c>
      <c r="L18" s="267">
        <v>381000</v>
      </c>
      <c r="M18" s="290"/>
    </row>
    <row r="19" spans="1:13" ht="18" customHeight="1">
      <c r="A19" s="263">
        <v>17</v>
      </c>
      <c r="B19" s="269">
        <v>45719</v>
      </c>
      <c r="C19" s="264" t="s">
        <v>2677</v>
      </c>
      <c r="D19" s="264" t="s">
        <v>2678</v>
      </c>
      <c r="E19" s="264" t="s">
        <v>2668</v>
      </c>
      <c r="F19" s="265">
        <v>1</v>
      </c>
      <c r="G19" s="265">
        <f t="shared" si="0"/>
        <v>209090.90909090909</v>
      </c>
      <c r="H19" s="266">
        <f t="shared" si="1"/>
        <v>209090.90909090909</v>
      </c>
      <c r="I19" s="266">
        <f t="shared" si="3"/>
        <v>20909.090909090912</v>
      </c>
      <c r="J19" s="266">
        <f t="shared" si="4"/>
        <v>0</v>
      </c>
      <c r="K19" s="266">
        <f t="shared" si="2"/>
        <v>0</v>
      </c>
      <c r="L19" s="267">
        <v>230000</v>
      </c>
      <c r="M19" s="290"/>
    </row>
    <row r="20" spans="1:13" ht="18" customHeight="1">
      <c r="A20" s="263">
        <v>18</v>
      </c>
      <c r="B20" s="269">
        <v>45719</v>
      </c>
      <c r="C20" s="264" t="s">
        <v>2673</v>
      </c>
      <c r="D20" s="264" t="s">
        <v>2664</v>
      </c>
      <c r="E20" s="264" t="s">
        <v>2668</v>
      </c>
      <c r="F20" s="265">
        <v>1</v>
      </c>
      <c r="G20" s="265">
        <f t="shared" si="0"/>
        <v>203636.36363636362</v>
      </c>
      <c r="H20" s="266">
        <f t="shared" si="1"/>
        <v>203636.36363636362</v>
      </c>
      <c r="I20" s="266">
        <f t="shared" si="3"/>
        <v>20363.636363636364</v>
      </c>
      <c r="J20" s="266">
        <f t="shared" si="4"/>
        <v>0</v>
      </c>
      <c r="K20" s="266">
        <f t="shared" si="2"/>
        <v>0</v>
      </c>
      <c r="L20" s="267">
        <v>224000</v>
      </c>
      <c r="M20" s="290"/>
    </row>
    <row r="21" spans="1:13" ht="18" customHeight="1">
      <c r="A21" s="263">
        <v>19</v>
      </c>
      <c r="B21" s="269">
        <v>45719</v>
      </c>
      <c r="C21" s="264" t="s">
        <v>2679</v>
      </c>
      <c r="D21" s="264" t="s">
        <v>2676</v>
      </c>
      <c r="E21" s="264" t="s">
        <v>2668</v>
      </c>
      <c r="F21" s="265">
        <v>1</v>
      </c>
      <c r="G21" s="265">
        <f t="shared" si="0"/>
        <v>161909.09090909088</v>
      </c>
      <c r="H21" s="266">
        <f t="shared" si="1"/>
        <v>161909.09090909088</v>
      </c>
      <c r="I21" s="266">
        <f t="shared" si="3"/>
        <v>16190.909090909088</v>
      </c>
      <c r="J21" s="266">
        <f t="shared" si="4"/>
        <v>0</v>
      </c>
      <c r="K21" s="266">
        <f t="shared" si="2"/>
        <v>0</v>
      </c>
      <c r="L21" s="267">
        <v>178100</v>
      </c>
      <c r="M21" s="290"/>
    </row>
    <row r="22" spans="1:13" ht="18" customHeight="1">
      <c r="A22" s="263">
        <v>20</v>
      </c>
      <c r="B22" s="269">
        <v>45720</v>
      </c>
      <c r="C22" s="264" t="s">
        <v>2680</v>
      </c>
      <c r="D22" s="264" t="s">
        <v>2681</v>
      </c>
      <c r="E22" s="264" t="s">
        <v>2668</v>
      </c>
      <c r="F22" s="265">
        <v>1</v>
      </c>
      <c r="G22" s="265">
        <f t="shared" si="0"/>
        <v>74181.818181818177</v>
      </c>
      <c r="H22" s="266">
        <f t="shared" si="1"/>
        <v>74181.818181818177</v>
      </c>
      <c r="I22" s="266">
        <f t="shared" si="3"/>
        <v>7418.181818181818</v>
      </c>
      <c r="J22" s="266">
        <f t="shared" si="4"/>
        <v>0</v>
      </c>
      <c r="K22" s="266">
        <f t="shared" si="2"/>
        <v>0</v>
      </c>
      <c r="L22" s="267">
        <v>81600</v>
      </c>
      <c r="M22" s="290"/>
    </row>
    <row r="23" spans="1:13" ht="18" customHeight="1">
      <c r="A23" s="263">
        <v>21</v>
      </c>
      <c r="B23" s="269">
        <v>45720</v>
      </c>
      <c r="C23" s="264" t="s">
        <v>2682</v>
      </c>
      <c r="D23" s="264" t="s">
        <v>2683</v>
      </c>
      <c r="E23" s="264" t="s">
        <v>2668</v>
      </c>
      <c r="F23" s="265">
        <v>1</v>
      </c>
      <c r="G23" s="265">
        <f t="shared" si="0"/>
        <v>9090909.0909090899</v>
      </c>
      <c r="H23" s="266">
        <f t="shared" si="1"/>
        <v>9090909.0909090899</v>
      </c>
      <c r="I23" s="266">
        <f t="shared" si="3"/>
        <v>909090.90909090906</v>
      </c>
      <c r="J23" s="266">
        <f t="shared" si="4"/>
        <v>0</v>
      </c>
      <c r="K23" s="266">
        <f t="shared" si="2"/>
        <v>0</v>
      </c>
      <c r="L23" s="267">
        <v>10000000</v>
      </c>
      <c r="M23" s="290"/>
    </row>
    <row r="24" spans="1:13" ht="18" customHeight="1">
      <c r="A24" s="263">
        <v>22</v>
      </c>
      <c r="B24" s="269">
        <v>45722</v>
      </c>
      <c r="C24" s="264" t="s">
        <v>2666</v>
      </c>
      <c r="D24" s="264" t="s">
        <v>2667</v>
      </c>
      <c r="E24" s="264" t="s">
        <v>2668</v>
      </c>
      <c r="F24" s="265">
        <v>1</v>
      </c>
      <c r="G24" s="265">
        <f t="shared" si="0"/>
        <v>21818.181818181816</v>
      </c>
      <c r="H24" s="266">
        <f t="shared" si="1"/>
        <v>21818.181818181816</v>
      </c>
      <c r="I24" s="266">
        <f t="shared" si="3"/>
        <v>2181.8181818181815</v>
      </c>
      <c r="J24" s="266">
        <f t="shared" si="4"/>
        <v>0</v>
      </c>
      <c r="K24" s="266">
        <f t="shared" si="2"/>
        <v>0</v>
      </c>
      <c r="L24" s="267">
        <v>24000</v>
      </c>
      <c r="M24" s="290"/>
    </row>
    <row r="25" spans="1:13" ht="18" customHeight="1">
      <c r="A25" s="263">
        <v>23</v>
      </c>
      <c r="B25" s="269">
        <v>45727</v>
      </c>
      <c r="C25" s="264" t="s">
        <v>2663</v>
      </c>
      <c r="D25" s="264" t="s">
        <v>2664</v>
      </c>
      <c r="E25" s="264" t="s">
        <v>2668</v>
      </c>
      <c r="F25" s="265">
        <v>1</v>
      </c>
      <c r="G25" s="265">
        <f t="shared" si="0"/>
        <v>139090.90909090909</v>
      </c>
      <c r="H25" s="266">
        <f t="shared" si="1"/>
        <v>139090.90909090909</v>
      </c>
      <c r="I25" s="266">
        <f t="shared" si="3"/>
        <v>13909.09090909091</v>
      </c>
      <c r="J25" s="266">
        <f t="shared" si="4"/>
        <v>0</v>
      </c>
      <c r="K25" s="266">
        <f t="shared" si="2"/>
        <v>0</v>
      </c>
      <c r="L25" s="267">
        <v>153000</v>
      </c>
      <c r="M25" s="290"/>
    </row>
    <row r="26" spans="1:13" ht="18" customHeight="1">
      <c r="A26" s="263">
        <v>24</v>
      </c>
      <c r="B26" s="269">
        <v>45747</v>
      </c>
      <c r="C26" s="264" t="s">
        <v>2663</v>
      </c>
      <c r="D26" s="264" t="s">
        <v>2684</v>
      </c>
      <c r="E26" s="264" t="s">
        <v>2668</v>
      </c>
      <c r="F26" s="265">
        <v>1</v>
      </c>
      <c r="G26" s="265">
        <f t="shared" si="0"/>
        <v>405818.18181818177</v>
      </c>
      <c r="H26" s="266">
        <f t="shared" si="1"/>
        <v>405818.18181818177</v>
      </c>
      <c r="I26" s="266">
        <f t="shared" si="3"/>
        <v>40581.818181818177</v>
      </c>
      <c r="J26" s="266">
        <f t="shared" si="4"/>
        <v>0</v>
      </c>
      <c r="K26" s="266">
        <f t="shared" si="2"/>
        <v>0</v>
      </c>
      <c r="L26" s="267">
        <v>446400</v>
      </c>
      <c r="M26" s="290"/>
    </row>
    <row r="27" spans="1:13" ht="18" customHeight="1">
      <c r="A27" s="263">
        <v>25</v>
      </c>
      <c r="B27" s="269">
        <v>45749</v>
      </c>
      <c r="C27" s="264" t="s">
        <v>2685</v>
      </c>
      <c r="D27" s="264" t="s">
        <v>2664</v>
      </c>
      <c r="E27" s="264" t="s">
        <v>2668</v>
      </c>
      <c r="F27" s="265">
        <v>1</v>
      </c>
      <c r="G27" s="265">
        <f t="shared" si="0"/>
        <v>131818.18181818179</v>
      </c>
      <c r="H27" s="266">
        <f t="shared" si="1"/>
        <v>131818.18181818179</v>
      </c>
      <c r="I27" s="266">
        <f t="shared" si="3"/>
        <v>13181.81818181818</v>
      </c>
      <c r="J27" s="266">
        <f t="shared" si="4"/>
        <v>0</v>
      </c>
      <c r="K27" s="266">
        <f t="shared" si="2"/>
        <v>0</v>
      </c>
      <c r="L27" s="267">
        <v>145000</v>
      </c>
      <c r="M27" s="290"/>
    </row>
    <row r="28" spans="1:13" ht="18" customHeight="1">
      <c r="A28" s="263">
        <v>26</v>
      </c>
      <c r="B28" s="269">
        <v>45761</v>
      </c>
      <c r="C28" s="264" t="s">
        <v>2663</v>
      </c>
      <c r="D28" s="264" t="s">
        <v>2664</v>
      </c>
      <c r="E28" s="264" t="s">
        <v>2668</v>
      </c>
      <c r="F28" s="265">
        <v>1</v>
      </c>
      <c r="G28" s="265">
        <f t="shared" si="0"/>
        <v>139090.90909090909</v>
      </c>
      <c r="H28" s="266">
        <f t="shared" si="1"/>
        <v>139090.90909090909</v>
      </c>
      <c r="I28" s="266">
        <f t="shared" si="3"/>
        <v>13909.09090909091</v>
      </c>
      <c r="J28" s="266">
        <f t="shared" si="4"/>
        <v>0</v>
      </c>
      <c r="K28" s="266">
        <f t="shared" si="2"/>
        <v>0</v>
      </c>
      <c r="L28" s="267">
        <v>153000</v>
      </c>
      <c r="M28" s="290"/>
    </row>
    <row r="29" spans="1:13" ht="18" customHeight="1">
      <c r="A29" s="263">
        <v>27</v>
      </c>
      <c r="B29" s="269">
        <v>45762</v>
      </c>
      <c r="C29" s="264" t="s">
        <v>2663</v>
      </c>
      <c r="D29" s="264" t="s">
        <v>2664</v>
      </c>
      <c r="E29" s="264" t="s">
        <v>2668</v>
      </c>
      <c r="F29" s="265">
        <v>1</v>
      </c>
      <c r="G29" s="265">
        <f t="shared" si="0"/>
        <v>1429090.9090909089</v>
      </c>
      <c r="H29" s="266">
        <f t="shared" si="1"/>
        <v>1429090.9090909089</v>
      </c>
      <c r="I29" s="266">
        <f t="shared" si="3"/>
        <v>142909.09090909091</v>
      </c>
      <c r="J29" s="266">
        <f t="shared" si="4"/>
        <v>0</v>
      </c>
      <c r="K29" s="266">
        <f t="shared" si="2"/>
        <v>0</v>
      </c>
      <c r="L29" s="267">
        <v>1572000</v>
      </c>
      <c r="M29" s="290"/>
    </row>
    <row r="30" spans="1:13" ht="18" customHeight="1">
      <c r="A30" s="263">
        <v>28</v>
      </c>
      <c r="B30" s="269">
        <v>45776</v>
      </c>
      <c r="C30" s="264" t="s">
        <v>2673</v>
      </c>
      <c r="D30" s="264" t="s">
        <v>2664</v>
      </c>
      <c r="E30" s="264" t="s">
        <v>2668</v>
      </c>
      <c r="F30" s="265">
        <v>1</v>
      </c>
      <c r="G30" s="265">
        <f t="shared" si="0"/>
        <v>636363.63636363635</v>
      </c>
      <c r="H30" s="266">
        <f t="shared" si="1"/>
        <v>636363.63636363635</v>
      </c>
      <c r="I30" s="266">
        <f t="shared" si="3"/>
        <v>63636.36363636364</v>
      </c>
      <c r="J30" s="266">
        <f t="shared" si="4"/>
        <v>0</v>
      </c>
      <c r="K30" s="266">
        <f t="shared" si="2"/>
        <v>0</v>
      </c>
      <c r="L30" s="267">
        <v>700000</v>
      </c>
      <c r="M30" s="290"/>
    </row>
    <row r="31" spans="1:13" ht="18" customHeight="1">
      <c r="A31" s="263">
        <v>29</v>
      </c>
      <c r="B31" s="269">
        <v>45776</v>
      </c>
      <c r="C31" s="264" t="s">
        <v>2677</v>
      </c>
      <c r="D31" s="264" t="s">
        <v>2678</v>
      </c>
      <c r="E31" s="264" t="s">
        <v>2668</v>
      </c>
      <c r="F31" s="265">
        <v>1</v>
      </c>
      <c r="G31" s="265">
        <f t="shared" si="0"/>
        <v>541818.18181818177</v>
      </c>
      <c r="H31" s="266">
        <f t="shared" si="1"/>
        <v>541818.18181818177</v>
      </c>
      <c r="I31" s="266">
        <f t="shared" si="3"/>
        <v>54181.818181818177</v>
      </c>
      <c r="J31" s="266">
        <f t="shared" si="4"/>
        <v>0</v>
      </c>
      <c r="K31" s="266">
        <f t="shared" si="2"/>
        <v>0</v>
      </c>
      <c r="L31" s="267">
        <v>596000</v>
      </c>
      <c r="M31" s="290"/>
    </row>
    <row r="32" spans="1:13" ht="18" customHeight="1">
      <c r="A32" s="263">
        <v>30</v>
      </c>
      <c r="B32" s="269">
        <v>45776</v>
      </c>
      <c r="C32" s="264" t="s">
        <v>2675</v>
      </c>
      <c r="D32" s="264" t="s">
        <v>2676</v>
      </c>
      <c r="E32" s="264" t="s">
        <v>2668</v>
      </c>
      <c r="F32" s="265">
        <v>1</v>
      </c>
      <c r="G32" s="265">
        <f t="shared" si="0"/>
        <v>125999.99999999999</v>
      </c>
      <c r="H32" s="266">
        <f t="shared" si="1"/>
        <v>125999.99999999999</v>
      </c>
      <c r="I32" s="266">
        <f t="shared" si="3"/>
        <v>12600</v>
      </c>
      <c r="J32" s="266">
        <f t="shared" si="4"/>
        <v>0</v>
      </c>
      <c r="K32" s="266">
        <f t="shared" si="2"/>
        <v>0</v>
      </c>
      <c r="L32" s="267">
        <v>138600</v>
      </c>
      <c r="M32" s="290"/>
    </row>
    <row r="33" spans="1:13" ht="18" customHeight="1">
      <c r="A33" s="263">
        <v>31</v>
      </c>
      <c r="B33" s="269">
        <v>45776</v>
      </c>
      <c r="C33" s="264" t="s">
        <v>2674</v>
      </c>
      <c r="D33" s="264" t="s">
        <v>2664</v>
      </c>
      <c r="E33" s="264" t="s">
        <v>2668</v>
      </c>
      <c r="F33" s="265">
        <v>1</v>
      </c>
      <c r="G33" s="265">
        <f t="shared" si="0"/>
        <v>409999.99999999994</v>
      </c>
      <c r="H33" s="266">
        <f t="shared" si="1"/>
        <v>409999.99999999994</v>
      </c>
      <c r="I33" s="266">
        <f t="shared" si="3"/>
        <v>41000</v>
      </c>
      <c r="J33" s="266">
        <f t="shared" si="4"/>
        <v>0</v>
      </c>
      <c r="K33" s="266">
        <f t="shared" si="2"/>
        <v>0</v>
      </c>
      <c r="L33" s="267">
        <v>451000</v>
      </c>
      <c r="M33" s="290"/>
    </row>
    <row r="34" spans="1:13" ht="18.75" customHeight="1">
      <c r="A34" s="263">
        <v>32</v>
      </c>
      <c r="B34" s="269">
        <v>45776</v>
      </c>
      <c r="C34" s="264" t="s">
        <v>2679</v>
      </c>
      <c r="D34" s="264" t="s">
        <v>2676</v>
      </c>
      <c r="E34" s="264" t="s">
        <v>2668</v>
      </c>
      <c r="F34" s="265">
        <v>1</v>
      </c>
      <c r="G34" s="265">
        <f t="shared" si="0"/>
        <v>221818.18181818179</v>
      </c>
      <c r="H34" s="266">
        <f t="shared" si="1"/>
        <v>221818.18181818179</v>
      </c>
      <c r="I34" s="266">
        <f t="shared" si="3"/>
        <v>22181.81818181818</v>
      </c>
      <c r="J34" s="266">
        <f t="shared" si="4"/>
        <v>0</v>
      </c>
      <c r="K34" s="266">
        <f t="shared" si="2"/>
        <v>0</v>
      </c>
      <c r="L34" s="267">
        <v>244000</v>
      </c>
      <c r="M34" s="290"/>
    </row>
    <row r="35" spans="1:13" ht="18" customHeight="1">
      <c r="A35" s="263">
        <v>33</v>
      </c>
      <c r="B35" s="269">
        <v>45785</v>
      </c>
      <c r="C35" s="264" t="s">
        <v>2666</v>
      </c>
      <c r="D35" s="264" t="s">
        <v>2667</v>
      </c>
      <c r="E35" s="264" t="s">
        <v>2668</v>
      </c>
      <c r="F35" s="265">
        <v>1</v>
      </c>
      <c r="G35" s="265">
        <f t="shared" si="0"/>
        <v>43636.363636363632</v>
      </c>
      <c r="H35" s="266">
        <f t="shared" si="1"/>
        <v>43636.363636363632</v>
      </c>
      <c r="I35" s="266">
        <f t="shared" si="3"/>
        <v>4363.6363636363631</v>
      </c>
      <c r="J35" s="266">
        <f t="shared" si="4"/>
        <v>0</v>
      </c>
      <c r="K35" s="266">
        <f t="shared" si="2"/>
        <v>0</v>
      </c>
      <c r="L35" s="267">
        <v>48000</v>
      </c>
      <c r="M35" s="290"/>
    </row>
    <row r="36" spans="1:13" ht="20.25" customHeight="1">
      <c r="A36" s="263">
        <v>34</v>
      </c>
      <c r="B36" s="269">
        <v>45786</v>
      </c>
      <c r="C36" s="264" t="s">
        <v>2663</v>
      </c>
      <c r="D36" s="264" t="s">
        <v>2664</v>
      </c>
      <c r="E36" s="264" t="s">
        <v>2668</v>
      </c>
      <c r="F36" s="265">
        <v>1</v>
      </c>
      <c r="G36" s="265">
        <f t="shared" si="0"/>
        <v>155454.54545454544</v>
      </c>
      <c r="H36" s="266">
        <f t="shared" si="1"/>
        <v>155454.54545454544</v>
      </c>
      <c r="I36" s="266">
        <f t="shared" si="3"/>
        <v>15545.454545454544</v>
      </c>
      <c r="J36" s="266">
        <f t="shared" si="4"/>
        <v>0</v>
      </c>
      <c r="K36" s="266">
        <f t="shared" si="2"/>
        <v>0</v>
      </c>
      <c r="L36" s="267">
        <v>171000</v>
      </c>
      <c r="M36" s="290"/>
    </row>
    <row r="37" spans="1:13" ht="18" customHeight="1">
      <c r="A37" s="263">
        <v>35</v>
      </c>
      <c r="B37" s="269">
        <v>45791</v>
      </c>
      <c r="C37" s="264" t="s">
        <v>2666</v>
      </c>
      <c r="D37" s="264" t="s">
        <v>2667</v>
      </c>
      <c r="E37" s="264" t="s">
        <v>2668</v>
      </c>
      <c r="F37" s="265">
        <v>1</v>
      </c>
      <c r="G37" s="265">
        <f t="shared" si="0"/>
        <v>21818.181818181816</v>
      </c>
      <c r="H37" s="266">
        <f t="shared" si="1"/>
        <v>21818.181818181816</v>
      </c>
      <c r="I37" s="266">
        <f t="shared" si="3"/>
        <v>2181.8181818181815</v>
      </c>
      <c r="J37" s="266">
        <f t="shared" si="4"/>
        <v>0</v>
      </c>
      <c r="K37" s="266">
        <f t="shared" si="2"/>
        <v>0</v>
      </c>
      <c r="L37" s="267">
        <v>24000</v>
      </c>
      <c r="M37" s="290"/>
    </row>
    <row r="38" spans="1:13" ht="18.75" customHeight="1">
      <c r="A38" s="263">
        <v>36</v>
      </c>
      <c r="B38" s="269">
        <v>45797</v>
      </c>
      <c r="C38" s="264" t="s">
        <v>2682</v>
      </c>
      <c r="D38" s="264" t="s">
        <v>2683</v>
      </c>
      <c r="E38" s="264" t="s">
        <v>2668</v>
      </c>
      <c r="F38" s="265">
        <v>1</v>
      </c>
      <c r="G38" s="265">
        <f t="shared" ref="G38" si="5">L38/F38/1.1</f>
        <v>12727272.727272727</v>
      </c>
      <c r="H38" s="266">
        <f t="shared" ref="H38" si="6">F38*G38</f>
        <v>12727272.727272727</v>
      </c>
      <c r="I38" s="266">
        <f t="shared" ref="I38" si="7">H38*10%</f>
        <v>1272727.2727272727</v>
      </c>
      <c r="J38" s="266">
        <f t="shared" ref="J38" si="8">IF(E38="매출",F38*G38,0)</f>
        <v>0</v>
      </c>
      <c r="K38" s="266">
        <f t="shared" ref="K38" si="9">J38*10%</f>
        <v>0</v>
      </c>
      <c r="L38" s="267">
        <v>14000000</v>
      </c>
      <c r="M38" s="290"/>
    </row>
    <row r="39" spans="1:13" ht="18.75" customHeight="1">
      <c r="A39" s="263">
        <v>37</v>
      </c>
      <c r="B39" s="269">
        <v>45803</v>
      </c>
      <c r="C39" s="264" t="s">
        <v>2663</v>
      </c>
      <c r="D39" s="264" t="s">
        <v>2664</v>
      </c>
      <c r="E39" s="264" t="s">
        <v>2668</v>
      </c>
      <c r="F39" s="265">
        <v>1</v>
      </c>
      <c r="G39" s="265">
        <f t="shared" si="0"/>
        <v>729090.90909090906</v>
      </c>
      <c r="H39" s="266">
        <f t="shared" si="1"/>
        <v>729090.90909090906</v>
      </c>
      <c r="I39" s="266">
        <f t="shared" si="3"/>
        <v>72909.090909090912</v>
      </c>
      <c r="J39" s="266">
        <f t="shared" si="4"/>
        <v>0</v>
      </c>
      <c r="K39" s="266">
        <f t="shared" si="2"/>
        <v>0</v>
      </c>
      <c r="L39" s="267">
        <v>802000</v>
      </c>
      <c r="M39" s="290"/>
    </row>
    <row r="40" spans="1:13" ht="18" customHeight="1">
      <c r="A40" s="263">
        <v>38</v>
      </c>
      <c r="B40" s="269">
        <v>45806</v>
      </c>
      <c r="C40" s="264" t="s">
        <v>2666</v>
      </c>
      <c r="D40" s="264" t="s">
        <v>2667</v>
      </c>
      <c r="E40" s="264" t="s">
        <v>2668</v>
      </c>
      <c r="F40" s="265">
        <v>1</v>
      </c>
      <c r="G40" s="265">
        <f t="shared" si="0"/>
        <v>43636.363636363632</v>
      </c>
      <c r="H40" s="266">
        <f t="shared" si="1"/>
        <v>43636.363636363632</v>
      </c>
      <c r="I40" s="266">
        <f t="shared" si="3"/>
        <v>4363.6363636363631</v>
      </c>
      <c r="J40" s="266">
        <f t="shared" si="4"/>
        <v>0</v>
      </c>
      <c r="K40" s="266">
        <f>J40*10%</f>
        <v>0</v>
      </c>
      <c r="L40" s="267">
        <v>48000</v>
      </c>
      <c r="M40" s="290"/>
    </row>
    <row r="41" spans="1:13" ht="18" customHeight="1">
      <c r="A41" s="263">
        <v>39</v>
      </c>
      <c r="B41" s="269">
        <v>45810</v>
      </c>
      <c r="C41" s="264" t="s">
        <v>2680</v>
      </c>
      <c r="D41" s="264" t="s">
        <v>2681</v>
      </c>
      <c r="E41" s="264" t="s">
        <v>2668</v>
      </c>
      <c r="F41" s="265">
        <v>1</v>
      </c>
      <c r="G41" s="265">
        <f t="shared" si="0"/>
        <v>74181.818181818177</v>
      </c>
      <c r="H41" s="266">
        <f t="shared" si="1"/>
        <v>74181.818181818177</v>
      </c>
      <c r="I41" s="266">
        <f t="shared" si="3"/>
        <v>7418.181818181818</v>
      </c>
      <c r="J41" s="266">
        <f t="shared" si="4"/>
        <v>0</v>
      </c>
      <c r="K41" s="266">
        <f>J41*10%</f>
        <v>0</v>
      </c>
      <c r="L41" s="267">
        <v>81600</v>
      </c>
      <c r="M41" s="290"/>
    </row>
    <row r="42" spans="1:13" ht="18.75" customHeight="1">
      <c r="A42" s="263">
        <v>40</v>
      </c>
      <c r="B42" s="269">
        <v>45786</v>
      </c>
      <c r="C42" s="264" t="s">
        <v>2682</v>
      </c>
      <c r="D42" s="264" t="s">
        <v>2683</v>
      </c>
      <c r="E42" s="264" t="s">
        <v>2668</v>
      </c>
      <c r="F42" s="265">
        <v>1</v>
      </c>
      <c r="G42" s="265">
        <f t="shared" si="0"/>
        <v>12727272.727272727</v>
      </c>
      <c r="H42" s="266">
        <f t="shared" si="1"/>
        <v>12727272.727272727</v>
      </c>
      <c r="I42" s="266">
        <f t="shared" si="3"/>
        <v>1272727.2727272727</v>
      </c>
      <c r="J42" s="266">
        <f t="shared" si="4"/>
        <v>0</v>
      </c>
      <c r="K42" s="266">
        <f t="shared" ref="K42" si="10">J42*10%</f>
        <v>0</v>
      </c>
      <c r="L42" s="267">
        <v>14000000</v>
      </c>
      <c r="M42" s="290"/>
    </row>
    <row r="43" spans="1:13" ht="18" customHeight="1">
      <c r="A43" s="263">
        <v>41</v>
      </c>
      <c r="B43" s="269">
        <v>45828</v>
      </c>
      <c r="C43" s="264" t="s">
        <v>2663</v>
      </c>
      <c r="D43" s="264" t="s">
        <v>2664</v>
      </c>
      <c r="E43" s="264" t="s">
        <v>2668</v>
      </c>
      <c r="F43" s="265">
        <v>1</v>
      </c>
      <c r="G43" s="265">
        <f t="shared" si="0"/>
        <v>583636.36363636365</v>
      </c>
      <c r="H43" s="266">
        <f t="shared" si="1"/>
        <v>583636.36363636365</v>
      </c>
      <c r="I43" s="266">
        <f t="shared" si="3"/>
        <v>58363.636363636368</v>
      </c>
      <c r="J43" s="266">
        <f t="shared" si="4"/>
        <v>0</v>
      </c>
      <c r="K43" s="266">
        <f>J43*10%</f>
        <v>0</v>
      </c>
      <c r="L43" s="267">
        <v>642000</v>
      </c>
      <c r="M43" s="290"/>
    </row>
    <row r="44" spans="1:13" ht="18" customHeight="1">
      <c r="A44" s="263">
        <v>42</v>
      </c>
      <c r="B44" s="269">
        <v>45838</v>
      </c>
      <c r="C44" s="264" t="s">
        <v>2673</v>
      </c>
      <c r="D44" s="264" t="s">
        <v>2664</v>
      </c>
      <c r="E44" s="264" t="s">
        <v>2668</v>
      </c>
      <c r="F44" s="265">
        <v>1</v>
      </c>
      <c r="G44" s="265">
        <f t="shared" si="0"/>
        <v>469999.99999999994</v>
      </c>
      <c r="H44" s="266">
        <f t="shared" si="1"/>
        <v>469999.99999999994</v>
      </c>
      <c r="I44" s="266">
        <f t="shared" si="3"/>
        <v>47000</v>
      </c>
      <c r="J44" s="266">
        <f t="shared" si="4"/>
        <v>0</v>
      </c>
      <c r="K44" s="266">
        <f>J44*10%</f>
        <v>0</v>
      </c>
      <c r="L44" s="267">
        <v>517000</v>
      </c>
      <c r="M44" s="290"/>
    </row>
    <row r="45" spans="1:13" ht="18" customHeight="1">
      <c r="A45" s="263">
        <v>43</v>
      </c>
      <c r="B45" s="269">
        <v>45838</v>
      </c>
      <c r="C45" s="264" t="s">
        <v>2679</v>
      </c>
      <c r="D45" s="264" t="s">
        <v>2676</v>
      </c>
      <c r="E45" s="264" t="s">
        <v>2668</v>
      </c>
      <c r="F45" s="265">
        <v>1</v>
      </c>
      <c r="G45" s="265">
        <f t="shared" si="0"/>
        <v>166363.63636363635</v>
      </c>
      <c r="H45" s="266">
        <f t="shared" si="1"/>
        <v>166363.63636363635</v>
      </c>
      <c r="I45" s="266">
        <f t="shared" si="3"/>
        <v>16636.363636363636</v>
      </c>
      <c r="J45" s="266">
        <f t="shared" si="4"/>
        <v>0</v>
      </c>
      <c r="K45" s="266">
        <f t="shared" ref="K45:K47" si="11">J45*10%</f>
        <v>0</v>
      </c>
      <c r="L45" s="267">
        <v>183000</v>
      </c>
      <c r="M45" s="290"/>
    </row>
    <row r="46" spans="1:13" ht="18" customHeight="1">
      <c r="A46" s="263">
        <v>44</v>
      </c>
      <c r="B46" s="269">
        <v>45838</v>
      </c>
      <c r="C46" s="264" t="s">
        <v>2674</v>
      </c>
      <c r="D46" s="264" t="s">
        <v>2664</v>
      </c>
      <c r="E46" s="264" t="s">
        <v>2668</v>
      </c>
      <c r="F46" s="265">
        <v>1</v>
      </c>
      <c r="G46" s="265">
        <f t="shared" si="0"/>
        <v>645454.54545454541</v>
      </c>
      <c r="H46" s="266">
        <f t="shared" si="1"/>
        <v>645454.54545454541</v>
      </c>
      <c r="I46" s="266">
        <f t="shared" si="3"/>
        <v>64545.454545454544</v>
      </c>
      <c r="J46" s="266">
        <f t="shared" si="4"/>
        <v>0</v>
      </c>
      <c r="K46" s="266">
        <f t="shared" si="11"/>
        <v>0</v>
      </c>
      <c r="L46" s="267">
        <v>710000</v>
      </c>
      <c r="M46" s="290"/>
    </row>
    <row r="47" spans="1:13" ht="18" customHeight="1">
      <c r="A47" s="263">
        <v>45</v>
      </c>
      <c r="B47" s="269">
        <v>45838</v>
      </c>
      <c r="C47" s="264" t="s">
        <v>2675</v>
      </c>
      <c r="D47" s="264" t="s">
        <v>2676</v>
      </c>
      <c r="E47" s="264" t="s">
        <v>2668</v>
      </c>
      <c r="F47" s="265">
        <v>1</v>
      </c>
      <c r="G47" s="265">
        <f t="shared" si="0"/>
        <v>192363.63636363635</v>
      </c>
      <c r="H47" s="266">
        <f t="shared" si="1"/>
        <v>192363.63636363635</v>
      </c>
      <c r="I47" s="266">
        <f t="shared" si="3"/>
        <v>19236.363636363636</v>
      </c>
      <c r="J47" s="266">
        <f t="shared" si="4"/>
        <v>0</v>
      </c>
      <c r="K47" s="266">
        <f t="shared" si="11"/>
        <v>0</v>
      </c>
      <c r="L47" s="267">
        <v>211600</v>
      </c>
      <c r="M47" s="290"/>
    </row>
    <row r="48" spans="1:13" ht="18" customHeight="1">
      <c r="A48" s="263">
        <v>46</v>
      </c>
      <c r="B48" s="269"/>
      <c r="C48" s="264"/>
      <c r="D48" s="264"/>
      <c r="E48" s="264" t="s">
        <v>2668</v>
      </c>
      <c r="F48" s="265">
        <v>1</v>
      </c>
      <c r="G48" s="265">
        <f t="shared" si="0"/>
        <v>0</v>
      </c>
      <c r="H48" s="266">
        <f t="shared" si="1"/>
        <v>0</v>
      </c>
      <c r="I48" s="266">
        <f t="shared" si="3"/>
        <v>0</v>
      </c>
      <c r="J48" s="266">
        <f t="shared" si="4"/>
        <v>0</v>
      </c>
      <c r="K48" s="266">
        <f t="shared" ref="K48:K51" si="12">J48*10%</f>
        <v>0</v>
      </c>
      <c r="L48" s="267"/>
    </row>
    <row r="49" spans="1:12" ht="18" customHeight="1">
      <c r="A49" s="263">
        <v>47</v>
      </c>
      <c r="B49" s="269"/>
      <c r="C49" s="264"/>
      <c r="D49" s="264"/>
      <c r="E49" s="264" t="s">
        <v>2668</v>
      </c>
      <c r="F49" s="265">
        <v>1</v>
      </c>
      <c r="G49" s="265">
        <f t="shared" si="0"/>
        <v>0</v>
      </c>
      <c r="H49" s="266">
        <f t="shared" si="1"/>
        <v>0</v>
      </c>
      <c r="I49" s="266">
        <f t="shared" si="3"/>
        <v>0</v>
      </c>
      <c r="J49" s="266">
        <f t="shared" si="4"/>
        <v>0</v>
      </c>
      <c r="K49" s="266">
        <f t="shared" si="12"/>
        <v>0</v>
      </c>
      <c r="L49" s="267"/>
    </row>
    <row r="50" spans="1:12" ht="18" customHeight="1">
      <c r="A50" s="263">
        <v>48</v>
      </c>
      <c r="B50" s="269"/>
      <c r="C50" s="264"/>
      <c r="D50" s="264"/>
      <c r="E50" s="264" t="s">
        <v>2668</v>
      </c>
      <c r="F50" s="265">
        <v>1</v>
      </c>
      <c r="G50" s="265">
        <f t="shared" si="0"/>
        <v>0</v>
      </c>
      <c r="H50" s="266">
        <f t="shared" si="1"/>
        <v>0</v>
      </c>
      <c r="I50" s="266">
        <f t="shared" si="3"/>
        <v>0</v>
      </c>
      <c r="J50" s="266">
        <f t="shared" si="4"/>
        <v>0</v>
      </c>
      <c r="K50" s="266">
        <f t="shared" si="12"/>
        <v>0</v>
      </c>
      <c r="L50" s="267"/>
    </row>
    <row r="51" spans="1:12" ht="18" customHeight="1">
      <c r="A51" s="263">
        <v>49</v>
      </c>
      <c r="B51" s="269"/>
      <c r="C51" s="264"/>
      <c r="D51" s="264"/>
      <c r="E51" s="264" t="s">
        <v>2668</v>
      </c>
      <c r="F51" s="265">
        <v>1</v>
      </c>
      <c r="G51" s="265">
        <f t="shared" si="0"/>
        <v>0</v>
      </c>
      <c r="H51" s="266">
        <f t="shared" si="1"/>
        <v>0</v>
      </c>
      <c r="I51" s="266">
        <f t="shared" si="3"/>
        <v>0</v>
      </c>
      <c r="J51" s="266">
        <f t="shared" si="4"/>
        <v>0</v>
      </c>
      <c r="K51" s="266">
        <f t="shared" si="12"/>
        <v>0</v>
      </c>
      <c r="L51" s="267"/>
    </row>
    <row r="52" spans="1:12" ht="18" customHeight="1">
      <c r="A52" s="263">
        <v>50</v>
      </c>
      <c r="B52" s="269"/>
      <c r="C52" s="264"/>
      <c r="D52" s="264"/>
      <c r="E52" s="264" t="s">
        <v>2668</v>
      </c>
      <c r="F52" s="265">
        <v>1</v>
      </c>
      <c r="G52" s="265">
        <f t="shared" si="0"/>
        <v>0</v>
      </c>
      <c r="H52" s="266">
        <f t="shared" si="1"/>
        <v>0</v>
      </c>
      <c r="I52" s="266">
        <f t="shared" si="3"/>
        <v>0</v>
      </c>
      <c r="J52" s="266">
        <f t="shared" si="4"/>
        <v>0</v>
      </c>
      <c r="K52" s="266"/>
      <c r="L52" s="267"/>
    </row>
    <row r="53" spans="1:12" ht="18" customHeight="1">
      <c r="A53" s="263">
        <v>51</v>
      </c>
      <c r="B53" s="269"/>
      <c r="C53" s="264"/>
      <c r="D53" s="264"/>
      <c r="E53" s="264" t="s">
        <v>2668</v>
      </c>
      <c r="F53" s="265">
        <v>1</v>
      </c>
      <c r="G53" s="265">
        <f t="shared" si="0"/>
        <v>0</v>
      </c>
      <c r="H53" s="266">
        <f t="shared" si="1"/>
        <v>0</v>
      </c>
      <c r="I53" s="266">
        <f t="shared" si="3"/>
        <v>0</v>
      </c>
      <c r="J53" s="266">
        <f t="shared" si="4"/>
        <v>0</v>
      </c>
      <c r="K53" s="266"/>
      <c r="L53" s="267"/>
    </row>
    <row r="54" spans="1:12" ht="18" customHeight="1">
      <c r="A54" s="263">
        <v>52</v>
      </c>
      <c r="B54" s="269"/>
      <c r="C54" s="264"/>
      <c r="D54" s="264"/>
      <c r="E54" s="264" t="s">
        <v>2668</v>
      </c>
      <c r="F54" s="265">
        <v>1</v>
      </c>
      <c r="G54" s="265">
        <f t="shared" si="0"/>
        <v>0</v>
      </c>
      <c r="H54" s="266">
        <f t="shared" si="1"/>
        <v>0</v>
      </c>
      <c r="I54" s="266">
        <f t="shared" si="3"/>
        <v>0</v>
      </c>
      <c r="J54" s="266">
        <f t="shared" si="4"/>
        <v>0</v>
      </c>
      <c r="K54" s="266"/>
      <c r="L54" s="267"/>
    </row>
    <row r="55" spans="1:12" ht="18" customHeight="1">
      <c r="A55" s="263">
        <v>53</v>
      </c>
      <c r="B55" s="269"/>
      <c r="C55" s="264"/>
      <c r="D55" s="264"/>
      <c r="E55" s="264" t="s">
        <v>2668</v>
      </c>
      <c r="F55" s="265">
        <v>1</v>
      </c>
      <c r="G55" s="265">
        <f t="shared" si="0"/>
        <v>0</v>
      </c>
      <c r="H55" s="266">
        <f t="shared" si="1"/>
        <v>0</v>
      </c>
      <c r="I55" s="266">
        <f t="shared" si="3"/>
        <v>0</v>
      </c>
      <c r="J55" s="266">
        <f t="shared" si="4"/>
        <v>0</v>
      </c>
      <c r="K55" s="266"/>
      <c r="L55" s="267"/>
    </row>
    <row r="56" spans="1:12" ht="18" customHeight="1">
      <c r="A56" s="263">
        <v>54</v>
      </c>
      <c r="B56" s="269"/>
      <c r="C56" s="264"/>
      <c r="D56" s="264"/>
      <c r="E56" s="264" t="s">
        <v>2668</v>
      </c>
      <c r="F56" s="265">
        <v>1</v>
      </c>
      <c r="G56" s="265">
        <f t="shared" si="0"/>
        <v>0</v>
      </c>
      <c r="H56" s="266">
        <f t="shared" si="1"/>
        <v>0</v>
      </c>
      <c r="I56" s="266">
        <f t="shared" si="3"/>
        <v>0</v>
      </c>
      <c r="J56" s="266">
        <f t="shared" si="4"/>
        <v>0</v>
      </c>
      <c r="K56" s="266"/>
      <c r="L56" s="267"/>
    </row>
    <row r="57" spans="1:12" ht="18" customHeight="1">
      <c r="A57" s="263">
        <v>55</v>
      </c>
      <c r="B57" s="269"/>
      <c r="C57" s="264"/>
      <c r="D57" s="264"/>
      <c r="E57" s="264" t="s">
        <v>2668</v>
      </c>
      <c r="F57" s="265">
        <v>1</v>
      </c>
      <c r="G57" s="265">
        <f t="shared" si="0"/>
        <v>0</v>
      </c>
      <c r="H57" s="266">
        <f t="shared" si="1"/>
        <v>0</v>
      </c>
      <c r="I57" s="266">
        <f t="shared" si="3"/>
        <v>0</v>
      </c>
      <c r="J57" s="266">
        <f t="shared" si="4"/>
        <v>0</v>
      </c>
      <c r="K57" s="266"/>
      <c r="L57" s="267"/>
    </row>
    <row r="58" spans="1:12" ht="18" customHeight="1">
      <c r="A58" s="263">
        <v>56</v>
      </c>
      <c r="B58" s="269"/>
      <c r="C58" s="264"/>
      <c r="D58" s="264"/>
      <c r="E58" s="264" t="s">
        <v>2668</v>
      </c>
      <c r="F58" s="265">
        <v>1</v>
      </c>
      <c r="G58" s="265">
        <f t="shared" si="0"/>
        <v>0</v>
      </c>
      <c r="H58" s="266">
        <f t="shared" si="1"/>
        <v>0</v>
      </c>
      <c r="I58" s="266">
        <f t="shared" si="3"/>
        <v>0</v>
      </c>
      <c r="J58" s="266">
        <f t="shared" si="4"/>
        <v>0</v>
      </c>
      <c r="K58" s="266"/>
      <c r="L58" s="267"/>
    </row>
    <row r="59" spans="1:12" ht="18" customHeight="1">
      <c r="A59" s="263">
        <v>57</v>
      </c>
      <c r="B59" s="269"/>
      <c r="C59" s="264"/>
      <c r="D59" s="264"/>
      <c r="E59" s="264" t="s">
        <v>2668</v>
      </c>
      <c r="F59" s="265">
        <v>1</v>
      </c>
      <c r="G59" s="265">
        <f t="shared" si="0"/>
        <v>0</v>
      </c>
      <c r="H59" s="266">
        <f t="shared" si="1"/>
        <v>0</v>
      </c>
      <c r="I59" s="266">
        <f t="shared" si="3"/>
        <v>0</v>
      </c>
      <c r="J59" s="266">
        <f t="shared" si="4"/>
        <v>0</v>
      </c>
      <c r="K59" s="266">
        <f>J59*10%</f>
        <v>0</v>
      </c>
      <c r="L59" s="267"/>
    </row>
    <row r="60" spans="1:12" ht="18" customHeight="1">
      <c r="A60" s="263">
        <v>58</v>
      </c>
      <c r="B60" s="269"/>
      <c r="C60" s="264"/>
      <c r="D60" s="264"/>
      <c r="E60" s="264" t="s">
        <v>2668</v>
      </c>
      <c r="F60" s="265">
        <v>1</v>
      </c>
      <c r="G60" s="265">
        <f t="shared" si="0"/>
        <v>0</v>
      </c>
      <c r="H60" s="266">
        <f t="shared" si="1"/>
        <v>0</v>
      </c>
      <c r="I60" s="266">
        <f t="shared" si="3"/>
        <v>0</v>
      </c>
      <c r="J60" s="266">
        <f t="shared" si="4"/>
        <v>0</v>
      </c>
      <c r="K60" s="266"/>
      <c r="L60" s="267"/>
    </row>
    <row r="61" spans="1:12" ht="18" customHeight="1">
      <c r="A61" s="263">
        <v>59</v>
      </c>
      <c r="B61" s="269"/>
      <c r="C61" s="264"/>
      <c r="D61" s="264"/>
      <c r="E61" s="264" t="s">
        <v>2668</v>
      </c>
      <c r="F61" s="265">
        <v>1</v>
      </c>
      <c r="G61" s="265">
        <f t="shared" si="0"/>
        <v>0</v>
      </c>
      <c r="H61" s="266">
        <f t="shared" si="1"/>
        <v>0</v>
      </c>
      <c r="I61" s="266">
        <f t="shared" si="3"/>
        <v>0</v>
      </c>
      <c r="J61" s="266">
        <f t="shared" si="4"/>
        <v>0</v>
      </c>
      <c r="K61" s="266"/>
      <c r="L61" s="267"/>
    </row>
    <row r="62" spans="1:12" ht="18" customHeight="1">
      <c r="A62" s="263">
        <v>60</v>
      </c>
      <c r="B62" s="269"/>
      <c r="C62" s="264"/>
      <c r="D62" s="264"/>
      <c r="E62" s="264" t="s">
        <v>2668</v>
      </c>
      <c r="F62" s="265">
        <v>1</v>
      </c>
      <c r="G62" s="265">
        <f t="shared" si="0"/>
        <v>0</v>
      </c>
      <c r="H62" s="266">
        <f t="shared" si="1"/>
        <v>0</v>
      </c>
      <c r="I62" s="266">
        <f t="shared" si="3"/>
        <v>0</v>
      </c>
      <c r="J62" s="266">
        <f t="shared" si="4"/>
        <v>0</v>
      </c>
      <c r="K62" s="266"/>
      <c r="L62" s="267"/>
    </row>
    <row r="63" spans="1:12" ht="18" customHeight="1">
      <c r="A63" s="263">
        <v>61</v>
      </c>
      <c r="B63" s="269"/>
      <c r="C63" s="264"/>
      <c r="D63" s="264"/>
      <c r="E63" s="264" t="s">
        <v>2668</v>
      </c>
      <c r="F63" s="265">
        <v>1</v>
      </c>
      <c r="G63" s="265">
        <f t="shared" si="0"/>
        <v>0</v>
      </c>
      <c r="H63" s="266">
        <f t="shared" si="1"/>
        <v>0</v>
      </c>
      <c r="I63" s="266">
        <f t="shared" si="3"/>
        <v>0</v>
      </c>
      <c r="J63" s="266">
        <f t="shared" si="4"/>
        <v>0</v>
      </c>
      <c r="K63" s="266"/>
      <c r="L63" s="267"/>
    </row>
    <row r="64" spans="1:12" ht="18" customHeight="1">
      <c r="A64" s="263">
        <v>62</v>
      </c>
      <c r="B64" s="269"/>
      <c r="C64" s="264"/>
      <c r="D64" s="264"/>
      <c r="E64" s="264" t="s">
        <v>2668</v>
      </c>
      <c r="F64" s="265">
        <v>1</v>
      </c>
      <c r="G64" s="265">
        <f t="shared" si="0"/>
        <v>0</v>
      </c>
      <c r="H64" s="266">
        <f t="shared" si="1"/>
        <v>0</v>
      </c>
      <c r="I64" s="266">
        <f t="shared" si="3"/>
        <v>0</v>
      </c>
      <c r="J64" s="266">
        <f t="shared" si="4"/>
        <v>0</v>
      </c>
      <c r="K64" s="266"/>
      <c r="L64" s="267"/>
    </row>
    <row r="65" spans="1:12" ht="18" customHeight="1">
      <c r="A65" s="263">
        <v>63</v>
      </c>
      <c r="B65" s="269"/>
      <c r="C65" s="264"/>
      <c r="D65" s="264"/>
      <c r="E65" s="264" t="s">
        <v>2668</v>
      </c>
      <c r="F65" s="265">
        <v>1</v>
      </c>
      <c r="G65" s="265">
        <f t="shared" si="0"/>
        <v>0</v>
      </c>
      <c r="H65" s="266">
        <f t="shared" si="1"/>
        <v>0</v>
      </c>
      <c r="I65" s="266">
        <f t="shared" si="3"/>
        <v>0</v>
      </c>
      <c r="J65" s="266">
        <f t="shared" si="4"/>
        <v>0</v>
      </c>
      <c r="K65" s="266">
        <f>J65*10%</f>
        <v>0</v>
      </c>
      <c r="L65" s="267"/>
    </row>
    <row r="66" spans="1:12" ht="18" customHeight="1">
      <c r="A66" s="263">
        <v>64</v>
      </c>
      <c r="B66" s="269"/>
      <c r="C66" s="264"/>
      <c r="D66" s="264"/>
      <c r="E66" s="264" t="s">
        <v>2668</v>
      </c>
      <c r="F66" s="265">
        <v>1</v>
      </c>
      <c r="G66" s="265">
        <f t="shared" si="0"/>
        <v>0</v>
      </c>
      <c r="H66" s="266">
        <f t="shared" si="1"/>
        <v>0</v>
      </c>
      <c r="I66" s="266">
        <f t="shared" si="3"/>
        <v>0</v>
      </c>
      <c r="J66" s="266">
        <f t="shared" si="4"/>
        <v>0</v>
      </c>
      <c r="K66" s="266"/>
      <c r="L66" s="267"/>
    </row>
    <row r="67" spans="1:12" ht="18" customHeight="1">
      <c r="A67" s="263">
        <v>65</v>
      </c>
      <c r="B67" s="269"/>
      <c r="C67" s="264"/>
      <c r="D67" s="264"/>
      <c r="E67" s="264" t="s">
        <v>2668</v>
      </c>
      <c r="F67" s="265">
        <v>1</v>
      </c>
      <c r="G67" s="265">
        <f t="shared" si="0"/>
        <v>0</v>
      </c>
      <c r="H67" s="266">
        <f t="shared" si="1"/>
        <v>0</v>
      </c>
      <c r="I67" s="266">
        <f t="shared" si="3"/>
        <v>0</v>
      </c>
      <c r="J67" s="266">
        <f t="shared" si="4"/>
        <v>0</v>
      </c>
      <c r="K67" s="266"/>
      <c r="L67" s="267"/>
    </row>
    <row r="68" spans="1:12" ht="18" customHeight="1">
      <c r="A68" s="263">
        <v>66</v>
      </c>
      <c r="B68" s="269"/>
      <c r="C68" s="264"/>
      <c r="D68" s="264"/>
      <c r="E68" s="264" t="s">
        <v>2668</v>
      </c>
      <c r="F68" s="265">
        <v>1</v>
      </c>
      <c r="G68" s="265">
        <f t="shared" si="0"/>
        <v>0</v>
      </c>
      <c r="H68" s="266">
        <f t="shared" si="1"/>
        <v>0</v>
      </c>
      <c r="I68" s="266">
        <f t="shared" si="3"/>
        <v>0</v>
      </c>
      <c r="J68" s="266">
        <f t="shared" si="4"/>
        <v>0</v>
      </c>
      <c r="K68" s="266"/>
      <c r="L68" s="267"/>
    </row>
    <row r="69" spans="1:12" ht="18" customHeight="1">
      <c r="A69" s="263">
        <v>67</v>
      </c>
      <c r="B69" s="269"/>
      <c r="C69" s="264"/>
      <c r="D69" s="264"/>
      <c r="E69" s="264" t="s">
        <v>2668</v>
      </c>
      <c r="F69" s="265">
        <v>1</v>
      </c>
      <c r="G69" s="265">
        <f t="shared" ref="G69:G132" si="13">L69/F69/1.1</f>
        <v>0</v>
      </c>
      <c r="H69" s="266">
        <f t="shared" ref="H69:H132" si="14">F69*G69</f>
        <v>0</v>
      </c>
      <c r="I69" s="266">
        <f t="shared" si="3"/>
        <v>0</v>
      </c>
      <c r="J69" s="266">
        <f t="shared" si="4"/>
        <v>0</v>
      </c>
      <c r="K69" s="266"/>
      <c r="L69" s="267"/>
    </row>
    <row r="70" spans="1:12" ht="18" customHeight="1">
      <c r="A70" s="263">
        <v>68</v>
      </c>
      <c r="B70" s="269"/>
      <c r="C70" s="264"/>
      <c r="D70" s="264"/>
      <c r="E70" s="264" t="s">
        <v>2668</v>
      </c>
      <c r="F70" s="265">
        <v>1</v>
      </c>
      <c r="G70" s="265">
        <f t="shared" si="13"/>
        <v>0</v>
      </c>
      <c r="H70" s="266">
        <f t="shared" si="14"/>
        <v>0</v>
      </c>
      <c r="I70" s="266">
        <f t="shared" ref="I70:I133" si="15">H70*10%</f>
        <v>0</v>
      </c>
      <c r="J70" s="266">
        <f t="shared" ref="J70:J133" si="16">IF(E70="매출",F70*G70,0)</f>
        <v>0</v>
      </c>
      <c r="K70" s="266"/>
      <c r="L70" s="267"/>
    </row>
    <row r="71" spans="1:12" ht="18" customHeight="1">
      <c r="A71" s="263">
        <v>69</v>
      </c>
      <c r="B71" s="269"/>
      <c r="C71" s="264"/>
      <c r="D71" s="264"/>
      <c r="E71" s="264" t="s">
        <v>2668</v>
      </c>
      <c r="F71" s="265">
        <v>1</v>
      </c>
      <c r="G71" s="265">
        <f t="shared" si="13"/>
        <v>0</v>
      </c>
      <c r="H71" s="266">
        <f t="shared" si="14"/>
        <v>0</v>
      </c>
      <c r="I71" s="266">
        <f t="shared" si="15"/>
        <v>0</v>
      </c>
      <c r="J71" s="266">
        <f t="shared" si="16"/>
        <v>0</v>
      </c>
      <c r="K71" s="266">
        <f>J71*10%</f>
        <v>0</v>
      </c>
      <c r="L71" s="267"/>
    </row>
    <row r="72" spans="1:12" ht="18" customHeight="1">
      <c r="A72" s="263">
        <v>70</v>
      </c>
      <c r="B72" s="269"/>
      <c r="C72" s="264"/>
      <c r="D72" s="264"/>
      <c r="E72" s="264" t="s">
        <v>2668</v>
      </c>
      <c r="F72" s="265">
        <v>1</v>
      </c>
      <c r="G72" s="265">
        <f t="shared" si="13"/>
        <v>0</v>
      </c>
      <c r="H72" s="266">
        <f t="shared" si="14"/>
        <v>0</v>
      </c>
      <c r="I72" s="266">
        <f t="shared" si="15"/>
        <v>0</v>
      </c>
      <c r="J72" s="266">
        <f t="shared" si="16"/>
        <v>0</v>
      </c>
      <c r="K72" s="266"/>
      <c r="L72" s="267"/>
    </row>
    <row r="73" spans="1:12" ht="18" customHeight="1">
      <c r="A73" s="263">
        <v>71</v>
      </c>
      <c r="B73" s="269"/>
      <c r="C73" s="264"/>
      <c r="D73" s="264"/>
      <c r="E73" s="264" t="s">
        <v>2668</v>
      </c>
      <c r="F73" s="265">
        <v>1</v>
      </c>
      <c r="G73" s="265">
        <f t="shared" si="13"/>
        <v>0</v>
      </c>
      <c r="H73" s="266">
        <f t="shared" si="14"/>
        <v>0</v>
      </c>
      <c r="I73" s="266">
        <f t="shared" si="15"/>
        <v>0</v>
      </c>
      <c r="J73" s="266">
        <f t="shared" si="16"/>
        <v>0</v>
      </c>
      <c r="K73" s="266"/>
      <c r="L73" s="267"/>
    </row>
    <row r="74" spans="1:12" ht="18" customHeight="1">
      <c r="A74" s="263">
        <v>72</v>
      </c>
      <c r="B74" s="269"/>
      <c r="C74" s="264"/>
      <c r="D74" s="264"/>
      <c r="E74" s="264" t="s">
        <v>2668</v>
      </c>
      <c r="F74" s="265">
        <v>1</v>
      </c>
      <c r="G74" s="265">
        <f t="shared" si="13"/>
        <v>0</v>
      </c>
      <c r="H74" s="266">
        <f t="shared" si="14"/>
        <v>0</v>
      </c>
      <c r="I74" s="266">
        <f t="shared" si="15"/>
        <v>0</v>
      </c>
      <c r="J74" s="266">
        <f t="shared" si="16"/>
        <v>0</v>
      </c>
      <c r="K74" s="266"/>
      <c r="L74" s="267"/>
    </row>
    <row r="75" spans="1:12" ht="18" customHeight="1">
      <c r="A75" s="263">
        <v>73</v>
      </c>
      <c r="B75" s="269"/>
      <c r="C75" s="264"/>
      <c r="D75" s="264"/>
      <c r="E75" s="264" t="s">
        <v>2668</v>
      </c>
      <c r="F75" s="265">
        <v>1</v>
      </c>
      <c r="G75" s="265">
        <f t="shared" si="13"/>
        <v>0</v>
      </c>
      <c r="H75" s="266">
        <f t="shared" si="14"/>
        <v>0</v>
      </c>
      <c r="I75" s="266">
        <f t="shared" si="15"/>
        <v>0</v>
      </c>
      <c r="J75" s="266">
        <f t="shared" si="16"/>
        <v>0</v>
      </c>
      <c r="K75" s="266"/>
      <c r="L75" s="267"/>
    </row>
    <row r="76" spans="1:12" ht="18" customHeight="1">
      <c r="A76" s="263">
        <v>74</v>
      </c>
      <c r="B76" s="269"/>
      <c r="C76" s="264"/>
      <c r="D76" s="264"/>
      <c r="E76" s="264" t="s">
        <v>2668</v>
      </c>
      <c r="F76" s="265">
        <v>1</v>
      </c>
      <c r="G76" s="265">
        <f t="shared" si="13"/>
        <v>0</v>
      </c>
      <c r="H76" s="266">
        <f t="shared" si="14"/>
        <v>0</v>
      </c>
      <c r="I76" s="266">
        <f t="shared" si="15"/>
        <v>0</v>
      </c>
      <c r="J76" s="266">
        <f t="shared" si="16"/>
        <v>0</v>
      </c>
      <c r="K76" s="266"/>
      <c r="L76" s="267"/>
    </row>
    <row r="77" spans="1:12" ht="18" customHeight="1">
      <c r="A77" s="263">
        <v>75</v>
      </c>
      <c r="B77" s="269"/>
      <c r="C77" s="264"/>
      <c r="D77" s="264"/>
      <c r="E77" s="264" t="s">
        <v>2668</v>
      </c>
      <c r="F77" s="265">
        <v>1</v>
      </c>
      <c r="G77" s="265">
        <f t="shared" si="13"/>
        <v>0</v>
      </c>
      <c r="H77" s="266">
        <f t="shared" si="14"/>
        <v>0</v>
      </c>
      <c r="I77" s="266">
        <f t="shared" si="15"/>
        <v>0</v>
      </c>
      <c r="J77" s="266">
        <f t="shared" si="16"/>
        <v>0</v>
      </c>
      <c r="K77" s="266">
        <f>J77*10%</f>
        <v>0</v>
      </c>
      <c r="L77" s="267"/>
    </row>
    <row r="78" spans="1:12" ht="18" customHeight="1">
      <c r="A78" s="263">
        <v>76</v>
      </c>
      <c r="B78" s="269"/>
      <c r="C78" s="264"/>
      <c r="D78" s="264"/>
      <c r="E78" s="264" t="s">
        <v>2668</v>
      </c>
      <c r="F78" s="265">
        <v>1</v>
      </c>
      <c r="G78" s="265">
        <f t="shared" si="13"/>
        <v>0</v>
      </c>
      <c r="H78" s="266">
        <f t="shared" si="14"/>
        <v>0</v>
      </c>
      <c r="I78" s="266">
        <f t="shared" si="15"/>
        <v>0</v>
      </c>
      <c r="J78" s="266">
        <f t="shared" si="16"/>
        <v>0</v>
      </c>
      <c r="K78" s="266"/>
      <c r="L78" s="267"/>
    </row>
    <row r="79" spans="1:12" ht="18" customHeight="1">
      <c r="A79" s="263">
        <v>77</v>
      </c>
      <c r="B79" s="269"/>
      <c r="C79" s="264"/>
      <c r="D79" s="264"/>
      <c r="E79" s="264" t="s">
        <v>2668</v>
      </c>
      <c r="F79" s="265">
        <v>1</v>
      </c>
      <c r="G79" s="265">
        <f t="shared" si="13"/>
        <v>0</v>
      </c>
      <c r="H79" s="266">
        <f t="shared" si="14"/>
        <v>0</v>
      </c>
      <c r="I79" s="266">
        <f t="shared" si="15"/>
        <v>0</v>
      </c>
      <c r="J79" s="266">
        <f t="shared" si="16"/>
        <v>0</v>
      </c>
      <c r="K79" s="266"/>
      <c r="L79" s="267"/>
    </row>
    <row r="80" spans="1:12" ht="18" customHeight="1">
      <c r="A80" s="263">
        <v>78</v>
      </c>
      <c r="B80" s="269"/>
      <c r="C80" s="264"/>
      <c r="D80" s="264"/>
      <c r="E80" s="264" t="s">
        <v>2668</v>
      </c>
      <c r="F80" s="265">
        <v>1</v>
      </c>
      <c r="G80" s="265">
        <f t="shared" si="13"/>
        <v>0</v>
      </c>
      <c r="H80" s="266">
        <f t="shared" si="14"/>
        <v>0</v>
      </c>
      <c r="I80" s="266">
        <f t="shared" si="15"/>
        <v>0</v>
      </c>
      <c r="J80" s="266">
        <f t="shared" si="16"/>
        <v>0</v>
      </c>
      <c r="K80" s="266"/>
      <c r="L80" s="267"/>
    </row>
    <row r="81" spans="1:12" ht="18" customHeight="1">
      <c r="A81" s="263">
        <v>79</v>
      </c>
      <c r="B81" s="269"/>
      <c r="C81" s="264"/>
      <c r="D81" s="264"/>
      <c r="E81" s="264" t="s">
        <v>2668</v>
      </c>
      <c r="F81" s="265">
        <v>1</v>
      </c>
      <c r="G81" s="265">
        <f t="shared" si="13"/>
        <v>0</v>
      </c>
      <c r="H81" s="266">
        <f t="shared" si="14"/>
        <v>0</v>
      </c>
      <c r="I81" s="266">
        <f t="shared" si="15"/>
        <v>0</v>
      </c>
      <c r="J81" s="266">
        <f t="shared" si="16"/>
        <v>0</v>
      </c>
      <c r="K81" s="266"/>
      <c r="L81" s="267"/>
    </row>
    <row r="82" spans="1:12" ht="18" customHeight="1">
      <c r="A82" s="263">
        <v>80</v>
      </c>
      <c r="B82" s="269"/>
      <c r="C82" s="264"/>
      <c r="D82" s="264"/>
      <c r="E82" s="264" t="s">
        <v>2668</v>
      </c>
      <c r="F82" s="265">
        <v>1</v>
      </c>
      <c r="G82" s="265">
        <f t="shared" si="13"/>
        <v>0</v>
      </c>
      <c r="H82" s="266">
        <f t="shared" si="14"/>
        <v>0</v>
      </c>
      <c r="I82" s="266">
        <f t="shared" si="15"/>
        <v>0</v>
      </c>
      <c r="J82" s="266">
        <f t="shared" si="16"/>
        <v>0</v>
      </c>
      <c r="K82" s="266"/>
      <c r="L82" s="267"/>
    </row>
    <row r="83" spans="1:12" ht="18" customHeight="1">
      <c r="A83" s="263">
        <v>81</v>
      </c>
      <c r="B83" s="269"/>
      <c r="C83" s="264"/>
      <c r="D83" s="264"/>
      <c r="E83" s="264" t="s">
        <v>2668</v>
      </c>
      <c r="F83" s="265">
        <v>1</v>
      </c>
      <c r="G83" s="265">
        <f t="shared" si="13"/>
        <v>0</v>
      </c>
      <c r="H83" s="266">
        <f t="shared" si="14"/>
        <v>0</v>
      </c>
      <c r="I83" s="266">
        <f t="shared" si="15"/>
        <v>0</v>
      </c>
      <c r="J83" s="266">
        <f t="shared" si="16"/>
        <v>0</v>
      </c>
      <c r="K83" s="266">
        <f>J83*10%</f>
        <v>0</v>
      </c>
      <c r="L83" s="267"/>
    </row>
    <row r="84" spans="1:12" ht="18" customHeight="1">
      <c r="A84" s="263"/>
      <c r="B84" s="269"/>
      <c r="C84" s="264"/>
      <c r="D84" s="264"/>
      <c r="E84" s="264" t="s">
        <v>2668</v>
      </c>
      <c r="F84" s="265">
        <v>1</v>
      </c>
      <c r="G84" s="265">
        <f t="shared" si="13"/>
        <v>0</v>
      </c>
      <c r="H84" s="266">
        <f t="shared" si="14"/>
        <v>0</v>
      </c>
      <c r="I84" s="266">
        <f t="shared" si="15"/>
        <v>0</v>
      </c>
      <c r="J84" s="266">
        <f t="shared" si="16"/>
        <v>0</v>
      </c>
      <c r="K84" s="266"/>
      <c r="L84" s="267"/>
    </row>
    <row r="85" spans="1:12" ht="18" customHeight="1">
      <c r="A85" s="263"/>
      <c r="B85" s="269"/>
      <c r="C85" s="264"/>
      <c r="D85" s="264"/>
      <c r="E85" s="264" t="s">
        <v>2668</v>
      </c>
      <c r="F85" s="265">
        <v>1</v>
      </c>
      <c r="G85" s="265">
        <f t="shared" si="13"/>
        <v>0</v>
      </c>
      <c r="H85" s="266">
        <f t="shared" si="14"/>
        <v>0</v>
      </c>
      <c r="I85" s="266">
        <f t="shared" si="15"/>
        <v>0</v>
      </c>
      <c r="J85" s="266">
        <f t="shared" si="16"/>
        <v>0</v>
      </c>
      <c r="K85" s="266"/>
      <c r="L85" s="267"/>
    </row>
    <row r="86" spans="1:12" ht="18" customHeight="1">
      <c r="A86" s="263"/>
      <c r="B86" s="269"/>
      <c r="C86" s="264"/>
      <c r="D86" s="264"/>
      <c r="E86" s="264" t="s">
        <v>2668</v>
      </c>
      <c r="F86" s="265">
        <v>1</v>
      </c>
      <c r="G86" s="265">
        <f t="shared" si="13"/>
        <v>0</v>
      </c>
      <c r="H86" s="266">
        <f t="shared" si="14"/>
        <v>0</v>
      </c>
      <c r="I86" s="266">
        <f t="shared" si="15"/>
        <v>0</v>
      </c>
      <c r="J86" s="266">
        <f t="shared" si="16"/>
        <v>0</v>
      </c>
      <c r="K86" s="266"/>
      <c r="L86" s="267"/>
    </row>
    <row r="87" spans="1:12" ht="18" customHeight="1">
      <c r="A87" s="263"/>
      <c r="B87" s="269"/>
      <c r="C87" s="264"/>
      <c r="D87" s="264"/>
      <c r="E87" s="264" t="s">
        <v>2668</v>
      </c>
      <c r="F87" s="265">
        <v>1</v>
      </c>
      <c r="G87" s="265">
        <f t="shared" si="13"/>
        <v>0</v>
      </c>
      <c r="H87" s="266">
        <f t="shared" si="14"/>
        <v>0</v>
      </c>
      <c r="I87" s="266">
        <f t="shared" si="15"/>
        <v>0</v>
      </c>
      <c r="J87" s="266">
        <f t="shared" si="16"/>
        <v>0</v>
      </c>
      <c r="K87" s="266"/>
      <c r="L87" s="267"/>
    </row>
    <row r="88" spans="1:12" ht="18" customHeight="1">
      <c r="A88" s="263"/>
      <c r="B88" s="269"/>
      <c r="C88" s="264"/>
      <c r="D88" s="264"/>
      <c r="E88" s="264" t="s">
        <v>2668</v>
      </c>
      <c r="F88" s="265">
        <v>1</v>
      </c>
      <c r="G88" s="265">
        <f t="shared" si="13"/>
        <v>0</v>
      </c>
      <c r="H88" s="266">
        <f t="shared" si="14"/>
        <v>0</v>
      </c>
      <c r="I88" s="266">
        <f t="shared" si="15"/>
        <v>0</v>
      </c>
      <c r="J88" s="266">
        <f t="shared" si="16"/>
        <v>0</v>
      </c>
      <c r="K88" s="266"/>
      <c r="L88" s="267"/>
    </row>
    <row r="89" spans="1:12" ht="18" customHeight="1">
      <c r="A89" s="263"/>
      <c r="B89" s="269"/>
      <c r="C89" s="264"/>
      <c r="D89" s="264"/>
      <c r="E89" s="264" t="s">
        <v>2668</v>
      </c>
      <c r="F89" s="265">
        <v>1</v>
      </c>
      <c r="G89" s="265">
        <f t="shared" si="13"/>
        <v>0</v>
      </c>
      <c r="H89" s="266">
        <f t="shared" si="14"/>
        <v>0</v>
      </c>
      <c r="I89" s="266">
        <f t="shared" si="15"/>
        <v>0</v>
      </c>
      <c r="J89" s="266">
        <f t="shared" si="16"/>
        <v>0</v>
      </c>
      <c r="K89" s="266">
        <f>J89*10%</f>
        <v>0</v>
      </c>
      <c r="L89" s="267"/>
    </row>
    <row r="90" spans="1:12" ht="18" customHeight="1">
      <c r="A90" s="263"/>
      <c r="B90" s="269"/>
      <c r="C90" s="264"/>
      <c r="D90" s="264"/>
      <c r="E90" s="264" t="s">
        <v>2665</v>
      </c>
      <c r="F90" s="265">
        <v>1</v>
      </c>
      <c r="G90" s="265">
        <f t="shared" si="13"/>
        <v>0</v>
      </c>
      <c r="H90" s="266">
        <f t="shared" si="14"/>
        <v>0</v>
      </c>
      <c r="I90" s="266">
        <f t="shared" si="15"/>
        <v>0</v>
      </c>
      <c r="J90" s="266">
        <f t="shared" si="16"/>
        <v>0</v>
      </c>
      <c r="K90" s="266"/>
      <c r="L90" s="267"/>
    </row>
    <row r="91" spans="1:12" ht="18" customHeight="1">
      <c r="A91" s="263"/>
      <c r="B91" s="269"/>
      <c r="C91" s="264"/>
      <c r="D91" s="264"/>
      <c r="E91" s="264" t="s">
        <v>2668</v>
      </c>
      <c r="F91" s="265">
        <v>1</v>
      </c>
      <c r="G91" s="265">
        <f t="shared" si="13"/>
        <v>0</v>
      </c>
      <c r="H91" s="266">
        <f t="shared" si="14"/>
        <v>0</v>
      </c>
      <c r="I91" s="266">
        <f t="shared" si="15"/>
        <v>0</v>
      </c>
      <c r="J91" s="266">
        <f t="shared" si="16"/>
        <v>0</v>
      </c>
      <c r="K91" s="266"/>
      <c r="L91" s="267"/>
    </row>
    <row r="92" spans="1:12" ht="18" customHeight="1">
      <c r="A92" s="263"/>
      <c r="B92" s="269"/>
      <c r="C92" s="264"/>
      <c r="D92" s="264"/>
      <c r="E92" s="264" t="s">
        <v>2668</v>
      </c>
      <c r="F92" s="265">
        <v>1</v>
      </c>
      <c r="G92" s="265">
        <f t="shared" si="13"/>
        <v>0</v>
      </c>
      <c r="H92" s="266">
        <f t="shared" si="14"/>
        <v>0</v>
      </c>
      <c r="I92" s="266">
        <f t="shared" si="15"/>
        <v>0</v>
      </c>
      <c r="J92" s="266">
        <f t="shared" si="16"/>
        <v>0</v>
      </c>
      <c r="K92" s="266"/>
      <c r="L92" s="267"/>
    </row>
    <row r="93" spans="1:12" ht="18" customHeight="1">
      <c r="A93" s="263"/>
      <c r="B93" s="269"/>
      <c r="C93" s="264"/>
      <c r="D93" s="264"/>
      <c r="E93" s="264" t="s">
        <v>2668</v>
      </c>
      <c r="F93" s="265">
        <v>1</v>
      </c>
      <c r="G93" s="265">
        <f t="shared" si="13"/>
        <v>0</v>
      </c>
      <c r="H93" s="266">
        <f t="shared" si="14"/>
        <v>0</v>
      </c>
      <c r="I93" s="266">
        <f t="shared" si="15"/>
        <v>0</v>
      </c>
      <c r="J93" s="266">
        <f t="shared" si="16"/>
        <v>0</v>
      </c>
      <c r="K93" s="266"/>
      <c r="L93" s="267"/>
    </row>
    <row r="94" spans="1:12" ht="18" customHeight="1">
      <c r="A94" s="263"/>
      <c r="B94" s="269"/>
      <c r="C94" s="264"/>
      <c r="D94" s="264"/>
      <c r="E94" s="264" t="s">
        <v>2668</v>
      </c>
      <c r="F94" s="265">
        <v>1</v>
      </c>
      <c r="G94" s="265">
        <f t="shared" si="13"/>
        <v>0</v>
      </c>
      <c r="H94" s="266">
        <f t="shared" si="14"/>
        <v>0</v>
      </c>
      <c r="I94" s="266">
        <f t="shared" si="15"/>
        <v>0</v>
      </c>
      <c r="J94" s="266">
        <f t="shared" si="16"/>
        <v>0</v>
      </c>
      <c r="K94" s="266"/>
      <c r="L94" s="267"/>
    </row>
    <row r="95" spans="1:12" ht="18" customHeight="1">
      <c r="A95" s="263"/>
      <c r="B95" s="269"/>
      <c r="C95" s="264"/>
      <c r="D95" s="264"/>
      <c r="E95" s="264" t="s">
        <v>2668</v>
      </c>
      <c r="F95" s="265">
        <v>1</v>
      </c>
      <c r="G95" s="265">
        <f t="shared" si="13"/>
        <v>0</v>
      </c>
      <c r="H95" s="266">
        <f t="shared" si="14"/>
        <v>0</v>
      </c>
      <c r="I95" s="266">
        <f t="shared" si="15"/>
        <v>0</v>
      </c>
      <c r="J95" s="266">
        <f t="shared" si="16"/>
        <v>0</v>
      </c>
      <c r="K95" s="266">
        <f>J95*10%</f>
        <v>0</v>
      </c>
      <c r="L95" s="267"/>
    </row>
    <row r="96" spans="1:12" ht="18" customHeight="1">
      <c r="A96" s="263"/>
      <c r="B96" s="269"/>
      <c r="C96" s="264"/>
      <c r="D96" s="264"/>
      <c r="E96" s="264" t="s">
        <v>2668</v>
      </c>
      <c r="F96" s="265">
        <v>1</v>
      </c>
      <c r="G96" s="265">
        <f t="shared" si="13"/>
        <v>0</v>
      </c>
      <c r="H96" s="266">
        <f t="shared" si="14"/>
        <v>0</v>
      </c>
      <c r="I96" s="266">
        <f t="shared" si="15"/>
        <v>0</v>
      </c>
      <c r="J96" s="266">
        <f t="shared" si="16"/>
        <v>0</v>
      </c>
      <c r="K96" s="266"/>
      <c r="L96" s="267"/>
    </row>
    <row r="97" spans="1:12" ht="18" customHeight="1">
      <c r="A97" s="263"/>
      <c r="B97" s="269"/>
      <c r="C97" s="264"/>
      <c r="D97" s="264"/>
      <c r="E97" s="264" t="s">
        <v>2668</v>
      </c>
      <c r="F97" s="265">
        <v>1</v>
      </c>
      <c r="G97" s="265">
        <f t="shared" si="13"/>
        <v>0</v>
      </c>
      <c r="H97" s="266">
        <f t="shared" si="14"/>
        <v>0</v>
      </c>
      <c r="I97" s="266">
        <f t="shared" si="15"/>
        <v>0</v>
      </c>
      <c r="J97" s="266">
        <f t="shared" si="16"/>
        <v>0</v>
      </c>
      <c r="K97" s="266"/>
      <c r="L97" s="267"/>
    </row>
    <row r="98" spans="1:12" ht="18" customHeight="1">
      <c r="A98" s="263"/>
      <c r="B98" s="269"/>
      <c r="C98" s="264"/>
      <c r="D98" s="264"/>
      <c r="E98" s="264" t="s">
        <v>2668</v>
      </c>
      <c r="F98" s="265">
        <v>1</v>
      </c>
      <c r="G98" s="265">
        <f t="shared" si="13"/>
        <v>0</v>
      </c>
      <c r="H98" s="266">
        <f t="shared" si="14"/>
        <v>0</v>
      </c>
      <c r="I98" s="266">
        <f t="shared" si="15"/>
        <v>0</v>
      </c>
      <c r="J98" s="266">
        <f t="shared" si="16"/>
        <v>0</v>
      </c>
      <c r="K98" s="266"/>
      <c r="L98" s="267"/>
    </row>
    <row r="99" spans="1:12" ht="18" customHeight="1">
      <c r="A99" s="263"/>
      <c r="B99" s="269"/>
      <c r="C99" s="264"/>
      <c r="D99" s="264"/>
      <c r="E99" s="264" t="s">
        <v>2668</v>
      </c>
      <c r="F99" s="265">
        <v>1</v>
      </c>
      <c r="G99" s="265">
        <f t="shared" si="13"/>
        <v>0</v>
      </c>
      <c r="H99" s="266">
        <f t="shared" si="14"/>
        <v>0</v>
      </c>
      <c r="I99" s="266">
        <f t="shared" si="15"/>
        <v>0</v>
      </c>
      <c r="J99" s="266">
        <f t="shared" si="16"/>
        <v>0</v>
      </c>
      <c r="K99" s="266"/>
      <c r="L99" s="267"/>
    </row>
    <row r="100" spans="1:12" ht="18" customHeight="1">
      <c r="A100" s="263"/>
      <c r="B100" s="269"/>
      <c r="C100" s="264"/>
      <c r="D100" s="264"/>
      <c r="E100" s="264" t="s">
        <v>2668</v>
      </c>
      <c r="F100" s="265">
        <v>1</v>
      </c>
      <c r="G100" s="265">
        <f t="shared" si="13"/>
        <v>0</v>
      </c>
      <c r="H100" s="266">
        <f t="shared" si="14"/>
        <v>0</v>
      </c>
      <c r="I100" s="266">
        <f t="shared" si="15"/>
        <v>0</v>
      </c>
      <c r="J100" s="266">
        <f t="shared" si="16"/>
        <v>0</v>
      </c>
      <c r="K100" s="266"/>
      <c r="L100" s="267"/>
    </row>
    <row r="101" spans="1:12" ht="18" customHeight="1">
      <c r="A101" s="263"/>
      <c r="B101" s="269"/>
      <c r="C101" s="264"/>
      <c r="D101" s="264"/>
      <c r="E101" s="264" t="s">
        <v>2668</v>
      </c>
      <c r="F101" s="265">
        <v>1</v>
      </c>
      <c r="G101" s="265">
        <f t="shared" si="13"/>
        <v>0</v>
      </c>
      <c r="H101" s="266">
        <f t="shared" si="14"/>
        <v>0</v>
      </c>
      <c r="I101" s="266">
        <f t="shared" si="15"/>
        <v>0</v>
      </c>
      <c r="J101" s="266">
        <f t="shared" si="16"/>
        <v>0</v>
      </c>
      <c r="K101" s="266">
        <f>J101*10%</f>
        <v>0</v>
      </c>
      <c r="L101" s="267"/>
    </row>
    <row r="102" spans="1:12" ht="18" customHeight="1">
      <c r="A102" s="263"/>
      <c r="B102" s="269"/>
      <c r="C102" s="264"/>
      <c r="D102" s="264"/>
      <c r="E102" s="264" t="s">
        <v>2668</v>
      </c>
      <c r="F102" s="265">
        <v>1</v>
      </c>
      <c r="G102" s="265">
        <f t="shared" si="13"/>
        <v>0</v>
      </c>
      <c r="H102" s="266">
        <f t="shared" si="14"/>
        <v>0</v>
      </c>
      <c r="I102" s="266">
        <f t="shared" si="15"/>
        <v>0</v>
      </c>
      <c r="J102" s="266">
        <f t="shared" si="16"/>
        <v>0</v>
      </c>
      <c r="K102" s="266"/>
      <c r="L102" s="267"/>
    </row>
    <row r="103" spans="1:12" ht="18" customHeight="1">
      <c r="A103" s="263"/>
      <c r="B103" s="269"/>
      <c r="C103" s="264"/>
      <c r="D103" s="264"/>
      <c r="E103" s="264" t="s">
        <v>2668</v>
      </c>
      <c r="F103" s="265">
        <v>1</v>
      </c>
      <c r="G103" s="265">
        <f t="shared" si="13"/>
        <v>0</v>
      </c>
      <c r="H103" s="266">
        <f t="shared" si="14"/>
        <v>0</v>
      </c>
      <c r="I103" s="266">
        <f t="shared" si="15"/>
        <v>0</v>
      </c>
      <c r="J103" s="266">
        <f t="shared" si="16"/>
        <v>0</v>
      </c>
      <c r="K103" s="266"/>
      <c r="L103" s="267"/>
    </row>
    <row r="104" spans="1:12" ht="18" customHeight="1">
      <c r="A104" s="263"/>
      <c r="B104" s="269"/>
      <c r="C104" s="264"/>
      <c r="D104" s="264"/>
      <c r="E104" s="264" t="s">
        <v>2668</v>
      </c>
      <c r="F104" s="265">
        <v>1</v>
      </c>
      <c r="G104" s="265">
        <f t="shared" si="13"/>
        <v>0</v>
      </c>
      <c r="H104" s="266">
        <f t="shared" si="14"/>
        <v>0</v>
      </c>
      <c r="I104" s="266">
        <f t="shared" si="15"/>
        <v>0</v>
      </c>
      <c r="J104" s="266">
        <f t="shared" si="16"/>
        <v>0</v>
      </c>
      <c r="K104" s="266"/>
      <c r="L104" s="267"/>
    </row>
    <row r="105" spans="1:12" ht="18" customHeight="1">
      <c r="A105" s="263"/>
      <c r="B105" s="269"/>
      <c r="C105" s="264"/>
      <c r="D105" s="264"/>
      <c r="E105" s="264" t="s">
        <v>2668</v>
      </c>
      <c r="F105" s="265">
        <v>1</v>
      </c>
      <c r="G105" s="265">
        <f t="shared" si="13"/>
        <v>0</v>
      </c>
      <c r="H105" s="266">
        <f t="shared" si="14"/>
        <v>0</v>
      </c>
      <c r="I105" s="266">
        <f t="shared" si="15"/>
        <v>0</v>
      </c>
      <c r="J105" s="266">
        <f t="shared" si="16"/>
        <v>0</v>
      </c>
      <c r="K105" s="266"/>
      <c r="L105" s="267"/>
    </row>
    <row r="106" spans="1:12" ht="18" customHeight="1">
      <c r="A106" s="263"/>
      <c r="B106" s="269"/>
      <c r="C106" s="264"/>
      <c r="D106" s="264"/>
      <c r="E106" s="264" t="s">
        <v>2668</v>
      </c>
      <c r="F106" s="265">
        <v>1</v>
      </c>
      <c r="G106" s="265">
        <f t="shared" si="13"/>
        <v>0</v>
      </c>
      <c r="H106" s="266">
        <f t="shared" si="14"/>
        <v>0</v>
      </c>
      <c r="I106" s="266">
        <f t="shared" si="15"/>
        <v>0</v>
      </c>
      <c r="J106" s="266">
        <f t="shared" si="16"/>
        <v>0</v>
      </c>
      <c r="K106" s="266"/>
      <c r="L106" s="267"/>
    </row>
    <row r="107" spans="1:12" ht="18" customHeight="1">
      <c r="A107" s="263"/>
      <c r="B107" s="269"/>
      <c r="C107" s="264"/>
      <c r="D107" s="264"/>
      <c r="E107" s="264" t="s">
        <v>2668</v>
      </c>
      <c r="F107" s="265">
        <v>1</v>
      </c>
      <c r="G107" s="265">
        <f t="shared" si="13"/>
        <v>0</v>
      </c>
      <c r="H107" s="266">
        <f t="shared" si="14"/>
        <v>0</v>
      </c>
      <c r="I107" s="266">
        <f t="shared" si="15"/>
        <v>0</v>
      </c>
      <c r="J107" s="266">
        <f t="shared" si="16"/>
        <v>0</v>
      </c>
      <c r="K107" s="266">
        <f>J107*10%</f>
        <v>0</v>
      </c>
      <c r="L107" s="267"/>
    </row>
    <row r="108" spans="1:12" ht="18" customHeight="1">
      <c r="A108" s="263"/>
      <c r="B108" s="269"/>
      <c r="C108" s="264"/>
      <c r="D108" s="264"/>
      <c r="E108" s="264" t="s">
        <v>2668</v>
      </c>
      <c r="F108" s="265">
        <v>1</v>
      </c>
      <c r="G108" s="265">
        <f t="shared" si="13"/>
        <v>0</v>
      </c>
      <c r="H108" s="266">
        <f t="shared" si="14"/>
        <v>0</v>
      </c>
      <c r="I108" s="266">
        <f t="shared" si="15"/>
        <v>0</v>
      </c>
      <c r="J108" s="266">
        <f t="shared" si="16"/>
        <v>0</v>
      </c>
      <c r="K108" s="266"/>
      <c r="L108" s="267"/>
    </row>
    <row r="109" spans="1:12" ht="18" customHeight="1">
      <c r="A109" s="263"/>
      <c r="B109" s="269"/>
      <c r="C109" s="264"/>
      <c r="D109" s="264"/>
      <c r="E109" s="264" t="s">
        <v>2668</v>
      </c>
      <c r="F109" s="265">
        <v>1</v>
      </c>
      <c r="G109" s="265">
        <f t="shared" si="13"/>
        <v>0</v>
      </c>
      <c r="H109" s="266">
        <f t="shared" si="14"/>
        <v>0</v>
      </c>
      <c r="I109" s="266">
        <f t="shared" si="15"/>
        <v>0</v>
      </c>
      <c r="J109" s="266">
        <f t="shared" si="16"/>
        <v>0</v>
      </c>
      <c r="K109" s="266"/>
      <c r="L109" s="267"/>
    </row>
    <row r="110" spans="1:12" ht="18" customHeight="1">
      <c r="A110" s="263"/>
      <c r="B110" s="269"/>
      <c r="C110" s="264"/>
      <c r="D110" s="264"/>
      <c r="E110" s="264" t="s">
        <v>2668</v>
      </c>
      <c r="F110" s="265">
        <v>1</v>
      </c>
      <c r="G110" s="265">
        <f t="shared" si="13"/>
        <v>0</v>
      </c>
      <c r="H110" s="266">
        <f t="shared" si="14"/>
        <v>0</v>
      </c>
      <c r="I110" s="266">
        <f t="shared" si="15"/>
        <v>0</v>
      </c>
      <c r="J110" s="266">
        <f t="shared" si="16"/>
        <v>0</v>
      </c>
      <c r="K110" s="266"/>
      <c r="L110" s="267"/>
    </row>
    <row r="111" spans="1:12" ht="18" customHeight="1">
      <c r="A111" s="263"/>
      <c r="B111" s="269"/>
      <c r="C111" s="264"/>
      <c r="D111" s="264"/>
      <c r="E111" s="264" t="s">
        <v>2668</v>
      </c>
      <c r="F111" s="265">
        <v>1</v>
      </c>
      <c r="G111" s="265">
        <f t="shared" si="13"/>
        <v>0</v>
      </c>
      <c r="H111" s="266">
        <f t="shared" si="14"/>
        <v>0</v>
      </c>
      <c r="I111" s="266">
        <f t="shared" si="15"/>
        <v>0</v>
      </c>
      <c r="J111" s="266">
        <f t="shared" si="16"/>
        <v>0</v>
      </c>
      <c r="K111" s="266"/>
      <c r="L111" s="267"/>
    </row>
    <row r="112" spans="1:12" ht="18" customHeight="1">
      <c r="A112" s="263"/>
      <c r="B112" s="269"/>
      <c r="C112" s="264"/>
      <c r="D112" s="264"/>
      <c r="E112" s="264" t="s">
        <v>2668</v>
      </c>
      <c r="F112" s="265">
        <v>1</v>
      </c>
      <c r="G112" s="265">
        <f t="shared" si="13"/>
        <v>0</v>
      </c>
      <c r="H112" s="266">
        <f t="shared" si="14"/>
        <v>0</v>
      </c>
      <c r="I112" s="266">
        <f t="shared" si="15"/>
        <v>0</v>
      </c>
      <c r="J112" s="266">
        <f t="shared" si="16"/>
        <v>0</v>
      </c>
      <c r="K112" s="266"/>
      <c r="L112" s="267"/>
    </row>
    <row r="113" spans="1:12" ht="18" customHeight="1">
      <c r="A113" s="263"/>
      <c r="B113" s="269"/>
      <c r="C113" s="264"/>
      <c r="D113" s="264"/>
      <c r="E113" s="264" t="s">
        <v>2668</v>
      </c>
      <c r="F113" s="265">
        <v>1</v>
      </c>
      <c r="G113" s="265">
        <f t="shared" si="13"/>
        <v>0</v>
      </c>
      <c r="H113" s="266">
        <f t="shared" si="14"/>
        <v>0</v>
      </c>
      <c r="I113" s="266">
        <f t="shared" si="15"/>
        <v>0</v>
      </c>
      <c r="J113" s="266">
        <f t="shared" si="16"/>
        <v>0</v>
      </c>
      <c r="K113" s="266">
        <f>J113*10%</f>
        <v>0</v>
      </c>
      <c r="L113" s="267"/>
    </row>
    <row r="114" spans="1:12" ht="18" customHeight="1">
      <c r="A114" s="263"/>
      <c r="B114" s="269"/>
      <c r="C114" s="264"/>
      <c r="D114" s="264"/>
      <c r="E114" s="264" t="s">
        <v>2668</v>
      </c>
      <c r="F114" s="265">
        <v>1</v>
      </c>
      <c r="G114" s="265">
        <f t="shared" si="13"/>
        <v>0</v>
      </c>
      <c r="H114" s="266">
        <f t="shared" si="14"/>
        <v>0</v>
      </c>
      <c r="I114" s="266">
        <f t="shared" si="15"/>
        <v>0</v>
      </c>
      <c r="J114" s="266">
        <f t="shared" si="16"/>
        <v>0</v>
      </c>
      <c r="K114" s="266"/>
      <c r="L114" s="267"/>
    </row>
    <row r="115" spans="1:12" ht="18" customHeight="1">
      <c r="A115" s="263"/>
      <c r="B115" s="269"/>
      <c r="C115" s="264"/>
      <c r="D115" s="264"/>
      <c r="E115" s="264" t="s">
        <v>2668</v>
      </c>
      <c r="F115" s="265">
        <v>1</v>
      </c>
      <c r="G115" s="265">
        <f t="shared" si="13"/>
        <v>0</v>
      </c>
      <c r="H115" s="266">
        <f t="shared" si="14"/>
        <v>0</v>
      </c>
      <c r="I115" s="266">
        <f t="shared" si="15"/>
        <v>0</v>
      </c>
      <c r="J115" s="266">
        <f t="shared" si="16"/>
        <v>0</v>
      </c>
      <c r="K115" s="266"/>
      <c r="L115" s="267"/>
    </row>
    <row r="116" spans="1:12" ht="18" customHeight="1">
      <c r="A116" s="263"/>
      <c r="B116" s="269"/>
      <c r="C116" s="264"/>
      <c r="D116" s="264"/>
      <c r="E116" s="264" t="s">
        <v>2668</v>
      </c>
      <c r="F116" s="265">
        <v>1</v>
      </c>
      <c r="G116" s="265">
        <f t="shared" si="13"/>
        <v>0</v>
      </c>
      <c r="H116" s="266">
        <f t="shared" si="14"/>
        <v>0</v>
      </c>
      <c r="I116" s="266">
        <f t="shared" si="15"/>
        <v>0</v>
      </c>
      <c r="J116" s="266">
        <f t="shared" si="16"/>
        <v>0</v>
      </c>
      <c r="K116" s="266"/>
      <c r="L116" s="267"/>
    </row>
    <row r="117" spans="1:12" ht="18" customHeight="1">
      <c r="A117" s="263"/>
      <c r="B117" s="269"/>
      <c r="C117" s="264"/>
      <c r="D117" s="264"/>
      <c r="E117" s="264" t="s">
        <v>2668</v>
      </c>
      <c r="F117" s="265">
        <v>1</v>
      </c>
      <c r="G117" s="265">
        <f t="shared" si="13"/>
        <v>0</v>
      </c>
      <c r="H117" s="266">
        <f t="shared" si="14"/>
        <v>0</v>
      </c>
      <c r="I117" s="266">
        <f t="shared" si="15"/>
        <v>0</v>
      </c>
      <c r="J117" s="266">
        <f t="shared" si="16"/>
        <v>0</v>
      </c>
      <c r="K117" s="266"/>
      <c r="L117" s="267"/>
    </row>
    <row r="118" spans="1:12" ht="18" customHeight="1">
      <c r="A118" s="263"/>
      <c r="B118" s="269"/>
      <c r="C118" s="264"/>
      <c r="D118" s="264"/>
      <c r="E118" s="264" t="s">
        <v>2668</v>
      </c>
      <c r="F118" s="265">
        <v>1</v>
      </c>
      <c r="G118" s="265">
        <f t="shared" si="13"/>
        <v>0</v>
      </c>
      <c r="H118" s="266">
        <f t="shared" si="14"/>
        <v>0</v>
      </c>
      <c r="I118" s="266">
        <f t="shared" si="15"/>
        <v>0</v>
      </c>
      <c r="J118" s="266">
        <f t="shared" si="16"/>
        <v>0</v>
      </c>
      <c r="K118" s="266"/>
      <c r="L118" s="267"/>
    </row>
    <row r="119" spans="1:12" ht="18" customHeight="1">
      <c r="A119" s="263"/>
      <c r="B119" s="269"/>
      <c r="C119" s="264"/>
      <c r="D119" s="264"/>
      <c r="E119" s="264" t="s">
        <v>2668</v>
      </c>
      <c r="F119" s="265">
        <v>1</v>
      </c>
      <c r="G119" s="265">
        <f t="shared" si="13"/>
        <v>0</v>
      </c>
      <c r="H119" s="266">
        <f t="shared" si="14"/>
        <v>0</v>
      </c>
      <c r="I119" s="266">
        <f t="shared" si="15"/>
        <v>0</v>
      </c>
      <c r="J119" s="266">
        <f t="shared" si="16"/>
        <v>0</v>
      </c>
      <c r="K119" s="266">
        <f>J119*10%</f>
        <v>0</v>
      </c>
      <c r="L119" s="267"/>
    </row>
    <row r="120" spans="1:12" ht="18" customHeight="1">
      <c r="A120" s="263"/>
      <c r="B120" s="269"/>
      <c r="C120" s="264"/>
      <c r="D120" s="264"/>
      <c r="E120" s="264" t="s">
        <v>2668</v>
      </c>
      <c r="F120" s="265">
        <v>1</v>
      </c>
      <c r="G120" s="265">
        <f t="shared" si="13"/>
        <v>0</v>
      </c>
      <c r="H120" s="266">
        <f t="shared" si="14"/>
        <v>0</v>
      </c>
      <c r="I120" s="266">
        <f t="shared" si="15"/>
        <v>0</v>
      </c>
      <c r="J120" s="266">
        <f t="shared" si="16"/>
        <v>0</v>
      </c>
      <c r="K120" s="266"/>
      <c r="L120" s="267"/>
    </row>
    <row r="121" spans="1:12" ht="18" customHeight="1">
      <c r="A121" s="263"/>
      <c r="B121" s="269"/>
      <c r="C121" s="264"/>
      <c r="D121" s="264"/>
      <c r="E121" s="264" t="s">
        <v>2668</v>
      </c>
      <c r="F121" s="265">
        <v>1</v>
      </c>
      <c r="G121" s="265">
        <f t="shared" si="13"/>
        <v>0</v>
      </c>
      <c r="H121" s="266">
        <f t="shared" si="14"/>
        <v>0</v>
      </c>
      <c r="I121" s="266">
        <f t="shared" si="15"/>
        <v>0</v>
      </c>
      <c r="J121" s="266">
        <f t="shared" si="16"/>
        <v>0</v>
      </c>
      <c r="K121" s="266"/>
      <c r="L121" s="267"/>
    </row>
    <row r="122" spans="1:12" ht="18" customHeight="1">
      <c r="A122" s="263"/>
      <c r="B122" s="269"/>
      <c r="C122" s="264"/>
      <c r="D122" s="264"/>
      <c r="E122" s="264" t="s">
        <v>2668</v>
      </c>
      <c r="F122" s="265">
        <v>1</v>
      </c>
      <c r="G122" s="265">
        <f t="shared" si="13"/>
        <v>0</v>
      </c>
      <c r="H122" s="266">
        <f t="shared" si="14"/>
        <v>0</v>
      </c>
      <c r="I122" s="266">
        <f t="shared" si="15"/>
        <v>0</v>
      </c>
      <c r="J122" s="266">
        <f t="shared" si="16"/>
        <v>0</v>
      </c>
      <c r="K122" s="266"/>
      <c r="L122" s="267"/>
    </row>
    <row r="123" spans="1:12" ht="18" customHeight="1">
      <c r="A123" s="263"/>
      <c r="B123" s="269"/>
      <c r="C123" s="264"/>
      <c r="D123" s="264"/>
      <c r="E123" s="264" t="s">
        <v>2668</v>
      </c>
      <c r="F123" s="265">
        <v>1</v>
      </c>
      <c r="G123" s="265">
        <f t="shared" si="13"/>
        <v>0</v>
      </c>
      <c r="H123" s="266">
        <f t="shared" si="14"/>
        <v>0</v>
      </c>
      <c r="I123" s="266">
        <f t="shared" si="15"/>
        <v>0</v>
      </c>
      <c r="J123" s="266">
        <f t="shared" si="16"/>
        <v>0</v>
      </c>
      <c r="K123" s="266"/>
      <c r="L123" s="267"/>
    </row>
    <row r="124" spans="1:12" ht="18" customHeight="1">
      <c r="A124" s="263"/>
      <c r="B124" s="269"/>
      <c r="C124" s="264"/>
      <c r="D124" s="264"/>
      <c r="E124" s="264" t="s">
        <v>2668</v>
      </c>
      <c r="F124" s="265">
        <v>1</v>
      </c>
      <c r="G124" s="265">
        <f t="shared" si="13"/>
        <v>0</v>
      </c>
      <c r="H124" s="266">
        <f t="shared" si="14"/>
        <v>0</v>
      </c>
      <c r="I124" s="266">
        <f t="shared" si="15"/>
        <v>0</v>
      </c>
      <c r="J124" s="266">
        <f t="shared" si="16"/>
        <v>0</v>
      </c>
      <c r="K124" s="266"/>
      <c r="L124" s="267"/>
    </row>
    <row r="125" spans="1:12" ht="18" customHeight="1">
      <c r="A125" s="263"/>
      <c r="B125" s="269"/>
      <c r="C125" s="264"/>
      <c r="D125" s="264"/>
      <c r="E125" s="264" t="s">
        <v>2668</v>
      </c>
      <c r="F125" s="265">
        <v>1</v>
      </c>
      <c r="G125" s="265">
        <f t="shared" si="13"/>
        <v>0</v>
      </c>
      <c r="H125" s="266">
        <f t="shared" si="14"/>
        <v>0</v>
      </c>
      <c r="I125" s="266">
        <f t="shared" si="15"/>
        <v>0</v>
      </c>
      <c r="J125" s="266">
        <f t="shared" si="16"/>
        <v>0</v>
      </c>
      <c r="K125" s="266">
        <f>J125*10%</f>
        <v>0</v>
      </c>
      <c r="L125" s="267"/>
    </row>
    <row r="126" spans="1:12" ht="18" customHeight="1">
      <c r="A126" s="263"/>
      <c r="B126" s="269"/>
      <c r="C126" s="264"/>
      <c r="D126" s="264"/>
      <c r="E126" s="264" t="s">
        <v>2668</v>
      </c>
      <c r="F126" s="265">
        <v>1</v>
      </c>
      <c r="G126" s="265">
        <f t="shared" si="13"/>
        <v>0</v>
      </c>
      <c r="H126" s="266">
        <f t="shared" si="14"/>
        <v>0</v>
      </c>
      <c r="I126" s="266">
        <f t="shared" si="15"/>
        <v>0</v>
      </c>
      <c r="J126" s="266">
        <f t="shared" si="16"/>
        <v>0</v>
      </c>
      <c r="K126" s="266"/>
      <c r="L126" s="267"/>
    </row>
    <row r="127" spans="1:12" ht="18" customHeight="1">
      <c r="A127" s="263"/>
      <c r="B127" s="269"/>
      <c r="C127" s="264"/>
      <c r="D127" s="264"/>
      <c r="E127" s="264" t="s">
        <v>2668</v>
      </c>
      <c r="F127" s="265">
        <v>1</v>
      </c>
      <c r="G127" s="265">
        <f t="shared" si="13"/>
        <v>0</v>
      </c>
      <c r="H127" s="266">
        <f t="shared" si="14"/>
        <v>0</v>
      </c>
      <c r="I127" s="266">
        <f t="shared" si="15"/>
        <v>0</v>
      </c>
      <c r="J127" s="266">
        <f t="shared" si="16"/>
        <v>0</v>
      </c>
      <c r="K127" s="266"/>
      <c r="L127" s="267"/>
    </row>
    <row r="128" spans="1:12" ht="18" customHeight="1">
      <c r="A128" s="263"/>
      <c r="B128" s="269"/>
      <c r="C128" s="264"/>
      <c r="D128" s="264"/>
      <c r="E128" s="264" t="s">
        <v>2668</v>
      </c>
      <c r="F128" s="265">
        <v>1</v>
      </c>
      <c r="G128" s="265">
        <f t="shared" si="13"/>
        <v>0</v>
      </c>
      <c r="H128" s="266">
        <f t="shared" si="14"/>
        <v>0</v>
      </c>
      <c r="I128" s="266">
        <f t="shared" si="15"/>
        <v>0</v>
      </c>
      <c r="J128" s="266">
        <f t="shared" si="16"/>
        <v>0</v>
      </c>
      <c r="K128" s="266"/>
      <c r="L128" s="267"/>
    </row>
    <row r="129" spans="1:12" ht="18" customHeight="1">
      <c r="A129" s="263"/>
      <c r="B129" s="269"/>
      <c r="C129" s="264"/>
      <c r="D129" s="264"/>
      <c r="E129" s="264" t="s">
        <v>2668</v>
      </c>
      <c r="F129" s="265">
        <v>1</v>
      </c>
      <c r="G129" s="265">
        <f t="shared" si="13"/>
        <v>0</v>
      </c>
      <c r="H129" s="266">
        <f t="shared" si="14"/>
        <v>0</v>
      </c>
      <c r="I129" s="266">
        <f t="shared" si="15"/>
        <v>0</v>
      </c>
      <c r="J129" s="266">
        <f t="shared" si="16"/>
        <v>0</v>
      </c>
      <c r="K129" s="266"/>
      <c r="L129" s="267"/>
    </row>
    <row r="130" spans="1:12" ht="18" customHeight="1">
      <c r="A130" s="263"/>
      <c r="B130" s="269"/>
      <c r="C130" s="264"/>
      <c r="D130" s="264"/>
      <c r="E130" s="264" t="s">
        <v>2668</v>
      </c>
      <c r="F130" s="265">
        <v>1</v>
      </c>
      <c r="G130" s="265">
        <f t="shared" si="13"/>
        <v>0</v>
      </c>
      <c r="H130" s="266">
        <f t="shared" si="14"/>
        <v>0</v>
      </c>
      <c r="I130" s="266">
        <f t="shared" si="15"/>
        <v>0</v>
      </c>
      <c r="J130" s="266">
        <f t="shared" si="16"/>
        <v>0</v>
      </c>
      <c r="K130" s="266"/>
      <c r="L130" s="267"/>
    </row>
    <row r="131" spans="1:12" ht="18" customHeight="1">
      <c r="A131" s="263"/>
      <c r="B131" s="269"/>
      <c r="C131" s="264"/>
      <c r="D131" s="264"/>
      <c r="E131" s="264" t="s">
        <v>2668</v>
      </c>
      <c r="F131" s="265">
        <v>1</v>
      </c>
      <c r="G131" s="265">
        <f t="shared" si="13"/>
        <v>0</v>
      </c>
      <c r="H131" s="266">
        <f t="shared" si="14"/>
        <v>0</v>
      </c>
      <c r="I131" s="266">
        <f t="shared" si="15"/>
        <v>0</v>
      </c>
      <c r="J131" s="266">
        <f t="shared" si="16"/>
        <v>0</v>
      </c>
      <c r="K131" s="266">
        <f>J131*10%</f>
        <v>0</v>
      </c>
      <c r="L131" s="267"/>
    </row>
    <row r="132" spans="1:12" ht="18" customHeight="1">
      <c r="A132" s="263"/>
      <c r="B132" s="269"/>
      <c r="C132" s="264"/>
      <c r="D132" s="264"/>
      <c r="E132" s="264" t="s">
        <v>2668</v>
      </c>
      <c r="F132" s="265">
        <v>1</v>
      </c>
      <c r="G132" s="265">
        <f t="shared" si="13"/>
        <v>0</v>
      </c>
      <c r="H132" s="266">
        <f t="shared" si="14"/>
        <v>0</v>
      </c>
      <c r="I132" s="266">
        <f t="shared" si="15"/>
        <v>0</v>
      </c>
      <c r="J132" s="266">
        <f t="shared" si="16"/>
        <v>0</v>
      </c>
      <c r="K132" s="266"/>
      <c r="L132" s="267"/>
    </row>
    <row r="133" spans="1:12" ht="18" customHeight="1">
      <c r="A133" s="263"/>
      <c r="B133" s="269"/>
      <c r="C133" s="264"/>
      <c r="D133" s="264"/>
      <c r="E133" s="264" t="s">
        <v>2668</v>
      </c>
      <c r="F133" s="265">
        <v>1</v>
      </c>
      <c r="G133" s="265">
        <f t="shared" ref="G133:G149" si="17">L133/F133/1.1</f>
        <v>0</v>
      </c>
      <c r="H133" s="266">
        <f t="shared" ref="H133:H149" si="18">F133*G133</f>
        <v>0</v>
      </c>
      <c r="I133" s="266">
        <f t="shared" si="15"/>
        <v>0</v>
      </c>
      <c r="J133" s="266">
        <f t="shared" si="16"/>
        <v>0</v>
      </c>
      <c r="K133" s="266"/>
      <c r="L133" s="267"/>
    </row>
    <row r="134" spans="1:12" ht="18" customHeight="1">
      <c r="A134" s="263"/>
      <c r="B134" s="269"/>
      <c r="C134" s="264"/>
      <c r="D134" s="264"/>
      <c r="E134" s="264" t="s">
        <v>2668</v>
      </c>
      <c r="F134" s="265">
        <v>1</v>
      </c>
      <c r="G134" s="265">
        <f t="shared" si="17"/>
        <v>0</v>
      </c>
      <c r="H134" s="266">
        <f t="shared" si="18"/>
        <v>0</v>
      </c>
      <c r="I134" s="266">
        <f t="shared" ref="I134:I149" si="19">H134*10%</f>
        <v>0</v>
      </c>
      <c r="J134" s="266">
        <f t="shared" ref="J134:J149" si="20">IF(E134="매출",F134*G134,0)</f>
        <v>0</v>
      </c>
      <c r="K134" s="266"/>
      <c r="L134" s="267"/>
    </row>
    <row r="135" spans="1:12" ht="18" customHeight="1">
      <c r="A135" s="263"/>
      <c r="B135" s="269"/>
      <c r="C135" s="264"/>
      <c r="D135" s="264"/>
      <c r="E135" s="264" t="s">
        <v>2668</v>
      </c>
      <c r="F135" s="265">
        <v>1</v>
      </c>
      <c r="G135" s="265">
        <f t="shared" si="17"/>
        <v>0</v>
      </c>
      <c r="H135" s="266">
        <f t="shared" si="18"/>
        <v>0</v>
      </c>
      <c r="I135" s="266">
        <f t="shared" si="19"/>
        <v>0</v>
      </c>
      <c r="J135" s="266">
        <f t="shared" si="20"/>
        <v>0</v>
      </c>
      <c r="K135" s="266"/>
      <c r="L135" s="267"/>
    </row>
    <row r="136" spans="1:12" ht="18" customHeight="1">
      <c r="A136" s="263"/>
      <c r="B136" s="269"/>
      <c r="C136" s="264"/>
      <c r="D136" s="264"/>
      <c r="E136" s="264"/>
      <c r="F136" s="265"/>
      <c r="G136" s="265" t="e">
        <f t="shared" si="17"/>
        <v>#DIV/0!</v>
      </c>
      <c r="H136" s="266" t="e">
        <f t="shared" si="18"/>
        <v>#DIV/0!</v>
      </c>
      <c r="I136" s="266" t="e">
        <f t="shared" si="19"/>
        <v>#DIV/0!</v>
      </c>
      <c r="J136" s="266">
        <f t="shared" si="20"/>
        <v>0</v>
      </c>
      <c r="K136" s="266"/>
      <c r="L136" s="267"/>
    </row>
    <row r="137" spans="1:12" ht="18" customHeight="1">
      <c r="A137" s="263"/>
      <c r="B137" s="269"/>
      <c r="C137" s="264"/>
      <c r="D137" s="264"/>
      <c r="E137" s="264"/>
      <c r="F137" s="265"/>
      <c r="G137" s="265" t="e">
        <f t="shared" si="17"/>
        <v>#DIV/0!</v>
      </c>
      <c r="H137" s="266" t="e">
        <f t="shared" si="18"/>
        <v>#DIV/0!</v>
      </c>
      <c r="I137" s="266" t="e">
        <f t="shared" si="19"/>
        <v>#DIV/0!</v>
      </c>
      <c r="J137" s="266">
        <f t="shared" si="20"/>
        <v>0</v>
      </c>
      <c r="K137" s="266">
        <f>J137*10%</f>
        <v>0</v>
      </c>
      <c r="L137" s="267"/>
    </row>
    <row r="138" spans="1:12" ht="18" customHeight="1">
      <c r="A138" s="263"/>
      <c r="B138" s="269"/>
      <c r="C138" s="264"/>
      <c r="D138" s="264"/>
      <c r="E138" s="264"/>
      <c r="F138" s="265"/>
      <c r="G138" s="265" t="e">
        <f t="shared" si="17"/>
        <v>#DIV/0!</v>
      </c>
      <c r="H138" s="266" t="e">
        <f t="shared" si="18"/>
        <v>#DIV/0!</v>
      </c>
      <c r="I138" s="266" t="e">
        <f t="shared" si="19"/>
        <v>#DIV/0!</v>
      </c>
      <c r="J138" s="266">
        <f t="shared" si="20"/>
        <v>0</v>
      </c>
      <c r="K138" s="266"/>
      <c r="L138" s="267"/>
    </row>
    <row r="139" spans="1:12" ht="18" customHeight="1">
      <c r="A139" s="263"/>
      <c r="B139" s="269"/>
      <c r="C139" s="264"/>
      <c r="D139" s="264"/>
      <c r="E139" s="264"/>
      <c r="F139" s="265"/>
      <c r="G139" s="265" t="e">
        <f t="shared" si="17"/>
        <v>#DIV/0!</v>
      </c>
      <c r="H139" s="266" t="e">
        <f t="shared" si="18"/>
        <v>#DIV/0!</v>
      </c>
      <c r="I139" s="266" t="e">
        <f t="shared" si="19"/>
        <v>#DIV/0!</v>
      </c>
      <c r="J139" s="266">
        <f t="shared" si="20"/>
        <v>0</v>
      </c>
      <c r="K139" s="266"/>
      <c r="L139" s="267"/>
    </row>
    <row r="140" spans="1:12" ht="18" customHeight="1">
      <c r="A140" s="263"/>
      <c r="B140" s="269"/>
      <c r="C140" s="264"/>
      <c r="D140" s="264"/>
      <c r="E140" s="264"/>
      <c r="F140" s="265"/>
      <c r="G140" s="265" t="e">
        <f t="shared" si="17"/>
        <v>#DIV/0!</v>
      </c>
      <c r="H140" s="266" t="e">
        <f t="shared" si="18"/>
        <v>#DIV/0!</v>
      </c>
      <c r="I140" s="266" t="e">
        <f t="shared" si="19"/>
        <v>#DIV/0!</v>
      </c>
      <c r="J140" s="266">
        <f t="shared" si="20"/>
        <v>0</v>
      </c>
      <c r="K140" s="266"/>
      <c r="L140" s="267"/>
    </row>
    <row r="141" spans="1:12" ht="18" customHeight="1">
      <c r="A141" s="263"/>
      <c r="B141" s="269"/>
      <c r="C141" s="264"/>
      <c r="D141" s="264"/>
      <c r="E141" s="264"/>
      <c r="F141" s="265"/>
      <c r="G141" s="265" t="e">
        <f t="shared" si="17"/>
        <v>#DIV/0!</v>
      </c>
      <c r="H141" s="266" t="e">
        <f t="shared" si="18"/>
        <v>#DIV/0!</v>
      </c>
      <c r="I141" s="266" t="e">
        <f t="shared" si="19"/>
        <v>#DIV/0!</v>
      </c>
      <c r="J141" s="266">
        <f t="shared" si="20"/>
        <v>0</v>
      </c>
      <c r="K141" s="266"/>
      <c r="L141" s="267"/>
    </row>
    <row r="142" spans="1:12" ht="18" customHeight="1">
      <c r="A142" s="263"/>
      <c r="B142" s="269"/>
      <c r="C142" s="264"/>
      <c r="D142" s="264"/>
      <c r="E142" s="264"/>
      <c r="F142" s="265"/>
      <c r="G142" s="265" t="e">
        <f t="shared" si="17"/>
        <v>#DIV/0!</v>
      </c>
      <c r="H142" s="266" t="e">
        <f t="shared" si="18"/>
        <v>#DIV/0!</v>
      </c>
      <c r="I142" s="266" t="e">
        <f t="shared" si="19"/>
        <v>#DIV/0!</v>
      </c>
      <c r="J142" s="266">
        <f t="shared" si="20"/>
        <v>0</v>
      </c>
      <c r="K142" s="266"/>
      <c r="L142" s="267"/>
    </row>
    <row r="143" spans="1:12" ht="18" customHeight="1">
      <c r="A143" s="263"/>
      <c r="B143" s="269"/>
      <c r="C143" s="264"/>
      <c r="D143" s="264"/>
      <c r="E143" s="264"/>
      <c r="F143" s="265"/>
      <c r="G143" s="265" t="e">
        <f t="shared" si="17"/>
        <v>#DIV/0!</v>
      </c>
      <c r="H143" s="266" t="e">
        <f t="shared" si="18"/>
        <v>#DIV/0!</v>
      </c>
      <c r="I143" s="266" t="e">
        <f t="shared" si="19"/>
        <v>#DIV/0!</v>
      </c>
      <c r="J143" s="266">
        <f t="shared" si="20"/>
        <v>0</v>
      </c>
      <c r="K143" s="266">
        <f>J143*10%</f>
        <v>0</v>
      </c>
      <c r="L143" s="267"/>
    </row>
    <row r="144" spans="1:12" ht="18" customHeight="1">
      <c r="A144" s="263"/>
      <c r="B144" s="269"/>
      <c r="C144" s="264"/>
      <c r="D144" s="264"/>
      <c r="E144" s="264"/>
      <c r="F144" s="265"/>
      <c r="G144" s="265" t="e">
        <f t="shared" si="17"/>
        <v>#DIV/0!</v>
      </c>
      <c r="H144" s="266" t="e">
        <f t="shared" si="18"/>
        <v>#DIV/0!</v>
      </c>
      <c r="I144" s="266" t="e">
        <f t="shared" si="19"/>
        <v>#DIV/0!</v>
      </c>
      <c r="J144" s="266">
        <f t="shared" si="20"/>
        <v>0</v>
      </c>
      <c r="K144" s="266"/>
      <c r="L144" s="267"/>
    </row>
    <row r="145" spans="1:12" ht="18" customHeight="1">
      <c r="A145" s="263"/>
      <c r="B145" s="269"/>
      <c r="C145" s="264"/>
      <c r="D145" s="264"/>
      <c r="E145" s="264"/>
      <c r="F145" s="265"/>
      <c r="G145" s="265" t="e">
        <f t="shared" si="17"/>
        <v>#DIV/0!</v>
      </c>
      <c r="H145" s="266" t="e">
        <f t="shared" si="18"/>
        <v>#DIV/0!</v>
      </c>
      <c r="I145" s="266" t="e">
        <f t="shared" si="19"/>
        <v>#DIV/0!</v>
      </c>
      <c r="J145" s="266">
        <f t="shared" si="20"/>
        <v>0</v>
      </c>
      <c r="K145" s="266"/>
      <c r="L145" s="267"/>
    </row>
    <row r="146" spans="1:12" ht="18" customHeight="1">
      <c r="A146" s="263"/>
      <c r="B146" s="269"/>
      <c r="C146" s="264"/>
      <c r="D146" s="264"/>
      <c r="E146" s="264"/>
      <c r="F146" s="265"/>
      <c r="G146" s="265" t="e">
        <f t="shared" si="17"/>
        <v>#DIV/0!</v>
      </c>
      <c r="H146" s="266" t="e">
        <f t="shared" si="18"/>
        <v>#DIV/0!</v>
      </c>
      <c r="I146" s="266" t="e">
        <f t="shared" si="19"/>
        <v>#DIV/0!</v>
      </c>
      <c r="J146" s="266">
        <f t="shared" si="20"/>
        <v>0</v>
      </c>
      <c r="K146" s="266"/>
      <c r="L146" s="267"/>
    </row>
    <row r="147" spans="1:12" ht="18" customHeight="1">
      <c r="A147" s="263"/>
      <c r="B147" s="269"/>
      <c r="C147" s="264"/>
      <c r="D147" s="264"/>
      <c r="E147" s="264"/>
      <c r="F147" s="265"/>
      <c r="G147" s="265" t="e">
        <f t="shared" si="17"/>
        <v>#DIV/0!</v>
      </c>
      <c r="H147" s="266" t="e">
        <f t="shared" si="18"/>
        <v>#DIV/0!</v>
      </c>
      <c r="I147" s="266" t="e">
        <f t="shared" si="19"/>
        <v>#DIV/0!</v>
      </c>
      <c r="J147" s="266">
        <f t="shared" si="20"/>
        <v>0</v>
      </c>
      <c r="K147" s="266"/>
      <c r="L147" s="267"/>
    </row>
    <row r="148" spans="1:12" ht="18" customHeight="1">
      <c r="A148" s="263"/>
      <c r="B148" s="269"/>
      <c r="C148" s="264"/>
      <c r="D148" s="264"/>
      <c r="E148" s="264"/>
      <c r="F148" s="265"/>
      <c r="G148" s="265" t="e">
        <f t="shared" si="17"/>
        <v>#DIV/0!</v>
      </c>
      <c r="H148" s="266" t="e">
        <f t="shared" si="18"/>
        <v>#DIV/0!</v>
      </c>
      <c r="I148" s="266" t="e">
        <f t="shared" si="19"/>
        <v>#DIV/0!</v>
      </c>
      <c r="J148" s="266">
        <f t="shared" si="20"/>
        <v>0</v>
      </c>
      <c r="K148" s="266"/>
      <c r="L148" s="267"/>
    </row>
    <row r="149" spans="1:12" ht="18" customHeight="1">
      <c r="A149" s="263"/>
      <c r="B149" s="269"/>
      <c r="C149" s="264"/>
      <c r="D149" s="264"/>
      <c r="E149" s="264"/>
      <c r="F149" s="265"/>
      <c r="G149" s="265" t="e">
        <f t="shared" si="17"/>
        <v>#DIV/0!</v>
      </c>
      <c r="H149" s="266" t="e">
        <f t="shared" si="18"/>
        <v>#DIV/0!</v>
      </c>
      <c r="I149" s="266" t="e">
        <f t="shared" si="19"/>
        <v>#DIV/0!</v>
      </c>
      <c r="J149" s="266">
        <f t="shared" si="20"/>
        <v>0</v>
      </c>
      <c r="K149" s="266">
        <f>J149*10%</f>
        <v>0</v>
      </c>
      <c r="L149" s="267"/>
    </row>
    <row r="150" spans="1:12" ht="37.5" customHeight="1">
      <c r="A150" s="263"/>
      <c r="B150" s="446" t="s">
        <v>2686</v>
      </c>
      <c r="C150" s="446"/>
      <c r="D150" s="446"/>
      <c r="E150" s="446"/>
      <c r="F150" s="446"/>
      <c r="G150" s="446"/>
      <c r="H150" s="268" t="e">
        <f>SUM(H3:H149)</f>
        <v>#DIV/0!</v>
      </c>
      <c r="I150" s="268" t="e">
        <f>SUM(I3:I149)</f>
        <v>#DIV/0!</v>
      </c>
      <c r="J150" s="268">
        <f>SUM(J3:J149)</f>
        <v>0</v>
      </c>
      <c r="K150" s="268">
        <f>SUM(K3:K149)</f>
        <v>0</v>
      </c>
      <c r="L150" s="267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</row>
    <row r="2" spans="1:18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</row>
    <row r="3" spans="1:18" ht="15.95" customHeight="1">
      <c r="A3" s="246">
        <v>45825</v>
      </c>
      <c r="B3" s="247" t="s">
        <v>1162</v>
      </c>
      <c r="C3" s="248">
        <f>SUMIF($B:$B,A3,I:I)</f>
        <v>0</v>
      </c>
      <c r="D3" s="249" t="s">
        <v>1148</v>
      </c>
      <c r="E3" s="248">
        <f ca="1">SUMIF($B:$B,TODAY(),E:E)</f>
        <v>0</v>
      </c>
      <c r="F3" s="259" t="s">
        <v>2653</v>
      </c>
      <c r="G3" s="248">
        <f>SUMIF($D:$D,"*schaeffler*",I:I)</f>
        <v>0</v>
      </c>
      <c r="H3" s="251"/>
      <c r="I3" s="252"/>
      <c r="J3" s="75"/>
      <c r="K3" s="75"/>
      <c r="L3" s="73"/>
      <c r="M3" s="73"/>
    </row>
    <row r="4" spans="1:18" ht="15.95" customHeight="1">
      <c r="A4" s="253">
        <f>MONTH(A3)</f>
        <v>6</v>
      </c>
      <c r="B4" s="247" t="s">
        <v>1163</v>
      </c>
      <c r="C4" s="248">
        <f>SUMIFS($I:$I,$B:$B,"&gt;="&amp;DATE(A5,A4,1),$B:$B,"&lt;="&amp;EOMONTH(DATE(A5,A4,1),0))</f>
        <v>0</v>
      </c>
      <c r="D4" s="250"/>
      <c r="E4" s="254"/>
      <c r="F4" s="259" t="s">
        <v>2654</v>
      </c>
      <c r="G4" s="248">
        <f>SUMIF($D:$D,"*schaeffler*",E:E)</f>
        <v>0</v>
      </c>
      <c r="H4" s="256"/>
      <c r="I4" s="252"/>
      <c r="J4" s="75"/>
      <c r="K4" s="75"/>
      <c r="L4" s="73"/>
      <c r="M4" s="73"/>
    </row>
    <row r="5" spans="1:18" ht="15.95" customHeight="1">
      <c r="A5" s="260">
        <f>YEAR(A3)</f>
        <v>2025</v>
      </c>
      <c r="B5" s="247" t="s">
        <v>1164</v>
      </c>
      <c r="C5" s="248">
        <f>SUMIFS($I:$I,$B:$B,"&gt;="&amp;DATE(A5,A4,1),$B:$B,"&lt;="&amp;EOMONTH(DATE(A5,A4,1),0))</f>
        <v>0</v>
      </c>
      <c r="D5" s="257"/>
      <c r="E5" s="254"/>
      <c r="F5" s="255"/>
      <c r="G5" s="254"/>
      <c r="H5" s="256"/>
      <c r="I5" s="252"/>
      <c r="J5" s="75"/>
      <c r="K5" s="75"/>
      <c r="L5" s="73"/>
      <c r="M5" s="73"/>
    </row>
    <row r="6" spans="1:18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</row>
    <row r="7" spans="1:18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2" t="s">
        <v>2</v>
      </c>
      <c r="B8" s="83" t="s">
        <v>14</v>
      </c>
      <c r="C8" s="83" t="s">
        <v>1204</v>
      </c>
      <c r="D8" s="83" t="s">
        <v>2687</v>
      </c>
      <c r="E8" s="84" t="s">
        <v>40</v>
      </c>
      <c r="F8" s="131" t="s">
        <v>47</v>
      </c>
      <c r="G8" s="84" t="s">
        <v>55</v>
      </c>
      <c r="H8" s="131" t="s">
        <v>47</v>
      </c>
      <c r="I8" s="131" t="s">
        <v>1676</v>
      </c>
      <c r="J8" s="131" t="s">
        <v>2688</v>
      </c>
      <c r="K8" s="84" t="s">
        <v>1676</v>
      </c>
      <c r="L8" s="84" t="s">
        <v>2688</v>
      </c>
      <c r="O8" s="54"/>
      <c r="P8" s="54"/>
      <c r="Q8" s="54"/>
      <c r="R8" s="54"/>
    </row>
    <row r="9" spans="1:18" ht="18" customHeight="1">
      <c r="A9" s="98"/>
      <c r="B9" s="103"/>
      <c r="C9" s="93"/>
      <c r="D9" s="124"/>
      <c r="E9" s="87"/>
      <c r="F9" s="236"/>
      <c r="H9" s="140"/>
      <c r="K9" s="88"/>
      <c r="L9" s="89"/>
      <c r="O9" s="54"/>
      <c r="P9" s="54"/>
      <c r="Q9" s="54"/>
      <c r="R9" s="54"/>
    </row>
    <row r="10" spans="1:18" ht="18" customHeight="1">
      <c r="A10" s="98"/>
      <c r="B10" s="103"/>
      <c r="C10" s="93"/>
      <c r="D10" s="124"/>
      <c r="E10" s="87"/>
      <c r="F10" s="236"/>
      <c r="H10" s="140"/>
      <c r="K10" s="88"/>
      <c r="L10" s="89"/>
      <c r="O10" s="54"/>
      <c r="P10" s="54"/>
      <c r="Q10" s="54"/>
      <c r="R10" s="54"/>
    </row>
    <row r="11" spans="1:18" ht="18" customHeight="1">
      <c r="A11" s="98"/>
      <c r="B11" s="103"/>
      <c r="C11" s="93"/>
      <c r="D11" s="124"/>
      <c r="E11" s="87"/>
      <c r="F11" s="236"/>
      <c r="H11" s="140"/>
      <c r="K11" s="88"/>
      <c r="L11" s="89"/>
      <c r="O11" s="54"/>
      <c r="P11" s="54"/>
      <c r="Q11" s="54"/>
      <c r="R11" s="54"/>
    </row>
    <row r="12" spans="1:18" ht="18" customHeight="1">
      <c r="A12" s="98"/>
      <c r="B12" s="103"/>
      <c r="C12" s="93"/>
      <c r="D12" s="124"/>
      <c r="E12" s="87"/>
      <c r="F12" s="236"/>
      <c r="H12" s="140"/>
      <c r="K12" s="88"/>
      <c r="L12" s="89"/>
      <c r="O12" s="54"/>
      <c r="P12" s="54"/>
      <c r="Q12" s="54"/>
      <c r="R12" s="54"/>
    </row>
    <row r="13" spans="1:18" ht="18" customHeight="1">
      <c r="A13" s="98"/>
      <c r="B13" s="103"/>
      <c r="C13" s="93"/>
      <c r="D13" s="124"/>
      <c r="E13" s="86"/>
      <c r="F13" s="88"/>
      <c r="K13" s="88"/>
      <c r="O13" s="54"/>
      <c r="P13" s="54"/>
      <c r="Q13" s="54"/>
      <c r="R13" s="54"/>
    </row>
    <row r="14" spans="1:18" ht="18" customHeight="1">
      <c r="A14" s="98"/>
      <c r="B14" s="103"/>
      <c r="C14" s="93"/>
      <c r="D14" s="124"/>
      <c r="E14" s="87"/>
      <c r="F14" s="236"/>
      <c r="H14" s="140"/>
      <c r="K14" s="88"/>
      <c r="L14" s="89"/>
      <c r="O14" s="54"/>
      <c r="P14" s="54"/>
      <c r="Q14" s="54"/>
      <c r="R14" s="54"/>
    </row>
    <row r="15" spans="1:18" ht="18" customHeight="1">
      <c r="A15" s="98"/>
      <c r="B15" s="103"/>
      <c r="C15" s="93"/>
      <c r="D15" s="124"/>
      <c r="E15" s="86"/>
      <c r="F15" s="88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8"/>
      <c r="B17" s="103"/>
      <c r="C17" s="93"/>
      <c r="D17" s="124"/>
      <c r="E17" s="86"/>
      <c r="F17" s="88"/>
      <c r="O17" s="54"/>
      <c r="P17" s="54"/>
      <c r="Q17" s="54"/>
      <c r="R17" s="54"/>
    </row>
    <row r="18" spans="1:18" s="74" customFormat="1" ht="18" customHeight="1">
      <c r="A18" s="98"/>
      <c r="B18" s="103"/>
      <c r="C18" s="93"/>
      <c r="D18" s="124"/>
      <c r="E18" s="87"/>
      <c r="F18" s="236"/>
      <c r="G18" s="93"/>
      <c r="H18" s="140"/>
      <c r="I18" s="88"/>
      <c r="J18" s="88"/>
      <c r="K18" s="88"/>
      <c r="L18" s="89"/>
      <c r="M18" s="75"/>
      <c r="N18" s="73"/>
      <c r="O18" s="54"/>
      <c r="P18" s="54"/>
      <c r="Q18" s="54"/>
      <c r="R18" s="54"/>
    </row>
    <row r="19" spans="1:18" s="74" customFormat="1" ht="18" customHeight="1">
      <c r="A19" s="98"/>
      <c r="B19" s="103"/>
      <c r="C19" s="93"/>
      <c r="D19" s="124"/>
      <c r="E19" s="86"/>
      <c r="F19" s="88"/>
      <c r="G19" s="93"/>
      <c r="H19" s="138"/>
      <c r="I19" s="88"/>
      <c r="J19" s="88"/>
      <c r="K19" s="86"/>
      <c r="L19" s="86"/>
      <c r="M19" s="75"/>
      <c r="N19" s="73"/>
      <c r="O19" s="54"/>
      <c r="P19" s="54"/>
      <c r="Q19" s="54"/>
      <c r="R19" s="54"/>
    </row>
    <row r="20" spans="1:18" s="74" customFormat="1" ht="18" customHeight="1">
      <c r="A20" s="98"/>
      <c r="B20" s="103"/>
      <c r="C20" s="93"/>
      <c r="D20" s="124"/>
      <c r="E20" s="87"/>
      <c r="F20" s="236"/>
      <c r="G20" s="93"/>
      <c r="H20" s="140"/>
      <c r="I20" s="88"/>
      <c r="J20" s="88"/>
      <c r="K20" s="88"/>
      <c r="L20" s="89"/>
      <c r="M20" s="75"/>
      <c r="N20" s="73"/>
      <c r="O20" s="54"/>
      <c r="P20" s="54"/>
      <c r="Q20" s="54"/>
      <c r="R20" s="54"/>
    </row>
    <row r="21" spans="1:18" s="74" customFormat="1" ht="18" customHeight="1">
      <c r="A21" s="98"/>
      <c r="B21" s="103"/>
      <c r="C21" s="93"/>
      <c r="D21" s="124"/>
      <c r="E21" s="87"/>
      <c r="F21" s="236"/>
      <c r="G21" s="93"/>
      <c r="H21" s="140"/>
      <c r="I21" s="88"/>
      <c r="J21" s="88"/>
      <c r="K21" s="88"/>
      <c r="L21" s="89"/>
      <c r="M21" s="75"/>
      <c r="N21" s="73"/>
      <c r="O21" s="54"/>
      <c r="P21" s="54"/>
      <c r="Q21" s="54"/>
    </row>
    <row r="22" spans="1:18" s="74" customFormat="1" ht="18" customHeight="1">
      <c r="A22" s="98"/>
      <c r="B22" s="103"/>
      <c r="C22" s="93"/>
      <c r="D22" s="124"/>
      <c r="E22" s="86"/>
      <c r="F22" s="88"/>
      <c r="G22" s="93"/>
      <c r="H22" s="138"/>
      <c r="I22" s="88"/>
      <c r="J22" s="88"/>
      <c r="K22" s="88"/>
      <c r="L22" s="86"/>
      <c r="M22" s="75"/>
      <c r="N22" s="73"/>
    </row>
    <row r="23" spans="1:18" s="74" customFormat="1" ht="18" customHeight="1">
      <c r="A23" s="98"/>
      <c r="B23" s="103"/>
      <c r="C23" s="93"/>
      <c r="D23" s="124"/>
      <c r="E23" s="86"/>
      <c r="F23" s="88"/>
      <c r="G23" s="93"/>
      <c r="H23" s="138"/>
      <c r="I23" s="88"/>
      <c r="J23" s="88"/>
      <c r="K23" s="88"/>
      <c r="L23" s="86"/>
      <c r="M23" s="75"/>
      <c r="N23" s="73"/>
    </row>
    <row r="24" spans="1:18" s="74" customFormat="1" ht="18" customHeight="1">
      <c r="A24" s="98"/>
      <c r="B24" s="103"/>
      <c r="C24" s="93"/>
      <c r="D24" s="124"/>
      <c r="E24" s="86"/>
      <c r="F24" s="88"/>
      <c r="G24" s="93"/>
      <c r="H24" s="138"/>
      <c r="I24" s="88"/>
      <c r="J24" s="88"/>
      <c r="K24" s="86"/>
      <c r="L24" s="86"/>
      <c r="M24" s="75"/>
      <c r="N24" s="73"/>
    </row>
    <row r="25" spans="1:18" ht="18" customHeight="1">
      <c r="A25" s="98"/>
      <c r="B25" s="103"/>
      <c r="C25" s="93"/>
      <c r="D25" s="124"/>
      <c r="E25" s="86"/>
      <c r="F25" s="88"/>
    </row>
    <row r="26" spans="1:18" ht="18" customHeight="1">
      <c r="A26" s="98"/>
      <c r="B26" s="103"/>
      <c r="C26" s="93"/>
      <c r="D26" s="124"/>
      <c r="E26" s="86"/>
      <c r="F26" s="88"/>
    </row>
    <row r="27" spans="1:18" ht="18" customHeight="1">
      <c r="A27" s="98"/>
      <c r="B27" s="103"/>
      <c r="C27" s="93"/>
      <c r="D27" s="124"/>
      <c r="E27" s="86"/>
      <c r="F27" s="88"/>
    </row>
    <row r="28" spans="1:18" ht="18" customHeight="1">
      <c r="A28" s="98"/>
      <c r="B28" s="103"/>
      <c r="C28" s="93"/>
      <c r="D28" s="124"/>
      <c r="E28" s="86"/>
      <c r="F28" s="88"/>
    </row>
    <row r="29" spans="1:18" ht="18" customHeight="1">
      <c r="A29" s="98"/>
      <c r="B29" s="103"/>
      <c r="C29" s="93"/>
      <c r="D29" s="124"/>
      <c r="E29" s="86"/>
      <c r="F29" s="88"/>
    </row>
    <row r="30" spans="1:18" ht="18" customHeight="1">
      <c r="A30" s="98"/>
      <c r="B30" s="103"/>
      <c r="C30" s="93"/>
      <c r="D30" s="124"/>
      <c r="E30" s="86"/>
      <c r="F30" s="88"/>
    </row>
    <row r="31" spans="1:18" ht="18" customHeight="1">
      <c r="A31" s="98"/>
      <c r="B31" s="103"/>
      <c r="C31" s="93"/>
      <c r="D31" s="124"/>
      <c r="E31" s="86"/>
      <c r="F31" s="88"/>
    </row>
    <row r="32" spans="1:18" ht="18" customHeight="1">
      <c r="A32" s="98"/>
      <c r="B32" s="103"/>
      <c r="C32" s="93"/>
      <c r="D32" s="124"/>
      <c r="E32" s="86"/>
      <c r="F32" s="88"/>
    </row>
    <row r="33" spans="1:12" ht="18" customHeight="1">
      <c r="A33" s="98"/>
      <c r="B33" s="103"/>
      <c r="C33" s="93"/>
      <c r="D33" s="124"/>
      <c r="E33" s="87"/>
      <c r="F33" s="236"/>
      <c r="H33" s="140"/>
      <c r="K33" s="88"/>
      <c r="L33" s="89"/>
    </row>
    <row r="42" spans="1:12" ht="18" customHeight="1">
      <c r="B42" s="103"/>
      <c r="C42" s="93"/>
      <c r="D42" s="124"/>
      <c r="E42" s="86"/>
      <c r="F42" s="88"/>
    </row>
    <row r="43" spans="1:12" ht="18" customHeight="1">
      <c r="A43" s="98"/>
      <c r="B43" s="103"/>
      <c r="C43" s="93"/>
      <c r="D43" s="124"/>
      <c r="E43" s="87"/>
      <c r="F43" s="236"/>
      <c r="H43" s="140"/>
      <c r="K43" s="88"/>
      <c r="L43" s="89"/>
    </row>
    <row r="44" spans="1:12" ht="18" customHeight="1">
      <c r="B44" s="103"/>
      <c r="C44" s="93"/>
      <c r="D44" s="124"/>
      <c r="E44" s="86"/>
      <c r="F44" s="88"/>
    </row>
    <row r="45" spans="1:12" ht="18" customHeight="1">
      <c r="B45" s="103"/>
      <c r="C45" s="93"/>
      <c r="D45" s="124"/>
      <c r="E45" s="86"/>
      <c r="F45" s="88"/>
    </row>
    <row r="46" spans="1:12" ht="18" customHeight="1">
      <c r="A46" s="98"/>
      <c r="B46" s="103"/>
      <c r="C46" s="93"/>
      <c r="D46" s="124"/>
      <c r="E46" s="86"/>
      <c r="F46" s="88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2" ht="18" customHeight="1">
      <c r="F97" s="88"/>
      <c r="G97" s="132"/>
      <c r="L97" s="132"/>
    </row>
    <row r="98" spans="6:12" ht="18" customHeight="1">
      <c r="F98" s="88"/>
      <c r="G98" s="132"/>
      <c r="L98" s="132"/>
    </row>
    <row r="99" spans="6:12" ht="18" customHeight="1">
      <c r="F99" s="88"/>
      <c r="G99" s="132"/>
      <c r="L99" s="132"/>
    </row>
    <row r="100" spans="6:12" ht="18" customHeight="1">
      <c r="F100" s="88"/>
      <c r="G100" s="132"/>
      <c r="L100" s="132"/>
    </row>
    <row r="101" spans="6:12" ht="18" customHeight="1">
      <c r="F101" s="88"/>
      <c r="G101" s="132"/>
      <c r="L101" s="132"/>
    </row>
    <row r="102" spans="6:12" ht="18" customHeight="1">
      <c r="F102" s="88"/>
      <c r="G102" s="132"/>
      <c r="L102" s="132"/>
    </row>
    <row r="103" spans="6:12" ht="18" customHeight="1">
      <c r="F103" s="88"/>
      <c r="G103" s="132"/>
      <c r="L103" s="132"/>
    </row>
    <row r="104" spans="6:12" ht="18" customHeight="1">
      <c r="F104" s="88"/>
      <c r="G104" s="132"/>
      <c r="L104" s="132"/>
    </row>
    <row r="105" spans="6:12" ht="18" customHeight="1">
      <c r="F105" s="88"/>
      <c r="G105" s="132"/>
      <c r="L105" s="132"/>
    </row>
    <row r="106" spans="6:12" ht="18" customHeight="1">
      <c r="F106" s="88"/>
      <c r="G106" s="132"/>
      <c r="L106" s="132"/>
    </row>
    <row r="107" spans="6:12" ht="18" customHeight="1">
      <c r="F107" s="88"/>
      <c r="G107" s="132"/>
      <c r="L107" s="132"/>
    </row>
    <row r="108" spans="6:12" ht="18" customHeight="1">
      <c r="F108" s="88"/>
      <c r="G108" s="132"/>
      <c r="L108" s="132"/>
    </row>
    <row r="109" spans="6:12" ht="18" customHeight="1">
      <c r="F109" s="88"/>
      <c r="G109" s="132"/>
      <c r="L109" s="132"/>
    </row>
    <row r="110" spans="6:12" ht="18" customHeight="1">
      <c r="F110" s="88"/>
      <c r="G110" s="132"/>
      <c r="L110" s="132"/>
    </row>
    <row r="111" spans="6:12" ht="18" customHeight="1">
      <c r="F111" s="88"/>
      <c r="G111" s="132"/>
      <c r="L111" s="132"/>
    </row>
    <row r="112" spans="6:12" ht="18" customHeight="1">
      <c r="F112" s="88"/>
      <c r="G112" s="132"/>
      <c r="L112" s="132"/>
    </row>
    <row r="113" spans="6:12" ht="18" customHeight="1">
      <c r="F113" s="88"/>
      <c r="G113" s="132"/>
      <c r="L113" s="132"/>
    </row>
    <row r="114" spans="6:12" ht="18" customHeight="1">
      <c r="F114" s="88"/>
      <c r="G114" s="132"/>
      <c r="L114" s="132"/>
    </row>
    <row r="115" spans="6:12" ht="18" customHeight="1">
      <c r="F115" s="88"/>
      <c r="G115" s="132"/>
      <c r="L115" s="132"/>
    </row>
    <row r="116" spans="6:12" ht="18" customHeight="1">
      <c r="F116" s="88"/>
      <c r="G116" s="132"/>
      <c r="L116" s="132"/>
    </row>
    <row r="117" spans="6:12" ht="18" customHeight="1">
      <c r="F117" s="88"/>
      <c r="G117" s="132"/>
      <c r="L117" s="132"/>
    </row>
    <row r="118" spans="6:12" ht="18" customHeight="1">
      <c r="F118" s="88"/>
      <c r="G118" s="132"/>
      <c r="L118" s="132"/>
    </row>
    <row r="119" spans="6:12" ht="18" customHeight="1">
      <c r="F119" s="88"/>
      <c r="G119" s="132"/>
      <c r="L119" s="132"/>
    </row>
    <row r="120" spans="6:12" ht="18" customHeight="1">
      <c r="F120" s="88"/>
      <c r="G120" s="132"/>
      <c r="L120" s="132"/>
    </row>
    <row r="121" spans="6:12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5">
        <v>1</v>
      </c>
    </row>
    <row r="2" spans="1:2">
      <c r="A2" t="s">
        <v>2085</v>
      </c>
    </row>
    <row r="3" spans="1:2">
      <c r="A3" t="s">
        <v>2087</v>
      </c>
    </row>
    <row r="4" spans="1:2">
      <c r="A4" t="s">
        <v>2088</v>
      </c>
    </row>
    <row r="5" spans="1:2">
      <c r="A5" t="s">
        <v>2089</v>
      </c>
    </row>
    <row r="6" spans="1:2">
      <c r="A6" t="s">
        <v>2091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3"/>
      <c r="B1" s="324"/>
      <c r="C1" s="324"/>
      <c r="D1" s="324"/>
      <c r="E1" s="324"/>
      <c r="F1" s="324"/>
      <c r="G1" s="324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25" t="s">
        <v>1235</v>
      </c>
      <c r="R1" s="325"/>
      <c r="S1" s="433"/>
      <c r="T1" s="433"/>
      <c r="U1" s="434"/>
    </row>
    <row r="2" spans="1:21">
      <c r="A2" s="303" t="s">
        <v>71</v>
      </c>
      <c r="B2" s="304"/>
      <c r="C2" s="305" t="s">
        <v>2322</v>
      </c>
      <c r="D2" s="306"/>
      <c r="E2" s="306"/>
      <c r="F2" s="306"/>
      <c r="G2" s="307"/>
      <c r="H2" s="305" t="s">
        <v>82</v>
      </c>
      <c r="I2" s="306"/>
      <c r="J2" s="306"/>
      <c r="K2" s="306"/>
      <c r="L2" s="306"/>
      <c r="M2" s="306"/>
      <c r="N2" s="306"/>
      <c r="O2" s="307"/>
      <c r="P2" s="308" t="s">
        <v>69</v>
      </c>
      <c r="Q2" s="309"/>
      <c r="R2" s="309"/>
      <c r="S2" s="304"/>
      <c r="T2" s="310">
        <v>45804</v>
      </c>
      <c r="U2" s="311"/>
    </row>
    <row r="3" spans="1:21" ht="24" customHeight="1">
      <c r="A3" s="378" t="s">
        <v>1203</v>
      </c>
      <c r="B3" s="37" t="s">
        <v>65</v>
      </c>
      <c r="C3" s="500" t="s">
        <v>1587</v>
      </c>
      <c r="D3" s="501"/>
      <c r="E3" s="501"/>
      <c r="F3" s="501"/>
      <c r="G3" s="501"/>
      <c r="H3" s="501"/>
      <c r="I3" s="501"/>
      <c r="J3" s="502"/>
      <c r="K3" s="384" t="s">
        <v>1204</v>
      </c>
      <c r="L3" s="37" t="s">
        <v>65</v>
      </c>
      <c r="M3" s="486" t="s">
        <v>971</v>
      </c>
      <c r="N3" s="487"/>
      <c r="O3" s="487"/>
      <c r="P3" s="487"/>
      <c r="Q3" s="487"/>
      <c r="R3" s="487"/>
      <c r="S3" s="487"/>
      <c r="T3" s="487"/>
      <c r="U3" s="488"/>
    </row>
    <row r="4" spans="1:21" ht="24.95" customHeight="1">
      <c r="A4" s="379"/>
      <c r="B4" s="37" t="s">
        <v>67</v>
      </c>
      <c r="C4" s="430"/>
      <c r="D4" s="431"/>
      <c r="E4" s="431"/>
      <c r="F4" s="431"/>
      <c r="G4" s="431"/>
      <c r="H4" s="431"/>
      <c r="I4" s="431"/>
      <c r="J4" s="432"/>
      <c r="K4" s="385"/>
      <c r="L4" s="37" t="s">
        <v>67</v>
      </c>
      <c r="M4" s="393" t="s">
        <v>969</v>
      </c>
      <c r="N4" s="394"/>
      <c r="O4" s="394"/>
      <c r="P4" s="394"/>
      <c r="Q4" s="394"/>
      <c r="R4" s="395"/>
      <c r="S4" s="38" t="s">
        <v>68</v>
      </c>
      <c r="T4" s="466" t="s">
        <v>79</v>
      </c>
      <c r="U4" s="467"/>
    </row>
    <row r="5" spans="1:21" ht="15.75" customHeight="1">
      <c r="A5" s="379"/>
      <c r="B5" s="38" t="s">
        <v>66</v>
      </c>
      <c r="C5" s="393" t="s">
        <v>1116</v>
      </c>
      <c r="D5" s="394"/>
      <c r="E5" s="394"/>
      <c r="F5" s="394"/>
      <c r="G5" s="394"/>
      <c r="H5" s="394"/>
      <c r="I5" s="394"/>
      <c r="J5" s="395"/>
      <c r="K5" s="385"/>
      <c r="L5" s="38" t="s">
        <v>66</v>
      </c>
      <c r="M5" s="393" t="s">
        <v>80</v>
      </c>
      <c r="N5" s="394"/>
      <c r="O5" s="394"/>
      <c r="P5" s="394"/>
      <c r="Q5" s="394"/>
      <c r="R5" s="394"/>
      <c r="S5" s="394"/>
      <c r="T5" s="394"/>
      <c r="U5" s="396"/>
    </row>
    <row r="6" spans="1:21" ht="15.75" customHeight="1">
      <c r="A6" s="380"/>
      <c r="B6" s="38" t="s">
        <v>81</v>
      </c>
      <c r="C6" s="393" t="s">
        <v>1115</v>
      </c>
      <c r="D6" s="394"/>
      <c r="E6" s="394"/>
      <c r="F6" s="394"/>
      <c r="G6" s="394"/>
      <c r="H6" s="394"/>
      <c r="I6" s="394"/>
      <c r="J6" s="395"/>
      <c r="K6" s="386"/>
      <c r="L6" s="38" t="s">
        <v>81</v>
      </c>
      <c r="M6" s="393" t="s">
        <v>72</v>
      </c>
      <c r="N6" s="394"/>
      <c r="O6" s="394"/>
      <c r="P6" s="394"/>
      <c r="Q6" s="394"/>
      <c r="R6" s="395"/>
      <c r="S6" s="38" t="s">
        <v>26</v>
      </c>
      <c r="T6" s="393" t="s">
        <v>981</v>
      </c>
      <c r="U6" s="396"/>
    </row>
    <row r="7" spans="1:21" ht="15.75" customHeight="1">
      <c r="A7" s="312" t="s">
        <v>76</v>
      </c>
      <c r="B7" s="313"/>
      <c r="C7" s="313"/>
      <c r="D7" s="313"/>
      <c r="E7" s="375"/>
      <c r="F7" s="376" t="s">
        <v>84</v>
      </c>
      <c r="G7" s="313"/>
      <c r="H7" s="313"/>
      <c r="I7" s="375"/>
      <c r="J7" s="376" t="s">
        <v>73</v>
      </c>
      <c r="K7" s="375"/>
      <c r="L7" s="376" t="s">
        <v>47</v>
      </c>
      <c r="M7" s="313"/>
      <c r="N7" s="313"/>
      <c r="O7" s="313"/>
      <c r="P7" s="375"/>
      <c r="Q7" s="376" t="s">
        <v>74</v>
      </c>
      <c r="R7" s="313"/>
      <c r="S7" s="375"/>
      <c r="T7" s="376" t="s">
        <v>75</v>
      </c>
      <c r="U7" s="377"/>
    </row>
    <row r="8" spans="1:21" ht="15" customHeight="1">
      <c r="A8" s="503" t="s">
        <v>1167</v>
      </c>
      <c r="B8" s="504"/>
      <c r="C8" s="504"/>
      <c r="D8" s="504"/>
      <c r="E8" s="505"/>
      <c r="F8" s="506"/>
      <c r="G8" s="504"/>
      <c r="H8" s="504"/>
      <c r="I8" s="505"/>
      <c r="J8" s="422">
        <v>1</v>
      </c>
      <c r="K8" s="421"/>
      <c r="L8" s="507">
        <v>1000000</v>
      </c>
      <c r="M8" s="508"/>
      <c r="N8" s="508"/>
      <c r="O8" s="508"/>
      <c r="P8" s="509"/>
      <c r="Q8" s="507">
        <v>1000000</v>
      </c>
      <c r="R8" s="508"/>
      <c r="S8" s="509"/>
      <c r="T8" s="426"/>
      <c r="U8" s="427"/>
    </row>
    <row r="9" spans="1:21" ht="15" customHeight="1">
      <c r="A9" s="493"/>
      <c r="B9" s="494"/>
      <c r="C9" s="494"/>
      <c r="D9" s="494"/>
      <c r="E9" s="495"/>
      <c r="F9" s="496"/>
      <c r="G9" s="494"/>
      <c r="H9" s="494"/>
      <c r="I9" s="495"/>
      <c r="J9" s="411"/>
      <c r="K9" s="410"/>
      <c r="L9" s="490"/>
      <c r="M9" s="491"/>
      <c r="N9" s="491"/>
      <c r="O9" s="491"/>
      <c r="P9" s="492"/>
      <c r="Q9" s="490"/>
      <c r="R9" s="491"/>
      <c r="S9" s="492"/>
      <c r="T9" s="415"/>
      <c r="U9" s="416"/>
    </row>
    <row r="10" spans="1:21" ht="15" customHeight="1">
      <c r="A10" s="493"/>
      <c r="B10" s="494"/>
      <c r="C10" s="494"/>
      <c r="D10" s="494"/>
      <c r="E10" s="495"/>
      <c r="F10" s="496"/>
      <c r="G10" s="494"/>
      <c r="H10" s="494"/>
      <c r="I10" s="495"/>
      <c r="J10" s="411"/>
      <c r="K10" s="410"/>
      <c r="L10" s="490"/>
      <c r="M10" s="491"/>
      <c r="N10" s="491"/>
      <c r="O10" s="491"/>
      <c r="P10" s="492"/>
      <c r="Q10" s="490"/>
      <c r="R10" s="491"/>
      <c r="S10" s="492"/>
      <c r="T10" s="415"/>
      <c r="U10" s="416"/>
    </row>
    <row r="11" spans="1:21" ht="15" customHeight="1">
      <c r="A11" s="493"/>
      <c r="B11" s="494"/>
      <c r="C11" s="494"/>
      <c r="D11" s="494"/>
      <c r="E11" s="495"/>
      <c r="F11" s="496"/>
      <c r="G11" s="494"/>
      <c r="H11" s="494"/>
      <c r="I11" s="495"/>
      <c r="J11" s="411"/>
      <c r="K11" s="410"/>
      <c r="L11" s="490"/>
      <c r="M11" s="491"/>
      <c r="N11" s="491"/>
      <c r="O11" s="491"/>
      <c r="P11" s="492"/>
      <c r="Q11" s="490"/>
      <c r="R11" s="491"/>
      <c r="S11" s="492"/>
      <c r="T11" s="415"/>
      <c r="U11" s="416"/>
    </row>
    <row r="12" spans="1:21" ht="15" customHeight="1">
      <c r="A12" s="493"/>
      <c r="B12" s="494"/>
      <c r="C12" s="494"/>
      <c r="D12" s="494"/>
      <c r="E12" s="495"/>
      <c r="F12" s="496"/>
      <c r="G12" s="494"/>
      <c r="H12" s="494"/>
      <c r="I12" s="495"/>
      <c r="J12" s="411"/>
      <c r="K12" s="410"/>
      <c r="L12" s="490"/>
      <c r="M12" s="491"/>
      <c r="N12" s="491"/>
      <c r="O12" s="491"/>
      <c r="P12" s="492"/>
      <c r="Q12" s="490"/>
      <c r="R12" s="491"/>
      <c r="S12" s="492"/>
      <c r="T12" s="415"/>
      <c r="U12" s="416"/>
    </row>
    <row r="13" spans="1:21" ht="15" customHeight="1">
      <c r="A13" s="493"/>
      <c r="B13" s="494"/>
      <c r="C13" s="494"/>
      <c r="D13" s="494"/>
      <c r="E13" s="495"/>
      <c r="F13" s="497"/>
      <c r="G13" s="498"/>
      <c r="H13" s="498"/>
      <c r="I13" s="499"/>
      <c r="J13" s="411"/>
      <c r="K13" s="410"/>
      <c r="L13" s="490"/>
      <c r="M13" s="491"/>
      <c r="N13" s="491"/>
      <c r="O13" s="491"/>
      <c r="P13" s="492"/>
      <c r="Q13" s="490"/>
      <c r="R13" s="491"/>
      <c r="S13" s="492"/>
      <c r="T13" s="415"/>
      <c r="U13" s="416"/>
    </row>
    <row r="14" spans="1:21" ht="15" customHeight="1">
      <c r="A14" s="493"/>
      <c r="B14" s="494"/>
      <c r="C14" s="494"/>
      <c r="D14" s="494"/>
      <c r="E14" s="495"/>
      <c r="F14" s="496"/>
      <c r="G14" s="494"/>
      <c r="H14" s="494"/>
      <c r="I14" s="495"/>
      <c r="J14" s="411"/>
      <c r="K14" s="410"/>
      <c r="L14" s="490"/>
      <c r="M14" s="491"/>
      <c r="N14" s="491"/>
      <c r="O14" s="491"/>
      <c r="P14" s="492"/>
      <c r="Q14" s="490"/>
      <c r="R14" s="491"/>
      <c r="S14" s="492"/>
      <c r="T14" s="415"/>
      <c r="U14" s="416"/>
    </row>
    <row r="15" spans="1:21" ht="15" customHeight="1">
      <c r="A15" s="408"/>
      <c r="B15" s="409"/>
      <c r="C15" s="409"/>
      <c r="D15" s="409"/>
      <c r="E15" s="410"/>
      <c r="F15" s="411"/>
      <c r="G15" s="409"/>
      <c r="H15" s="409"/>
      <c r="I15" s="410"/>
      <c r="J15" s="411"/>
      <c r="K15" s="410"/>
      <c r="L15" s="480"/>
      <c r="M15" s="481"/>
      <c r="N15" s="481"/>
      <c r="O15" s="481"/>
      <c r="P15" s="482"/>
      <c r="Q15" s="480"/>
      <c r="R15" s="481"/>
      <c r="S15" s="482"/>
      <c r="T15" s="415"/>
      <c r="U15" s="416"/>
    </row>
    <row r="16" spans="1:21" ht="15" customHeight="1">
      <c r="A16" s="408"/>
      <c r="B16" s="409"/>
      <c r="C16" s="409"/>
      <c r="D16" s="409"/>
      <c r="E16" s="410"/>
      <c r="F16" s="411"/>
      <c r="G16" s="409"/>
      <c r="H16" s="409"/>
      <c r="I16" s="410"/>
      <c r="J16" s="411"/>
      <c r="K16" s="410"/>
      <c r="L16" s="480"/>
      <c r="M16" s="481"/>
      <c r="N16" s="481"/>
      <c r="O16" s="481"/>
      <c r="P16" s="482"/>
      <c r="Q16" s="480"/>
      <c r="R16" s="481"/>
      <c r="S16" s="482"/>
      <c r="T16" s="415"/>
      <c r="U16" s="416"/>
    </row>
    <row r="17" spans="1:21" ht="15" customHeight="1">
      <c r="A17" s="408"/>
      <c r="B17" s="409"/>
      <c r="C17" s="409"/>
      <c r="D17" s="409"/>
      <c r="E17" s="410"/>
      <c r="F17" s="411"/>
      <c r="G17" s="409"/>
      <c r="H17" s="409"/>
      <c r="I17" s="410"/>
      <c r="J17" s="411"/>
      <c r="K17" s="410"/>
      <c r="L17" s="480"/>
      <c r="M17" s="481"/>
      <c r="N17" s="481"/>
      <c r="O17" s="481"/>
      <c r="P17" s="482"/>
      <c r="Q17" s="480"/>
      <c r="R17" s="481"/>
      <c r="S17" s="482"/>
      <c r="T17" s="415"/>
      <c r="U17" s="416"/>
    </row>
    <row r="18" spans="1:21" ht="15" customHeight="1">
      <c r="A18" s="408"/>
      <c r="B18" s="409"/>
      <c r="C18" s="409"/>
      <c r="D18" s="409"/>
      <c r="E18" s="410"/>
      <c r="F18" s="411"/>
      <c r="G18" s="409"/>
      <c r="H18" s="409"/>
      <c r="I18" s="410"/>
      <c r="J18" s="411"/>
      <c r="K18" s="410"/>
      <c r="L18" s="480"/>
      <c r="M18" s="481"/>
      <c r="N18" s="481"/>
      <c r="O18" s="481"/>
      <c r="P18" s="482"/>
      <c r="Q18" s="480"/>
      <c r="R18" s="481"/>
      <c r="S18" s="482"/>
      <c r="T18" s="415"/>
      <c r="U18" s="416"/>
    </row>
    <row r="19" spans="1:21" ht="15" customHeight="1">
      <c r="A19" s="451"/>
      <c r="B19" s="452"/>
      <c r="C19" s="452"/>
      <c r="D19" s="452"/>
      <c r="E19" s="453"/>
      <c r="F19" s="454"/>
      <c r="G19" s="452"/>
      <c r="H19" s="452"/>
      <c r="I19" s="453"/>
      <c r="J19" s="454"/>
      <c r="K19" s="453"/>
      <c r="L19" s="468"/>
      <c r="M19" s="469"/>
      <c r="N19" s="469"/>
      <c r="O19" s="469"/>
      <c r="P19" s="470"/>
      <c r="Q19" s="468"/>
      <c r="R19" s="469"/>
      <c r="S19" s="470"/>
      <c r="T19" s="471"/>
      <c r="U19" s="472"/>
    </row>
    <row r="20" spans="1:21">
      <c r="A20" s="312" t="s">
        <v>87</v>
      </c>
      <c r="B20" s="313"/>
      <c r="C20" s="313"/>
      <c r="D20" s="313"/>
      <c r="E20" s="313"/>
      <c r="F20" s="314">
        <v>2450000</v>
      </c>
      <c r="G20" s="314"/>
      <c r="H20" s="314"/>
      <c r="I20" s="315"/>
      <c r="J20" s="459">
        <f>SUM(J8:K19)</f>
        <v>1</v>
      </c>
      <c r="K20" s="459"/>
      <c r="L20" s="513" t="s">
        <v>966</v>
      </c>
      <c r="M20" s="514"/>
      <c r="N20" s="514"/>
      <c r="O20" s="514"/>
      <c r="P20" s="515"/>
      <c r="Q20" s="354">
        <f>SUM(Q8:S19)</f>
        <v>1000000</v>
      </c>
      <c r="R20" s="314"/>
      <c r="S20" s="314"/>
      <c r="T20" s="314"/>
      <c r="U20" s="355"/>
    </row>
    <row r="21" spans="1:21" ht="17.25" thickBot="1">
      <c r="A21" s="317" t="s">
        <v>97</v>
      </c>
      <c r="B21" s="318"/>
      <c r="C21" s="318"/>
      <c r="D21" s="318"/>
      <c r="E21" s="318"/>
      <c r="F21" s="319">
        <f>F20+Q20</f>
        <v>3450000</v>
      </c>
      <c r="G21" s="319"/>
      <c r="H21" s="319"/>
      <c r="I21" s="320"/>
      <c r="J21" s="321" t="s">
        <v>972</v>
      </c>
      <c r="K21" s="318"/>
      <c r="L21" s="322" t="str">
        <f>T4</f>
        <v>장효주</v>
      </c>
      <c r="M21" s="322"/>
      <c r="N21" s="322"/>
      <c r="O21" s="321" t="s">
        <v>70</v>
      </c>
      <c r="P21" s="347"/>
      <c r="Q21" s="460" t="str">
        <f>C3</f>
        <v>제이오토(대구)</v>
      </c>
      <c r="R21" s="461"/>
      <c r="S21" s="461"/>
      <c r="T21" s="461"/>
      <c r="U21" s="462"/>
    </row>
    <row r="22" spans="1:21" ht="9" customHeight="1">
      <c r="A22" s="440"/>
      <c r="B22" s="440"/>
      <c r="C22" s="440"/>
      <c r="D22" s="440"/>
      <c r="E22" s="440"/>
      <c r="F22" s="440"/>
      <c r="G22" s="440"/>
      <c r="H22" s="440"/>
      <c r="I22" s="440"/>
      <c r="J22" s="440"/>
      <c r="K22" s="440"/>
      <c r="L22" s="440"/>
      <c r="M22" s="440"/>
      <c r="N22" s="440"/>
      <c r="O22" s="440"/>
      <c r="P22" s="440"/>
      <c r="Q22" s="440"/>
      <c r="R22" s="440"/>
      <c r="S22" s="440"/>
      <c r="T22" s="440"/>
      <c r="U22" s="440"/>
    </row>
    <row r="23" spans="1:21" ht="11.25" customHeight="1" thickBot="1">
      <c r="A23" s="302"/>
      <c r="B23" s="302"/>
      <c r="C23" s="302"/>
      <c r="D23" s="302"/>
      <c r="E23" s="302"/>
      <c r="F23" s="302"/>
      <c r="G23" s="302"/>
      <c r="H23" s="302"/>
      <c r="I23" s="302"/>
      <c r="J23" s="302"/>
      <c r="K23" s="302"/>
      <c r="L23" s="302"/>
      <c r="M23" s="302"/>
      <c r="N23" s="302"/>
      <c r="O23" s="302"/>
      <c r="P23" s="302"/>
      <c r="Q23" s="302"/>
      <c r="R23" s="302"/>
      <c r="S23" s="302"/>
      <c r="T23" s="302"/>
      <c r="U23" s="302"/>
    </row>
    <row r="24" spans="1:21" ht="24" customHeight="1" thickBot="1">
      <c r="A24" s="463" t="s">
        <v>77</v>
      </c>
      <c r="B24" s="464"/>
      <c r="C24" s="464"/>
      <c r="D24" s="464"/>
      <c r="E24" s="464"/>
      <c r="F24" s="464"/>
      <c r="G24" s="464"/>
      <c r="H24" s="464"/>
      <c r="I24" s="464"/>
      <c r="J24" s="464"/>
      <c r="K24" s="464"/>
      <c r="L24" s="464"/>
      <c r="M24" s="464"/>
      <c r="N24" s="464"/>
      <c r="O24" s="464"/>
      <c r="P24" s="464"/>
      <c r="Q24" s="464"/>
      <c r="R24" s="464"/>
      <c r="S24" s="464"/>
      <c r="T24" s="464"/>
      <c r="U24" s="465"/>
    </row>
    <row r="25" spans="1:21">
      <c r="A25" s="303" t="s">
        <v>71</v>
      </c>
      <c r="B25" s="304"/>
      <c r="C25" s="305" t="str">
        <f>C2</f>
        <v>카카오뱅크 3333181865047</v>
      </c>
      <c r="D25" s="306"/>
      <c r="E25" s="306"/>
      <c r="F25" s="306"/>
      <c r="G25" s="307"/>
      <c r="H25" s="305" t="s">
        <v>83</v>
      </c>
      <c r="I25" s="306"/>
      <c r="J25" s="306"/>
      <c r="K25" s="306"/>
      <c r="L25" s="306"/>
      <c r="M25" s="306"/>
      <c r="N25" s="306"/>
      <c r="O25" s="307"/>
      <c r="P25" s="308" t="s">
        <v>69</v>
      </c>
      <c r="Q25" s="309"/>
      <c r="R25" s="309"/>
      <c r="S25" s="304"/>
      <c r="T25" s="310">
        <f>T2</f>
        <v>45804</v>
      </c>
      <c r="U25" s="311"/>
    </row>
    <row r="26" spans="1:21" ht="27" customHeight="1">
      <c r="A26" s="378" t="s">
        <v>1203</v>
      </c>
      <c r="B26" s="37" t="s">
        <v>65</v>
      </c>
      <c r="C26" s="483" t="str">
        <f>C3</f>
        <v>제이오토(대구)</v>
      </c>
      <c r="D26" s="484"/>
      <c r="E26" s="484"/>
      <c r="F26" s="484"/>
      <c r="G26" s="484"/>
      <c r="H26" s="484"/>
      <c r="I26" s="484"/>
      <c r="J26" s="485"/>
      <c r="K26" s="384" t="s">
        <v>1204</v>
      </c>
      <c r="L26" s="37" t="s">
        <v>65</v>
      </c>
      <c r="M26" s="486" t="str">
        <f>M3</f>
        <v>BTS&amp;P</v>
      </c>
      <c r="N26" s="487"/>
      <c r="O26" s="487"/>
      <c r="P26" s="487"/>
      <c r="Q26" s="487"/>
      <c r="R26" s="487"/>
      <c r="S26" s="487"/>
      <c r="T26" s="487"/>
      <c r="U26" s="488"/>
    </row>
    <row r="27" spans="1:21" ht="24.95" customHeight="1">
      <c r="A27" s="379"/>
      <c r="B27" s="37" t="s">
        <v>67</v>
      </c>
      <c r="C27" s="510">
        <f>C4</f>
        <v>0</v>
      </c>
      <c r="D27" s="511"/>
      <c r="E27" s="511"/>
      <c r="F27" s="511"/>
      <c r="G27" s="511"/>
      <c r="H27" s="511"/>
      <c r="I27" s="511"/>
      <c r="J27" s="512"/>
      <c r="K27" s="385"/>
      <c r="L27" s="37" t="s">
        <v>67</v>
      </c>
      <c r="M27" s="393" t="str">
        <f>M4</f>
        <v>259-12-01768</v>
      </c>
      <c r="N27" s="394"/>
      <c r="O27" s="394"/>
      <c r="P27" s="394"/>
      <c r="Q27" s="394"/>
      <c r="R27" s="395"/>
      <c r="S27" s="38" t="s">
        <v>68</v>
      </c>
      <c r="T27" s="466" t="str">
        <f>T4</f>
        <v>장효주</v>
      </c>
      <c r="U27" s="467"/>
    </row>
    <row r="28" spans="1:21" ht="15.75" customHeight="1">
      <c r="A28" s="379"/>
      <c r="B28" s="38" t="s">
        <v>10</v>
      </c>
      <c r="C28" s="393" t="str">
        <f>C5</f>
        <v>대구광역시 서구 가르뱅이로 53</v>
      </c>
      <c r="D28" s="394"/>
      <c r="E28" s="394"/>
      <c r="F28" s="394"/>
      <c r="G28" s="394"/>
      <c r="H28" s="394"/>
      <c r="I28" s="394"/>
      <c r="J28" s="395"/>
      <c r="K28" s="385"/>
      <c r="L28" s="38" t="s">
        <v>10</v>
      </c>
      <c r="M28" s="393" t="str">
        <f>M5</f>
        <v>대구 달서구 용산로 28(본리동)</v>
      </c>
      <c r="N28" s="394"/>
      <c r="O28" s="394"/>
      <c r="P28" s="394"/>
      <c r="Q28" s="394"/>
      <c r="R28" s="394"/>
      <c r="S28" s="394"/>
      <c r="T28" s="394"/>
      <c r="U28" s="396"/>
    </row>
    <row r="29" spans="1:21" ht="15.75" customHeight="1">
      <c r="A29" s="380"/>
      <c r="B29" s="38" t="s">
        <v>81</v>
      </c>
      <c r="C29" s="393" t="str">
        <f>C6</f>
        <v>010-5102-8176</v>
      </c>
      <c r="D29" s="394"/>
      <c r="E29" s="394"/>
      <c r="F29" s="394"/>
      <c r="G29" s="394"/>
      <c r="H29" s="394"/>
      <c r="I29" s="394"/>
      <c r="J29" s="395"/>
      <c r="K29" s="386"/>
      <c r="L29" s="38" t="s">
        <v>81</v>
      </c>
      <c r="M29" s="393" t="str">
        <f>M6</f>
        <v>010-5168-3542</v>
      </c>
      <c r="N29" s="394"/>
      <c r="O29" s="394"/>
      <c r="P29" s="394"/>
      <c r="Q29" s="394"/>
      <c r="R29" s="395"/>
      <c r="S29" s="38" t="s">
        <v>26</v>
      </c>
      <c r="T29" s="393"/>
      <c r="U29" s="396"/>
    </row>
    <row r="30" spans="1:21" ht="15.75" customHeight="1">
      <c r="A30" s="312" t="s">
        <v>76</v>
      </c>
      <c r="B30" s="313"/>
      <c r="C30" s="313"/>
      <c r="D30" s="313"/>
      <c r="E30" s="375"/>
      <c r="F30" s="376" t="s">
        <v>49</v>
      </c>
      <c r="G30" s="313"/>
      <c r="H30" s="313"/>
      <c r="I30" s="375"/>
      <c r="J30" s="376" t="s">
        <v>73</v>
      </c>
      <c r="K30" s="375"/>
      <c r="L30" s="376" t="s">
        <v>47</v>
      </c>
      <c r="M30" s="313"/>
      <c r="N30" s="313"/>
      <c r="O30" s="313"/>
      <c r="P30" s="375"/>
      <c r="Q30" s="376" t="s">
        <v>74</v>
      </c>
      <c r="R30" s="313"/>
      <c r="S30" s="375"/>
      <c r="T30" s="376" t="s">
        <v>75</v>
      </c>
      <c r="U30" s="377"/>
    </row>
    <row r="31" spans="1:21" ht="15" customHeight="1">
      <c r="A31" s="477" t="str">
        <f>A8</f>
        <v>8HP70 VALBEBODY</v>
      </c>
      <c r="B31" s="478"/>
      <c r="C31" s="478"/>
      <c r="D31" s="478"/>
      <c r="E31" s="478"/>
      <c r="F31" s="478">
        <f>F8</f>
        <v>0</v>
      </c>
      <c r="G31" s="478"/>
      <c r="H31" s="478"/>
      <c r="I31" s="478"/>
      <c r="J31" s="478">
        <f>J8</f>
        <v>1</v>
      </c>
      <c r="K31" s="478"/>
      <c r="L31" s="479">
        <f>L8</f>
        <v>1000000</v>
      </c>
      <c r="M31" s="479"/>
      <c r="N31" s="479"/>
      <c r="O31" s="479"/>
      <c r="P31" s="479"/>
      <c r="Q31" s="479">
        <f>Q8</f>
        <v>1000000</v>
      </c>
      <c r="R31" s="479"/>
      <c r="S31" s="479"/>
      <c r="T31" s="478">
        <f>T8</f>
        <v>0</v>
      </c>
      <c r="U31" s="489"/>
    </row>
    <row r="32" spans="1:21" ht="15" customHeight="1">
      <c r="A32" s="458">
        <f t="shared" ref="A32:A42" si="0">A9</f>
        <v>0</v>
      </c>
      <c r="B32" s="455"/>
      <c r="C32" s="455"/>
      <c r="D32" s="455"/>
      <c r="E32" s="455"/>
      <c r="F32" s="455">
        <f t="shared" ref="F32:F42" si="1">F9</f>
        <v>0</v>
      </c>
      <c r="G32" s="455"/>
      <c r="H32" s="455"/>
      <c r="I32" s="455"/>
      <c r="J32" s="455">
        <f t="shared" ref="J32:J42" si="2">J9</f>
        <v>0</v>
      </c>
      <c r="K32" s="455"/>
      <c r="L32" s="457">
        <f t="shared" ref="L32:L42" si="3">L9</f>
        <v>0</v>
      </c>
      <c r="M32" s="457"/>
      <c r="N32" s="457"/>
      <c r="O32" s="457"/>
      <c r="P32" s="457"/>
      <c r="Q32" s="457">
        <f t="shared" ref="Q32:Q42" si="4">Q9</f>
        <v>0</v>
      </c>
      <c r="R32" s="457"/>
      <c r="S32" s="457"/>
      <c r="T32" s="455">
        <f t="shared" ref="T32:T42" si="5">T9</f>
        <v>0</v>
      </c>
      <c r="U32" s="456"/>
    </row>
    <row r="33" spans="1:21" ht="15" customHeight="1">
      <c r="A33" s="458">
        <f t="shared" si="0"/>
        <v>0</v>
      </c>
      <c r="B33" s="455"/>
      <c r="C33" s="455"/>
      <c r="D33" s="455"/>
      <c r="E33" s="455"/>
      <c r="F33" s="455">
        <f t="shared" si="1"/>
        <v>0</v>
      </c>
      <c r="G33" s="455"/>
      <c r="H33" s="455"/>
      <c r="I33" s="455"/>
      <c r="J33" s="455">
        <f t="shared" si="2"/>
        <v>0</v>
      </c>
      <c r="K33" s="455"/>
      <c r="L33" s="457">
        <f t="shared" si="3"/>
        <v>0</v>
      </c>
      <c r="M33" s="457"/>
      <c r="N33" s="457"/>
      <c r="O33" s="457"/>
      <c r="P33" s="457"/>
      <c r="Q33" s="457">
        <f t="shared" si="4"/>
        <v>0</v>
      </c>
      <c r="R33" s="457"/>
      <c r="S33" s="457"/>
      <c r="T33" s="455">
        <f t="shared" si="5"/>
        <v>0</v>
      </c>
      <c r="U33" s="456"/>
    </row>
    <row r="34" spans="1:21" ht="15" customHeight="1">
      <c r="A34" s="458">
        <f t="shared" si="0"/>
        <v>0</v>
      </c>
      <c r="B34" s="455"/>
      <c r="C34" s="455"/>
      <c r="D34" s="455"/>
      <c r="E34" s="455"/>
      <c r="F34" s="455">
        <f t="shared" si="1"/>
        <v>0</v>
      </c>
      <c r="G34" s="455"/>
      <c r="H34" s="455"/>
      <c r="I34" s="455"/>
      <c r="J34" s="455">
        <v>1</v>
      </c>
      <c r="K34" s="455"/>
      <c r="L34" s="457">
        <f t="shared" si="3"/>
        <v>0</v>
      </c>
      <c r="M34" s="457"/>
      <c r="N34" s="457"/>
      <c r="O34" s="457"/>
      <c r="P34" s="457"/>
      <c r="Q34" s="457">
        <f t="shared" si="4"/>
        <v>0</v>
      </c>
      <c r="R34" s="457"/>
      <c r="S34" s="457"/>
      <c r="T34" s="455">
        <f t="shared" si="5"/>
        <v>0</v>
      </c>
      <c r="U34" s="456"/>
    </row>
    <row r="35" spans="1:21" ht="15" customHeight="1">
      <c r="A35" s="458">
        <f t="shared" si="0"/>
        <v>0</v>
      </c>
      <c r="B35" s="455"/>
      <c r="C35" s="455"/>
      <c r="D35" s="455"/>
      <c r="E35" s="455"/>
      <c r="F35" s="455">
        <f t="shared" si="1"/>
        <v>0</v>
      </c>
      <c r="G35" s="455"/>
      <c r="H35" s="455"/>
      <c r="I35" s="455"/>
      <c r="J35" s="455">
        <f t="shared" si="2"/>
        <v>0</v>
      </c>
      <c r="K35" s="455"/>
      <c r="L35" s="457">
        <f t="shared" si="3"/>
        <v>0</v>
      </c>
      <c r="M35" s="457"/>
      <c r="N35" s="457"/>
      <c r="O35" s="457"/>
      <c r="P35" s="457"/>
      <c r="Q35" s="457">
        <f t="shared" si="4"/>
        <v>0</v>
      </c>
      <c r="R35" s="457"/>
      <c r="S35" s="457"/>
      <c r="T35" s="455">
        <f t="shared" si="5"/>
        <v>0</v>
      </c>
      <c r="U35" s="456"/>
    </row>
    <row r="36" spans="1:21" ht="15" customHeight="1">
      <c r="A36" s="458">
        <f t="shared" si="0"/>
        <v>0</v>
      </c>
      <c r="B36" s="455"/>
      <c r="C36" s="455"/>
      <c r="D36" s="455"/>
      <c r="E36" s="455"/>
      <c r="F36" s="455">
        <f t="shared" si="1"/>
        <v>0</v>
      </c>
      <c r="G36" s="455"/>
      <c r="H36" s="455"/>
      <c r="I36" s="455"/>
      <c r="J36" s="455">
        <f t="shared" si="2"/>
        <v>0</v>
      </c>
      <c r="K36" s="455"/>
      <c r="L36" s="457">
        <f t="shared" si="3"/>
        <v>0</v>
      </c>
      <c r="M36" s="457"/>
      <c r="N36" s="457"/>
      <c r="O36" s="457"/>
      <c r="P36" s="457"/>
      <c r="Q36" s="457">
        <f t="shared" si="4"/>
        <v>0</v>
      </c>
      <c r="R36" s="457"/>
      <c r="S36" s="457"/>
      <c r="T36" s="455">
        <f t="shared" si="5"/>
        <v>0</v>
      </c>
      <c r="U36" s="456"/>
    </row>
    <row r="37" spans="1:21" ht="15" customHeight="1">
      <c r="A37" s="458">
        <f t="shared" si="0"/>
        <v>0</v>
      </c>
      <c r="B37" s="455"/>
      <c r="C37" s="455"/>
      <c r="D37" s="455"/>
      <c r="E37" s="455"/>
      <c r="F37" s="455">
        <f t="shared" si="1"/>
        <v>0</v>
      </c>
      <c r="G37" s="455"/>
      <c r="H37" s="455"/>
      <c r="I37" s="455"/>
      <c r="J37" s="455">
        <f t="shared" si="2"/>
        <v>0</v>
      </c>
      <c r="K37" s="455"/>
      <c r="L37" s="457">
        <f t="shared" si="3"/>
        <v>0</v>
      </c>
      <c r="M37" s="457"/>
      <c r="N37" s="457"/>
      <c r="O37" s="457"/>
      <c r="P37" s="457"/>
      <c r="Q37" s="457">
        <f t="shared" si="4"/>
        <v>0</v>
      </c>
      <c r="R37" s="457"/>
      <c r="S37" s="457"/>
      <c r="T37" s="455">
        <f t="shared" si="5"/>
        <v>0</v>
      </c>
      <c r="U37" s="456"/>
    </row>
    <row r="38" spans="1:21" ht="15" customHeight="1">
      <c r="A38" s="458">
        <f t="shared" si="0"/>
        <v>0</v>
      </c>
      <c r="B38" s="455"/>
      <c r="C38" s="455"/>
      <c r="D38" s="455"/>
      <c r="E38" s="455"/>
      <c r="F38" s="455">
        <f t="shared" si="1"/>
        <v>0</v>
      </c>
      <c r="G38" s="455"/>
      <c r="H38" s="455"/>
      <c r="I38" s="455"/>
      <c r="J38" s="455">
        <f t="shared" si="2"/>
        <v>0</v>
      </c>
      <c r="K38" s="455"/>
      <c r="L38" s="457">
        <f t="shared" si="3"/>
        <v>0</v>
      </c>
      <c r="M38" s="457"/>
      <c r="N38" s="457"/>
      <c r="O38" s="457"/>
      <c r="P38" s="457"/>
      <c r="Q38" s="457">
        <f t="shared" si="4"/>
        <v>0</v>
      </c>
      <c r="R38" s="457"/>
      <c r="S38" s="457"/>
      <c r="T38" s="455">
        <f t="shared" si="5"/>
        <v>0</v>
      </c>
      <c r="U38" s="456"/>
    </row>
    <row r="39" spans="1:21" ht="15" customHeight="1">
      <c r="A39" s="458">
        <f t="shared" si="0"/>
        <v>0</v>
      </c>
      <c r="B39" s="455"/>
      <c r="C39" s="455"/>
      <c r="D39" s="455"/>
      <c r="E39" s="455"/>
      <c r="F39" s="455">
        <f t="shared" si="1"/>
        <v>0</v>
      </c>
      <c r="G39" s="455"/>
      <c r="H39" s="455"/>
      <c r="I39" s="455"/>
      <c r="J39" s="455">
        <f t="shared" si="2"/>
        <v>0</v>
      </c>
      <c r="K39" s="455"/>
      <c r="L39" s="457">
        <f t="shared" si="3"/>
        <v>0</v>
      </c>
      <c r="M39" s="457"/>
      <c r="N39" s="457"/>
      <c r="O39" s="457"/>
      <c r="P39" s="457"/>
      <c r="Q39" s="457">
        <f t="shared" si="4"/>
        <v>0</v>
      </c>
      <c r="R39" s="457"/>
      <c r="S39" s="457"/>
      <c r="T39" s="455">
        <f t="shared" si="5"/>
        <v>0</v>
      </c>
      <c r="U39" s="456"/>
    </row>
    <row r="40" spans="1:21" ht="15" customHeight="1">
      <c r="A40" s="458">
        <f t="shared" si="0"/>
        <v>0</v>
      </c>
      <c r="B40" s="455"/>
      <c r="C40" s="455"/>
      <c r="D40" s="455"/>
      <c r="E40" s="455"/>
      <c r="F40" s="455">
        <f t="shared" si="1"/>
        <v>0</v>
      </c>
      <c r="G40" s="455"/>
      <c r="H40" s="455"/>
      <c r="I40" s="455"/>
      <c r="J40" s="455">
        <f t="shared" si="2"/>
        <v>0</v>
      </c>
      <c r="K40" s="455"/>
      <c r="L40" s="457">
        <f t="shared" si="3"/>
        <v>0</v>
      </c>
      <c r="M40" s="457"/>
      <c r="N40" s="457"/>
      <c r="O40" s="457"/>
      <c r="P40" s="457"/>
      <c r="Q40" s="457">
        <f t="shared" si="4"/>
        <v>0</v>
      </c>
      <c r="R40" s="457"/>
      <c r="S40" s="457"/>
      <c r="T40" s="455">
        <f t="shared" si="5"/>
        <v>0</v>
      </c>
      <c r="U40" s="456"/>
    </row>
    <row r="41" spans="1:21" ht="15" customHeight="1">
      <c r="A41" s="458">
        <f t="shared" si="0"/>
        <v>0</v>
      </c>
      <c r="B41" s="455"/>
      <c r="C41" s="455"/>
      <c r="D41" s="455"/>
      <c r="E41" s="455"/>
      <c r="F41" s="455">
        <f t="shared" si="1"/>
        <v>0</v>
      </c>
      <c r="G41" s="455"/>
      <c r="H41" s="455"/>
      <c r="I41" s="455"/>
      <c r="J41" s="455">
        <f t="shared" si="2"/>
        <v>0</v>
      </c>
      <c r="K41" s="455"/>
      <c r="L41" s="457">
        <f t="shared" si="3"/>
        <v>0</v>
      </c>
      <c r="M41" s="457"/>
      <c r="N41" s="457"/>
      <c r="O41" s="457"/>
      <c r="P41" s="457"/>
      <c r="Q41" s="457">
        <f t="shared" si="4"/>
        <v>0</v>
      </c>
      <c r="R41" s="457"/>
      <c r="S41" s="457"/>
      <c r="T41" s="455">
        <f t="shared" si="5"/>
        <v>0</v>
      </c>
      <c r="U41" s="456"/>
    </row>
    <row r="42" spans="1:21" ht="15" customHeight="1">
      <c r="A42" s="473">
        <f t="shared" si="0"/>
        <v>0</v>
      </c>
      <c r="B42" s="474"/>
      <c r="C42" s="474"/>
      <c r="D42" s="474"/>
      <c r="E42" s="474"/>
      <c r="F42" s="474">
        <f t="shared" si="1"/>
        <v>0</v>
      </c>
      <c r="G42" s="474"/>
      <c r="H42" s="474"/>
      <c r="I42" s="474"/>
      <c r="J42" s="474">
        <f t="shared" si="2"/>
        <v>0</v>
      </c>
      <c r="K42" s="474"/>
      <c r="L42" s="475">
        <f t="shared" si="3"/>
        <v>0</v>
      </c>
      <c r="M42" s="475"/>
      <c r="N42" s="475"/>
      <c r="O42" s="475"/>
      <c r="P42" s="475"/>
      <c r="Q42" s="475">
        <f t="shared" si="4"/>
        <v>0</v>
      </c>
      <c r="R42" s="475"/>
      <c r="S42" s="475"/>
      <c r="T42" s="474">
        <f t="shared" si="5"/>
        <v>0</v>
      </c>
      <c r="U42" s="476"/>
    </row>
    <row r="43" spans="1:21">
      <c r="A43" s="312" t="s">
        <v>87</v>
      </c>
      <c r="B43" s="313"/>
      <c r="C43" s="313"/>
      <c r="D43" s="313"/>
      <c r="E43" s="313"/>
      <c r="F43" s="314">
        <f>F20</f>
        <v>2450000</v>
      </c>
      <c r="G43" s="314"/>
      <c r="H43" s="314"/>
      <c r="I43" s="315"/>
      <c r="J43" s="459">
        <f>J20</f>
        <v>1</v>
      </c>
      <c r="K43" s="459"/>
      <c r="L43" s="513" t="s">
        <v>966</v>
      </c>
      <c r="M43" s="514"/>
      <c r="N43" s="514"/>
      <c r="O43" s="514"/>
      <c r="P43" s="515"/>
      <c r="Q43" s="516">
        <f>Q20</f>
        <v>1000000</v>
      </c>
      <c r="R43" s="517"/>
      <c r="S43" s="517"/>
      <c r="T43" s="517"/>
      <c r="U43" s="518"/>
    </row>
    <row r="44" spans="1:21" ht="17.25" thickBot="1">
      <c r="A44" s="317" t="s">
        <v>97</v>
      </c>
      <c r="B44" s="318"/>
      <c r="C44" s="318"/>
      <c r="D44" s="318"/>
      <c r="E44" s="318"/>
      <c r="F44" s="319">
        <f>F21</f>
        <v>3450000</v>
      </c>
      <c r="G44" s="319"/>
      <c r="H44" s="319"/>
      <c r="I44" s="320"/>
      <c r="J44" s="321" t="s">
        <v>972</v>
      </c>
      <c r="K44" s="318"/>
      <c r="L44" s="322" t="str">
        <f>L21</f>
        <v>장효주</v>
      </c>
      <c r="M44" s="322"/>
      <c r="N44" s="322"/>
      <c r="O44" s="321" t="s">
        <v>70</v>
      </c>
      <c r="P44" s="347"/>
      <c r="Q44" s="460" t="str">
        <f>Q21</f>
        <v>제이오토(대구)</v>
      </c>
      <c r="R44" s="461"/>
      <c r="S44" s="461"/>
      <c r="T44" s="461"/>
      <c r="U44" s="46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479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1207</v>
      </c>
      <c r="E1" s="31" t="s">
        <v>1206</v>
      </c>
      <c r="F1" s="31" t="s">
        <v>1205</v>
      </c>
      <c r="G1" s="105">
        <v>504</v>
      </c>
    </row>
    <row r="2" spans="1:7">
      <c r="A2">
        <v>1</v>
      </c>
      <c r="B2" s="13">
        <v>45735</v>
      </c>
      <c r="C2" t="s">
        <v>1182</v>
      </c>
      <c r="D2" t="s">
        <v>1260</v>
      </c>
    </row>
    <row r="3" spans="1:7">
      <c r="A3">
        <v>2</v>
      </c>
      <c r="B3" s="13">
        <v>45736</v>
      </c>
      <c r="C3" t="s">
        <v>1052</v>
      </c>
      <c r="D3" t="s">
        <v>1262</v>
      </c>
    </row>
    <row r="4" spans="1:7">
      <c r="A4">
        <v>3</v>
      </c>
      <c r="B4" s="13">
        <v>45736</v>
      </c>
      <c r="C4" t="s">
        <v>985</v>
      </c>
      <c r="D4" t="s">
        <v>1264</v>
      </c>
    </row>
    <row r="5" spans="1:7">
      <c r="A5">
        <v>4</v>
      </c>
      <c r="B5" s="13">
        <v>45736</v>
      </c>
      <c r="C5" t="s">
        <v>1281</v>
      </c>
      <c r="D5" t="s">
        <v>1284</v>
      </c>
    </row>
    <row r="6" spans="1:7">
      <c r="A6">
        <v>5</v>
      </c>
      <c r="B6" s="13">
        <v>45737</v>
      </c>
      <c r="C6" t="s">
        <v>1012</v>
      </c>
      <c r="D6" t="s">
        <v>1308</v>
      </c>
    </row>
    <row r="7" spans="1:7">
      <c r="A7">
        <v>6</v>
      </c>
      <c r="B7" s="13">
        <v>45740</v>
      </c>
      <c r="C7" t="s">
        <v>1281</v>
      </c>
      <c r="D7" t="s">
        <v>1408</v>
      </c>
      <c r="E7" t="s">
        <v>1407</v>
      </c>
    </row>
    <row r="8" spans="1:7">
      <c r="A8">
        <v>6</v>
      </c>
      <c r="B8" s="13">
        <v>45740</v>
      </c>
      <c r="C8" t="s">
        <v>1351</v>
      </c>
      <c r="D8" t="s">
        <v>1414</v>
      </c>
      <c r="E8" t="s">
        <v>1413</v>
      </c>
    </row>
    <row r="9" spans="1:7">
      <c r="A9">
        <v>7</v>
      </c>
      <c r="B9" s="13">
        <v>45740</v>
      </c>
      <c r="C9" t="s">
        <v>1418</v>
      </c>
      <c r="D9" t="s">
        <v>1423</v>
      </c>
    </row>
    <row r="10" spans="1:7">
      <c r="A10">
        <v>8</v>
      </c>
      <c r="B10" s="13">
        <v>45740</v>
      </c>
      <c r="C10" t="s">
        <v>1424</v>
      </c>
      <c r="D10" t="s">
        <v>1425</v>
      </c>
    </row>
    <row r="11" spans="1:7">
      <c r="A11">
        <v>9</v>
      </c>
      <c r="B11" s="13">
        <v>45740</v>
      </c>
      <c r="C11" t="s">
        <v>1019</v>
      </c>
      <c r="D11" t="s">
        <v>1429</v>
      </c>
    </row>
    <row r="12" spans="1:7">
      <c r="A12">
        <v>10</v>
      </c>
      <c r="B12" s="13">
        <v>45723</v>
      </c>
      <c r="C12" t="s">
        <v>1445</v>
      </c>
      <c r="D12" t="s">
        <v>1482</v>
      </c>
    </row>
    <row r="13" spans="1:7">
      <c r="A13">
        <v>11</v>
      </c>
      <c r="B13" s="13">
        <v>45723</v>
      </c>
      <c r="C13" t="s">
        <v>1483</v>
      </c>
      <c r="D13" t="s">
        <v>1484</v>
      </c>
    </row>
    <row r="14" spans="1:7">
      <c r="A14">
        <v>12</v>
      </c>
      <c r="B14" s="13">
        <v>45723</v>
      </c>
      <c r="C14" t="s">
        <v>1437</v>
      </c>
      <c r="D14" t="s">
        <v>1485</v>
      </c>
    </row>
    <row r="15" spans="1:7">
      <c r="A15">
        <v>13</v>
      </c>
      <c r="B15" s="13">
        <v>45722</v>
      </c>
      <c r="C15" t="s">
        <v>1445</v>
      </c>
      <c r="D15" t="s">
        <v>1486</v>
      </c>
    </row>
    <row r="16" spans="1:7">
      <c r="A16">
        <v>14</v>
      </c>
      <c r="B16" s="13">
        <v>45722</v>
      </c>
      <c r="C16" t="s">
        <v>1183</v>
      </c>
      <c r="D16" t="s">
        <v>1487</v>
      </c>
    </row>
    <row r="17" spans="1:4">
      <c r="A17">
        <v>15</v>
      </c>
      <c r="B17" s="13">
        <v>45722</v>
      </c>
      <c r="C17" t="s">
        <v>1488</v>
      </c>
      <c r="D17" t="s">
        <v>1489</v>
      </c>
    </row>
    <row r="18" spans="1:4">
      <c r="A18">
        <v>16</v>
      </c>
      <c r="B18" s="13">
        <v>45721</v>
      </c>
      <c r="C18" t="s">
        <v>1490</v>
      </c>
      <c r="D18" t="s">
        <v>1491</v>
      </c>
    </row>
    <row r="19" spans="1:4">
      <c r="A19">
        <v>17</v>
      </c>
      <c r="B19" s="13">
        <v>45720</v>
      </c>
      <c r="C19" t="s">
        <v>1445</v>
      </c>
      <c r="D19" t="s">
        <v>1492</v>
      </c>
    </row>
    <row r="20" spans="1:4">
      <c r="A20">
        <v>17</v>
      </c>
      <c r="B20" s="13">
        <v>45720</v>
      </c>
      <c r="C20" t="s">
        <v>1490</v>
      </c>
      <c r="D20" t="s">
        <v>1493</v>
      </c>
    </row>
    <row r="21" spans="1:4">
      <c r="A21">
        <v>18</v>
      </c>
      <c r="B21" s="13">
        <v>45720</v>
      </c>
      <c r="C21" t="s">
        <v>1183</v>
      </c>
      <c r="D21" t="s">
        <v>1494</v>
      </c>
    </row>
    <row r="22" spans="1:4">
      <c r="A22">
        <v>19</v>
      </c>
      <c r="B22" s="13">
        <v>45720</v>
      </c>
      <c r="C22" t="s">
        <v>1495</v>
      </c>
      <c r="D22" t="s">
        <v>1496</v>
      </c>
    </row>
    <row r="23" spans="1:4">
      <c r="A23">
        <v>20</v>
      </c>
      <c r="B23" s="13">
        <v>45717</v>
      </c>
      <c r="C23" t="s">
        <v>1445</v>
      </c>
      <c r="D23" t="s">
        <v>1497</v>
      </c>
    </row>
    <row r="24" spans="1:4">
      <c r="A24">
        <v>21</v>
      </c>
      <c r="B24" s="13">
        <v>45717</v>
      </c>
      <c r="C24" t="s">
        <v>1498</v>
      </c>
      <c r="D24" t="s">
        <v>1499</v>
      </c>
    </row>
    <row r="25" spans="1:4">
      <c r="A25">
        <v>22</v>
      </c>
      <c r="B25" s="13">
        <v>45723</v>
      </c>
      <c r="C25" t="s">
        <v>1500</v>
      </c>
      <c r="D25" t="s">
        <v>1501</v>
      </c>
    </row>
    <row r="26" spans="1:4">
      <c r="A26">
        <v>23</v>
      </c>
      <c r="B26" s="13">
        <v>45723</v>
      </c>
      <c r="C26" t="s">
        <v>1502</v>
      </c>
      <c r="D26" t="s">
        <v>1503</v>
      </c>
    </row>
    <row r="27" spans="1:4">
      <c r="A27">
        <v>24</v>
      </c>
      <c r="B27" s="13">
        <v>45723</v>
      </c>
      <c r="C27" t="s">
        <v>1504</v>
      </c>
      <c r="D27" t="s">
        <v>1505</v>
      </c>
    </row>
    <row r="28" spans="1:4">
      <c r="A28">
        <v>25</v>
      </c>
      <c r="B28" s="13">
        <v>45724</v>
      </c>
      <c r="C28" t="s">
        <v>1445</v>
      </c>
      <c r="D28" t="s">
        <v>1506</v>
      </c>
    </row>
    <row r="29" spans="1:4">
      <c r="A29">
        <v>26</v>
      </c>
      <c r="B29" s="13">
        <v>45726</v>
      </c>
      <c r="C29" t="s">
        <v>1490</v>
      </c>
      <c r="D29" t="s">
        <v>1507</v>
      </c>
    </row>
    <row r="30" spans="1:4">
      <c r="A30">
        <v>27</v>
      </c>
      <c r="B30" s="13">
        <v>45726</v>
      </c>
      <c r="C30" t="s">
        <v>1069</v>
      </c>
      <c r="D30" t="s">
        <v>1508</v>
      </c>
    </row>
    <row r="31" spans="1:4">
      <c r="A31">
        <v>28</v>
      </c>
      <c r="B31" s="13">
        <v>45727</v>
      </c>
      <c r="C31" t="s">
        <v>1105</v>
      </c>
      <c r="D31" t="s">
        <v>1509</v>
      </c>
    </row>
    <row r="32" spans="1:4">
      <c r="A32">
        <v>29</v>
      </c>
      <c r="B32" s="13">
        <v>45727</v>
      </c>
      <c r="C32" t="s">
        <v>1445</v>
      </c>
      <c r="D32" t="s">
        <v>1511</v>
      </c>
    </row>
    <row r="33" spans="1:4">
      <c r="A33">
        <v>30</v>
      </c>
      <c r="B33" s="13">
        <v>45727</v>
      </c>
      <c r="C33" t="s">
        <v>1192</v>
      </c>
      <c r="D33" t="s">
        <v>1512</v>
      </c>
    </row>
    <row r="34" spans="1:4">
      <c r="A34">
        <v>31</v>
      </c>
      <c r="B34" s="13">
        <v>45727</v>
      </c>
      <c r="C34" t="s">
        <v>1513</v>
      </c>
      <c r="D34" t="s">
        <v>1514</v>
      </c>
    </row>
    <row r="35" spans="1:4">
      <c r="A35">
        <v>32</v>
      </c>
      <c r="B35" s="13">
        <v>45729</v>
      </c>
      <c r="C35" t="s">
        <v>1515</v>
      </c>
      <c r="D35" t="s">
        <v>1517</v>
      </c>
    </row>
    <row r="36" spans="1:4">
      <c r="A36">
        <v>33</v>
      </c>
      <c r="B36" s="13">
        <v>45729</v>
      </c>
      <c r="C36" t="s">
        <v>1019</v>
      </c>
      <c r="D36" t="s">
        <v>1518</v>
      </c>
    </row>
    <row r="37" spans="1:4">
      <c r="A37">
        <v>34</v>
      </c>
      <c r="B37" s="13">
        <v>45730</v>
      </c>
      <c r="C37" t="s">
        <v>1519</v>
      </c>
      <c r="D37" t="s">
        <v>1520</v>
      </c>
    </row>
    <row r="38" spans="1:4">
      <c r="A38">
        <v>35</v>
      </c>
      <c r="B38" s="13">
        <v>45730</v>
      </c>
      <c r="C38" t="s">
        <v>1445</v>
      </c>
      <c r="D38" t="s">
        <v>1523</v>
      </c>
    </row>
    <row r="39" spans="1:4">
      <c r="A39">
        <v>36</v>
      </c>
      <c r="B39" s="13">
        <v>45731</v>
      </c>
      <c r="C39" t="s">
        <v>1210</v>
      </c>
      <c r="D39" t="s">
        <v>1524</v>
      </c>
    </row>
    <row r="40" spans="1:4">
      <c r="A40">
        <v>37</v>
      </c>
      <c r="B40" s="13">
        <v>45731</v>
      </c>
      <c r="C40" t="s">
        <v>1525</v>
      </c>
      <c r="D40" t="s">
        <v>1527</v>
      </c>
    </row>
    <row r="41" spans="1:4">
      <c r="A41">
        <v>38</v>
      </c>
      <c r="B41" s="13">
        <v>45731</v>
      </c>
      <c r="C41" t="s">
        <v>1038</v>
      </c>
      <c r="D41" t="s">
        <v>1529</v>
      </c>
    </row>
    <row r="42" spans="1:4">
      <c r="A42">
        <v>39</v>
      </c>
      <c r="B42" s="13">
        <v>45733</v>
      </c>
      <c r="C42" t="s">
        <v>1183</v>
      </c>
      <c r="D42" t="s">
        <v>1530</v>
      </c>
    </row>
    <row r="43" spans="1:4">
      <c r="A43">
        <v>40</v>
      </c>
      <c r="B43" s="13">
        <v>45733</v>
      </c>
      <c r="C43" t="s">
        <v>1531</v>
      </c>
      <c r="D43" t="s">
        <v>1533</v>
      </c>
    </row>
    <row r="44" spans="1:4">
      <c r="A44">
        <v>41</v>
      </c>
      <c r="B44" s="13">
        <v>45733</v>
      </c>
      <c r="C44" t="s">
        <v>1060</v>
      </c>
      <c r="D44" t="s">
        <v>1537</v>
      </c>
    </row>
    <row r="45" spans="1:4">
      <c r="A45">
        <v>42</v>
      </c>
      <c r="B45" s="13">
        <v>45733</v>
      </c>
      <c r="C45" t="s">
        <v>1515</v>
      </c>
      <c r="D45" t="s">
        <v>1539</v>
      </c>
    </row>
    <row r="46" spans="1:4">
      <c r="A46">
        <v>43</v>
      </c>
      <c r="B46" s="13">
        <v>45733</v>
      </c>
      <c r="C46" t="s">
        <v>1540</v>
      </c>
      <c r="D46" t="s">
        <v>1543</v>
      </c>
    </row>
    <row r="47" spans="1:4">
      <c r="A47">
        <v>44</v>
      </c>
      <c r="B47" s="13">
        <v>45734</v>
      </c>
      <c r="C47" t="s">
        <v>1544</v>
      </c>
      <c r="D47" t="s">
        <v>1545</v>
      </c>
    </row>
    <row r="48" spans="1:4">
      <c r="A48">
        <v>45</v>
      </c>
      <c r="B48" s="13">
        <v>45735</v>
      </c>
      <c r="C48" t="s">
        <v>1445</v>
      </c>
      <c r="D48" t="s">
        <v>1546</v>
      </c>
    </row>
    <row r="49" spans="1:5">
      <c r="A49">
        <v>46</v>
      </c>
      <c r="B49" s="13">
        <v>45735</v>
      </c>
      <c r="C49" t="s">
        <v>1445</v>
      </c>
      <c r="D49" t="s">
        <v>1548</v>
      </c>
    </row>
    <row r="50" spans="1:5">
      <c r="A50">
        <v>47</v>
      </c>
      <c r="B50" s="13">
        <v>45735</v>
      </c>
      <c r="C50" t="s">
        <v>1069</v>
      </c>
      <c r="D50" t="s">
        <v>1550</v>
      </c>
    </row>
    <row r="51" spans="1:5">
      <c r="A51">
        <v>48</v>
      </c>
      <c r="B51" s="13">
        <v>45735</v>
      </c>
      <c r="C51" t="s">
        <v>1424</v>
      </c>
      <c r="D51" t="s">
        <v>1553</v>
      </c>
    </row>
    <row r="52" spans="1:5">
      <c r="A52">
        <v>49</v>
      </c>
      <c r="B52" s="13">
        <v>45736</v>
      </c>
      <c r="C52" t="s">
        <v>1490</v>
      </c>
      <c r="D52" t="s">
        <v>1557</v>
      </c>
    </row>
    <row r="53" spans="1:5">
      <c r="A53">
        <v>50</v>
      </c>
      <c r="B53" s="13">
        <v>45736</v>
      </c>
      <c r="C53" t="s">
        <v>1281</v>
      </c>
      <c r="D53" t="s">
        <v>1558</v>
      </c>
    </row>
    <row r="54" spans="1:5">
      <c r="A54">
        <v>51</v>
      </c>
      <c r="B54" s="13">
        <v>45736</v>
      </c>
      <c r="C54" t="s">
        <v>1515</v>
      </c>
      <c r="D54" t="s">
        <v>1559</v>
      </c>
    </row>
    <row r="55" spans="1:5">
      <c r="A55">
        <v>52</v>
      </c>
      <c r="B55" s="13">
        <v>45736</v>
      </c>
      <c r="C55" t="s">
        <v>1270</v>
      </c>
      <c r="D55" t="s">
        <v>1560</v>
      </c>
    </row>
    <row r="56" spans="1:5">
      <c r="A56">
        <v>53</v>
      </c>
      <c r="B56" s="13">
        <v>45736</v>
      </c>
      <c r="C56" t="s">
        <v>1561</v>
      </c>
      <c r="D56" t="s">
        <v>1562</v>
      </c>
    </row>
    <row r="57" spans="1:5">
      <c r="A57">
        <v>54</v>
      </c>
      <c r="B57" s="13">
        <v>45741</v>
      </c>
      <c r="C57" t="s">
        <v>1563</v>
      </c>
      <c r="D57" t="s">
        <v>1566</v>
      </c>
    </row>
    <row r="58" spans="1:5">
      <c r="A58">
        <v>55</v>
      </c>
      <c r="B58" s="13">
        <v>45737</v>
      </c>
      <c r="C58" t="s">
        <v>1567</v>
      </c>
      <c r="D58" t="s">
        <v>1571</v>
      </c>
    </row>
    <row r="59" spans="1:5">
      <c r="A59">
        <v>56</v>
      </c>
      <c r="B59" s="13">
        <v>45737</v>
      </c>
      <c r="C59" t="s">
        <v>1490</v>
      </c>
      <c r="D59" t="s">
        <v>1572</v>
      </c>
    </row>
    <row r="60" spans="1:5">
      <c r="A60">
        <v>57</v>
      </c>
      <c r="B60" s="13">
        <v>45740</v>
      </c>
      <c r="C60" t="s">
        <v>1351</v>
      </c>
      <c r="D60" t="s">
        <v>1573</v>
      </c>
      <c r="E60" t="s">
        <v>1413</v>
      </c>
    </row>
    <row r="61" spans="1:5">
      <c r="A61">
        <v>58</v>
      </c>
      <c r="B61" s="13">
        <v>45740</v>
      </c>
      <c r="C61" t="s">
        <v>1281</v>
      </c>
      <c r="D61" t="s">
        <v>1574</v>
      </c>
    </row>
    <row r="62" spans="1:5">
      <c r="A62">
        <v>59</v>
      </c>
      <c r="B62" s="13">
        <v>45740</v>
      </c>
      <c r="C62" t="s">
        <v>1418</v>
      </c>
      <c r="D62" t="s">
        <v>1575</v>
      </c>
    </row>
    <row r="63" spans="1:5">
      <c r="A63">
        <v>60</v>
      </c>
      <c r="B63" s="13">
        <v>45740</v>
      </c>
      <c r="C63" t="s">
        <v>1210</v>
      </c>
      <c r="D63" t="s">
        <v>1576</v>
      </c>
    </row>
    <row r="64" spans="1:5">
      <c r="A64">
        <v>61</v>
      </c>
      <c r="B64" s="13">
        <v>45740</v>
      </c>
      <c r="C64" t="s">
        <v>1019</v>
      </c>
      <c r="D64" t="s">
        <v>1577</v>
      </c>
    </row>
    <row r="65" spans="1:6">
      <c r="A65">
        <v>62</v>
      </c>
      <c r="B65" s="13">
        <v>45740</v>
      </c>
      <c r="C65" t="s">
        <v>1578</v>
      </c>
      <c r="D65" t="s">
        <v>1580</v>
      </c>
      <c r="E65" t="s">
        <v>1579</v>
      </c>
    </row>
    <row r="66" spans="1:6">
      <c r="A66">
        <v>63</v>
      </c>
      <c r="B66" s="13">
        <v>45741</v>
      </c>
      <c r="C66" t="s">
        <v>1495</v>
      </c>
      <c r="D66" t="s">
        <v>1582</v>
      </c>
    </row>
    <row r="67" spans="1:6">
      <c r="A67">
        <v>64</v>
      </c>
      <c r="B67" s="13">
        <v>45741</v>
      </c>
      <c r="C67" t="s">
        <v>1183</v>
      </c>
      <c r="D67" t="s">
        <v>1583</v>
      </c>
    </row>
    <row r="68" spans="1:6">
      <c r="A68">
        <v>65</v>
      </c>
      <c r="B68" s="13">
        <v>45741</v>
      </c>
      <c r="C68" t="s">
        <v>1030</v>
      </c>
      <c r="D68" t="s">
        <v>1585</v>
      </c>
    </row>
    <row r="69" spans="1:6">
      <c r="A69">
        <v>66</v>
      </c>
      <c r="B69" s="13">
        <v>45741</v>
      </c>
      <c r="C69" t="s">
        <v>1490</v>
      </c>
      <c r="D69" t="s">
        <v>1586</v>
      </c>
    </row>
    <row r="70" spans="1:6">
      <c r="A70">
        <v>67</v>
      </c>
      <c r="B70" s="13">
        <v>45741</v>
      </c>
      <c r="C70" t="s">
        <v>1587</v>
      </c>
      <c r="D70" t="s">
        <v>1589</v>
      </c>
    </row>
    <row r="71" spans="1:6">
      <c r="A71">
        <v>68</v>
      </c>
      <c r="B71" s="13">
        <v>45741</v>
      </c>
      <c r="C71" t="s">
        <v>1590</v>
      </c>
      <c r="D71" t="s">
        <v>1591</v>
      </c>
    </row>
    <row r="72" spans="1:6">
      <c r="A72">
        <v>69</v>
      </c>
      <c r="B72" s="13">
        <v>45742</v>
      </c>
      <c r="C72" t="s">
        <v>1030</v>
      </c>
      <c r="D72" t="s">
        <v>1592</v>
      </c>
    </row>
    <row r="73" spans="1:6">
      <c r="A73">
        <v>70</v>
      </c>
      <c r="B73" s="13">
        <v>45742</v>
      </c>
      <c r="C73" t="s">
        <v>1437</v>
      </c>
      <c r="D73" t="s">
        <v>1593</v>
      </c>
    </row>
    <row r="74" spans="1:6">
      <c r="A74">
        <v>71</v>
      </c>
      <c r="B74" s="13">
        <v>45742</v>
      </c>
      <c r="C74" t="s">
        <v>1441</v>
      </c>
      <c r="D74" t="s">
        <v>1594</v>
      </c>
    </row>
    <row r="75" spans="1:6">
      <c r="A75">
        <v>72</v>
      </c>
      <c r="B75" s="13">
        <v>45742</v>
      </c>
      <c r="C75" t="s">
        <v>1019</v>
      </c>
      <c r="D75" t="s">
        <v>1596</v>
      </c>
      <c r="E75" s="49">
        <v>6725030166635</v>
      </c>
    </row>
    <row r="76" spans="1:6">
      <c r="A76">
        <v>73</v>
      </c>
      <c r="B76" s="13">
        <v>45743</v>
      </c>
      <c r="C76" t="s">
        <v>1614</v>
      </c>
      <c r="D76" t="s">
        <v>1615</v>
      </c>
      <c r="F76" t="s">
        <v>1616</v>
      </c>
    </row>
    <row r="77" spans="1:6">
      <c r="A77">
        <v>74</v>
      </c>
      <c r="B77" s="13">
        <v>45743</v>
      </c>
      <c r="C77" t="s">
        <v>1600</v>
      </c>
      <c r="D77" t="s">
        <v>1603</v>
      </c>
      <c r="E77" t="s">
        <v>1602</v>
      </c>
    </row>
    <row r="78" spans="1:6">
      <c r="A78">
        <v>75</v>
      </c>
      <c r="B78" s="13">
        <v>45744</v>
      </c>
      <c r="C78" t="s">
        <v>1600</v>
      </c>
      <c r="D78" t="s">
        <v>1606</v>
      </c>
    </row>
    <row r="79" spans="1:6">
      <c r="A79">
        <v>76</v>
      </c>
      <c r="B79" s="13">
        <v>45745</v>
      </c>
      <c r="C79" t="s">
        <v>986</v>
      </c>
      <c r="D79" t="s">
        <v>1608</v>
      </c>
    </row>
    <row r="80" spans="1:6">
      <c r="A80">
        <v>77</v>
      </c>
      <c r="B80" s="13">
        <v>45747</v>
      </c>
      <c r="C80" t="s">
        <v>1587</v>
      </c>
      <c r="D80" t="s">
        <v>1622</v>
      </c>
      <c r="E80" t="s">
        <v>1621</v>
      </c>
    </row>
    <row r="81" spans="1:4">
      <c r="A81">
        <v>78</v>
      </c>
      <c r="B81" s="13">
        <v>45747</v>
      </c>
      <c r="C81" t="s">
        <v>1105</v>
      </c>
      <c r="D81" t="s">
        <v>1623</v>
      </c>
    </row>
    <row r="82" spans="1:4">
      <c r="A82">
        <v>79</v>
      </c>
      <c r="B82" s="13">
        <v>45747</v>
      </c>
      <c r="C82" t="s">
        <v>987</v>
      </c>
      <c r="D82" t="s">
        <v>1625</v>
      </c>
    </row>
    <row r="83" spans="1:4">
      <c r="A83">
        <v>80</v>
      </c>
      <c r="B83" s="13">
        <v>45734</v>
      </c>
      <c r="C83" t="s">
        <v>1626</v>
      </c>
      <c r="D83" t="s">
        <v>1628</v>
      </c>
    </row>
    <row r="84" spans="1:4">
      <c r="A84">
        <v>81</v>
      </c>
      <c r="B84" s="13">
        <v>45723</v>
      </c>
      <c r="C84" t="s">
        <v>1629</v>
      </c>
      <c r="D84" t="s">
        <v>1631</v>
      </c>
    </row>
    <row r="85" spans="1:4">
      <c r="A85">
        <v>82</v>
      </c>
      <c r="B85" s="13">
        <v>45723</v>
      </c>
      <c r="C85" t="s">
        <v>1629</v>
      </c>
      <c r="D85" t="s">
        <v>1632</v>
      </c>
    </row>
    <row r="86" spans="1:4">
      <c r="A86">
        <v>83</v>
      </c>
      <c r="B86" s="13">
        <v>45723</v>
      </c>
      <c r="C86" t="s">
        <v>1629</v>
      </c>
      <c r="D86" t="s">
        <v>1633</v>
      </c>
    </row>
    <row r="87" spans="1:4">
      <c r="A87">
        <v>84</v>
      </c>
      <c r="B87" s="13">
        <v>45718</v>
      </c>
      <c r="C87" t="s">
        <v>1027</v>
      </c>
      <c r="D87" t="s">
        <v>1634</v>
      </c>
    </row>
    <row r="88" spans="1:4">
      <c r="A88">
        <v>85</v>
      </c>
      <c r="B88" s="13">
        <v>45729</v>
      </c>
      <c r="C88" t="s">
        <v>1635</v>
      </c>
      <c r="D88" t="s">
        <v>1639</v>
      </c>
    </row>
    <row r="89" spans="1:4">
      <c r="A89">
        <v>86</v>
      </c>
      <c r="B89" s="13">
        <v>45716</v>
      </c>
      <c r="C89" t="s">
        <v>1635</v>
      </c>
      <c r="D89" t="s">
        <v>1640</v>
      </c>
    </row>
    <row r="90" spans="1:4">
      <c r="A90">
        <v>87</v>
      </c>
      <c r="B90" s="13">
        <v>45722</v>
      </c>
      <c r="C90" t="s">
        <v>1513</v>
      </c>
      <c r="D90" t="s">
        <v>1642</v>
      </c>
    </row>
    <row r="91" spans="1:4">
      <c r="A91">
        <v>88</v>
      </c>
      <c r="B91" s="13">
        <v>45722</v>
      </c>
      <c r="C91" t="s">
        <v>997</v>
      </c>
      <c r="D91" t="s">
        <v>1643</v>
      </c>
    </row>
    <row r="92" spans="1:4">
      <c r="A92">
        <v>89</v>
      </c>
      <c r="B92" s="13">
        <v>45726</v>
      </c>
      <c r="C92" t="s">
        <v>997</v>
      </c>
      <c r="D92" t="s">
        <v>1644</v>
      </c>
    </row>
    <row r="93" spans="1:4">
      <c r="A93">
        <v>90</v>
      </c>
      <c r="B93" s="13">
        <v>45735</v>
      </c>
      <c r="C93" t="s">
        <v>1645</v>
      </c>
      <c r="D93" t="s">
        <v>1646</v>
      </c>
    </row>
    <row r="94" spans="1:4">
      <c r="A94">
        <v>91</v>
      </c>
      <c r="B94" s="13">
        <v>45736</v>
      </c>
      <c r="C94" t="s">
        <v>1647</v>
      </c>
      <c r="D94" t="s">
        <v>1648</v>
      </c>
    </row>
    <row r="95" spans="1:4">
      <c r="A95">
        <v>92</v>
      </c>
      <c r="B95" s="13">
        <v>45721</v>
      </c>
      <c r="C95" t="s">
        <v>1498</v>
      </c>
      <c r="D95" t="s">
        <v>1650</v>
      </c>
    </row>
    <row r="96" spans="1:4">
      <c r="A96">
        <v>93</v>
      </c>
      <c r="B96" s="13">
        <v>45736</v>
      </c>
      <c r="C96" t="s">
        <v>1651</v>
      </c>
      <c r="D96" t="s">
        <v>1653</v>
      </c>
    </row>
    <row r="97" spans="1:4">
      <c r="A97">
        <v>94</v>
      </c>
      <c r="B97" s="13">
        <v>45735</v>
      </c>
      <c r="D97" t="s">
        <v>1654</v>
      </c>
    </row>
    <row r="98" spans="1:4">
      <c r="A98">
        <v>95</v>
      </c>
      <c r="B98" s="13">
        <v>45744</v>
      </c>
      <c r="D98" t="s">
        <v>1656</v>
      </c>
    </row>
    <row r="99" spans="1:4">
      <c r="A99">
        <v>96</v>
      </c>
      <c r="B99" s="13">
        <v>45748</v>
      </c>
      <c r="C99" t="s">
        <v>1567</v>
      </c>
      <c r="D99" t="s">
        <v>1660</v>
      </c>
    </row>
    <row r="100" spans="1:4">
      <c r="A100">
        <v>97</v>
      </c>
      <c r="B100" s="13">
        <v>45748</v>
      </c>
      <c r="C100" t="s">
        <v>1563</v>
      </c>
      <c r="D100" t="s">
        <v>1672</v>
      </c>
    </row>
    <row r="101" spans="1:4">
      <c r="A101">
        <v>98</v>
      </c>
      <c r="B101" s="13">
        <v>45748</v>
      </c>
      <c r="C101" t="s">
        <v>1626</v>
      </c>
      <c r="D101" t="s">
        <v>1679</v>
      </c>
    </row>
    <row r="102" spans="1:4">
      <c r="A102">
        <v>99</v>
      </c>
      <c r="B102" s="13">
        <v>45748</v>
      </c>
      <c r="C102" t="s">
        <v>1626</v>
      </c>
      <c r="D102" t="s">
        <v>1681</v>
      </c>
    </row>
    <row r="103" spans="1:4">
      <c r="A103">
        <v>100</v>
      </c>
      <c r="B103" s="13">
        <v>45749</v>
      </c>
      <c r="C103" t="s">
        <v>1495</v>
      </c>
      <c r="D103" t="s">
        <v>1689</v>
      </c>
    </row>
    <row r="104" spans="1:4">
      <c r="A104">
        <v>101</v>
      </c>
      <c r="B104" s="13">
        <v>45749</v>
      </c>
      <c r="C104" t="s">
        <v>1587</v>
      </c>
      <c r="D104" t="s">
        <v>1716</v>
      </c>
    </row>
    <row r="105" spans="1:4">
      <c r="A105">
        <v>102</v>
      </c>
      <c r="B105" s="13">
        <v>45749</v>
      </c>
      <c r="C105" t="s">
        <v>1445</v>
      </c>
      <c r="D105" t="s">
        <v>1717</v>
      </c>
    </row>
    <row r="106" spans="1:4">
      <c r="A106">
        <v>103</v>
      </c>
      <c r="B106" s="13">
        <v>45749</v>
      </c>
      <c r="C106" t="s">
        <v>1030</v>
      </c>
      <c r="D106" t="s">
        <v>1718</v>
      </c>
    </row>
    <row r="107" spans="1:4">
      <c r="A107">
        <v>104</v>
      </c>
      <c r="B107" s="13">
        <v>45749</v>
      </c>
      <c r="C107" t="s">
        <v>1719</v>
      </c>
      <c r="D107" t="s">
        <v>1723</v>
      </c>
    </row>
    <row r="108" spans="1:4">
      <c r="A108">
        <v>105</v>
      </c>
      <c r="B108" s="13">
        <v>45749</v>
      </c>
      <c r="C108" t="s">
        <v>1724</v>
      </c>
      <c r="D108" t="s">
        <v>1726</v>
      </c>
    </row>
    <row r="109" spans="1:4">
      <c r="A109">
        <v>106</v>
      </c>
      <c r="B109" s="13">
        <v>45749</v>
      </c>
      <c r="C109" t="s">
        <v>1587</v>
      </c>
      <c r="D109" t="s">
        <v>1728</v>
      </c>
    </row>
    <row r="110" spans="1:4">
      <c r="A110">
        <v>107</v>
      </c>
      <c r="B110" s="13">
        <v>45750</v>
      </c>
      <c r="C110" t="s">
        <v>1495</v>
      </c>
      <c r="D110" t="s">
        <v>1730</v>
      </c>
    </row>
    <row r="111" spans="1:4">
      <c r="A111">
        <v>108</v>
      </c>
      <c r="B111" s="13">
        <v>45750</v>
      </c>
      <c r="C111" t="s">
        <v>1734</v>
      </c>
      <c r="D111" t="s">
        <v>1738</v>
      </c>
    </row>
    <row r="112" spans="1:4">
      <c r="A112">
        <v>109</v>
      </c>
      <c r="B112" s="13">
        <v>45750</v>
      </c>
      <c r="C112" t="s">
        <v>1739</v>
      </c>
      <c r="D112" t="s">
        <v>1740</v>
      </c>
    </row>
    <row r="113" spans="1:4">
      <c r="A113">
        <v>110</v>
      </c>
      <c r="B113" s="13">
        <v>45750</v>
      </c>
      <c r="C113" t="s">
        <v>1490</v>
      </c>
      <c r="D113" t="s">
        <v>1753</v>
      </c>
    </row>
    <row r="114" spans="1:4">
      <c r="A114">
        <v>111</v>
      </c>
      <c r="B114" s="13">
        <v>45751</v>
      </c>
      <c r="C114" t="s">
        <v>1424</v>
      </c>
      <c r="D114" t="s">
        <v>1759</v>
      </c>
    </row>
    <row r="115" spans="1:4">
      <c r="A115">
        <v>112</v>
      </c>
      <c r="B115" s="13">
        <v>45751</v>
      </c>
      <c r="C115" t="s">
        <v>1515</v>
      </c>
      <c r="D115" t="s">
        <v>1763</v>
      </c>
    </row>
    <row r="116" spans="1:4">
      <c r="A116">
        <v>113</v>
      </c>
      <c r="B116" s="13">
        <v>45751</v>
      </c>
      <c r="C116" t="s">
        <v>1790</v>
      </c>
      <c r="D116" t="s">
        <v>1793</v>
      </c>
    </row>
    <row r="117" spans="1:4">
      <c r="A117">
        <v>114</v>
      </c>
      <c r="B117" s="13">
        <v>45751</v>
      </c>
      <c r="C117" t="s">
        <v>1790</v>
      </c>
      <c r="D117" t="s">
        <v>1794</v>
      </c>
    </row>
    <row r="118" spans="1:4">
      <c r="A118">
        <v>115</v>
      </c>
      <c r="B118" s="13">
        <v>45751</v>
      </c>
      <c r="C118" t="s">
        <v>1790</v>
      </c>
      <c r="D118" t="s">
        <v>1797</v>
      </c>
    </row>
    <row r="119" spans="1:4">
      <c r="A119">
        <v>116</v>
      </c>
      <c r="B119" s="13">
        <v>45752</v>
      </c>
      <c r="C119" t="s">
        <v>1587</v>
      </c>
      <c r="D119" t="s">
        <v>1815</v>
      </c>
    </row>
    <row r="120" spans="1:4">
      <c r="A120">
        <v>117</v>
      </c>
      <c r="B120" s="13">
        <v>45752</v>
      </c>
      <c r="C120" t="s">
        <v>1445</v>
      </c>
      <c r="D120" t="s">
        <v>1819</v>
      </c>
    </row>
    <row r="121" spans="1:4">
      <c r="A121">
        <v>118</v>
      </c>
      <c r="B121" s="13">
        <v>45754</v>
      </c>
      <c r="C121" t="s">
        <v>1817</v>
      </c>
      <c r="D121" t="s">
        <v>1820</v>
      </c>
    </row>
    <row r="122" spans="1:4">
      <c r="A122">
        <v>118</v>
      </c>
      <c r="B122" s="13">
        <v>45754</v>
      </c>
      <c r="C122" t="s">
        <v>1183</v>
      </c>
      <c r="D122" t="s">
        <v>1834</v>
      </c>
    </row>
    <row r="123" spans="1:4">
      <c r="A123">
        <v>119</v>
      </c>
      <c r="B123" s="13">
        <v>45754</v>
      </c>
      <c r="C123" t="s">
        <v>1790</v>
      </c>
      <c r="D123" t="s">
        <v>1846</v>
      </c>
    </row>
    <row r="124" spans="1:4">
      <c r="A124">
        <v>120</v>
      </c>
      <c r="B124" s="13">
        <v>45754</v>
      </c>
      <c r="C124" t="s">
        <v>1069</v>
      </c>
      <c r="D124" t="s">
        <v>1869</v>
      </c>
    </row>
    <row r="125" spans="1:4">
      <c r="A125">
        <v>121</v>
      </c>
      <c r="B125" s="13">
        <v>45754</v>
      </c>
      <c r="C125" t="s">
        <v>1866</v>
      </c>
      <c r="D125" t="s">
        <v>1873</v>
      </c>
    </row>
    <row r="126" spans="1:4">
      <c r="A126">
        <v>122</v>
      </c>
      <c r="B126" s="13">
        <v>45754</v>
      </c>
      <c r="C126" t="s">
        <v>1790</v>
      </c>
      <c r="D126" t="s">
        <v>1874</v>
      </c>
    </row>
    <row r="127" spans="1:4">
      <c r="A127">
        <v>123</v>
      </c>
      <c r="B127" s="13">
        <v>45754</v>
      </c>
      <c r="C127" t="s">
        <v>1445</v>
      </c>
      <c r="D127" t="s">
        <v>1875</v>
      </c>
    </row>
    <row r="128" spans="1:4">
      <c r="A128">
        <v>124</v>
      </c>
      <c r="B128" s="13">
        <v>45755</v>
      </c>
      <c r="C128" t="s">
        <v>1495</v>
      </c>
      <c r="D128" t="s">
        <v>1880</v>
      </c>
    </row>
    <row r="129" spans="1:5">
      <c r="A129">
        <v>125</v>
      </c>
      <c r="B129" s="13">
        <v>45755</v>
      </c>
      <c r="C129" t="s">
        <v>1881</v>
      </c>
      <c r="D129" t="s">
        <v>1883</v>
      </c>
      <c r="E129" t="s">
        <v>1882</v>
      </c>
    </row>
    <row r="130" spans="1:5">
      <c r="A130">
        <v>126</v>
      </c>
      <c r="B130" s="13">
        <v>45755</v>
      </c>
      <c r="C130" t="s">
        <v>1030</v>
      </c>
      <c r="D130" t="s">
        <v>1884</v>
      </c>
    </row>
    <row r="131" spans="1:5">
      <c r="A131">
        <v>127</v>
      </c>
      <c r="B131" s="13">
        <v>45755</v>
      </c>
      <c r="C131" t="s">
        <v>1885</v>
      </c>
      <c r="D131" t="s">
        <v>1886</v>
      </c>
    </row>
    <row r="132" spans="1:5">
      <c r="A132">
        <v>128</v>
      </c>
      <c r="B132" s="13">
        <v>45755</v>
      </c>
      <c r="C132" t="s">
        <v>1629</v>
      </c>
      <c r="D132" t="s">
        <v>1887</v>
      </c>
    </row>
    <row r="133" spans="1:5">
      <c r="A133">
        <v>129</v>
      </c>
      <c r="B133" s="13">
        <v>45755</v>
      </c>
      <c r="C133" t="s">
        <v>1888</v>
      </c>
      <c r="D133" t="s">
        <v>1892</v>
      </c>
    </row>
    <row r="134" spans="1:5">
      <c r="A134">
        <v>130</v>
      </c>
      <c r="B134" s="13">
        <v>45756</v>
      </c>
      <c r="C134" t="s">
        <v>1790</v>
      </c>
      <c r="D134" t="s">
        <v>1903</v>
      </c>
    </row>
    <row r="135" spans="1:5">
      <c r="A135">
        <v>131</v>
      </c>
      <c r="B135" s="13">
        <v>45757</v>
      </c>
      <c r="C135" t="s">
        <v>1504</v>
      </c>
      <c r="D135" t="s">
        <v>1905</v>
      </c>
    </row>
    <row r="136" spans="1:5">
      <c r="A136">
        <v>132</v>
      </c>
      <c r="B136" s="13">
        <v>45757</v>
      </c>
      <c r="C136" t="s">
        <v>1587</v>
      </c>
      <c r="D136" t="s">
        <v>1907</v>
      </c>
    </row>
    <row r="137" spans="1:5">
      <c r="A137">
        <v>133</v>
      </c>
      <c r="B137" s="13">
        <v>45757</v>
      </c>
      <c r="C137" t="s">
        <v>1587</v>
      </c>
      <c r="D137" t="s">
        <v>1911</v>
      </c>
    </row>
    <row r="138" spans="1:5">
      <c r="A138">
        <v>134</v>
      </c>
      <c r="B138" s="13">
        <v>45757</v>
      </c>
      <c r="C138" t="s">
        <v>1504</v>
      </c>
      <c r="D138" t="s">
        <v>1912</v>
      </c>
    </row>
    <row r="139" spans="1:5">
      <c r="A139">
        <v>135</v>
      </c>
      <c r="B139" s="13">
        <v>45757</v>
      </c>
      <c r="C139" t="s">
        <v>1881</v>
      </c>
      <c r="D139" t="s">
        <v>1913</v>
      </c>
    </row>
    <row r="140" spans="1:5">
      <c r="A140">
        <v>136</v>
      </c>
      <c r="B140" s="13">
        <v>45758</v>
      </c>
      <c r="C140" t="s">
        <v>1515</v>
      </c>
      <c r="D140" t="s">
        <v>1925</v>
      </c>
    </row>
    <row r="141" spans="1:5">
      <c r="A141">
        <v>137</v>
      </c>
      <c r="B141" s="13">
        <v>45758</v>
      </c>
      <c r="C141" t="s">
        <v>1920</v>
      </c>
      <c r="D141" t="s">
        <v>1927</v>
      </c>
    </row>
    <row r="142" spans="1:5">
      <c r="A142">
        <v>138</v>
      </c>
      <c r="B142" s="13">
        <v>45759</v>
      </c>
      <c r="C142" t="s">
        <v>1030</v>
      </c>
      <c r="D142" t="s">
        <v>1928</v>
      </c>
    </row>
    <row r="143" spans="1:5">
      <c r="A143">
        <v>139</v>
      </c>
      <c r="B143" s="13">
        <v>45759</v>
      </c>
      <c r="C143" t="s">
        <v>1626</v>
      </c>
      <c r="D143" t="s">
        <v>1930</v>
      </c>
      <c r="E143" t="s">
        <v>1929</v>
      </c>
    </row>
    <row r="144" spans="1:5">
      <c r="A144">
        <v>140</v>
      </c>
      <c r="B144" s="13">
        <v>45759</v>
      </c>
      <c r="C144" t="s">
        <v>1030</v>
      </c>
      <c r="D144" t="s">
        <v>1931</v>
      </c>
    </row>
    <row r="145" spans="1:4">
      <c r="A145">
        <v>141</v>
      </c>
      <c r="B145" s="13">
        <v>45761</v>
      </c>
      <c r="C145" t="s">
        <v>1030</v>
      </c>
      <c r="D145" t="s">
        <v>1933</v>
      </c>
    </row>
    <row r="146" spans="1:4">
      <c r="A146">
        <v>142</v>
      </c>
      <c r="B146" s="13">
        <v>45759</v>
      </c>
      <c r="C146" t="s">
        <v>1932</v>
      </c>
      <c r="D146" t="s">
        <v>1938</v>
      </c>
    </row>
    <row r="147" spans="1:4">
      <c r="A147">
        <v>143</v>
      </c>
      <c r="B147" s="13">
        <v>45761</v>
      </c>
      <c r="C147" t="s">
        <v>1183</v>
      </c>
      <c r="D147" t="s">
        <v>1941</v>
      </c>
    </row>
    <row r="148" spans="1:4">
      <c r="A148">
        <v>144</v>
      </c>
      <c r="B148" s="13">
        <v>45761</v>
      </c>
      <c r="C148" t="s">
        <v>1069</v>
      </c>
      <c r="D148" t="s">
        <v>1942</v>
      </c>
    </row>
    <row r="149" spans="1:4">
      <c r="A149">
        <v>145</v>
      </c>
      <c r="B149" s="13">
        <v>45761</v>
      </c>
      <c r="C149" t="s">
        <v>1030</v>
      </c>
      <c r="D149" t="s">
        <v>1943</v>
      </c>
    </row>
    <row r="150" spans="1:4">
      <c r="A150">
        <v>146</v>
      </c>
      <c r="B150" s="13">
        <v>45761</v>
      </c>
      <c r="C150" t="s">
        <v>1885</v>
      </c>
      <c r="D150" t="s">
        <v>1945</v>
      </c>
    </row>
    <row r="151" spans="1:4">
      <c r="A151">
        <v>147</v>
      </c>
      <c r="B151" s="13">
        <v>45761</v>
      </c>
      <c r="C151" t="s">
        <v>1946</v>
      </c>
      <c r="D151" t="s">
        <v>1948</v>
      </c>
    </row>
    <row r="152" spans="1:4">
      <c r="A152">
        <v>148</v>
      </c>
      <c r="B152" s="13">
        <v>45691</v>
      </c>
      <c r="C152" t="s">
        <v>1790</v>
      </c>
      <c r="D152" t="s">
        <v>1950</v>
      </c>
    </row>
    <row r="153" spans="1:4">
      <c r="A153">
        <v>149</v>
      </c>
      <c r="B153" s="13">
        <v>45761</v>
      </c>
      <c r="C153" t="s">
        <v>1790</v>
      </c>
      <c r="D153" t="s">
        <v>1951</v>
      </c>
    </row>
    <row r="154" spans="1:4">
      <c r="A154">
        <v>150</v>
      </c>
      <c r="B154" s="13">
        <v>45761</v>
      </c>
      <c r="C154" t="s">
        <v>1952</v>
      </c>
      <c r="D154" t="s">
        <v>1953</v>
      </c>
    </row>
    <row r="155" spans="1:4">
      <c r="A155">
        <v>151</v>
      </c>
      <c r="B155" s="13">
        <v>45761</v>
      </c>
      <c r="C155" t="s">
        <v>1955</v>
      </c>
      <c r="D155" t="s">
        <v>1956</v>
      </c>
    </row>
    <row r="156" spans="1:4">
      <c r="A156">
        <v>152</v>
      </c>
      <c r="B156" s="13">
        <v>45762</v>
      </c>
      <c r="C156" t="s">
        <v>1961</v>
      </c>
      <c r="D156" t="s">
        <v>1962</v>
      </c>
    </row>
    <row r="157" spans="1:4">
      <c r="A157">
        <v>153</v>
      </c>
      <c r="B157" s="13">
        <v>45762</v>
      </c>
      <c r="C157" t="s">
        <v>1790</v>
      </c>
      <c r="D157" t="s">
        <v>1963</v>
      </c>
    </row>
    <row r="158" spans="1:4">
      <c r="A158">
        <v>154</v>
      </c>
      <c r="B158" s="13">
        <v>45762</v>
      </c>
      <c r="C158" t="s">
        <v>1060</v>
      </c>
      <c r="D158" t="s">
        <v>1964</v>
      </c>
    </row>
    <row r="159" spans="1:4">
      <c r="A159">
        <v>155</v>
      </c>
      <c r="B159" s="13">
        <v>45762</v>
      </c>
      <c r="C159" t="s">
        <v>1060</v>
      </c>
      <c r="D159" t="s">
        <v>1965</v>
      </c>
    </row>
    <row r="160" spans="1:4">
      <c r="A160">
        <v>156</v>
      </c>
      <c r="B160" s="13">
        <v>45762</v>
      </c>
      <c r="C160" t="s">
        <v>1488</v>
      </c>
      <c r="D160" t="s">
        <v>1971</v>
      </c>
    </row>
    <row r="161" spans="1:5">
      <c r="A161">
        <v>157</v>
      </c>
      <c r="B161" s="13">
        <v>45762</v>
      </c>
      <c r="C161" t="s">
        <v>1734</v>
      </c>
      <c r="D161" t="s">
        <v>1972</v>
      </c>
    </row>
    <row r="162" spans="1:5">
      <c r="A162">
        <v>158</v>
      </c>
      <c r="B162" s="13">
        <v>45762</v>
      </c>
      <c r="C162" t="s">
        <v>1885</v>
      </c>
      <c r="D162" t="s">
        <v>1973</v>
      </c>
    </row>
    <row r="163" spans="1:5">
      <c r="A163">
        <v>159</v>
      </c>
      <c r="B163" s="13">
        <v>45763</v>
      </c>
      <c r="C163" t="s">
        <v>1975</v>
      </c>
      <c r="D163" t="s">
        <v>2212</v>
      </c>
    </row>
    <row r="164" spans="1:5">
      <c r="A164">
        <v>160</v>
      </c>
      <c r="B164" s="13">
        <v>45763</v>
      </c>
      <c r="C164" t="s">
        <v>1979</v>
      </c>
      <c r="D164" t="s">
        <v>1980</v>
      </c>
    </row>
    <row r="165" spans="1:5">
      <c r="A165">
        <v>161</v>
      </c>
      <c r="B165" s="13">
        <v>45763</v>
      </c>
      <c r="C165" t="s">
        <v>986</v>
      </c>
      <c r="D165" t="s">
        <v>1981</v>
      </c>
    </row>
    <row r="166" spans="1:5">
      <c r="A166">
        <v>162</v>
      </c>
      <c r="B166" s="13">
        <v>45763</v>
      </c>
      <c r="C166" t="s">
        <v>986</v>
      </c>
      <c r="D166" t="s">
        <v>1983</v>
      </c>
      <c r="E166" t="s">
        <v>1982</v>
      </c>
    </row>
    <row r="167" spans="1:5">
      <c r="A167">
        <v>163</v>
      </c>
      <c r="B167" s="13">
        <v>45763</v>
      </c>
      <c r="C167" t="s">
        <v>1647</v>
      </c>
      <c r="D167" t="s">
        <v>1985</v>
      </c>
      <c r="E167" t="s">
        <v>1982</v>
      </c>
    </row>
    <row r="168" spans="1:5">
      <c r="A168">
        <v>164</v>
      </c>
      <c r="B168" s="13">
        <v>45763</v>
      </c>
      <c r="C168" t="s">
        <v>1629</v>
      </c>
      <c r="D168" t="s">
        <v>1988</v>
      </c>
    </row>
    <row r="169" spans="1:5">
      <c r="A169">
        <v>165</v>
      </c>
      <c r="B169" s="13">
        <v>45764</v>
      </c>
      <c r="C169" t="s">
        <v>1445</v>
      </c>
      <c r="D169" t="s">
        <v>2002</v>
      </c>
    </row>
    <row r="170" spans="1:5">
      <c r="A170">
        <v>166</v>
      </c>
      <c r="B170" s="13">
        <v>45764</v>
      </c>
      <c r="C170" t="s">
        <v>1587</v>
      </c>
      <c r="D170" t="s">
        <v>2005</v>
      </c>
    </row>
    <row r="171" spans="1:5">
      <c r="A171">
        <v>167</v>
      </c>
      <c r="B171" s="13">
        <v>45764</v>
      </c>
      <c r="C171" t="s">
        <v>1488</v>
      </c>
      <c r="D171" t="s">
        <v>2007</v>
      </c>
      <c r="E171" t="s">
        <v>2006</v>
      </c>
    </row>
    <row r="172" spans="1:5">
      <c r="A172">
        <v>168</v>
      </c>
      <c r="B172" s="13">
        <v>45765</v>
      </c>
      <c r="C172" t="s">
        <v>1734</v>
      </c>
      <c r="D172" t="s">
        <v>2010</v>
      </c>
    </row>
    <row r="173" spans="1:5">
      <c r="A173">
        <v>169</v>
      </c>
      <c r="B173" s="13">
        <v>45765</v>
      </c>
      <c r="C173" t="s">
        <v>1790</v>
      </c>
      <c r="D173" t="s">
        <v>2012</v>
      </c>
    </row>
    <row r="174" spans="1:5">
      <c r="A174">
        <v>170</v>
      </c>
      <c r="B174" s="13">
        <v>45765</v>
      </c>
      <c r="C174" t="s">
        <v>1647</v>
      </c>
      <c r="D174" t="s">
        <v>2013</v>
      </c>
    </row>
    <row r="175" spans="1:5">
      <c r="A175">
        <v>171</v>
      </c>
      <c r="B175" s="13">
        <v>45765</v>
      </c>
      <c r="C175" t="s">
        <v>1513</v>
      </c>
      <c r="D175" t="s">
        <v>2014</v>
      </c>
    </row>
    <row r="176" spans="1:5">
      <c r="A176">
        <v>172</v>
      </c>
      <c r="B176" s="13">
        <v>45765</v>
      </c>
      <c r="C176" t="s">
        <v>1513</v>
      </c>
      <c r="D176" t="s">
        <v>2015</v>
      </c>
    </row>
    <row r="177" spans="1:5">
      <c r="A177">
        <v>173</v>
      </c>
      <c r="B177" s="13">
        <v>45768</v>
      </c>
      <c r="C177" t="s">
        <v>2016</v>
      </c>
      <c r="D177" t="s">
        <v>2017</v>
      </c>
    </row>
    <row r="178" spans="1:5">
      <c r="A178">
        <v>174</v>
      </c>
      <c r="B178" s="13">
        <v>45768</v>
      </c>
      <c r="C178" t="s">
        <v>2027</v>
      </c>
      <c r="D178" t="s">
        <v>2028</v>
      </c>
    </row>
    <row r="179" spans="1:5">
      <c r="A179">
        <v>175</v>
      </c>
      <c r="B179" s="13">
        <v>45768</v>
      </c>
      <c r="C179" t="s">
        <v>2027</v>
      </c>
      <c r="D179" t="s">
        <v>2029</v>
      </c>
    </row>
    <row r="180" spans="1:5">
      <c r="A180">
        <v>176</v>
      </c>
      <c r="B180" s="13">
        <v>45768</v>
      </c>
      <c r="C180" t="s">
        <v>1445</v>
      </c>
      <c r="D180" t="s">
        <v>2031</v>
      </c>
      <c r="E180" t="s">
        <v>2030</v>
      </c>
    </row>
    <row r="181" spans="1:5">
      <c r="A181">
        <v>177</v>
      </c>
      <c r="B181" s="13">
        <v>45768</v>
      </c>
      <c r="C181" t="s">
        <v>1629</v>
      </c>
      <c r="D181" t="s">
        <v>2032</v>
      </c>
      <c r="E181" t="s">
        <v>2030</v>
      </c>
    </row>
    <row r="182" spans="1:5">
      <c r="A182">
        <v>178</v>
      </c>
      <c r="B182" s="13">
        <v>45768</v>
      </c>
      <c r="C182" t="s">
        <v>1626</v>
      </c>
      <c r="D182" t="s">
        <v>2033</v>
      </c>
    </row>
    <row r="183" spans="1:5">
      <c r="A183">
        <v>179</v>
      </c>
      <c r="B183" s="13">
        <v>45768</v>
      </c>
      <c r="C183" t="s">
        <v>1790</v>
      </c>
      <c r="D183" t="s">
        <v>2039</v>
      </c>
    </row>
    <row r="184" spans="1:5">
      <c r="A184">
        <v>180</v>
      </c>
      <c r="B184" s="13">
        <v>45769</v>
      </c>
      <c r="C184" t="s">
        <v>1495</v>
      </c>
      <c r="D184" t="s">
        <v>2043</v>
      </c>
    </row>
    <row r="185" spans="1:5">
      <c r="A185">
        <v>181</v>
      </c>
      <c r="B185" s="13">
        <v>45770</v>
      </c>
      <c r="C185" t="s">
        <v>1647</v>
      </c>
      <c r="D185" t="s">
        <v>2045</v>
      </c>
    </row>
    <row r="186" spans="1:5">
      <c r="A186">
        <v>182</v>
      </c>
      <c r="B186" s="13">
        <v>45770</v>
      </c>
      <c r="C186" t="s">
        <v>2046</v>
      </c>
      <c r="D186" t="s">
        <v>2049</v>
      </c>
    </row>
    <row r="187" spans="1:5">
      <c r="A187">
        <v>183</v>
      </c>
      <c r="B187" s="13">
        <v>45770</v>
      </c>
      <c r="C187" t="s">
        <v>2046</v>
      </c>
      <c r="D187" t="s">
        <v>2052</v>
      </c>
    </row>
    <row r="188" spans="1:5">
      <c r="A188">
        <v>184</v>
      </c>
      <c r="B188" s="13">
        <v>45771</v>
      </c>
      <c r="C188" t="s">
        <v>1600</v>
      </c>
      <c r="D188" t="s">
        <v>2054</v>
      </c>
    </row>
    <row r="189" spans="1:5">
      <c r="A189">
        <v>185</v>
      </c>
      <c r="B189" s="13">
        <v>45771</v>
      </c>
      <c r="C189" t="s">
        <v>1490</v>
      </c>
      <c r="D189" t="s">
        <v>2057</v>
      </c>
    </row>
    <row r="190" spans="1:5">
      <c r="A190">
        <v>186</v>
      </c>
      <c r="B190" s="13">
        <v>45772</v>
      </c>
      <c r="C190" t="s">
        <v>1437</v>
      </c>
      <c r="D190" t="s">
        <v>2062</v>
      </c>
    </row>
    <row r="191" spans="1:5">
      <c r="A191">
        <v>187</v>
      </c>
      <c r="B191" s="13">
        <v>45772</v>
      </c>
      <c r="C191" t="s">
        <v>2063</v>
      </c>
      <c r="D191" t="s">
        <v>2065</v>
      </c>
    </row>
    <row r="192" spans="1:5">
      <c r="A192">
        <v>188</v>
      </c>
      <c r="B192" s="13">
        <v>45772</v>
      </c>
      <c r="C192" t="s">
        <v>2066</v>
      </c>
      <c r="D192" t="s">
        <v>2067</v>
      </c>
    </row>
    <row r="193" spans="1:4">
      <c r="A193">
        <v>189</v>
      </c>
      <c r="B193" s="13">
        <v>45772</v>
      </c>
      <c r="C193" t="s">
        <v>1866</v>
      </c>
      <c r="D193" t="s">
        <v>2068</v>
      </c>
    </row>
    <row r="194" spans="1:4">
      <c r="A194">
        <v>190</v>
      </c>
      <c r="B194" s="13">
        <v>45772</v>
      </c>
      <c r="C194" t="s">
        <v>1866</v>
      </c>
      <c r="D194" t="s">
        <v>2070</v>
      </c>
    </row>
    <row r="195" spans="1:4">
      <c r="A195">
        <v>191</v>
      </c>
      <c r="B195" s="13">
        <v>45772</v>
      </c>
      <c r="C195" t="s">
        <v>1490</v>
      </c>
      <c r="D195" t="s">
        <v>2072</v>
      </c>
    </row>
    <row r="196" spans="1:4">
      <c r="A196">
        <v>192</v>
      </c>
      <c r="B196" s="13">
        <v>45772</v>
      </c>
      <c r="C196" t="s">
        <v>1885</v>
      </c>
      <c r="D196" t="s">
        <v>2073</v>
      </c>
    </row>
    <row r="197" spans="1:4">
      <c r="A197">
        <v>193</v>
      </c>
      <c r="B197" s="13">
        <v>45775</v>
      </c>
      <c r="C197" t="s">
        <v>1567</v>
      </c>
      <c r="D197" t="s">
        <v>2075</v>
      </c>
    </row>
    <row r="198" spans="1:4">
      <c r="A198">
        <v>194</v>
      </c>
      <c r="B198" s="13">
        <v>45775</v>
      </c>
      <c r="C198" t="s">
        <v>1490</v>
      </c>
      <c r="D198" t="s">
        <v>2076</v>
      </c>
    </row>
    <row r="199" spans="1:4">
      <c r="A199">
        <v>195</v>
      </c>
      <c r="B199" s="13">
        <v>45775</v>
      </c>
      <c r="C199" t="s">
        <v>1183</v>
      </c>
      <c r="D199" t="s">
        <v>2077</v>
      </c>
    </row>
    <row r="200" spans="1:4">
      <c r="A200">
        <v>196</v>
      </c>
      <c r="B200" s="13">
        <v>45775</v>
      </c>
      <c r="C200" t="s">
        <v>1069</v>
      </c>
      <c r="D200" t="s">
        <v>2079</v>
      </c>
    </row>
    <row r="201" spans="1:4">
      <c r="A201">
        <v>197</v>
      </c>
      <c r="B201" s="13">
        <v>45775</v>
      </c>
      <c r="C201" t="s">
        <v>1578</v>
      </c>
      <c r="D201" t="s">
        <v>2081</v>
      </c>
    </row>
    <row r="202" spans="1:4">
      <c r="A202">
        <v>198</v>
      </c>
      <c r="B202" s="13">
        <v>45775</v>
      </c>
      <c r="C202" t="s">
        <v>2066</v>
      </c>
      <c r="D202" t="s">
        <v>2083</v>
      </c>
    </row>
    <row r="203" spans="1:4">
      <c r="A203">
        <v>199</v>
      </c>
      <c r="B203" s="13">
        <v>45776</v>
      </c>
      <c r="C203" t="s">
        <v>1587</v>
      </c>
      <c r="D203" t="s">
        <v>2097</v>
      </c>
    </row>
    <row r="204" spans="1:4">
      <c r="A204">
        <v>200</v>
      </c>
      <c r="B204" s="13">
        <v>45776</v>
      </c>
      <c r="C204" t="s">
        <v>2101</v>
      </c>
      <c r="D204" t="s">
        <v>2102</v>
      </c>
    </row>
    <row r="205" spans="1:4">
      <c r="A205">
        <v>201</v>
      </c>
      <c r="B205" s="13">
        <v>45776</v>
      </c>
      <c r="C205" t="s">
        <v>1790</v>
      </c>
      <c r="D205" t="s">
        <v>2107</v>
      </c>
    </row>
    <row r="206" spans="1:4">
      <c r="A206">
        <v>202</v>
      </c>
      <c r="B206" s="13">
        <v>45776</v>
      </c>
      <c r="C206" t="s">
        <v>2110</v>
      </c>
      <c r="D206" t="s">
        <v>2111</v>
      </c>
    </row>
    <row r="207" spans="1:4">
      <c r="A207">
        <v>203</v>
      </c>
      <c r="B207" s="13">
        <v>45776</v>
      </c>
      <c r="C207" t="s">
        <v>2066</v>
      </c>
      <c r="D207" t="s">
        <v>2112</v>
      </c>
    </row>
    <row r="208" spans="1:4">
      <c r="A208">
        <v>204</v>
      </c>
      <c r="B208" s="13">
        <v>45776</v>
      </c>
      <c r="C208" t="s">
        <v>1817</v>
      </c>
      <c r="D208" t="s">
        <v>2114</v>
      </c>
    </row>
    <row r="209" spans="1:4">
      <c r="A209">
        <v>205</v>
      </c>
      <c r="B209" s="13">
        <v>45776</v>
      </c>
      <c r="C209" t="s">
        <v>2066</v>
      </c>
      <c r="D209" t="s">
        <v>2116</v>
      </c>
    </row>
    <row r="210" spans="1:4">
      <c r="A210">
        <v>206</v>
      </c>
      <c r="B210" s="13">
        <v>45777</v>
      </c>
      <c r="C210" t="s">
        <v>1019</v>
      </c>
      <c r="D210" t="s">
        <v>2117</v>
      </c>
    </row>
    <row r="211" spans="1:4">
      <c r="A211">
        <v>207</v>
      </c>
      <c r="B211" s="13">
        <v>45777</v>
      </c>
      <c r="C211" t="s">
        <v>1490</v>
      </c>
      <c r="D211" t="s">
        <v>2119</v>
      </c>
    </row>
    <row r="212" spans="1:4">
      <c r="A212">
        <v>208</v>
      </c>
      <c r="B212" s="13">
        <v>45777</v>
      </c>
      <c r="C212" t="s">
        <v>2120</v>
      </c>
      <c r="D212" t="s">
        <v>2124</v>
      </c>
    </row>
    <row r="213" spans="1:4">
      <c r="A213">
        <v>209</v>
      </c>
      <c r="B213" s="13">
        <v>45777</v>
      </c>
      <c r="C213" t="s">
        <v>2125</v>
      </c>
      <c r="D213" t="s">
        <v>2128</v>
      </c>
    </row>
    <row r="214" spans="1:4">
      <c r="A214">
        <v>210</v>
      </c>
      <c r="B214" s="13">
        <v>45777</v>
      </c>
      <c r="C214" t="s">
        <v>1060</v>
      </c>
      <c r="D214" t="s">
        <v>2130</v>
      </c>
    </row>
    <row r="215" spans="1:4">
      <c r="A215">
        <v>211</v>
      </c>
      <c r="B215" s="13">
        <v>45777</v>
      </c>
      <c r="C215" t="s">
        <v>1626</v>
      </c>
      <c r="D215" t="s">
        <v>2131</v>
      </c>
    </row>
    <row r="216" spans="1:4">
      <c r="A216">
        <v>212</v>
      </c>
      <c r="B216" s="13">
        <v>45777</v>
      </c>
      <c r="C216" t="s">
        <v>2132</v>
      </c>
      <c r="D216" t="s">
        <v>2136</v>
      </c>
    </row>
    <row r="217" spans="1:4">
      <c r="A217">
        <v>213</v>
      </c>
      <c r="B217" s="13">
        <v>45777</v>
      </c>
      <c r="C217" t="s">
        <v>1600</v>
      </c>
      <c r="D217" t="s">
        <v>2137</v>
      </c>
    </row>
    <row r="218" spans="1:4">
      <c r="A218">
        <v>214</v>
      </c>
      <c r="B218" s="13">
        <v>45775</v>
      </c>
      <c r="C218" t="s">
        <v>2066</v>
      </c>
      <c r="D218" t="s">
        <v>2138</v>
      </c>
    </row>
    <row r="219" spans="1:4">
      <c r="A219">
        <v>215</v>
      </c>
      <c r="B219" s="13">
        <v>45778</v>
      </c>
      <c r="C219" t="s">
        <v>1629</v>
      </c>
      <c r="D219" t="s">
        <v>2151</v>
      </c>
    </row>
    <row r="220" spans="1:4">
      <c r="A220">
        <v>216</v>
      </c>
      <c r="B220" s="13">
        <v>45777</v>
      </c>
      <c r="C220" t="s">
        <v>1790</v>
      </c>
      <c r="D220" t="s">
        <v>2153</v>
      </c>
    </row>
    <row r="221" spans="1:4">
      <c r="A221">
        <v>217</v>
      </c>
      <c r="B221" s="13">
        <v>45779</v>
      </c>
      <c r="C221" t="s">
        <v>1629</v>
      </c>
      <c r="D221" t="s">
        <v>2154</v>
      </c>
    </row>
    <row r="222" spans="1:4">
      <c r="A222">
        <v>218</v>
      </c>
      <c r="B222" s="13">
        <v>45779</v>
      </c>
      <c r="C222" t="s">
        <v>2063</v>
      </c>
      <c r="D222" t="s">
        <v>2155</v>
      </c>
    </row>
    <row r="223" spans="1:4">
      <c r="A223">
        <v>219</v>
      </c>
      <c r="B223" s="13">
        <v>45779</v>
      </c>
      <c r="C223" t="s">
        <v>1445</v>
      </c>
      <c r="D223" t="s">
        <v>2156</v>
      </c>
    </row>
    <row r="224" spans="1:4">
      <c r="A224">
        <v>220</v>
      </c>
      <c r="B224" s="13">
        <v>45779</v>
      </c>
      <c r="C224" t="s">
        <v>1445</v>
      </c>
      <c r="D224" t="s">
        <v>2157</v>
      </c>
    </row>
    <row r="225" spans="1:4">
      <c r="A225">
        <v>221</v>
      </c>
      <c r="B225" s="13">
        <v>45780</v>
      </c>
      <c r="C225" t="s">
        <v>2046</v>
      </c>
      <c r="D225" t="s">
        <v>2166</v>
      </c>
    </row>
    <row r="226" spans="1:4">
      <c r="A226">
        <v>222</v>
      </c>
      <c r="B226" s="13">
        <v>45782</v>
      </c>
      <c r="C226" t="s">
        <v>2169</v>
      </c>
      <c r="D226" t="s">
        <v>2170</v>
      </c>
    </row>
    <row r="227" spans="1:4">
      <c r="A227">
        <v>223</v>
      </c>
      <c r="B227" s="13">
        <v>45782</v>
      </c>
      <c r="C227" t="s">
        <v>1019</v>
      </c>
      <c r="D227" t="s">
        <v>2171</v>
      </c>
    </row>
    <row r="228" spans="1:4">
      <c r="A228">
        <v>224</v>
      </c>
      <c r="B228" s="13">
        <v>45783</v>
      </c>
      <c r="C228" t="s">
        <v>1587</v>
      </c>
      <c r="D228" t="s">
        <v>2172</v>
      </c>
    </row>
    <row r="229" spans="1:4">
      <c r="A229">
        <v>225</v>
      </c>
      <c r="B229" s="13">
        <v>45783</v>
      </c>
      <c r="C229" t="s">
        <v>1445</v>
      </c>
      <c r="D229" t="s">
        <v>2173</v>
      </c>
    </row>
    <row r="230" spans="1:4">
      <c r="A230">
        <v>226</v>
      </c>
      <c r="B230" s="13">
        <v>45783</v>
      </c>
      <c r="C230" t="s">
        <v>1515</v>
      </c>
      <c r="D230" t="s">
        <v>2174</v>
      </c>
    </row>
    <row r="231" spans="1:4">
      <c r="A231">
        <v>227</v>
      </c>
      <c r="B231" s="13">
        <v>45783</v>
      </c>
      <c r="C231" t="s">
        <v>1445</v>
      </c>
      <c r="D231" t="s">
        <v>2176</v>
      </c>
    </row>
    <row r="232" spans="1:4">
      <c r="A232">
        <v>228</v>
      </c>
      <c r="B232" s="13">
        <v>45784</v>
      </c>
      <c r="C232" t="s">
        <v>1351</v>
      </c>
      <c r="D232" t="s">
        <v>2177</v>
      </c>
    </row>
    <row r="233" spans="1:4">
      <c r="A233">
        <v>229</v>
      </c>
      <c r="B233" s="13">
        <v>45784</v>
      </c>
      <c r="C233" t="s">
        <v>2180</v>
      </c>
      <c r="D233" t="s">
        <v>2184</v>
      </c>
    </row>
    <row r="234" spans="1:4">
      <c r="A234">
        <v>230</v>
      </c>
      <c r="B234" s="13">
        <v>45784</v>
      </c>
      <c r="C234" t="s">
        <v>2180</v>
      </c>
      <c r="D234" t="s">
        <v>2186</v>
      </c>
    </row>
    <row r="235" spans="1:4">
      <c r="A235">
        <v>231</v>
      </c>
      <c r="B235" s="13">
        <v>45784</v>
      </c>
      <c r="C235" t="s">
        <v>2180</v>
      </c>
      <c r="D235" t="s">
        <v>2187</v>
      </c>
    </row>
    <row r="236" spans="1:4">
      <c r="A236">
        <v>232</v>
      </c>
      <c r="B236" s="13">
        <v>45784</v>
      </c>
      <c r="C236" t="s">
        <v>1445</v>
      </c>
      <c r="D236" t="s">
        <v>2188</v>
      </c>
    </row>
    <row r="237" spans="1:4">
      <c r="A237">
        <v>233</v>
      </c>
      <c r="B237" s="13">
        <v>45784</v>
      </c>
      <c r="C237" t="s">
        <v>2180</v>
      </c>
      <c r="D237" t="s">
        <v>2193</v>
      </c>
    </row>
    <row r="238" spans="1:4">
      <c r="A238">
        <v>234</v>
      </c>
      <c r="B238" s="13">
        <v>45784</v>
      </c>
      <c r="C238" t="s">
        <v>2189</v>
      </c>
      <c r="D238" t="s">
        <v>2194</v>
      </c>
    </row>
    <row r="239" spans="1:4">
      <c r="A239">
        <v>235</v>
      </c>
      <c r="B239" s="13">
        <v>45785</v>
      </c>
      <c r="C239" t="s">
        <v>2195</v>
      </c>
      <c r="D239" t="s">
        <v>2199</v>
      </c>
    </row>
    <row r="240" spans="1:4">
      <c r="A240">
        <v>236</v>
      </c>
      <c r="B240" s="13">
        <v>45785</v>
      </c>
      <c r="C240" t="s">
        <v>1790</v>
      </c>
      <c r="D240" t="s">
        <v>2200</v>
      </c>
    </row>
    <row r="241" spans="1:4">
      <c r="A241">
        <v>237</v>
      </c>
      <c r="B241" s="13">
        <v>45786</v>
      </c>
      <c r="C241" t="s">
        <v>1351</v>
      </c>
      <c r="D241" t="s">
        <v>2205</v>
      </c>
    </row>
    <row r="242" spans="1:4">
      <c r="A242">
        <v>238</v>
      </c>
      <c r="B242" s="13">
        <v>45786</v>
      </c>
      <c r="C242" t="s">
        <v>2101</v>
      </c>
      <c r="D242" t="s">
        <v>2206</v>
      </c>
    </row>
    <row r="243" spans="1:4">
      <c r="A243">
        <v>239</v>
      </c>
      <c r="B243" s="13">
        <v>45786</v>
      </c>
      <c r="C243" t="s">
        <v>2208</v>
      </c>
      <c r="D243" t="s">
        <v>2209</v>
      </c>
    </row>
    <row r="244" spans="1:4">
      <c r="A244">
        <v>240</v>
      </c>
      <c r="B244" s="13">
        <v>45786</v>
      </c>
      <c r="C244" t="s">
        <v>2208</v>
      </c>
      <c r="D244" t="s">
        <v>2210</v>
      </c>
    </row>
    <row r="245" spans="1:4">
      <c r="A245">
        <v>241</v>
      </c>
      <c r="B245" s="13">
        <v>45789</v>
      </c>
      <c r="C245" t="s">
        <v>2214</v>
      </c>
      <c r="D245" t="s">
        <v>2217</v>
      </c>
    </row>
    <row r="246" spans="1:4">
      <c r="A246">
        <v>242</v>
      </c>
      <c r="B246" s="13">
        <v>45789</v>
      </c>
      <c r="C246" t="s">
        <v>1490</v>
      </c>
      <c r="D246" t="s">
        <v>2218</v>
      </c>
    </row>
    <row r="247" spans="1:4">
      <c r="A247">
        <v>243</v>
      </c>
      <c r="B247" s="13">
        <v>45789</v>
      </c>
      <c r="C247" t="s">
        <v>2063</v>
      </c>
      <c r="D247" t="s">
        <v>2219</v>
      </c>
    </row>
    <row r="248" spans="1:4">
      <c r="A248">
        <v>244</v>
      </c>
      <c r="B248" s="13">
        <v>45789</v>
      </c>
      <c r="C248" t="s">
        <v>1647</v>
      </c>
      <c r="D248" t="s">
        <v>2220</v>
      </c>
    </row>
    <row r="249" spans="1:4">
      <c r="A249">
        <v>245</v>
      </c>
      <c r="B249" s="13">
        <v>45789</v>
      </c>
      <c r="C249" t="s">
        <v>1500</v>
      </c>
      <c r="D249" t="s">
        <v>2223</v>
      </c>
    </row>
    <row r="250" spans="1:4">
      <c r="A250">
        <v>246</v>
      </c>
      <c r="B250" s="13">
        <v>45789</v>
      </c>
      <c r="C250" t="s">
        <v>1183</v>
      </c>
      <c r="D250" t="s">
        <v>2225</v>
      </c>
    </row>
    <row r="251" spans="1:4">
      <c r="A251">
        <v>247</v>
      </c>
      <c r="B251" s="13">
        <v>45789</v>
      </c>
      <c r="C251" t="s">
        <v>2228</v>
      </c>
      <c r="D251" t="s">
        <v>2231</v>
      </c>
    </row>
    <row r="252" spans="1:4">
      <c r="A252">
        <v>248</v>
      </c>
      <c r="B252" s="13">
        <v>45789</v>
      </c>
      <c r="C252" t="s">
        <v>1445</v>
      </c>
      <c r="D252" t="s">
        <v>2233</v>
      </c>
    </row>
    <row r="253" spans="1:4">
      <c r="A253">
        <v>249</v>
      </c>
      <c r="B253" s="13">
        <v>45789</v>
      </c>
      <c r="C253" t="s">
        <v>1515</v>
      </c>
      <c r="D253" t="s">
        <v>2234</v>
      </c>
    </row>
    <row r="254" spans="1:4">
      <c r="A254">
        <v>250</v>
      </c>
      <c r="B254" s="13">
        <v>45790</v>
      </c>
      <c r="C254" t="s">
        <v>1495</v>
      </c>
      <c r="D254" t="s">
        <v>2237</v>
      </c>
    </row>
    <row r="255" spans="1:4">
      <c r="A255">
        <v>251</v>
      </c>
      <c r="B255" s="13">
        <v>45790</v>
      </c>
      <c r="C255" t="s">
        <v>2016</v>
      </c>
      <c r="D255" t="s">
        <v>2238</v>
      </c>
    </row>
    <row r="256" spans="1:4">
      <c r="A256">
        <v>252</v>
      </c>
      <c r="B256" s="13">
        <v>45790</v>
      </c>
      <c r="C256" t="s">
        <v>1515</v>
      </c>
      <c r="D256" t="s">
        <v>2239</v>
      </c>
    </row>
    <row r="257" spans="1:4">
      <c r="A257">
        <v>253</v>
      </c>
      <c r="B257" s="13">
        <v>45790</v>
      </c>
      <c r="C257" t="s">
        <v>1866</v>
      </c>
      <c r="D257" t="s">
        <v>2240</v>
      </c>
    </row>
    <row r="258" spans="1:4">
      <c r="A258">
        <v>254</v>
      </c>
      <c r="B258" s="13">
        <v>45790</v>
      </c>
      <c r="C258" t="s">
        <v>2241</v>
      </c>
      <c r="D258" t="s">
        <v>2242</v>
      </c>
    </row>
    <row r="259" spans="1:4">
      <c r="A259">
        <v>255</v>
      </c>
      <c r="B259" s="13">
        <v>45790</v>
      </c>
      <c r="C259" t="s">
        <v>1961</v>
      </c>
      <c r="D259" t="s">
        <v>2243</v>
      </c>
    </row>
    <row r="260" spans="1:4">
      <c r="A260">
        <v>256</v>
      </c>
      <c r="B260" s="13">
        <v>45790</v>
      </c>
      <c r="C260" t="s">
        <v>1445</v>
      </c>
      <c r="D260" t="s">
        <v>2250</v>
      </c>
    </row>
    <row r="261" spans="1:4">
      <c r="A261">
        <v>257</v>
      </c>
      <c r="B261" s="13">
        <v>45790</v>
      </c>
      <c r="C261" t="s">
        <v>1351</v>
      </c>
      <c r="D261" t="s">
        <v>2253</v>
      </c>
    </row>
    <row r="262" spans="1:4">
      <c r="A262">
        <v>258</v>
      </c>
      <c r="B262" s="13">
        <v>45790</v>
      </c>
      <c r="C262" t="s">
        <v>1734</v>
      </c>
      <c r="D262" t="s">
        <v>2255</v>
      </c>
    </row>
    <row r="263" spans="1:4">
      <c r="A263">
        <v>259</v>
      </c>
      <c r="B263" s="13">
        <v>45790</v>
      </c>
      <c r="C263" t="s">
        <v>1424</v>
      </c>
      <c r="D263" t="s">
        <v>2257</v>
      </c>
    </row>
    <row r="264" spans="1:4">
      <c r="A264">
        <v>260</v>
      </c>
      <c r="B264" s="13">
        <v>45791</v>
      </c>
      <c r="C264" t="s">
        <v>1790</v>
      </c>
      <c r="D264" t="s">
        <v>2262</v>
      </c>
    </row>
    <row r="265" spans="1:4">
      <c r="A265">
        <v>261</v>
      </c>
      <c r="B265" s="13">
        <v>45791</v>
      </c>
      <c r="C265" t="s">
        <v>2268</v>
      </c>
      <c r="D265" t="s">
        <v>2270</v>
      </c>
    </row>
    <row r="266" spans="1:4">
      <c r="A266">
        <v>262</v>
      </c>
      <c r="B266" s="13">
        <v>45791</v>
      </c>
      <c r="C266" t="s">
        <v>1030</v>
      </c>
      <c r="D266" t="s">
        <v>2271</v>
      </c>
    </row>
    <row r="267" spans="1:4">
      <c r="A267">
        <v>263</v>
      </c>
      <c r="B267" s="13">
        <v>45791</v>
      </c>
      <c r="C267" t="s">
        <v>1866</v>
      </c>
      <c r="D267" t="s">
        <v>2273</v>
      </c>
    </row>
    <row r="268" spans="1:4">
      <c r="A268">
        <v>264</v>
      </c>
      <c r="B268" s="13">
        <v>45791</v>
      </c>
      <c r="C268" t="s">
        <v>1647</v>
      </c>
      <c r="D268" t="s">
        <v>2274</v>
      </c>
    </row>
    <row r="269" spans="1:4">
      <c r="A269">
        <v>265</v>
      </c>
      <c r="B269" s="13">
        <v>45792</v>
      </c>
      <c r="C269" t="s">
        <v>1629</v>
      </c>
      <c r="D269" t="s">
        <v>2306</v>
      </c>
    </row>
    <row r="270" spans="1:4">
      <c r="A270">
        <v>266</v>
      </c>
      <c r="B270" s="13">
        <v>45792</v>
      </c>
      <c r="C270" t="s">
        <v>2180</v>
      </c>
      <c r="D270" t="s">
        <v>2307</v>
      </c>
    </row>
    <row r="271" spans="1:4">
      <c r="A271">
        <v>267</v>
      </c>
      <c r="B271" s="13">
        <v>45792</v>
      </c>
      <c r="C271" t="s">
        <v>1587</v>
      </c>
      <c r="D271" t="s">
        <v>2308</v>
      </c>
    </row>
    <row r="272" spans="1:4">
      <c r="A272">
        <v>268</v>
      </c>
      <c r="B272" s="13">
        <v>45792</v>
      </c>
      <c r="C272" t="s">
        <v>1817</v>
      </c>
      <c r="D272" t="s">
        <v>2311</v>
      </c>
    </row>
    <row r="273" spans="1:5">
      <c r="A273">
        <v>269</v>
      </c>
      <c r="B273" s="13">
        <v>45792</v>
      </c>
      <c r="C273" t="s">
        <v>1817</v>
      </c>
      <c r="D273" t="s">
        <v>2313</v>
      </c>
    </row>
    <row r="274" spans="1:5">
      <c r="A274">
        <v>270</v>
      </c>
      <c r="B274" s="13">
        <v>45792</v>
      </c>
      <c r="C274" t="s">
        <v>1955</v>
      </c>
      <c r="D274" t="s">
        <v>2317</v>
      </c>
    </row>
    <row r="275" spans="1:5">
      <c r="A275">
        <v>271</v>
      </c>
      <c r="B275" s="13">
        <v>45793</v>
      </c>
      <c r="C275" t="s">
        <v>2189</v>
      </c>
      <c r="D275" t="s">
        <v>2325</v>
      </c>
    </row>
    <row r="276" spans="1:5">
      <c r="A276">
        <v>272</v>
      </c>
      <c r="B276" s="13">
        <v>45793</v>
      </c>
      <c r="C276" t="s">
        <v>1817</v>
      </c>
      <c r="D276" t="s">
        <v>2326</v>
      </c>
    </row>
    <row r="277" spans="1:5">
      <c r="A277">
        <v>273</v>
      </c>
      <c r="B277" s="13">
        <v>45793</v>
      </c>
      <c r="C277" t="s">
        <v>1955</v>
      </c>
      <c r="D277" t="s">
        <v>2328</v>
      </c>
    </row>
    <row r="278" spans="1:5">
      <c r="A278">
        <v>274</v>
      </c>
      <c r="B278" s="13">
        <v>45794</v>
      </c>
      <c r="C278" t="s">
        <v>1932</v>
      </c>
      <c r="D278" t="s">
        <v>2330</v>
      </c>
    </row>
    <row r="279" spans="1:5">
      <c r="A279">
        <v>275</v>
      </c>
      <c r="B279" s="13">
        <v>45794</v>
      </c>
      <c r="C279" t="s">
        <v>1817</v>
      </c>
      <c r="D279" t="s">
        <v>2331</v>
      </c>
    </row>
    <row r="280" spans="1:5">
      <c r="A280">
        <v>276</v>
      </c>
      <c r="B280" s="13">
        <v>45794</v>
      </c>
      <c r="C280" t="s">
        <v>1069</v>
      </c>
      <c r="D280" t="s">
        <v>2332</v>
      </c>
    </row>
    <row r="281" spans="1:5">
      <c r="A281">
        <v>277</v>
      </c>
      <c r="B281" s="13">
        <v>45794</v>
      </c>
      <c r="C281" t="s">
        <v>1490</v>
      </c>
      <c r="D281" t="s">
        <v>2336</v>
      </c>
    </row>
    <row r="282" spans="1:5">
      <c r="A282">
        <v>278</v>
      </c>
      <c r="B282" s="13">
        <v>45794</v>
      </c>
      <c r="C282" t="s">
        <v>2338</v>
      </c>
      <c r="D282" t="s">
        <v>2339</v>
      </c>
    </row>
    <row r="283" spans="1:5">
      <c r="A283">
        <v>279</v>
      </c>
      <c r="B283" s="13">
        <v>45794</v>
      </c>
      <c r="C283" t="s">
        <v>1790</v>
      </c>
      <c r="D283" t="s">
        <v>2341</v>
      </c>
    </row>
    <row r="284" spans="1:5">
      <c r="A284">
        <v>280</v>
      </c>
      <c r="B284" s="13">
        <v>45794</v>
      </c>
      <c r="C284" t="s">
        <v>1437</v>
      </c>
      <c r="D284" t="s">
        <v>2342</v>
      </c>
    </row>
    <row r="285" spans="1:5">
      <c r="A285">
        <v>281</v>
      </c>
      <c r="B285" s="13">
        <v>45796</v>
      </c>
      <c r="C285" t="s">
        <v>1183</v>
      </c>
      <c r="D285" t="s">
        <v>2347</v>
      </c>
    </row>
    <row r="286" spans="1:5">
      <c r="A286">
        <v>282</v>
      </c>
      <c r="B286" s="13">
        <v>45796</v>
      </c>
      <c r="C286" t="s">
        <v>1069</v>
      </c>
      <c r="D286" t="s">
        <v>2350</v>
      </c>
      <c r="E286" t="s">
        <v>2349</v>
      </c>
    </row>
    <row r="287" spans="1:5">
      <c r="A287">
        <v>283</v>
      </c>
      <c r="B287" s="13">
        <v>45797</v>
      </c>
      <c r="C287" t="s">
        <v>1027</v>
      </c>
      <c r="D287" t="s">
        <v>2351</v>
      </c>
    </row>
    <row r="288" spans="1:5">
      <c r="A288">
        <v>284</v>
      </c>
      <c r="B288" s="13">
        <v>45797</v>
      </c>
      <c r="C288" t="s">
        <v>1629</v>
      </c>
      <c r="D288" t="s">
        <v>2352</v>
      </c>
    </row>
    <row r="289" spans="1:4">
      <c r="A289">
        <v>285</v>
      </c>
      <c r="B289" s="13">
        <v>45797</v>
      </c>
      <c r="C289" t="s">
        <v>1946</v>
      </c>
      <c r="D289" t="s">
        <v>2353</v>
      </c>
    </row>
    <row r="290" spans="1:4">
      <c r="A290">
        <v>286</v>
      </c>
      <c r="B290" s="13">
        <v>45798</v>
      </c>
      <c r="C290" t="s">
        <v>1600</v>
      </c>
      <c r="D290" t="s">
        <v>2358</v>
      </c>
    </row>
    <row r="291" spans="1:4">
      <c r="A291">
        <v>287</v>
      </c>
      <c r="B291" s="13">
        <v>45798</v>
      </c>
      <c r="C291" t="s">
        <v>2359</v>
      </c>
      <c r="D291" t="s">
        <v>2360</v>
      </c>
    </row>
    <row r="292" spans="1:4">
      <c r="A292">
        <v>288</v>
      </c>
      <c r="B292" s="13">
        <v>45798</v>
      </c>
      <c r="C292" t="s">
        <v>1734</v>
      </c>
      <c r="D292" t="s">
        <v>2361</v>
      </c>
    </row>
    <row r="293" spans="1:4">
      <c r="A293">
        <v>289</v>
      </c>
      <c r="B293" s="13">
        <v>45798</v>
      </c>
      <c r="C293" t="s">
        <v>2362</v>
      </c>
      <c r="D293" t="s">
        <v>2363</v>
      </c>
    </row>
    <row r="294" spans="1:4">
      <c r="A294">
        <v>290</v>
      </c>
      <c r="B294" s="13">
        <v>45798</v>
      </c>
      <c r="C294" t="s">
        <v>1946</v>
      </c>
      <c r="D294" t="s">
        <v>2364</v>
      </c>
    </row>
    <row r="295" spans="1:4">
      <c r="A295">
        <v>291</v>
      </c>
      <c r="B295" s="13">
        <v>45799</v>
      </c>
      <c r="C295" t="s">
        <v>1445</v>
      </c>
      <c r="D295" t="s">
        <v>2365</v>
      </c>
    </row>
    <row r="296" spans="1:4">
      <c r="A296">
        <v>292</v>
      </c>
      <c r="B296" s="13">
        <v>45799</v>
      </c>
      <c r="C296" t="s">
        <v>1069</v>
      </c>
      <c r="D296" t="s">
        <v>2366</v>
      </c>
    </row>
    <row r="297" spans="1:4">
      <c r="A297">
        <v>293</v>
      </c>
      <c r="B297" s="13">
        <v>45799</v>
      </c>
      <c r="C297" t="s">
        <v>1600</v>
      </c>
      <c r="D297" t="s">
        <v>2367</v>
      </c>
    </row>
    <row r="298" spans="1:4">
      <c r="A298">
        <v>294</v>
      </c>
      <c r="B298" s="13">
        <v>45799</v>
      </c>
      <c r="C298" t="s">
        <v>1495</v>
      </c>
      <c r="D298" t="s">
        <v>2369</v>
      </c>
    </row>
    <row r="299" spans="1:4">
      <c r="A299">
        <v>295</v>
      </c>
      <c r="B299" s="13">
        <v>45799</v>
      </c>
      <c r="C299" t="s">
        <v>1525</v>
      </c>
      <c r="D299" t="s">
        <v>2370</v>
      </c>
    </row>
    <row r="300" spans="1:4">
      <c r="A300">
        <v>296</v>
      </c>
      <c r="B300" s="13">
        <v>45800</v>
      </c>
      <c r="C300" t="s">
        <v>1069</v>
      </c>
      <c r="D300" t="s">
        <v>2376</v>
      </c>
    </row>
    <row r="301" spans="1:4">
      <c r="A301">
        <v>297</v>
      </c>
      <c r="B301" s="13">
        <v>45800</v>
      </c>
      <c r="C301" t="s">
        <v>2377</v>
      </c>
      <c r="D301" t="s">
        <v>2381</v>
      </c>
    </row>
    <row r="302" spans="1:4">
      <c r="A302">
        <v>298</v>
      </c>
      <c r="B302" s="13">
        <v>45800</v>
      </c>
      <c r="C302" t="s">
        <v>1069</v>
      </c>
      <c r="D302" t="s">
        <v>2382</v>
      </c>
    </row>
    <row r="303" spans="1:4">
      <c r="A303">
        <v>299</v>
      </c>
      <c r="B303" s="13">
        <v>45800</v>
      </c>
      <c r="C303" t="s">
        <v>1790</v>
      </c>
      <c r="D303" t="s">
        <v>2383</v>
      </c>
    </row>
    <row r="304" spans="1:4">
      <c r="A304">
        <v>300</v>
      </c>
      <c r="B304" s="13">
        <v>45801</v>
      </c>
      <c r="C304" t="s">
        <v>1498</v>
      </c>
      <c r="D304" t="s">
        <v>2389</v>
      </c>
    </row>
    <row r="305" spans="1:4">
      <c r="A305">
        <v>301</v>
      </c>
      <c r="B305" s="13">
        <v>45801</v>
      </c>
      <c r="C305" t="s">
        <v>1030</v>
      </c>
      <c r="D305" t="s">
        <v>2390</v>
      </c>
    </row>
    <row r="306" spans="1:4">
      <c r="A306">
        <v>302</v>
      </c>
      <c r="B306" s="13">
        <v>45801</v>
      </c>
      <c r="C306" t="s">
        <v>1590</v>
      </c>
      <c r="D306" t="s">
        <v>2392</v>
      </c>
    </row>
    <row r="307" spans="1:4">
      <c r="A307">
        <v>303</v>
      </c>
      <c r="B307" s="13">
        <v>45803</v>
      </c>
      <c r="C307" t="s">
        <v>2393</v>
      </c>
      <c r="D307" t="s">
        <v>2398</v>
      </c>
    </row>
    <row r="308" spans="1:4">
      <c r="A308">
        <v>304</v>
      </c>
      <c r="B308" s="13">
        <v>45803</v>
      </c>
      <c r="C308" t="s">
        <v>1445</v>
      </c>
      <c r="D308" t="s">
        <v>2399</v>
      </c>
    </row>
    <row r="309" spans="1:4">
      <c r="A309">
        <v>305</v>
      </c>
      <c r="B309" s="13">
        <v>45803</v>
      </c>
      <c r="C309" t="s">
        <v>1626</v>
      </c>
      <c r="D309" t="s">
        <v>2400</v>
      </c>
    </row>
    <row r="310" spans="1:4">
      <c r="A310">
        <v>306</v>
      </c>
      <c r="B310" s="13">
        <v>45803</v>
      </c>
      <c r="C310" t="s">
        <v>2214</v>
      </c>
      <c r="D310" t="s">
        <v>2402</v>
      </c>
    </row>
    <row r="311" spans="1:4">
      <c r="A311">
        <v>307</v>
      </c>
      <c r="B311" s="13">
        <v>45803</v>
      </c>
      <c r="C311" t="s">
        <v>1030</v>
      </c>
      <c r="D311" t="s">
        <v>2403</v>
      </c>
    </row>
    <row r="312" spans="1:4">
      <c r="A312">
        <v>308</v>
      </c>
      <c r="B312" s="13">
        <v>45803</v>
      </c>
      <c r="C312" t="s">
        <v>1734</v>
      </c>
      <c r="D312" t="s">
        <v>2404</v>
      </c>
    </row>
    <row r="313" spans="1:4">
      <c r="A313">
        <v>309</v>
      </c>
      <c r="B313" s="13">
        <v>45803</v>
      </c>
      <c r="C313" t="s">
        <v>1635</v>
      </c>
      <c r="D313" t="s">
        <v>2407</v>
      </c>
    </row>
    <row r="314" spans="1:4">
      <c r="A314">
        <v>310</v>
      </c>
      <c r="B314" s="13">
        <v>45804</v>
      </c>
      <c r="C314" t="s">
        <v>1525</v>
      </c>
      <c r="D314" t="s">
        <v>2410</v>
      </c>
    </row>
    <row r="315" spans="1:4">
      <c r="A315">
        <v>311</v>
      </c>
      <c r="B315" s="13">
        <v>45804</v>
      </c>
      <c r="C315" t="s">
        <v>1790</v>
      </c>
      <c r="D315" t="s">
        <v>2411</v>
      </c>
    </row>
    <row r="316" spans="1:4">
      <c r="A316">
        <v>312</v>
      </c>
      <c r="B316" s="13">
        <v>45804</v>
      </c>
      <c r="C316" t="s">
        <v>1626</v>
      </c>
      <c r="D316" t="s">
        <v>2412</v>
      </c>
    </row>
    <row r="317" spans="1:4">
      <c r="A317">
        <v>313</v>
      </c>
      <c r="B317" s="13">
        <v>45804</v>
      </c>
      <c r="C317" t="s">
        <v>1418</v>
      </c>
      <c r="D317" t="s">
        <v>2413</v>
      </c>
    </row>
    <row r="318" spans="1:4">
      <c r="A318">
        <v>314</v>
      </c>
      <c r="B318" s="13">
        <v>45804</v>
      </c>
      <c r="C318" t="s">
        <v>1587</v>
      </c>
      <c r="D318" t="s">
        <v>2416</v>
      </c>
    </row>
    <row r="319" spans="1:4">
      <c r="A319">
        <v>343</v>
      </c>
      <c r="B319" s="13">
        <v>45806</v>
      </c>
      <c r="C319" t="s">
        <v>2362</v>
      </c>
      <c r="D319" t="s">
        <v>2425</v>
      </c>
    </row>
    <row r="320" spans="1:4">
      <c r="A320">
        <v>344</v>
      </c>
      <c r="B320" s="13">
        <v>45806</v>
      </c>
      <c r="C320" t="s">
        <v>1437</v>
      </c>
      <c r="D320" t="s">
        <v>2426</v>
      </c>
    </row>
    <row r="321" spans="1:4">
      <c r="A321">
        <v>345</v>
      </c>
      <c r="B321" s="13">
        <v>45806</v>
      </c>
      <c r="C321" t="s">
        <v>1445</v>
      </c>
      <c r="D321" t="s">
        <v>2427</v>
      </c>
    </row>
    <row r="322" spans="1:4">
      <c r="A322">
        <v>346</v>
      </c>
      <c r="B322" s="13">
        <v>45807</v>
      </c>
      <c r="C322" t="s">
        <v>1567</v>
      </c>
      <c r="D322" t="s">
        <v>2428</v>
      </c>
    </row>
    <row r="323" spans="1:4">
      <c r="A323">
        <v>347</v>
      </c>
      <c r="B323" s="13">
        <v>45807</v>
      </c>
      <c r="C323" t="s">
        <v>1525</v>
      </c>
      <c r="D323" t="s">
        <v>2434</v>
      </c>
    </row>
    <row r="324" spans="1:4">
      <c r="A324">
        <v>348</v>
      </c>
      <c r="B324" s="13">
        <v>45807</v>
      </c>
      <c r="C324" t="s">
        <v>2435</v>
      </c>
      <c r="D324" t="s">
        <v>2436</v>
      </c>
    </row>
    <row r="325" spans="1:4">
      <c r="A325">
        <v>349</v>
      </c>
      <c r="B325" s="13">
        <v>45807</v>
      </c>
      <c r="C325" t="s">
        <v>1069</v>
      </c>
      <c r="D325" t="s">
        <v>2437</v>
      </c>
    </row>
    <row r="326" spans="1:4">
      <c r="A326">
        <v>350</v>
      </c>
      <c r="B326" s="13">
        <v>45807</v>
      </c>
      <c r="C326" t="s">
        <v>2421</v>
      </c>
      <c r="D326" t="s">
        <v>2438</v>
      </c>
    </row>
    <row r="327" spans="1:4">
      <c r="A327">
        <v>351</v>
      </c>
      <c r="B327" s="13">
        <v>45807</v>
      </c>
      <c r="C327" t="s">
        <v>2195</v>
      </c>
      <c r="D327" t="s">
        <v>2439</v>
      </c>
    </row>
    <row r="328" spans="1:4">
      <c r="A328">
        <v>352</v>
      </c>
      <c r="B328" s="13">
        <v>45807</v>
      </c>
      <c r="C328" t="s">
        <v>1488</v>
      </c>
      <c r="D328" t="s">
        <v>2441</v>
      </c>
    </row>
    <row r="329" spans="1:4">
      <c r="A329">
        <v>353</v>
      </c>
      <c r="B329" s="13">
        <v>45808</v>
      </c>
      <c r="C329" t="s">
        <v>1281</v>
      </c>
      <c r="D329" t="s">
        <v>2448</v>
      </c>
    </row>
    <row r="330" spans="1:4">
      <c r="A330">
        <v>354</v>
      </c>
      <c r="B330" s="13">
        <v>45808</v>
      </c>
      <c r="C330" t="s">
        <v>1351</v>
      </c>
      <c r="D330" t="s">
        <v>2449</v>
      </c>
    </row>
    <row r="331" spans="1:4">
      <c r="A331">
        <v>355</v>
      </c>
      <c r="B331" s="13">
        <v>45808</v>
      </c>
      <c r="C331" t="s">
        <v>1790</v>
      </c>
      <c r="D331" t="s">
        <v>2457</v>
      </c>
    </row>
    <row r="332" spans="1:4">
      <c r="A332">
        <v>356</v>
      </c>
      <c r="B332" s="13">
        <v>45810</v>
      </c>
      <c r="C332" t="s">
        <v>997</v>
      </c>
      <c r="D332" t="s">
        <v>2462</v>
      </c>
    </row>
    <row r="333" spans="1:4">
      <c r="A333">
        <v>357</v>
      </c>
      <c r="B333" s="13">
        <v>45810</v>
      </c>
      <c r="C333" t="s">
        <v>1587</v>
      </c>
      <c r="D333" t="s">
        <v>2463</v>
      </c>
    </row>
    <row r="334" spans="1:4">
      <c r="A334">
        <v>358</v>
      </c>
      <c r="B334" s="13">
        <v>45810</v>
      </c>
      <c r="C334" t="s">
        <v>2393</v>
      </c>
      <c r="D334" t="s">
        <v>2464</v>
      </c>
    </row>
    <row r="335" spans="1:4">
      <c r="A335">
        <v>359</v>
      </c>
      <c r="B335" s="13">
        <v>45810</v>
      </c>
      <c r="C335" t="s">
        <v>1502</v>
      </c>
      <c r="D335" t="s">
        <v>2465</v>
      </c>
    </row>
    <row r="336" spans="1:4">
      <c r="A336">
        <v>360</v>
      </c>
      <c r="B336" s="13">
        <v>45810</v>
      </c>
      <c r="C336" t="s">
        <v>1587</v>
      </c>
      <c r="D336" t="s">
        <v>2466</v>
      </c>
    </row>
    <row r="337" spans="1:4">
      <c r="A337">
        <v>361</v>
      </c>
      <c r="B337" s="13">
        <v>45810</v>
      </c>
      <c r="C337" t="s">
        <v>2359</v>
      </c>
      <c r="D337" t="s">
        <v>2469</v>
      </c>
    </row>
    <row r="338" spans="1:4">
      <c r="A338">
        <v>362</v>
      </c>
      <c r="B338" s="13">
        <v>45811</v>
      </c>
      <c r="C338" t="s">
        <v>1645</v>
      </c>
      <c r="D338" t="s">
        <v>2475</v>
      </c>
    </row>
    <row r="339" spans="1:4">
      <c r="A339">
        <v>363</v>
      </c>
      <c r="B339" s="13">
        <v>45811</v>
      </c>
      <c r="C339" t="s">
        <v>1495</v>
      </c>
      <c r="D339" t="s">
        <v>2477</v>
      </c>
    </row>
    <row r="340" spans="1:4">
      <c r="A340">
        <v>364</v>
      </c>
      <c r="B340" s="13">
        <v>45811</v>
      </c>
      <c r="C340" t="s">
        <v>2478</v>
      </c>
      <c r="D340" t="s">
        <v>2481</v>
      </c>
    </row>
    <row r="341" spans="1:4">
      <c r="A341">
        <v>365</v>
      </c>
      <c r="B341" s="13">
        <v>45811</v>
      </c>
      <c r="C341" t="s">
        <v>2478</v>
      </c>
      <c r="D341" t="s">
        <v>2482</v>
      </c>
    </row>
    <row r="342" spans="1:4">
      <c r="A342">
        <v>366</v>
      </c>
      <c r="B342" s="13">
        <v>45807</v>
      </c>
      <c r="C342" t="s">
        <v>1027</v>
      </c>
      <c r="D342" t="s">
        <v>2492</v>
      </c>
    </row>
    <row r="343" spans="1:4">
      <c r="A343">
        <v>367</v>
      </c>
      <c r="B343" s="13">
        <v>45812</v>
      </c>
      <c r="C343" t="s">
        <v>1647</v>
      </c>
      <c r="D343" t="s">
        <v>2493</v>
      </c>
    </row>
    <row r="344" spans="1:4">
      <c r="A344">
        <v>368</v>
      </c>
      <c r="B344" s="13">
        <v>45812</v>
      </c>
      <c r="C344" t="s">
        <v>2494</v>
      </c>
      <c r="D344" t="s">
        <v>2499</v>
      </c>
    </row>
    <row r="345" spans="1:4">
      <c r="A345">
        <v>369</v>
      </c>
      <c r="B345" s="13">
        <v>45812</v>
      </c>
      <c r="C345" t="s">
        <v>1629</v>
      </c>
      <c r="D345" t="s">
        <v>2505</v>
      </c>
    </row>
    <row r="346" spans="1:4">
      <c r="A346">
        <v>370</v>
      </c>
      <c r="B346" s="13">
        <v>45813</v>
      </c>
      <c r="C346" t="s">
        <v>1587</v>
      </c>
      <c r="D346" t="s">
        <v>2510</v>
      </c>
    </row>
    <row r="347" spans="1:4">
      <c r="A347">
        <v>371</v>
      </c>
      <c r="B347" s="13">
        <v>45813</v>
      </c>
      <c r="C347" t="s">
        <v>1587</v>
      </c>
      <c r="D347" t="s">
        <v>2511</v>
      </c>
    </row>
    <row r="348" spans="1:4">
      <c r="A348">
        <v>372</v>
      </c>
      <c r="B348" s="13">
        <v>45813</v>
      </c>
      <c r="C348" t="s">
        <v>1502</v>
      </c>
      <c r="D348" t="s">
        <v>2512</v>
      </c>
    </row>
    <row r="349" spans="1:4">
      <c r="A349">
        <v>373</v>
      </c>
      <c r="B349" s="13">
        <v>45813</v>
      </c>
      <c r="C349" t="s">
        <v>1183</v>
      </c>
      <c r="D349" t="s">
        <v>2515</v>
      </c>
    </row>
    <row r="350" spans="1:4">
      <c r="A350">
        <v>374</v>
      </c>
      <c r="B350" s="13">
        <v>45813</v>
      </c>
      <c r="C350" t="s">
        <v>2522</v>
      </c>
      <c r="D350" t="s">
        <v>2523</v>
      </c>
    </row>
    <row r="351" spans="1:4">
      <c r="A351">
        <v>375</v>
      </c>
      <c r="B351" s="13">
        <v>45814</v>
      </c>
      <c r="C351" t="s">
        <v>1790</v>
      </c>
      <c r="D351" t="s">
        <v>2524</v>
      </c>
    </row>
    <row r="352" spans="1:4">
      <c r="A352">
        <v>376</v>
      </c>
      <c r="B352" s="13">
        <v>45815</v>
      </c>
      <c r="C352" t="s">
        <v>1790</v>
      </c>
      <c r="D352" t="s">
        <v>2525</v>
      </c>
    </row>
    <row r="353" spans="1:4">
      <c r="A353">
        <v>377</v>
      </c>
      <c r="B353" s="13">
        <v>45817</v>
      </c>
      <c r="C353" t="s">
        <v>2527</v>
      </c>
      <c r="D353" t="s">
        <v>2528</v>
      </c>
    </row>
    <row r="354" spans="1:4">
      <c r="A354">
        <v>378</v>
      </c>
      <c r="B354" s="13">
        <v>45817</v>
      </c>
      <c r="C354" t="s">
        <v>997</v>
      </c>
      <c r="D354" t="s">
        <v>2529</v>
      </c>
    </row>
    <row r="355" spans="1:4">
      <c r="A355">
        <v>379</v>
      </c>
      <c r="B355" s="13">
        <v>45817</v>
      </c>
      <c r="C355" t="s">
        <v>1183</v>
      </c>
      <c r="D355" t="s">
        <v>2532</v>
      </c>
    </row>
    <row r="356" spans="1:4">
      <c r="A356">
        <v>380</v>
      </c>
      <c r="B356" s="13">
        <v>45817</v>
      </c>
      <c r="C356" t="s">
        <v>1790</v>
      </c>
      <c r="D356" t="s">
        <v>2533</v>
      </c>
    </row>
    <row r="357" spans="1:4">
      <c r="A357">
        <v>381</v>
      </c>
      <c r="B357" s="13">
        <v>45817</v>
      </c>
      <c r="C357" t="s">
        <v>1030</v>
      </c>
      <c r="D357" t="s">
        <v>2536</v>
      </c>
    </row>
    <row r="358" spans="1:4">
      <c r="A358">
        <v>382</v>
      </c>
      <c r="B358" s="13">
        <v>45817</v>
      </c>
      <c r="C358" t="s">
        <v>1490</v>
      </c>
      <c r="D358" t="s">
        <v>2537</v>
      </c>
    </row>
    <row r="359" spans="1:4">
      <c r="A359">
        <v>383</v>
      </c>
      <c r="B359" s="13">
        <v>45817</v>
      </c>
      <c r="C359" t="s">
        <v>1445</v>
      </c>
      <c r="D359" t="s">
        <v>2538</v>
      </c>
    </row>
    <row r="360" spans="1:4">
      <c r="A360">
        <v>384</v>
      </c>
      <c r="B360" s="13">
        <v>45817</v>
      </c>
      <c r="C360" t="s">
        <v>1629</v>
      </c>
      <c r="D360" t="s">
        <v>2539</v>
      </c>
    </row>
    <row r="361" spans="1:4">
      <c r="A361">
        <v>385</v>
      </c>
      <c r="B361" s="13">
        <v>45817</v>
      </c>
      <c r="C361" t="s">
        <v>1626</v>
      </c>
      <c r="D361" t="s">
        <v>2545</v>
      </c>
    </row>
    <row r="362" spans="1:4">
      <c r="A362">
        <v>386</v>
      </c>
      <c r="B362" s="13">
        <v>45817</v>
      </c>
      <c r="C362" t="s">
        <v>1790</v>
      </c>
      <c r="D362" t="s">
        <v>2560</v>
      </c>
    </row>
    <row r="363" spans="1:4">
      <c r="A363">
        <v>387</v>
      </c>
      <c r="B363" s="13">
        <v>45817</v>
      </c>
      <c r="C363" t="s">
        <v>1445</v>
      </c>
      <c r="D363" t="s">
        <v>2562</v>
      </c>
    </row>
    <row r="364" spans="1:4">
      <c r="A364">
        <v>388</v>
      </c>
      <c r="B364" s="13">
        <v>45818</v>
      </c>
      <c r="C364" t="s">
        <v>2478</v>
      </c>
      <c r="D364" t="s">
        <v>2578</v>
      </c>
    </row>
    <row r="365" spans="1:4">
      <c r="A365">
        <v>389</v>
      </c>
      <c r="B365" s="13">
        <v>45818</v>
      </c>
      <c r="C365" t="s">
        <v>1817</v>
      </c>
      <c r="D365" t="s">
        <v>2579</v>
      </c>
    </row>
    <row r="366" spans="1:4">
      <c r="A366">
        <v>390</v>
      </c>
      <c r="B366" s="13">
        <v>45818</v>
      </c>
      <c r="C366" t="s">
        <v>1445</v>
      </c>
      <c r="D366" t="s">
        <v>2580</v>
      </c>
    </row>
    <row r="367" spans="1:4">
      <c r="A367">
        <v>391</v>
      </c>
      <c r="B367" s="13">
        <v>45818</v>
      </c>
      <c r="C367" t="s">
        <v>1351</v>
      </c>
      <c r="D367" t="s">
        <v>2582</v>
      </c>
    </row>
    <row r="368" spans="1:4">
      <c r="A368">
        <v>392</v>
      </c>
      <c r="B368" s="13">
        <v>45818</v>
      </c>
      <c r="C368" t="s">
        <v>1626</v>
      </c>
      <c r="D368" t="s">
        <v>2583</v>
      </c>
    </row>
    <row r="369" spans="1:4">
      <c r="A369">
        <v>393</v>
      </c>
      <c r="B369" s="13">
        <v>45818</v>
      </c>
      <c r="C369" t="s">
        <v>1490</v>
      </c>
      <c r="D369" t="s">
        <v>2585</v>
      </c>
    </row>
    <row r="370" spans="1:4">
      <c r="A370">
        <v>394</v>
      </c>
      <c r="B370" s="13">
        <v>45818</v>
      </c>
      <c r="C370" t="s">
        <v>2421</v>
      </c>
      <c r="D370" t="s">
        <v>2589</v>
      </c>
    </row>
    <row r="371" spans="1:4">
      <c r="A371">
        <v>395</v>
      </c>
      <c r="B371" s="13">
        <v>45818</v>
      </c>
      <c r="C371" t="s">
        <v>1979</v>
      </c>
      <c r="D371" t="s">
        <v>2590</v>
      </c>
    </row>
    <row r="372" spans="1:4">
      <c r="A372">
        <v>396</v>
      </c>
      <c r="B372" s="13">
        <v>45819</v>
      </c>
      <c r="C372" t="s">
        <v>1495</v>
      </c>
      <c r="D372" t="s">
        <v>2593</v>
      </c>
    </row>
    <row r="373" spans="1:4">
      <c r="A373">
        <v>397</v>
      </c>
      <c r="B373" s="13">
        <v>45819</v>
      </c>
      <c r="C373" t="s">
        <v>2484</v>
      </c>
      <c r="D373" t="s">
        <v>2605</v>
      </c>
    </row>
    <row r="374" spans="1:4">
      <c r="A374">
        <v>398</v>
      </c>
      <c r="B374" s="13">
        <v>45819</v>
      </c>
      <c r="C374" t="s">
        <v>2606</v>
      </c>
      <c r="D374" t="s">
        <v>2607</v>
      </c>
    </row>
    <row r="375" spans="1:4">
      <c r="A375">
        <v>399</v>
      </c>
      <c r="B375" s="13">
        <v>45819</v>
      </c>
      <c r="C375" t="s">
        <v>1498</v>
      </c>
      <c r="D375" t="s">
        <v>2609</v>
      </c>
    </row>
    <row r="376" spans="1:4">
      <c r="A376">
        <v>400</v>
      </c>
      <c r="B376" s="13">
        <v>45819</v>
      </c>
      <c r="C376" t="s">
        <v>1418</v>
      </c>
      <c r="D376" t="s">
        <v>2610</v>
      </c>
    </row>
    <row r="377" spans="1:4">
      <c r="A377">
        <v>401</v>
      </c>
      <c r="B377" s="13">
        <v>45819</v>
      </c>
      <c r="C377" t="s">
        <v>2597</v>
      </c>
      <c r="D377" t="s">
        <v>2611</v>
      </c>
    </row>
    <row r="378" spans="1:4">
      <c r="A378">
        <v>402</v>
      </c>
      <c r="B378" s="13">
        <v>45819</v>
      </c>
      <c r="C378" t="s">
        <v>1495</v>
      </c>
      <c r="D378" t="s">
        <v>2612</v>
      </c>
    </row>
    <row r="379" spans="1:4">
      <c r="A379">
        <v>403</v>
      </c>
      <c r="B379" s="13">
        <v>45820</v>
      </c>
      <c r="C379" t="s">
        <v>1519</v>
      </c>
      <c r="D379" t="s">
        <v>2613</v>
      </c>
    </row>
    <row r="380" spans="1:4">
      <c r="A380">
        <v>404</v>
      </c>
      <c r="B380" s="13">
        <v>45820</v>
      </c>
      <c r="C380" t="s">
        <v>1519</v>
      </c>
      <c r="D380" t="s">
        <v>2615</v>
      </c>
    </row>
    <row r="381" spans="1:4">
      <c r="A381">
        <v>405</v>
      </c>
      <c r="B381" s="13">
        <v>45820</v>
      </c>
      <c r="C381" t="s">
        <v>1525</v>
      </c>
      <c r="D381" t="s">
        <v>2616</v>
      </c>
    </row>
    <row r="382" spans="1:4">
      <c r="A382">
        <v>406</v>
      </c>
      <c r="B382" s="13">
        <v>45821</v>
      </c>
      <c r="C382" t="s">
        <v>2617</v>
      </c>
      <c r="D382" t="s">
        <v>2623</v>
      </c>
    </row>
    <row r="383" spans="1:4">
      <c r="A383">
        <v>407</v>
      </c>
      <c r="B383" s="13">
        <v>45821</v>
      </c>
      <c r="C383" t="s">
        <v>1030</v>
      </c>
      <c r="D383" t="s">
        <v>2624</v>
      </c>
    </row>
    <row r="384" spans="1:4">
      <c r="A384">
        <v>408</v>
      </c>
      <c r="B384" s="13">
        <v>45821</v>
      </c>
      <c r="C384" t="s">
        <v>1885</v>
      </c>
      <c r="D384" t="s">
        <v>2625</v>
      </c>
    </row>
    <row r="385" spans="1:4">
      <c r="A385">
        <v>409</v>
      </c>
      <c r="B385" s="13">
        <v>45821</v>
      </c>
      <c r="C385" t="s">
        <v>2066</v>
      </c>
      <c r="D385" t="s">
        <v>2626</v>
      </c>
    </row>
    <row r="386" spans="1:4">
      <c r="A386">
        <v>410</v>
      </c>
      <c r="B386" s="13">
        <v>45821</v>
      </c>
      <c r="C386" t="s">
        <v>2627</v>
      </c>
      <c r="D386" t="s">
        <v>2628</v>
      </c>
    </row>
    <row r="387" spans="1:4">
      <c r="A387">
        <v>411</v>
      </c>
      <c r="B387" s="13">
        <v>45821</v>
      </c>
      <c r="C387" t="s">
        <v>1515</v>
      </c>
      <c r="D387" t="s">
        <v>2632</v>
      </c>
    </row>
    <row r="388" spans="1:4">
      <c r="A388">
        <v>412</v>
      </c>
      <c r="B388" s="13">
        <v>45821</v>
      </c>
      <c r="C388" t="s">
        <v>1540</v>
      </c>
      <c r="D388" t="s">
        <v>2639</v>
      </c>
    </row>
    <row r="389" spans="1:4">
      <c r="A389">
        <v>413</v>
      </c>
      <c r="B389" s="13">
        <v>45822</v>
      </c>
      <c r="C389" t="s">
        <v>1445</v>
      </c>
      <c r="D389" t="s">
        <v>2640</v>
      </c>
    </row>
    <row r="390" spans="1:4">
      <c r="A390">
        <v>414</v>
      </c>
      <c r="B390" s="13">
        <v>45822</v>
      </c>
      <c r="C390" t="s">
        <v>1587</v>
      </c>
      <c r="D390" t="s">
        <v>2641</v>
      </c>
    </row>
    <row r="391" spans="1:4">
      <c r="A391">
        <v>415</v>
      </c>
      <c r="B391" s="13">
        <v>45824</v>
      </c>
      <c r="C391" t="s">
        <v>1500</v>
      </c>
      <c r="D391" t="s">
        <v>2642</v>
      </c>
    </row>
    <row r="392" spans="1:4">
      <c r="A392">
        <v>416</v>
      </c>
      <c r="B392" s="13">
        <v>45824</v>
      </c>
      <c r="C392" t="s">
        <v>1030</v>
      </c>
      <c r="D392" t="s">
        <v>2647</v>
      </c>
    </row>
    <row r="393" spans="1:4">
      <c r="A393">
        <v>417</v>
      </c>
      <c r="B393" s="13">
        <v>45824</v>
      </c>
      <c r="C393" t="s">
        <v>1445</v>
      </c>
      <c r="D393" t="s">
        <v>2648</v>
      </c>
    </row>
    <row r="394" spans="1:4">
      <c r="A394">
        <v>418</v>
      </c>
      <c r="B394" s="13">
        <v>45825</v>
      </c>
      <c r="C394" t="s">
        <v>1424</v>
      </c>
      <c r="D394" t="s">
        <v>2649</v>
      </c>
    </row>
    <row r="395" spans="1:4">
      <c r="A395">
        <v>419</v>
      </c>
      <c r="B395" s="13">
        <v>45825</v>
      </c>
      <c r="C395" t="s">
        <v>1587</v>
      </c>
      <c r="D395" t="s">
        <v>2690</v>
      </c>
    </row>
    <row r="396" spans="1:4">
      <c r="A396">
        <v>420</v>
      </c>
      <c r="B396" s="13">
        <v>45825</v>
      </c>
      <c r="C396" t="s">
        <v>1445</v>
      </c>
      <c r="D396" t="s">
        <v>2693</v>
      </c>
    </row>
    <row r="397" spans="1:4">
      <c r="A397">
        <v>421</v>
      </c>
      <c r="B397" s="13">
        <v>45825</v>
      </c>
      <c r="C397" t="s">
        <v>2692</v>
      </c>
      <c r="D397" t="s">
        <v>2694</v>
      </c>
    </row>
    <row r="398" spans="1:4">
      <c r="A398">
        <v>422</v>
      </c>
      <c r="B398" s="13">
        <v>45826</v>
      </c>
      <c r="C398" t="s">
        <v>1030</v>
      </c>
      <c r="D398" t="s">
        <v>2700</v>
      </c>
    </row>
    <row r="399" spans="1:4">
      <c r="A399">
        <v>423</v>
      </c>
      <c r="B399" s="13">
        <v>45826</v>
      </c>
      <c r="C399" t="s">
        <v>1445</v>
      </c>
      <c r="D399" t="s">
        <v>2705</v>
      </c>
    </row>
    <row r="400" spans="1:4">
      <c r="A400">
        <v>424</v>
      </c>
      <c r="B400" s="13">
        <v>45826</v>
      </c>
      <c r="C400" t="s">
        <v>2606</v>
      </c>
      <c r="D400" t="s">
        <v>2706</v>
      </c>
    </row>
    <row r="401" spans="1:4">
      <c r="A401">
        <v>425</v>
      </c>
      <c r="B401" s="13">
        <v>45826</v>
      </c>
      <c r="C401" t="s">
        <v>2063</v>
      </c>
      <c r="D401" t="s">
        <v>2707</v>
      </c>
    </row>
    <row r="402" spans="1:4">
      <c r="A402">
        <v>426</v>
      </c>
      <c r="B402" s="13">
        <v>45826</v>
      </c>
      <c r="C402" t="s">
        <v>2393</v>
      </c>
      <c r="D402" t="s">
        <v>2708</v>
      </c>
    </row>
    <row r="403" spans="1:4">
      <c r="A403">
        <v>427</v>
      </c>
      <c r="B403" s="13">
        <v>45826</v>
      </c>
      <c r="C403" t="s">
        <v>1790</v>
      </c>
      <c r="D403" t="s">
        <v>2709</v>
      </c>
    </row>
    <row r="404" spans="1:4">
      <c r="A404">
        <v>428</v>
      </c>
      <c r="B404" s="13">
        <v>45826</v>
      </c>
      <c r="C404" t="s">
        <v>1445</v>
      </c>
      <c r="D404" t="s">
        <v>2710</v>
      </c>
    </row>
    <row r="405" spans="1:4">
      <c r="A405">
        <v>429</v>
      </c>
      <c r="B405" s="13">
        <v>45827</v>
      </c>
      <c r="C405" t="s">
        <v>2063</v>
      </c>
      <c r="D405" t="s">
        <v>2712</v>
      </c>
    </row>
    <row r="406" spans="1:4">
      <c r="A406">
        <v>430</v>
      </c>
      <c r="B406" s="13">
        <v>45827</v>
      </c>
      <c r="C406" t="s">
        <v>1495</v>
      </c>
      <c r="D406" t="s">
        <v>2713</v>
      </c>
    </row>
    <row r="407" spans="1:4">
      <c r="A407">
        <v>431</v>
      </c>
      <c r="B407" s="13">
        <v>45827</v>
      </c>
      <c r="C407" t="s">
        <v>2692</v>
      </c>
      <c r="D407" t="s">
        <v>2718</v>
      </c>
    </row>
    <row r="408" spans="1:4">
      <c r="A408">
        <v>432</v>
      </c>
      <c r="B408" s="13">
        <v>45827</v>
      </c>
      <c r="C408" t="s">
        <v>1445</v>
      </c>
      <c r="D408" t="s">
        <v>2721</v>
      </c>
    </row>
    <row r="409" spans="1:4">
      <c r="A409">
        <v>433</v>
      </c>
      <c r="B409" s="13">
        <v>45827</v>
      </c>
      <c r="C409" t="s">
        <v>1490</v>
      </c>
      <c r="D409" t="s">
        <v>2722</v>
      </c>
    </row>
    <row r="410" spans="1:4">
      <c r="A410">
        <v>434</v>
      </c>
      <c r="B410" s="13">
        <v>45827</v>
      </c>
      <c r="C410" t="s">
        <v>1790</v>
      </c>
      <c r="D410" t="s">
        <v>2723</v>
      </c>
    </row>
    <row r="411" spans="1:4">
      <c r="A411">
        <v>435</v>
      </c>
      <c r="B411" s="13">
        <v>45827</v>
      </c>
      <c r="C411" t="s">
        <v>2527</v>
      </c>
      <c r="D411" t="s">
        <v>2724</v>
      </c>
    </row>
    <row r="412" spans="1:4">
      <c r="A412">
        <v>436</v>
      </c>
      <c r="B412" s="13">
        <v>45827</v>
      </c>
      <c r="C412" t="s">
        <v>1626</v>
      </c>
      <c r="D412" t="s">
        <v>2726</v>
      </c>
    </row>
    <row r="413" spans="1:4">
      <c r="A413">
        <v>437</v>
      </c>
      <c r="B413" s="13">
        <v>45827</v>
      </c>
      <c r="C413" t="s">
        <v>1626</v>
      </c>
      <c r="D413" t="s">
        <v>2728</v>
      </c>
    </row>
    <row r="414" spans="1:4">
      <c r="A414">
        <v>438</v>
      </c>
      <c r="B414" s="13">
        <v>45828</v>
      </c>
      <c r="C414" t="s">
        <v>2735</v>
      </c>
      <c r="D414" t="s">
        <v>2736</v>
      </c>
    </row>
    <row r="415" spans="1:4">
      <c r="A415">
        <v>439</v>
      </c>
      <c r="B415" s="13">
        <v>45828</v>
      </c>
      <c r="C415" t="s">
        <v>1629</v>
      </c>
      <c r="D415" t="s">
        <v>2737</v>
      </c>
    </row>
    <row r="416" spans="1:4">
      <c r="A416">
        <v>440</v>
      </c>
      <c r="B416" s="13">
        <v>45828</v>
      </c>
      <c r="C416" t="s">
        <v>1027</v>
      </c>
      <c r="D416" t="s">
        <v>2738</v>
      </c>
    </row>
    <row r="417" spans="1:4">
      <c r="A417">
        <v>441</v>
      </c>
      <c r="B417" s="13">
        <v>45828</v>
      </c>
      <c r="C417" t="s">
        <v>1587</v>
      </c>
      <c r="D417" t="s">
        <v>2739</v>
      </c>
    </row>
    <row r="418" spans="1:4">
      <c r="A418">
        <v>442</v>
      </c>
      <c r="B418" s="13">
        <v>45828</v>
      </c>
      <c r="C418" t="s">
        <v>2740</v>
      </c>
      <c r="D418" t="s">
        <v>2741</v>
      </c>
    </row>
    <row r="419" spans="1:4">
      <c r="A419">
        <v>443</v>
      </c>
      <c r="B419" s="13">
        <v>45828</v>
      </c>
      <c r="C419" t="s">
        <v>1629</v>
      </c>
      <c r="D419" t="s">
        <v>2742</v>
      </c>
    </row>
    <row r="420" spans="1:4">
      <c r="A420">
        <v>444</v>
      </c>
      <c r="B420" s="13">
        <v>45828</v>
      </c>
      <c r="C420" t="s">
        <v>2749</v>
      </c>
      <c r="D420" t="s">
        <v>2750</v>
      </c>
    </row>
    <row r="421" spans="1:4">
      <c r="A421">
        <v>445</v>
      </c>
      <c r="B421" s="13">
        <v>45829</v>
      </c>
      <c r="C421" t="s">
        <v>1635</v>
      </c>
      <c r="D421" t="s">
        <v>2756</v>
      </c>
    </row>
    <row r="422" spans="1:4">
      <c r="A422">
        <v>446</v>
      </c>
      <c r="B422" s="13">
        <v>45829</v>
      </c>
      <c r="C422" t="s">
        <v>2633</v>
      </c>
      <c r="D422" t="s">
        <v>2757</v>
      </c>
    </row>
    <row r="423" spans="1:4">
      <c r="A423">
        <v>447</v>
      </c>
      <c r="B423" s="13">
        <v>45829</v>
      </c>
      <c r="C423" t="s">
        <v>1790</v>
      </c>
      <c r="D423" t="s">
        <v>2760</v>
      </c>
    </row>
    <row r="424" spans="1:4">
      <c r="A424">
        <v>448</v>
      </c>
      <c r="B424" s="13">
        <v>45831</v>
      </c>
      <c r="C424" t="s">
        <v>2761</v>
      </c>
      <c r="D424" t="s">
        <v>2762</v>
      </c>
    </row>
    <row r="425" spans="1:4">
      <c r="A425">
        <v>449</v>
      </c>
      <c r="B425" s="13">
        <v>45831</v>
      </c>
      <c r="C425" t="s">
        <v>2768</v>
      </c>
      <c r="D425" t="s">
        <v>2769</v>
      </c>
    </row>
    <row r="426" spans="1:4">
      <c r="A426">
        <v>450</v>
      </c>
      <c r="B426" s="13">
        <v>45832</v>
      </c>
      <c r="C426" t="s">
        <v>1183</v>
      </c>
      <c r="D426" t="s">
        <v>2775</v>
      </c>
    </row>
    <row r="427" spans="1:4">
      <c r="A427">
        <v>451</v>
      </c>
      <c r="B427" s="13">
        <v>45832</v>
      </c>
      <c r="C427" t="s">
        <v>1629</v>
      </c>
      <c r="D427" t="s">
        <v>2776</v>
      </c>
    </row>
    <row r="428" spans="1:4">
      <c r="A428">
        <v>452</v>
      </c>
      <c r="B428" s="13">
        <v>45832</v>
      </c>
      <c r="C428" t="s">
        <v>2606</v>
      </c>
      <c r="D428" t="s">
        <v>2784</v>
      </c>
    </row>
    <row r="429" spans="1:4">
      <c r="A429">
        <v>453</v>
      </c>
      <c r="B429" s="13">
        <v>45832</v>
      </c>
      <c r="C429" t="s">
        <v>2777</v>
      </c>
      <c r="D429" t="s">
        <v>2785</v>
      </c>
    </row>
    <row r="430" spans="1:4">
      <c r="A430">
        <v>454</v>
      </c>
      <c r="B430" s="13">
        <v>45832</v>
      </c>
      <c r="C430" t="s">
        <v>1790</v>
      </c>
      <c r="D430" t="s">
        <v>2786</v>
      </c>
    </row>
    <row r="431" spans="1:4">
      <c r="A431">
        <v>455</v>
      </c>
      <c r="B431" s="13">
        <v>45832</v>
      </c>
      <c r="C431" t="s">
        <v>1587</v>
      </c>
      <c r="D431" t="s">
        <v>2787</v>
      </c>
    </row>
    <row r="432" spans="1:4">
      <c r="A432">
        <v>456</v>
      </c>
      <c r="B432" s="13">
        <v>45833</v>
      </c>
      <c r="C432" t="s">
        <v>1060</v>
      </c>
      <c r="D432" t="s">
        <v>2794</v>
      </c>
    </row>
    <row r="433" spans="1:4">
      <c r="A433">
        <v>457</v>
      </c>
      <c r="B433" s="13">
        <v>45833</v>
      </c>
      <c r="C433" t="s">
        <v>987</v>
      </c>
      <c r="D433" t="s">
        <v>2795</v>
      </c>
    </row>
    <row r="434" spans="1:4">
      <c r="A434">
        <v>458</v>
      </c>
      <c r="B434" s="13">
        <v>45833</v>
      </c>
      <c r="C434" t="s">
        <v>1979</v>
      </c>
      <c r="D434" t="s">
        <v>2796</v>
      </c>
    </row>
    <row r="435" spans="1:4">
      <c r="A435">
        <v>459</v>
      </c>
      <c r="B435" s="13">
        <v>45833</v>
      </c>
      <c r="C435" t="s">
        <v>1647</v>
      </c>
      <c r="D435" t="s">
        <v>2798</v>
      </c>
    </row>
    <row r="436" spans="1:4">
      <c r="A436">
        <v>460</v>
      </c>
      <c r="B436" s="13">
        <v>45833</v>
      </c>
      <c r="C436" t="s">
        <v>2789</v>
      </c>
      <c r="D436" t="s">
        <v>2799</v>
      </c>
    </row>
    <row r="437" spans="1:4">
      <c r="A437">
        <v>461</v>
      </c>
      <c r="B437" s="13">
        <v>45833</v>
      </c>
      <c r="C437" t="s">
        <v>1069</v>
      </c>
      <c r="D437" t="s">
        <v>2804</v>
      </c>
    </row>
    <row r="438" spans="1:4">
      <c r="A438">
        <v>462</v>
      </c>
      <c r="B438" s="13">
        <v>45833</v>
      </c>
      <c r="C438" t="s">
        <v>1635</v>
      </c>
      <c r="D438" t="s">
        <v>2805</v>
      </c>
    </row>
    <row r="439" spans="1:4">
      <c r="A439">
        <v>463</v>
      </c>
      <c r="B439" s="13">
        <v>45833</v>
      </c>
      <c r="C439" t="s">
        <v>1525</v>
      </c>
      <c r="D439" t="s">
        <v>2811</v>
      </c>
    </row>
    <row r="440" spans="1:4">
      <c r="A440">
        <v>464</v>
      </c>
      <c r="B440" s="13">
        <v>45834</v>
      </c>
      <c r="C440" t="s">
        <v>1515</v>
      </c>
      <c r="D440" t="s">
        <v>2812</v>
      </c>
    </row>
    <row r="441" spans="1:4">
      <c r="A441">
        <v>465</v>
      </c>
      <c r="B441" s="13">
        <v>45834</v>
      </c>
      <c r="C441" t="s">
        <v>1790</v>
      </c>
      <c r="D441" t="s">
        <v>2817</v>
      </c>
    </row>
    <row r="442" spans="1:4">
      <c r="A442">
        <v>466</v>
      </c>
      <c r="B442" s="13">
        <v>45834</v>
      </c>
      <c r="C442" t="s">
        <v>1445</v>
      </c>
      <c r="D442" t="s">
        <v>2818</v>
      </c>
    </row>
    <row r="443" spans="1:4">
      <c r="A443">
        <v>467</v>
      </c>
      <c r="B443" s="13">
        <v>45834</v>
      </c>
      <c r="C443" t="s">
        <v>1445</v>
      </c>
      <c r="D443" t="s">
        <v>2821</v>
      </c>
    </row>
    <row r="444" spans="1:4">
      <c r="A444">
        <v>468</v>
      </c>
      <c r="B444" s="13">
        <v>45834</v>
      </c>
      <c r="C444" t="s">
        <v>1445</v>
      </c>
      <c r="D444" t="s">
        <v>2838</v>
      </c>
    </row>
    <row r="445" spans="1:4">
      <c r="A445">
        <v>469</v>
      </c>
      <c r="B445" s="13">
        <v>45834</v>
      </c>
      <c r="C445" t="s">
        <v>1069</v>
      </c>
      <c r="D445" t="s">
        <v>2841</v>
      </c>
    </row>
    <row r="446" spans="1:4">
      <c r="A446">
        <v>470</v>
      </c>
      <c r="B446" s="13">
        <v>45835</v>
      </c>
      <c r="C446" t="s">
        <v>1424</v>
      </c>
      <c r="D446" t="s">
        <v>2852</v>
      </c>
    </row>
    <row r="447" spans="1:4">
      <c r="A447">
        <v>471</v>
      </c>
      <c r="B447" s="13">
        <v>45835</v>
      </c>
      <c r="C447" t="s">
        <v>1513</v>
      </c>
      <c r="D447" t="s">
        <v>2853</v>
      </c>
    </row>
    <row r="448" spans="1:4">
      <c r="A448">
        <v>472</v>
      </c>
      <c r="B448" s="13">
        <v>45835</v>
      </c>
      <c r="C448" t="s">
        <v>1069</v>
      </c>
      <c r="D448" t="s">
        <v>2855</v>
      </c>
    </row>
    <row r="449" spans="1:4">
      <c r="A449">
        <v>473</v>
      </c>
      <c r="B449" s="13">
        <v>45835</v>
      </c>
      <c r="C449" t="s">
        <v>1626</v>
      </c>
      <c r="D449" t="s">
        <v>2856</v>
      </c>
    </row>
    <row r="450" spans="1:4">
      <c r="A450">
        <v>474</v>
      </c>
      <c r="B450" s="13">
        <v>45835</v>
      </c>
      <c r="C450" t="s">
        <v>1790</v>
      </c>
      <c r="D450" t="s">
        <v>2858</v>
      </c>
    </row>
    <row r="451" spans="1:4">
      <c r="A451">
        <v>475</v>
      </c>
      <c r="B451" s="13">
        <v>45835</v>
      </c>
      <c r="C451" t="s">
        <v>1519</v>
      </c>
      <c r="D451" t="s">
        <v>2859</v>
      </c>
    </row>
    <row r="452" spans="1:4">
      <c r="A452">
        <v>476</v>
      </c>
      <c r="B452" s="13">
        <v>45838</v>
      </c>
      <c r="C452" t="s">
        <v>2393</v>
      </c>
      <c r="D452" t="s">
        <v>2864</v>
      </c>
    </row>
    <row r="453" spans="1:4">
      <c r="A453">
        <v>477</v>
      </c>
      <c r="B453" s="13">
        <v>45838</v>
      </c>
      <c r="C453" t="s">
        <v>1790</v>
      </c>
      <c r="D453" t="s">
        <v>2872</v>
      </c>
    </row>
    <row r="454" spans="1:4">
      <c r="A454">
        <v>478</v>
      </c>
      <c r="B454" s="13">
        <v>45838</v>
      </c>
      <c r="C454" t="s">
        <v>1105</v>
      </c>
      <c r="D454" t="s">
        <v>2875</v>
      </c>
    </row>
    <row r="455" spans="1:4">
      <c r="A455">
        <v>479</v>
      </c>
      <c r="B455" s="13">
        <v>45838</v>
      </c>
      <c r="C455" t="s">
        <v>2865</v>
      </c>
      <c r="D455" t="s">
        <v>2876</v>
      </c>
    </row>
    <row r="456" spans="1:4">
      <c r="A456">
        <v>480</v>
      </c>
      <c r="B456" s="13">
        <v>45838</v>
      </c>
      <c r="C456" t="s">
        <v>1490</v>
      </c>
      <c r="D456" t="s">
        <v>2877</v>
      </c>
    </row>
    <row r="457" spans="1:4">
      <c r="A457">
        <v>481</v>
      </c>
      <c r="B457" s="13">
        <v>45838</v>
      </c>
      <c r="C457" t="s">
        <v>1790</v>
      </c>
      <c r="D457" t="s">
        <v>2878</v>
      </c>
    </row>
    <row r="458" spans="1:4">
      <c r="A458">
        <v>482</v>
      </c>
      <c r="B458" s="13">
        <v>45838</v>
      </c>
      <c r="C458" t="s">
        <v>2066</v>
      </c>
      <c r="D458" t="s">
        <v>2879</v>
      </c>
    </row>
    <row r="459" spans="1:4">
      <c r="A459">
        <v>483</v>
      </c>
      <c r="B459" s="13">
        <v>45838</v>
      </c>
      <c r="C459" t="s">
        <v>1513</v>
      </c>
      <c r="D459" t="s">
        <v>2883</v>
      </c>
    </row>
    <row r="460" spans="1:4">
      <c r="A460">
        <v>484</v>
      </c>
      <c r="B460" s="13">
        <v>45839</v>
      </c>
      <c r="C460" t="s">
        <v>2893</v>
      </c>
      <c r="D460" t="s">
        <v>2894</v>
      </c>
    </row>
    <row r="461" spans="1:4">
      <c r="A461">
        <v>485</v>
      </c>
      <c r="B461" s="13">
        <v>45839</v>
      </c>
      <c r="C461" t="s">
        <v>1525</v>
      </c>
      <c r="D461" t="s">
        <v>2895</v>
      </c>
    </row>
    <row r="462" spans="1:4">
      <c r="A462">
        <v>486</v>
      </c>
      <c r="B462" s="13">
        <v>45839</v>
      </c>
      <c r="C462" t="s">
        <v>1629</v>
      </c>
      <c r="D462" t="s">
        <v>2897</v>
      </c>
    </row>
    <row r="463" spans="1:4">
      <c r="A463">
        <v>487</v>
      </c>
      <c r="B463" s="13">
        <v>45839</v>
      </c>
      <c r="C463" t="s">
        <v>2902</v>
      </c>
      <c r="D463" t="s">
        <v>2905</v>
      </c>
    </row>
    <row r="464" spans="1:4">
      <c r="A464">
        <v>488</v>
      </c>
      <c r="B464" s="13">
        <v>45839</v>
      </c>
      <c r="C464" t="s">
        <v>1490</v>
      </c>
      <c r="D464" t="s">
        <v>2906</v>
      </c>
    </row>
    <row r="465" spans="1:4">
      <c r="A465">
        <v>489</v>
      </c>
      <c r="B465" s="13">
        <v>45840</v>
      </c>
      <c r="C465" t="s">
        <v>2912</v>
      </c>
      <c r="D465" t="s">
        <v>2913</v>
      </c>
    </row>
    <row r="466" spans="1:4">
      <c r="A466">
        <v>490</v>
      </c>
      <c r="B466" s="13">
        <v>45840</v>
      </c>
      <c r="C466" t="s">
        <v>2914</v>
      </c>
      <c r="D466" t="s">
        <v>2918</v>
      </c>
    </row>
    <row r="467" spans="1:4">
      <c r="A467">
        <v>491</v>
      </c>
      <c r="B467" s="13">
        <v>45840</v>
      </c>
      <c r="C467" t="s">
        <v>1629</v>
      </c>
      <c r="D467" t="s">
        <v>2925</v>
      </c>
    </row>
    <row r="468" spans="1:4">
      <c r="A468">
        <v>492</v>
      </c>
      <c r="B468" s="13">
        <v>45840</v>
      </c>
      <c r="C468" t="s">
        <v>2046</v>
      </c>
      <c r="D468" t="s">
        <v>2926</v>
      </c>
    </row>
    <row r="469" spans="1:4">
      <c r="A469">
        <v>493</v>
      </c>
      <c r="B469" s="13">
        <v>45840</v>
      </c>
      <c r="C469" t="s">
        <v>2195</v>
      </c>
      <c r="D469" t="s">
        <v>2927</v>
      </c>
    </row>
    <row r="470" spans="1:4">
      <c r="A470">
        <v>494</v>
      </c>
      <c r="B470" s="13">
        <v>45841</v>
      </c>
      <c r="C470" t="s">
        <v>1060</v>
      </c>
      <c r="D470" t="s">
        <v>2929</v>
      </c>
    </row>
    <row r="471" spans="1:4">
      <c r="A471">
        <v>495</v>
      </c>
      <c r="B471" s="13">
        <v>45841</v>
      </c>
      <c r="C471" t="s">
        <v>2935</v>
      </c>
      <c r="D471" t="s">
        <v>2938</v>
      </c>
    </row>
    <row r="472" spans="1:4">
      <c r="A472">
        <v>496</v>
      </c>
      <c r="B472" s="13">
        <v>45841</v>
      </c>
      <c r="C472" t="s">
        <v>1885</v>
      </c>
      <c r="D472" t="s">
        <v>2939</v>
      </c>
    </row>
    <row r="473" spans="1:4">
      <c r="A473">
        <v>497</v>
      </c>
      <c r="B473" s="13">
        <v>45841</v>
      </c>
      <c r="C473" t="s">
        <v>2362</v>
      </c>
      <c r="D473" t="s">
        <v>2940</v>
      </c>
    </row>
    <row r="474" spans="1:4">
      <c r="A474">
        <v>498</v>
      </c>
      <c r="B474" s="13">
        <v>45841</v>
      </c>
      <c r="C474" t="s">
        <v>1629</v>
      </c>
      <c r="D474" t="s">
        <v>2941</v>
      </c>
    </row>
    <row r="475" spans="1:4">
      <c r="A475">
        <v>499</v>
      </c>
      <c r="B475" s="13">
        <v>45842</v>
      </c>
      <c r="C475" t="s">
        <v>1647</v>
      </c>
      <c r="D475" t="s">
        <v>2954</v>
      </c>
    </row>
    <row r="476" spans="1:4">
      <c r="A476">
        <v>500</v>
      </c>
      <c r="B476" s="13">
        <v>45842</v>
      </c>
      <c r="C476" t="s">
        <v>1629</v>
      </c>
      <c r="D476" t="s">
        <v>2955</v>
      </c>
    </row>
    <row r="477" spans="1:4">
      <c r="A477">
        <v>501</v>
      </c>
      <c r="B477" s="13">
        <v>45842</v>
      </c>
      <c r="C477" t="s">
        <v>1513</v>
      </c>
      <c r="D477" t="s">
        <v>2957</v>
      </c>
    </row>
    <row r="478" spans="1:4">
      <c r="A478">
        <v>502</v>
      </c>
      <c r="B478" s="13">
        <v>45842</v>
      </c>
      <c r="C478" t="s">
        <v>1183</v>
      </c>
      <c r="D478" t="s">
        <v>2958</v>
      </c>
    </row>
    <row r="479" spans="1:4">
      <c r="A479">
        <v>503</v>
      </c>
      <c r="B479" s="13">
        <v>45843</v>
      </c>
      <c r="C479" t="s">
        <v>1587</v>
      </c>
      <c r="D479" t="s">
        <v>2961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O227"/>
  <sheetViews>
    <sheetView zoomScaleNormal="100" workbookViewId="0">
      <pane xSplit="1" ySplit="1" topLeftCell="B17" activePane="bottomRight" state="frozen"/>
      <selection activeCell="N26" sqref="N26"/>
      <selection pane="topRight" activeCell="N26" sqref="N26"/>
      <selection pane="bottomLeft" activeCell="N26" sqref="N26"/>
      <selection pane="bottomRight" activeCell="E19" sqref="E19"/>
    </sheetView>
  </sheetViews>
  <sheetFormatPr defaultColWidth="9" defaultRowHeight="16.5"/>
  <cols>
    <col min="1" max="1" width="7.75" bestFit="1" customWidth="1"/>
    <col min="2" max="2" width="26.875" bestFit="1" customWidth="1"/>
    <col min="3" max="3" width="14.375" customWidth="1"/>
    <col min="4" max="4" width="9.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6" customWidth="1"/>
    <col min="10" max="10" width="11.625" style="52" bestFit="1" customWidth="1"/>
    <col min="11" max="11" width="13.375" bestFit="1" customWidth="1"/>
    <col min="12" max="12" width="10.25" bestFit="1" customWidth="1"/>
    <col min="14" max="14" width="10.25" bestFit="1" customWidth="1"/>
  </cols>
  <sheetData>
    <row r="1" spans="1:12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10" t="s">
        <v>85</v>
      </c>
      <c r="J1" s="245">
        <v>154</v>
      </c>
      <c r="K1" s="300"/>
      <c r="L1" s="299"/>
    </row>
    <row r="2" spans="1:12">
      <c r="A2">
        <v>1</v>
      </c>
      <c r="B2" t="s">
        <v>1319</v>
      </c>
      <c r="C2" t="s">
        <v>1682</v>
      </c>
      <c r="D2" t="s">
        <v>1683</v>
      </c>
      <c r="F2" t="s">
        <v>1684</v>
      </c>
      <c r="G2" t="s">
        <v>1685</v>
      </c>
      <c r="H2" t="s">
        <v>1686</v>
      </c>
      <c r="I2" s="206">
        <f>SUMIF(주문_리스트!C:C,거래처!$B2,주문_리스트!K:K)+SUMIF(주문_리스트!C:C,거래처!B2,주문_리스트!L:L)-1543201</f>
        <v>-0.40000000037252903</v>
      </c>
      <c r="J2" s="206"/>
    </row>
    <row r="3" spans="1:12">
      <c r="A3">
        <v>2</v>
      </c>
      <c r="B3" t="s">
        <v>2730</v>
      </c>
      <c r="C3" t="s">
        <v>2731</v>
      </c>
      <c r="F3" t="s">
        <v>2732</v>
      </c>
      <c r="I3" s="206">
        <f>SUMIF(주문_리스트!C:C,거래처!B3,주문_리스트!K:K)+SUMIF(주문_리스트!C:C,거래처!B3,주문_리스트!L:L)</f>
        <v>0</v>
      </c>
    </row>
    <row r="4" spans="1:12">
      <c r="A4">
        <v>3</v>
      </c>
      <c r="B4" t="s">
        <v>1320</v>
      </c>
      <c r="C4" t="s">
        <v>1098</v>
      </c>
      <c r="F4" t="s">
        <v>1099</v>
      </c>
      <c r="I4" s="206">
        <f>SUMIF(주문_리스트!C:C,거래처!B4,주문_리스트!K:K)+SUMIF(주문_리스트!C:C,거래처!B4,주문_리스트!L:L)-2000000</f>
        <v>0</v>
      </c>
    </row>
    <row r="5" spans="1:12">
      <c r="A5">
        <v>4</v>
      </c>
      <c r="B5" t="s">
        <v>1195</v>
      </c>
      <c r="C5" t="s">
        <v>1196</v>
      </c>
      <c r="F5" t="s">
        <v>1197</v>
      </c>
      <c r="G5" t="s">
        <v>1198</v>
      </c>
      <c r="I5" s="206">
        <f>SUMIF(주문_리스트!C:C,거래처!B5,주문_리스트!K:K)+SUMIF(주문_리스트!C:C,거래처!B5,주문_리스트!L:L)</f>
        <v>0</v>
      </c>
    </row>
    <row r="6" spans="1:12">
      <c r="A6">
        <v>5</v>
      </c>
      <c r="B6" t="s">
        <v>1321</v>
      </c>
      <c r="C6" t="s">
        <v>2733</v>
      </c>
      <c r="F6" t="s">
        <v>2734</v>
      </c>
      <c r="G6" t="s">
        <v>1218</v>
      </c>
      <c r="I6" s="206">
        <f>SUMIF(주문_리스트!C:C,거래처!B6,주문_리스트!K:K)+SUMIF(주문_리스트!C:C,거래처!B6,주문_리스트!L:L)</f>
        <v>0</v>
      </c>
    </row>
    <row r="7" spans="1:12">
      <c r="A7">
        <v>6</v>
      </c>
      <c r="B7" t="s">
        <v>1322</v>
      </c>
      <c r="C7" t="s">
        <v>1084</v>
      </c>
      <c r="F7" t="s">
        <v>1085</v>
      </c>
      <c r="G7" t="s">
        <v>981</v>
      </c>
      <c r="I7" s="206">
        <f>SUMIF(주문_리스트!C:C,거래처!B7,주문_리스트!K:K)+SUMIF(주문_리스트!C:C,거래처!B7,주문_리스트!L:L)</f>
        <v>0</v>
      </c>
    </row>
    <row r="8" spans="1:12">
      <c r="A8">
        <v>7</v>
      </c>
      <c r="B8" t="s">
        <v>1336</v>
      </c>
      <c r="C8" t="s">
        <v>1110</v>
      </c>
      <c r="F8" t="s">
        <v>1111</v>
      </c>
      <c r="I8" s="206">
        <f>SUMIF(주문_리스트!C:C,거래처!B8,주문_리스트!K:K)+SUMIF(주문_리스트!C:C,거래처!B8,주문_리스트!L:L)</f>
        <v>0</v>
      </c>
    </row>
    <row r="9" spans="1:12">
      <c r="A9">
        <v>8</v>
      </c>
      <c r="B9" t="s">
        <v>1323</v>
      </c>
      <c r="C9" t="s">
        <v>1128</v>
      </c>
      <c r="F9" t="s">
        <v>1129</v>
      </c>
      <c r="I9" s="206">
        <f>SUMIF(주문_리스트!C:C,거래처!B9,주문_리스트!K:K)+SUMIF(주문_리스트!C:C,거래처!B9,주문_리스트!L:L)</f>
        <v>0</v>
      </c>
    </row>
    <row r="10" spans="1:12">
      <c r="A10">
        <v>9</v>
      </c>
      <c r="B10" t="s">
        <v>1324</v>
      </c>
      <c r="C10" t="s">
        <v>1867</v>
      </c>
      <c r="F10" t="s">
        <v>1325</v>
      </c>
      <c r="G10" t="s">
        <v>1863</v>
      </c>
      <c r="H10" t="s">
        <v>1868</v>
      </c>
      <c r="I10" s="206">
        <f>SUMIF(주문_리스트!C:C,거래처!B10,주문_리스트!K:K)+SUMIF(주문_리스트!C:C,거래처!B10,주문_리스트!L:L)</f>
        <v>0</v>
      </c>
    </row>
    <row r="11" spans="1:12">
      <c r="A11">
        <v>10</v>
      </c>
      <c r="B11" t="s">
        <v>1326</v>
      </c>
      <c r="C11" t="s">
        <v>1665</v>
      </c>
      <c r="F11" t="s">
        <v>1666</v>
      </c>
      <c r="G11" t="s">
        <v>970</v>
      </c>
      <c r="H11" t="s">
        <v>1667</v>
      </c>
      <c r="I11" s="206">
        <f>SUMIF(주문_리스트!C:C,거래처!B11,주문_리스트!K:K)+SUMIF(주문_리스트!C:C,거래처!B11,주문_리스트!L:L)+60000</f>
        <v>0</v>
      </c>
    </row>
    <row r="12" spans="1:12">
      <c r="A12">
        <v>11</v>
      </c>
      <c r="B12" t="s">
        <v>1327</v>
      </c>
      <c r="C12" t="s">
        <v>2226</v>
      </c>
      <c r="F12" t="s">
        <v>2227</v>
      </c>
      <c r="I12" s="206">
        <f>SUMIF(주문_리스트!C:C,거래처!B12,주문_리스트!K:K)+SUMIF(주문_리스트!C:C,거래처!B12,주문_리스트!L:L)</f>
        <v>0</v>
      </c>
    </row>
    <row r="13" spans="1:12">
      <c r="A13">
        <v>12</v>
      </c>
      <c r="B13" t="s">
        <v>1328</v>
      </c>
      <c r="C13" t="s">
        <v>1249</v>
      </c>
      <c r="F13" t="s">
        <v>1250</v>
      </c>
      <c r="G13" t="s">
        <v>2473</v>
      </c>
      <c r="H13" t="s">
        <v>2474</v>
      </c>
      <c r="I13" s="206">
        <f>SUMIF(주문_리스트!C:C,거래처!B13,주문_리스트!K:K)+SUMIF(주문_리스트!C:C,거래처!B13,주문_리스트!L:L)-1320000</f>
        <v>0</v>
      </c>
    </row>
    <row r="14" spans="1:12">
      <c r="A14">
        <v>13</v>
      </c>
      <c r="B14" t="s">
        <v>1329</v>
      </c>
      <c r="C14" t="s">
        <v>2634</v>
      </c>
      <c r="F14" t="s">
        <v>2635</v>
      </c>
      <c r="G14" t="s">
        <v>970</v>
      </c>
      <c r="H14" t="s">
        <v>2636</v>
      </c>
      <c r="I14" s="206">
        <f>SUMIF(주문_리스트!C:C,거래처!B14,주문_리스트!K:K)+SUMIF(주문_리스트!C:C,거래처!B14,주문_리스트!L:L)-1280000</f>
        <v>0</v>
      </c>
    </row>
    <row r="15" spans="1:12">
      <c r="A15">
        <v>14</v>
      </c>
      <c r="B15" t="s">
        <v>1330</v>
      </c>
      <c r="C15" t="s">
        <v>1106</v>
      </c>
      <c r="F15" t="s">
        <v>1107</v>
      </c>
      <c r="G15" t="s">
        <v>981</v>
      </c>
      <c r="I15" s="206">
        <f>SUMIF(주문_리스트!C:C,거래처!B15,주문_리스트!K:K)+SUMIF(주문_리스트!C:C,거래처!B15,주문_리스트!L:L)</f>
        <v>0</v>
      </c>
    </row>
    <row r="16" spans="1:12">
      <c r="A16">
        <v>15</v>
      </c>
      <c r="B16" t="s">
        <v>1331</v>
      </c>
      <c r="C16" t="s">
        <v>1096</v>
      </c>
      <c r="F16" t="s">
        <v>1097</v>
      </c>
      <c r="G16" t="s">
        <v>981</v>
      </c>
      <c r="I16" s="206">
        <f>SUMIF(주문_리스트!C:C,거래처!B16,주문_리스트!K:K)+SUMIF(주문_리스트!C:C,거래처!B16,주문_리스트!L:L)</f>
        <v>0</v>
      </c>
    </row>
    <row r="17" spans="1:14">
      <c r="A17">
        <v>16</v>
      </c>
      <c r="B17" t="s">
        <v>1332</v>
      </c>
      <c r="C17" t="s">
        <v>1033</v>
      </c>
      <c r="F17" t="s">
        <v>1034</v>
      </c>
      <c r="G17" t="s">
        <v>981</v>
      </c>
      <c r="I17" s="206">
        <f>SUMIF(주문_리스트!C:C,거래처!B17,주문_리스트!K:K)+SUMIF(주문_리스트!C:C,거래처!B17,주문_리스트!L:L)+13873000</f>
        <v>15931000.199999999</v>
      </c>
    </row>
    <row r="18" spans="1:14">
      <c r="A18">
        <v>17</v>
      </c>
      <c r="B18" t="s">
        <v>1333</v>
      </c>
      <c r="C18" t="s">
        <v>1214</v>
      </c>
      <c r="F18" t="s">
        <v>1215</v>
      </c>
      <c r="G18" t="s">
        <v>1216</v>
      </c>
      <c r="H18" t="s">
        <v>1217</v>
      </c>
      <c r="I18" s="206">
        <f>SUMIF(주문_리스트!C:C,거래처!B18,주문_리스트!K:K)+SUMIF(주문_리스트!C:C,거래처!B18,주문_리스트!L:L)-2524500</f>
        <v>0</v>
      </c>
    </row>
    <row r="19" spans="1:14">
      <c r="A19">
        <v>18</v>
      </c>
      <c r="B19" t="s">
        <v>1334</v>
      </c>
      <c r="C19" t="s">
        <v>1013</v>
      </c>
      <c r="F19" t="s">
        <v>1014</v>
      </c>
      <c r="G19" t="s">
        <v>981</v>
      </c>
      <c r="I19" s="206">
        <f>SUMIF(주문_리스트!C:C,거래처!B19,주문_리스트!K:K)+SUMIF(주문_리스트!C:C,거래처!B19,주문_리스트!L:L)+9970000</f>
        <v>2487000</v>
      </c>
      <c r="N19" s="299"/>
    </row>
    <row r="20" spans="1:14">
      <c r="A20">
        <v>19</v>
      </c>
      <c r="B20" t="s">
        <v>1335</v>
      </c>
      <c r="C20" t="s">
        <v>1274</v>
      </c>
      <c r="D20" t="s">
        <v>1275</v>
      </c>
      <c r="F20" t="s">
        <v>1276</v>
      </c>
      <c r="G20" t="s">
        <v>1268</v>
      </c>
      <c r="H20" t="s">
        <v>1145</v>
      </c>
      <c r="I20" s="206">
        <f>SUMIF(주문_리스트!C:C,거래처!B20,주문_리스트!K:K)+SUMIF(주문_리스트!C:C,거래처!B20,주문_리스트!L:L)-10000</f>
        <v>1699999.7000000002</v>
      </c>
    </row>
    <row r="21" spans="1:14">
      <c r="A21">
        <v>20</v>
      </c>
      <c r="B21" t="s">
        <v>1277</v>
      </c>
      <c r="C21" t="s">
        <v>1278</v>
      </c>
      <c r="F21" t="s">
        <v>1279</v>
      </c>
      <c r="G21" t="s">
        <v>1280</v>
      </c>
      <c r="I21" s="206">
        <f>SUMIF(주문_리스트!C:C,거래처!B21,주문_리스트!K:K)+SUMIF(주문_리스트!C:C,거래처!B21,주문_리스트!L:L)</f>
        <v>0</v>
      </c>
    </row>
    <row r="22" spans="1:14">
      <c r="A22">
        <v>21</v>
      </c>
      <c r="B22" t="s">
        <v>1337</v>
      </c>
      <c r="C22" t="s">
        <v>1080</v>
      </c>
      <c r="F22" t="s">
        <v>1081</v>
      </c>
      <c r="G22" t="s">
        <v>981</v>
      </c>
      <c r="I22" s="206">
        <f>SUMIF(주문_리스트!C:C,거래처!B22,주문_리스트!K:K)+SUMIF(주문_리스트!C:C,거래처!B22,주문_리스트!L:L)</f>
        <v>0</v>
      </c>
      <c r="J22" s="52" t="s">
        <v>2909</v>
      </c>
    </row>
    <row r="23" spans="1:14">
      <c r="A23">
        <v>22</v>
      </c>
      <c r="B23" t="s">
        <v>1338</v>
      </c>
      <c r="C23" t="s">
        <v>1002</v>
      </c>
      <c r="F23" t="s">
        <v>1003</v>
      </c>
      <c r="I23" s="206">
        <f>SUMIF(주문_리스트!C:C,거래처!B23,주문_리스트!K:K)+SUMIF(주문_리스트!C:C,거래처!B23,주문_리스트!L:L)</f>
        <v>0</v>
      </c>
    </row>
    <row r="24" spans="1:14">
      <c r="A24">
        <v>23</v>
      </c>
      <c r="B24" t="s">
        <v>1339</v>
      </c>
      <c r="C24" t="s">
        <v>1094</v>
      </c>
      <c r="F24" t="s">
        <v>1095</v>
      </c>
      <c r="I24" s="206">
        <f>SUMIF(주문_리스트!C:C,거래처!B24,주문_리스트!K:K)+SUMIF(주문_리스트!C:C,거래처!B24,주문_리스트!L:L)</f>
        <v>0</v>
      </c>
    </row>
    <row r="25" spans="1:14">
      <c r="A25">
        <v>24</v>
      </c>
      <c r="B25" t="s">
        <v>1340</v>
      </c>
      <c r="C25" t="s">
        <v>1028</v>
      </c>
      <c r="F25" t="s">
        <v>1029</v>
      </c>
      <c r="G25" t="s">
        <v>981</v>
      </c>
      <c r="I25" s="206">
        <f>SUMIF(주문_리스트!C:C,거래처!B25,주문_리스트!K:K)+SUMIF(주문_리스트!C:C,거래처!B25,주문_리스트!L:L)-210000</f>
        <v>0</v>
      </c>
    </row>
    <row r="26" spans="1:14">
      <c r="A26">
        <v>25</v>
      </c>
      <c r="B26" t="s">
        <v>1341</v>
      </c>
      <c r="C26" t="s">
        <v>1058</v>
      </c>
      <c r="F26" t="s">
        <v>1059</v>
      </c>
      <c r="I26" s="206">
        <f>SUMIF(주문_리스트!C:C,거래처!B26,주문_리스트!K:K)+SUMIF(주문_리스트!C:C,거래처!B26,주문_리스트!L:L)-1200000</f>
        <v>0</v>
      </c>
    </row>
    <row r="27" spans="1:14">
      <c r="A27">
        <v>26</v>
      </c>
      <c r="B27" t="s">
        <v>1342</v>
      </c>
      <c r="C27" t="s">
        <v>998</v>
      </c>
      <c r="F27" t="s">
        <v>999</v>
      </c>
      <c r="G27" t="s">
        <v>970</v>
      </c>
      <c r="I27" s="206">
        <f>SUMIF(주문_리스트!C:C,거래처!B27,주문_리스트!K:K)+SUMIF(주문_리스트!C:C,거래처!B27,주문_리스트!L:L)</f>
        <v>0</v>
      </c>
    </row>
    <row r="28" spans="1:14">
      <c r="A28">
        <v>27</v>
      </c>
      <c r="B28" t="s">
        <v>1661</v>
      </c>
      <c r="C28" t="s">
        <v>1662</v>
      </c>
      <c r="F28" t="s">
        <v>1663</v>
      </c>
      <c r="G28" t="s">
        <v>1664</v>
      </c>
      <c r="H28" t="s">
        <v>234</v>
      </c>
      <c r="I28" s="206">
        <f>SUMIF(주문_리스트!C:C,거래처!B28,주문_리스트!K:K)+SUMIF(주문_리스트!C:C,거래처!B28,주문_리스트!L:L)-1683000</f>
        <v>0</v>
      </c>
    </row>
    <row r="29" spans="1:14">
      <c r="A29">
        <v>28</v>
      </c>
      <c r="B29" t="s">
        <v>1989</v>
      </c>
      <c r="C29" t="s">
        <v>1990</v>
      </c>
      <c r="F29" t="s">
        <v>1991</v>
      </c>
      <c r="G29" t="s">
        <v>1984</v>
      </c>
      <c r="H29" t="s">
        <v>1992</v>
      </c>
      <c r="I29" s="206">
        <f>SUMIF(주문_리스트!C:C,거래처!B29,주문_리스트!K:K)+SUMIF(주문_리스트!C:C,거래처!B29,주문_리스트!L:L)-3710000</f>
        <v>0</v>
      </c>
    </row>
    <row r="30" spans="1:14">
      <c r="A30">
        <v>29</v>
      </c>
      <c r="B30" t="s">
        <v>1100</v>
      </c>
      <c r="C30" t="s">
        <v>1101</v>
      </c>
      <c r="F30" t="s">
        <v>1102</v>
      </c>
      <c r="G30" t="s">
        <v>970</v>
      </c>
      <c r="I30" s="206">
        <f>SUMIF(주문_리스트!C:C,거래처!B30,주문_리스트!K:K)+SUMIF(주문_리스트!C:C,거래처!B30,주문_리스트!L:L)</f>
        <v>0</v>
      </c>
    </row>
    <row r="31" spans="1:14">
      <c r="A31">
        <v>30</v>
      </c>
      <c r="B31" t="s">
        <v>1343</v>
      </c>
      <c r="C31" t="s">
        <v>1780</v>
      </c>
      <c r="F31" t="s">
        <v>1781</v>
      </c>
      <c r="G31" t="s">
        <v>970</v>
      </c>
      <c r="H31" t="s">
        <v>1782</v>
      </c>
      <c r="I31" s="206">
        <f>SUMIF(주문_리스트!C:C,거래처!B31,주문_리스트!K:K)+SUMIF(주문_리스트!C:C,거래처!B31,주문_리스트!L:L)-1200000</f>
        <v>0</v>
      </c>
    </row>
    <row r="32" spans="1:14">
      <c r="A32">
        <v>31</v>
      </c>
      <c r="B32" t="s">
        <v>992</v>
      </c>
      <c r="C32" t="s">
        <v>993</v>
      </c>
      <c r="D32" t="s">
        <v>994</v>
      </c>
      <c r="F32" t="s">
        <v>995</v>
      </c>
      <c r="G32" t="s">
        <v>977</v>
      </c>
      <c r="H32" t="s">
        <v>996</v>
      </c>
      <c r="I32" s="20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1344</v>
      </c>
      <c r="C33" t="s">
        <v>1073</v>
      </c>
      <c r="F33" t="s">
        <v>1074</v>
      </c>
      <c r="I33" s="20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1345</v>
      </c>
      <c r="C34" t="s">
        <v>1126</v>
      </c>
      <c r="F34" t="s">
        <v>1127</v>
      </c>
      <c r="G34" t="s">
        <v>981</v>
      </c>
      <c r="I34" s="20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1346</v>
      </c>
      <c r="C35" t="s">
        <v>979</v>
      </c>
      <c r="F35" t="s">
        <v>980</v>
      </c>
      <c r="G35" t="s">
        <v>981</v>
      </c>
      <c r="I35" s="206">
        <f>SUMIF(주문_리스트!C:C,거래처!B35,주문_리스트!K:K)+SUMIF(주문_리스트!C:C,거래처!B35,주문_리스트!L:L)</f>
        <v>0</v>
      </c>
      <c r="J35" s="52" t="s">
        <v>2945</v>
      </c>
    </row>
    <row r="36" spans="1:10">
      <c r="A36">
        <v>35</v>
      </c>
      <c r="B36" t="s">
        <v>1618</v>
      </c>
      <c r="C36" t="s">
        <v>1598</v>
      </c>
      <c r="F36" t="s">
        <v>1599</v>
      </c>
      <c r="G36" t="s">
        <v>1619</v>
      </c>
      <c r="H36" t="s">
        <v>1620</v>
      </c>
      <c r="I36" s="20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1347</v>
      </c>
      <c r="C37" t="s">
        <v>24</v>
      </c>
      <c r="D37" t="s">
        <v>41</v>
      </c>
      <c r="E37" t="s">
        <v>965</v>
      </c>
      <c r="F37" t="s">
        <v>25</v>
      </c>
      <c r="G37" t="s">
        <v>29</v>
      </c>
      <c r="H37" t="s">
        <v>25</v>
      </c>
      <c r="I37" s="206">
        <f>SUMIF(주문_리스트!C:C,거래처!B37,주문_리스트!K:K)+SUMIF(주문_리스트!C:C,거래처!B37,주문_리스트!L:L)-6136000</f>
        <v>0</v>
      </c>
    </row>
    <row r="38" spans="1:10">
      <c r="A38">
        <v>37</v>
      </c>
      <c r="B38" t="s">
        <v>1049</v>
      </c>
      <c r="C38" t="s">
        <v>973</v>
      </c>
      <c r="D38" t="s">
        <v>41</v>
      </c>
      <c r="F38" t="s">
        <v>974</v>
      </c>
      <c r="G38" t="s">
        <v>36</v>
      </c>
      <c r="H38" t="s">
        <v>1610</v>
      </c>
      <c r="I38" s="20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1348</v>
      </c>
      <c r="C39" t="s">
        <v>1438</v>
      </c>
      <c r="F39" t="s">
        <v>1439</v>
      </c>
      <c r="G39" t="s">
        <v>970</v>
      </c>
      <c r="H39" t="s">
        <v>1440</v>
      </c>
      <c r="I39" s="20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1349</v>
      </c>
      <c r="C40" t="s">
        <v>1007</v>
      </c>
      <c r="F40" t="s">
        <v>1008</v>
      </c>
      <c r="I40" s="20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1350</v>
      </c>
      <c r="C41" t="s">
        <v>1061</v>
      </c>
      <c r="F41" t="s">
        <v>1062</v>
      </c>
      <c r="G41" t="s">
        <v>981</v>
      </c>
      <c r="I41" s="206">
        <f>SUMIF(주문_리스트!C:C,거래처!B41,주문_리스트!K:K)+SUMIF(주문_리스트!C:C,거래처!B41,주문_리스트!L:L)+1210000</f>
        <v>0</v>
      </c>
    </row>
    <row r="42" spans="1:10">
      <c r="A42">
        <v>41</v>
      </c>
      <c r="B42" t="s">
        <v>1024</v>
      </c>
      <c r="C42" t="s">
        <v>1025</v>
      </c>
      <c r="F42" t="s">
        <v>1026</v>
      </c>
      <c r="G42" t="s">
        <v>984</v>
      </c>
      <c r="I42" s="20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1352</v>
      </c>
      <c r="C43" t="s">
        <v>1409</v>
      </c>
      <c r="F43" t="s">
        <v>1410</v>
      </c>
      <c r="G43" t="s">
        <v>2455</v>
      </c>
      <c r="H43" t="s">
        <v>2456</v>
      </c>
      <c r="I43" s="20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1353</v>
      </c>
      <c r="C44" t="s">
        <v>2790</v>
      </c>
      <c r="F44" t="s">
        <v>2791</v>
      </c>
      <c r="G44" t="s">
        <v>970</v>
      </c>
      <c r="H44" t="s">
        <v>2792</v>
      </c>
      <c r="I44" s="20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1354</v>
      </c>
      <c r="C45" t="s">
        <v>1103</v>
      </c>
      <c r="F45" t="s">
        <v>1104</v>
      </c>
      <c r="G45" t="s">
        <v>981</v>
      </c>
      <c r="I45" s="20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1355</v>
      </c>
      <c r="C46" t="s">
        <v>2568</v>
      </c>
      <c r="F46" t="s">
        <v>2570</v>
      </c>
      <c r="G46" t="s">
        <v>1218</v>
      </c>
      <c r="H46" t="s">
        <v>2569</v>
      </c>
      <c r="I46" s="206">
        <f>SUMIF(주문_리스트!C:C,거래처!B46,주문_리스트!K:K)+SUMIF(주문_리스트!C:C,거래처!B46,주문_리스트!L:L)-200000</f>
        <v>0</v>
      </c>
    </row>
    <row r="47" spans="1:10">
      <c r="A47">
        <v>46</v>
      </c>
      <c r="B47" t="s">
        <v>1356</v>
      </c>
      <c r="C47" t="s">
        <v>1092</v>
      </c>
      <c r="F47" t="s">
        <v>1093</v>
      </c>
      <c r="G47" t="s">
        <v>981</v>
      </c>
      <c r="I47" s="20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1357</v>
      </c>
      <c r="C48" t="s">
        <v>975</v>
      </c>
      <c r="F48" t="s">
        <v>976</v>
      </c>
      <c r="G48" t="s">
        <v>977</v>
      </c>
      <c r="H48" t="s">
        <v>978</v>
      </c>
      <c r="I48" s="206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1358</v>
      </c>
      <c r="C49" t="s">
        <v>1266</v>
      </c>
      <c r="F49" t="s">
        <v>1267</v>
      </c>
      <c r="G49" t="s">
        <v>1268</v>
      </c>
      <c r="H49" t="s">
        <v>1269</v>
      </c>
      <c r="I49" s="206">
        <f>SUMIF(주문_리스트!C:C,거래처!B49,주문_리스트!K:K)+SUMIF(주문_리스트!C:C,거래처!B49,주문_리스트!L:L)-5199000</f>
        <v>9.999999962747097E-2</v>
      </c>
    </row>
    <row r="50" spans="1:9">
      <c r="A50">
        <v>49</v>
      </c>
      <c r="B50" t="s">
        <v>1313</v>
      </c>
      <c r="C50" t="s">
        <v>1314</v>
      </c>
      <c r="F50" t="s">
        <v>1315</v>
      </c>
      <c r="I50" s="206">
        <f>SUMIF(주문_리스트!C:C,거래처!B50,주문_리스트!K:K)+SUMIF(주문_리스트!C:C,거래처!B50,주문_리스트!L:L)-1500000</f>
        <v>0</v>
      </c>
    </row>
    <row r="51" spans="1:9">
      <c r="A51">
        <v>50</v>
      </c>
      <c r="B51" t="s">
        <v>1316</v>
      </c>
      <c r="C51" t="s">
        <v>1317</v>
      </c>
      <c r="F51" t="s">
        <v>1318</v>
      </c>
      <c r="G51" t="s">
        <v>970</v>
      </c>
      <c r="H51" t="s">
        <v>1949</v>
      </c>
      <c r="I51" s="206">
        <f>SUMIF(주문_리스트!C:C,거래처!B51,주문_리스트!K:K)+SUMIF(주문_리스트!C:C,거래처!B51,주문_리스트!L:L)-3500000</f>
        <v>0</v>
      </c>
    </row>
    <row r="52" spans="1:9">
      <c r="A52">
        <v>51</v>
      </c>
      <c r="B52" t="s">
        <v>1359</v>
      </c>
      <c r="C52" t="s">
        <v>1442</v>
      </c>
      <c r="F52" t="s">
        <v>1443</v>
      </c>
      <c r="G52" t="s">
        <v>970</v>
      </c>
      <c r="H52" t="s">
        <v>1444</v>
      </c>
      <c r="I52" s="206">
        <f>SUMIF(주문_리스트!C:C,거래처!B52,주문_리스트!K:K)+SUMIF(주문_리스트!C:C,거래처!B52,주문_리스트!L:L)-650000</f>
        <v>0</v>
      </c>
    </row>
    <row r="53" spans="1:9">
      <c r="A53">
        <v>52</v>
      </c>
      <c r="B53" t="s">
        <v>1360</v>
      </c>
      <c r="C53" t="s">
        <v>1050</v>
      </c>
      <c r="F53" t="s">
        <v>1051</v>
      </c>
      <c r="G53" t="s">
        <v>981</v>
      </c>
      <c r="I53" s="206">
        <f>SUMIF(주문_리스트!C:C,거래처!B53,주문_리스트!K:K)+SUMIF(주문_리스트!C:C,거래처!B53,주문_리스트!L:L)</f>
        <v>0</v>
      </c>
    </row>
    <row r="54" spans="1:9">
      <c r="A54">
        <v>53</v>
      </c>
      <c r="B54" t="s">
        <v>1184</v>
      </c>
      <c r="C54" t="s">
        <v>1865</v>
      </c>
      <c r="F54" t="s">
        <v>2771</v>
      </c>
      <c r="G54" t="s">
        <v>36</v>
      </c>
      <c r="H54" t="s">
        <v>2772</v>
      </c>
      <c r="I54" s="206">
        <f>SUMIF(주문_리스트!C:C,거래처!B54,주문_리스트!K:K)+SUMIF(주문_리스트!C:C,거래처!B54,주문_리스트!L:L)-4015000</f>
        <v>1200000</v>
      </c>
    </row>
    <row r="55" spans="1:9">
      <c r="A55">
        <v>54</v>
      </c>
      <c r="B55" t="s">
        <v>1112</v>
      </c>
      <c r="C55" t="s">
        <v>1113</v>
      </c>
      <c r="F55" t="s">
        <v>1114</v>
      </c>
      <c r="G55" t="s">
        <v>977</v>
      </c>
      <c r="I55" s="206">
        <f>SUMIF(주문_리스트!C:C,거래처!B55,주문_리스트!K:K)+SUMIF(주문_리스트!C:C,거래처!B55,주문_리스트!L:L)</f>
        <v>0</v>
      </c>
    </row>
    <row r="56" spans="1:9">
      <c r="A56">
        <v>55</v>
      </c>
      <c r="B56" t="s">
        <v>1361</v>
      </c>
      <c r="C56" t="s">
        <v>1047</v>
      </c>
      <c r="F56" t="s">
        <v>1048</v>
      </c>
      <c r="G56" t="s">
        <v>981</v>
      </c>
      <c r="I56" s="206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1362</v>
      </c>
      <c r="C57" t="s">
        <v>30</v>
      </c>
      <c r="F57" t="s">
        <v>31</v>
      </c>
      <c r="I57" s="206">
        <f>SUMIF(주문_리스트!C:C,거래처!B57,주문_리스트!K:K)+SUMIF(주문_리스트!C:C,거래처!B57,주문_리스트!L:L)+3478000</f>
        <v>2238000</v>
      </c>
    </row>
    <row r="58" spans="1:9">
      <c r="A58">
        <v>57</v>
      </c>
      <c r="B58" t="s">
        <v>1363</v>
      </c>
      <c r="C58" t="s">
        <v>1285</v>
      </c>
      <c r="F58" t="s">
        <v>1286</v>
      </c>
      <c r="G58" t="s">
        <v>970</v>
      </c>
      <c r="H58" t="s">
        <v>1287</v>
      </c>
      <c r="I58" s="206">
        <f>SUMIF(주문_리스트!C:C,거래처!B58,주문_리스트!K:K)+SUMIF(주문_리스트!C:C,거래처!B58,주문_리스트!L:L)-650000</f>
        <v>0</v>
      </c>
    </row>
    <row r="59" spans="1:9">
      <c r="A59">
        <v>58</v>
      </c>
      <c r="B59" t="s">
        <v>1364</v>
      </c>
      <c r="C59" t="s">
        <v>1017</v>
      </c>
      <c r="F59" t="s">
        <v>1018</v>
      </c>
      <c r="G59" t="s">
        <v>981</v>
      </c>
      <c r="I59" s="206">
        <f>SUMIF(주문_리스트!C:C,거래처!B59,주문_리스트!K:K)+SUMIF(주문_리스트!C:C,거래처!B59,주문_리스트!L:L)</f>
        <v>0</v>
      </c>
    </row>
    <row r="60" spans="1:9">
      <c r="A60">
        <v>59</v>
      </c>
      <c r="B60" t="s">
        <v>1009</v>
      </c>
      <c r="C60" t="s">
        <v>1010</v>
      </c>
      <c r="F60" t="s">
        <v>1011</v>
      </c>
      <c r="G60" t="s">
        <v>984</v>
      </c>
      <c r="I60" s="206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1365</v>
      </c>
      <c r="C61" t="s">
        <v>1057</v>
      </c>
      <c r="F61" t="s">
        <v>1673</v>
      </c>
      <c r="G61" t="s">
        <v>981</v>
      </c>
      <c r="I61" s="206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1366</v>
      </c>
      <c r="C62" t="s">
        <v>2743</v>
      </c>
      <c r="D62" t="s">
        <v>2744</v>
      </c>
      <c r="F62" t="s">
        <v>2745</v>
      </c>
      <c r="G62" t="s">
        <v>2746</v>
      </c>
      <c r="H62" t="s">
        <v>2747</v>
      </c>
      <c r="I62" s="206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1367</v>
      </c>
      <c r="C63" t="s">
        <v>1055</v>
      </c>
      <c r="F63" t="s">
        <v>1056</v>
      </c>
      <c r="G63" t="s">
        <v>981</v>
      </c>
      <c r="I63" s="206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1368</v>
      </c>
      <c r="C64" t="s">
        <v>1078</v>
      </c>
      <c r="F64" t="s">
        <v>1079</v>
      </c>
      <c r="G64" t="s">
        <v>981</v>
      </c>
      <c r="I64" s="206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1369</v>
      </c>
      <c r="C65" t="s">
        <v>2763</v>
      </c>
      <c r="F65" t="s">
        <v>2764</v>
      </c>
      <c r="G65" t="s">
        <v>2765</v>
      </c>
      <c r="H65" t="s">
        <v>2766</v>
      </c>
      <c r="I65" s="206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1225</v>
      </c>
      <c r="C66" t="s">
        <v>1226</v>
      </c>
      <c r="F66" t="s">
        <v>1227</v>
      </c>
      <c r="G66" t="s">
        <v>2133</v>
      </c>
      <c r="H66" t="s">
        <v>2134</v>
      </c>
      <c r="I66" s="206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1370</v>
      </c>
      <c r="C67" t="s">
        <v>1086</v>
      </c>
      <c r="F67" t="s">
        <v>1087</v>
      </c>
      <c r="G67" t="s">
        <v>981</v>
      </c>
      <c r="I67" s="206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1371</v>
      </c>
      <c r="C68" t="s">
        <v>1041</v>
      </c>
      <c r="F68" t="s">
        <v>1042</v>
      </c>
      <c r="G68" t="s">
        <v>981</v>
      </c>
      <c r="I68" s="206">
        <f>SUMIF(주문_리스트!C:C,거래처!B68,주문_리스트!K:K)+SUMIF(주문_리스트!C:C,거래처!B68,주문_리스트!L:L)-1000000</f>
        <v>0</v>
      </c>
    </row>
    <row r="69" spans="1:9">
      <c r="A69">
        <v>68</v>
      </c>
      <c r="B69" t="s">
        <v>1372</v>
      </c>
      <c r="C69" t="s">
        <v>1090</v>
      </c>
      <c r="F69" t="s">
        <v>1091</v>
      </c>
      <c r="I69" s="206">
        <f>SUMIF(주문_리스트!C:C,거래처!B69,주문_리스트!K:K)+SUMIF(주문_리스트!C:C,거래처!B69,주문_리스트!L:L)</f>
        <v>0</v>
      </c>
    </row>
    <row r="70" spans="1:9">
      <c r="A70">
        <v>69</v>
      </c>
      <c r="B70" t="s">
        <v>1373</v>
      </c>
      <c r="C70" t="s">
        <v>2196</v>
      </c>
      <c r="F70" t="s">
        <v>2197</v>
      </c>
      <c r="G70" t="s">
        <v>36</v>
      </c>
      <c r="H70" t="s">
        <v>2571</v>
      </c>
      <c r="I70" s="206">
        <f>SUMIF(주문_리스트!C:C,거래처!B70,주문_리스트!K:K)+SUMIF(주문_리스트!C:C,거래처!B70,주문_리스트!L:L)</f>
        <v>1320000</v>
      </c>
    </row>
    <row r="71" spans="1:9">
      <c r="A71">
        <v>70</v>
      </c>
      <c r="B71" t="s">
        <v>1374</v>
      </c>
      <c r="C71" t="s">
        <v>2637</v>
      </c>
      <c r="F71" t="s">
        <v>2638</v>
      </c>
      <c r="G71" t="s">
        <v>1218</v>
      </c>
      <c r="H71" t="s">
        <v>625</v>
      </c>
      <c r="I71" s="206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1375</v>
      </c>
      <c r="C72" t="s">
        <v>1053</v>
      </c>
      <c r="F72" t="s">
        <v>1054</v>
      </c>
      <c r="G72" t="s">
        <v>981</v>
      </c>
      <c r="I72" s="206">
        <f>SUMIF(주문_리스트!C:C,거래처!B72,주문_리스트!K:K)+SUMIF(주문_리스트!C:C,거래처!B72,주문_리스트!L:L)-1890000</f>
        <v>0</v>
      </c>
    </row>
    <row r="73" spans="1:9">
      <c r="A73">
        <v>72</v>
      </c>
      <c r="B73" t="s">
        <v>1534</v>
      </c>
      <c r="C73" t="s">
        <v>1535</v>
      </c>
      <c r="F73" t="s">
        <v>2060</v>
      </c>
      <c r="G73" t="s">
        <v>970</v>
      </c>
      <c r="H73" t="s">
        <v>1233</v>
      </c>
      <c r="I73" s="206">
        <f>SUMIF(주문_리스트!C:C,거래처!B73,주문_리스트!K:K)+SUMIF(주문_리스트!C:C,거래처!B73,주문_리스트!L:L)-3100000+1500000</f>
        <v>1550000</v>
      </c>
    </row>
    <row r="74" spans="1:9">
      <c r="A74">
        <v>73</v>
      </c>
      <c r="B74" t="s">
        <v>1419</v>
      </c>
      <c r="C74" t="s">
        <v>1420</v>
      </c>
      <c r="F74" t="s">
        <v>1421</v>
      </c>
      <c r="G74" t="s">
        <v>1422</v>
      </c>
      <c r="I74" s="206">
        <f>SUMIF(주문_리스트!C:C,거래처!B74,주문_리스트!K:K)+SUMIF(주문_리스트!C:C,거래처!B74,주문_리스트!L:L)-1500000</f>
        <v>0</v>
      </c>
    </row>
    <row r="75" spans="1:9">
      <c r="A75">
        <v>74</v>
      </c>
      <c r="B75" t="s">
        <v>1376</v>
      </c>
      <c r="C75" t="s">
        <v>1004</v>
      </c>
      <c r="F75" t="s">
        <v>1377</v>
      </c>
      <c r="I75" s="206">
        <f>SUMIF(주문_리스트!C:C,거래처!B75,주문_리스트!K:K)+SUMIF(주문_리스트!C:C,거래처!B75,주문_리스트!L:L)</f>
        <v>0</v>
      </c>
    </row>
    <row r="76" spans="1:9">
      <c r="A76">
        <v>75</v>
      </c>
      <c r="B76" t="s">
        <v>1378</v>
      </c>
      <c r="C76" t="s">
        <v>1115</v>
      </c>
      <c r="F76" t="s">
        <v>1116</v>
      </c>
      <c r="G76" t="s">
        <v>981</v>
      </c>
      <c r="I76" s="206">
        <f>SUMIF(주문_리스트!C:C,거래처!B76,주문_리스트!K:K)+SUMIF(주문_리스트!C:C,거래처!B76,주문_리스트!L:L)-8677000</f>
        <v>1200000</v>
      </c>
    </row>
    <row r="77" spans="1:9">
      <c r="A77">
        <v>76</v>
      </c>
      <c r="B77" t="s">
        <v>1379</v>
      </c>
      <c r="C77" t="s">
        <v>1022</v>
      </c>
      <c r="F77" t="s">
        <v>1023</v>
      </c>
      <c r="G77" t="s">
        <v>981</v>
      </c>
      <c r="I77" s="206">
        <f>SUMIF(주문_리스트!C:C,거래처!B77,주문_리스트!K:K)+SUMIF(주문_리스트!C:C,거래처!B77,주문_리스트!L:L)-5800000</f>
        <v>0</v>
      </c>
    </row>
    <row r="78" spans="1:9">
      <c r="A78">
        <v>77</v>
      </c>
      <c r="B78" t="s">
        <v>1380</v>
      </c>
      <c r="C78" t="s">
        <v>1067</v>
      </c>
      <c r="F78" t="s">
        <v>1068</v>
      </c>
      <c r="I78" s="206">
        <f>SUMIF(주문_리스트!C:C,거래처!B78,주문_리스트!K:K)+SUMIF(주문_리스트!C:C,거래처!B78,주문_리스트!L:L)</f>
        <v>0</v>
      </c>
    </row>
    <row r="79" spans="1:9">
      <c r="A79">
        <v>78</v>
      </c>
      <c r="B79" t="s">
        <v>1381</v>
      </c>
      <c r="C79" t="s">
        <v>61</v>
      </c>
      <c r="D79" t="s">
        <v>994</v>
      </c>
      <c r="F79" t="s">
        <v>62</v>
      </c>
      <c r="G79" t="s">
        <v>981</v>
      </c>
      <c r="I79" s="206">
        <f>SUMIF(주문_리스트!C:C,거래처!B79,주문_리스트!K:K)+SUMIF(주문_리스트!C:C,거래처!B79,주문_리스트!L:L)+84700</f>
        <v>1870000</v>
      </c>
    </row>
    <row r="80" spans="1:9">
      <c r="A80">
        <v>79</v>
      </c>
      <c r="B80" t="s">
        <v>1382</v>
      </c>
      <c r="C80" t="s">
        <v>1120</v>
      </c>
      <c r="F80" t="s">
        <v>1121</v>
      </c>
      <c r="I80" s="20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1383</v>
      </c>
      <c r="C81" t="s">
        <v>1088</v>
      </c>
      <c r="F81" t="s">
        <v>1089</v>
      </c>
      <c r="I81" s="20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1384</v>
      </c>
      <c r="C82" t="s">
        <v>1005</v>
      </c>
      <c r="F82" t="s">
        <v>1006</v>
      </c>
      <c r="I82" s="20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1385</v>
      </c>
      <c r="C83" t="s">
        <v>1045</v>
      </c>
      <c r="F83" t="s">
        <v>1046</v>
      </c>
      <c r="G83" t="s">
        <v>970</v>
      </c>
      <c r="I83" s="20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1386</v>
      </c>
      <c r="C84" t="s">
        <v>1208</v>
      </c>
      <c r="F84" t="s">
        <v>1209</v>
      </c>
      <c r="G84" t="s">
        <v>970</v>
      </c>
      <c r="H84" t="s">
        <v>358</v>
      </c>
      <c r="I84" s="206">
        <f>SUMIF(주문_리스트!C:C,거래처!B84,주문_리스트!K:K)+SUMIF(주문_리스트!C:C,거래처!B84,주문_리스트!L:L)-1100000</f>
        <v>0</v>
      </c>
      <c r="J84" s="52" t="s">
        <v>2945</v>
      </c>
    </row>
    <row r="85" spans="1:10">
      <c r="A85">
        <v>84</v>
      </c>
      <c r="B85" t="s">
        <v>1387</v>
      </c>
      <c r="C85" t="s">
        <v>1043</v>
      </c>
      <c r="F85" t="s">
        <v>1044</v>
      </c>
      <c r="G85" t="s">
        <v>981</v>
      </c>
      <c r="I85" s="20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1388</v>
      </c>
      <c r="C86" t="s">
        <v>1000</v>
      </c>
      <c r="F86" t="s">
        <v>1001</v>
      </c>
      <c r="I86" s="20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1389</v>
      </c>
      <c r="C87" t="s">
        <v>1063</v>
      </c>
      <c r="F87" t="s">
        <v>1064</v>
      </c>
      <c r="G87" t="s">
        <v>984</v>
      </c>
      <c r="I87" s="20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1390</v>
      </c>
      <c r="C88" t="s">
        <v>2048</v>
      </c>
      <c r="F88" t="s">
        <v>2047</v>
      </c>
      <c r="G88" t="s">
        <v>970</v>
      </c>
      <c r="H88" t="s">
        <v>2053</v>
      </c>
      <c r="I88" s="20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1391</v>
      </c>
      <c r="C89" t="s">
        <v>1993</v>
      </c>
      <c r="F89" t="s">
        <v>1994</v>
      </c>
      <c r="G89" t="s">
        <v>970</v>
      </c>
      <c r="H89" t="s">
        <v>1995</v>
      </c>
      <c r="I89" s="20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1392</v>
      </c>
      <c r="C90" t="s">
        <v>1122</v>
      </c>
      <c r="F90" t="s">
        <v>1123</v>
      </c>
      <c r="I90" s="20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1393</v>
      </c>
      <c r="C91" t="s">
        <v>2507</v>
      </c>
      <c r="F91" t="s">
        <v>2508</v>
      </c>
      <c r="G91" t="s">
        <v>2509</v>
      </c>
      <c r="I91" s="206">
        <f>SUMIF(주문_리스트!C:C,거래처!B91,주문_리스트!K:K)+SUMIF(주문_리스트!C:C,거래처!B91,주문_리스트!L:L)-700000</f>
        <v>0</v>
      </c>
    </row>
    <row r="92" spans="1:10">
      <c r="A92">
        <v>91</v>
      </c>
      <c r="B92" t="s">
        <v>1394</v>
      </c>
      <c r="C92" t="s">
        <v>1914</v>
      </c>
      <c r="D92" t="s">
        <v>1915</v>
      </c>
      <c r="F92" t="s">
        <v>1916</v>
      </c>
      <c r="G92" t="s">
        <v>1917</v>
      </c>
      <c r="H92" t="s">
        <v>1918</v>
      </c>
      <c r="I92" s="20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1395</v>
      </c>
      <c r="C93" t="s">
        <v>1065</v>
      </c>
      <c r="F93" t="s">
        <v>1066</v>
      </c>
      <c r="I93" s="20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2318</v>
      </c>
      <c r="C94" t="s">
        <v>2319</v>
      </c>
      <c r="F94" t="s">
        <v>2320</v>
      </c>
      <c r="G94" t="s">
        <v>2321</v>
      </c>
      <c r="I94" s="206">
        <f>SUMIF(주문_리스트!C:C,거래처!B94,주문_리스트!K:K)+SUMIF(주문_리스트!C:C,거래처!B94,주문_리스트!L:L)-1320000</f>
        <v>0</v>
      </c>
    </row>
    <row r="95" spans="1:10">
      <c r="A95">
        <v>94</v>
      </c>
      <c r="B95" t="s">
        <v>1396</v>
      </c>
      <c r="C95" t="s">
        <v>1889</v>
      </c>
      <c r="F95" t="s">
        <v>1890</v>
      </c>
      <c r="G95" t="s">
        <v>970</v>
      </c>
      <c r="H95" t="s">
        <v>1891</v>
      </c>
      <c r="I95" s="20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1397</v>
      </c>
      <c r="C96" t="s">
        <v>1082</v>
      </c>
      <c r="F96" t="s">
        <v>1083</v>
      </c>
      <c r="I96" s="206">
        <f>SUMIF(주문_리스트!C:C,거래처!B96,주문_리스트!K:K)+SUMIF(주문_리스트!C:C,거래처!B96,주문_리스트!L:L)</f>
        <v>0</v>
      </c>
    </row>
    <row r="97" spans="1:15">
      <c r="A97">
        <v>96</v>
      </c>
      <c r="B97" t="s">
        <v>1398</v>
      </c>
      <c r="C97" t="s">
        <v>27</v>
      </c>
      <c r="D97" t="s">
        <v>41</v>
      </c>
      <c r="E97" t="s">
        <v>78</v>
      </c>
      <c r="F97" t="s">
        <v>28</v>
      </c>
      <c r="G97" t="s">
        <v>42</v>
      </c>
      <c r="H97" t="s">
        <v>28</v>
      </c>
      <c r="I97" s="206">
        <f>SUMIF(주문_리스트!C:C,거래처!B97,주문_리스트!K:K)+SUMIF(주문_리스트!C:C,거래처!B97,주문_리스트!L:L)-650000</f>
        <v>0</v>
      </c>
    </row>
    <row r="98" spans="1:15">
      <c r="A98">
        <v>97</v>
      </c>
      <c r="B98" t="s">
        <v>1399</v>
      </c>
      <c r="C98" t="s">
        <v>1968</v>
      </c>
      <c r="F98" t="s">
        <v>1969</v>
      </c>
      <c r="G98" t="s">
        <v>970</v>
      </c>
      <c r="H98" t="s">
        <v>1970</v>
      </c>
      <c r="I98" s="206">
        <f>SUMIF(주문_리스트!C:C,거래처!B98,주문_리스트!K:K)+SUMIF(주문_리스트!C:C,거래처!B98,주문_리스트!L:L)-650000</f>
        <v>0</v>
      </c>
    </row>
    <row r="99" spans="1:15">
      <c r="A99">
        <v>98</v>
      </c>
      <c r="B99" t="s">
        <v>1075</v>
      </c>
      <c r="C99" t="s">
        <v>1076</v>
      </c>
      <c r="D99" t="s">
        <v>41</v>
      </c>
      <c r="F99" t="s">
        <v>1077</v>
      </c>
      <c r="G99" t="s">
        <v>37</v>
      </c>
      <c r="H99" t="s">
        <v>2567</v>
      </c>
      <c r="I99" s="206">
        <f>SUMIF(주문_리스트!C:C,거래처!B99,주문_리스트!K:K)+SUMIF(주문_리스트!C:C,거래처!B99,주문_리스트!L:L)</f>
        <v>0</v>
      </c>
    </row>
    <row r="100" spans="1:15">
      <c r="A100">
        <v>99</v>
      </c>
      <c r="B100" t="s">
        <v>2563</v>
      </c>
      <c r="C100" t="s">
        <v>2564</v>
      </c>
      <c r="F100" t="s">
        <v>2565</v>
      </c>
      <c r="G100" t="s">
        <v>2566</v>
      </c>
      <c r="H100" t="s">
        <v>222</v>
      </c>
      <c r="I100" s="206">
        <f>SUMIF(주문_리스트!C:C,거래처!B100,주문_리스트!K:K)+SUMIF(주문_리스트!C:C,거래처!B100,주문_리스트!L:L)-2286900</f>
        <v>0</v>
      </c>
    </row>
    <row r="101" spans="1:15">
      <c r="A101">
        <v>100</v>
      </c>
      <c r="B101" t="s">
        <v>988</v>
      </c>
      <c r="C101" t="s">
        <v>989</v>
      </c>
      <c r="D101" t="s">
        <v>990</v>
      </c>
      <c r="F101" t="s">
        <v>991</v>
      </c>
      <c r="G101" t="s">
        <v>977</v>
      </c>
      <c r="H101" t="s">
        <v>140</v>
      </c>
      <c r="I101" s="206">
        <f>SUMIF(주문_리스트!C:C,거래처!B101,주문_리스트!K:K)+SUMIF(주문_리스트!C:C,거래처!B101,주문_리스트!L:L)-2824500</f>
        <v>-0.29999999981373549</v>
      </c>
    </row>
    <row r="102" spans="1:15">
      <c r="A102">
        <v>101</v>
      </c>
      <c r="B102" t="s">
        <v>1400</v>
      </c>
      <c r="C102" t="s">
        <v>982</v>
      </c>
      <c r="F102" t="s">
        <v>983</v>
      </c>
      <c r="G102" t="s">
        <v>970</v>
      </c>
      <c r="I102" s="206">
        <f>SUMIF(주문_리스트!C:C,거래처!B102,주문_리스트!K:K)+SUMIF(주문_리스트!C:C,거래처!B102,주문_리스트!L:L)</f>
        <v>0</v>
      </c>
    </row>
    <row r="103" spans="1:15">
      <c r="A103">
        <v>102</v>
      </c>
      <c r="B103" t="s">
        <v>1070</v>
      </c>
      <c r="C103" t="s">
        <v>1071</v>
      </c>
      <c r="F103" t="s">
        <v>1072</v>
      </c>
      <c r="G103" t="s">
        <v>981</v>
      </c>
      <c r="I103" s="206">
        <f>SUMIF(주문_리스트!C:C,거래처!B103,주문_리스트!K:K)+SUMIF(주문_리스트!C:C,거래처!B103,주문_리스트!L:L)</f>
        <v>0</v>
      </c>
    </row>
    <row r="104" spans="1:15">
      <c r="A104">
        <v>103</v>
      </c>
      <c r="B104" t="s">
        <v>1401</v>
      </c>
      <c r="C104" t="s">
        <v>1015</v>
      </c>
      <c r="F104" t="s">
        <v>1016</v>
      </c>
      <c r="G104" t="s">
        <v>981</v>
      </c>
      <c r="I104" s="206">
        <f>SUMIF(주문_리스트!C:C,거래처!B104,주문_리스트!K:K)+SUMIF(주문_리스트!C:C,거래처!B104,주문_리스트!L:L)-3050000</f>
        <v>0</v>
      </c>
    </row>
    <row r="105" spans="1:15">
      <c r="A105">
        <v>104</v>
      </c>
      <c r="B105" t="s">
        <v>1402</v>
      </c>
      <c r="C105" t="s">
        <v>2394</v>
      </c>
      <c r="D105" t="s">
        <v>2395</v>
      </c>
      <c r="F105" t="s">
        <v>2396</v>
      </c>
      <c r="G105" t="s">
        <v>2397</v>
      </c>
      <c r="I105" s="206">
        <f>SUMIF(주문_리스트!C:C,거래처!B105,주문_리스트!K:K)+SUMIF(주문_리스트!C:C,거래처!B105,주문_리스트!L:L)</f>
        <v>0</v>
      </c>
    </row>
    <row r="106" spans="1:15">
      <c r="A106">
        <v>105</v>
      </c>
      <c r="B106" t="s">
        <v>1117</v>
      </c>
      <c r="C106" t="s">
        <v>1118</v>
      </c>
      <c r="F106" t="s">
        <v>1119</v>
      </c>
      <c r="I106" s="206">
        <f>SUMIF(주문_리스트!C:C,거래처!B106,주문_리스트!K:K)+SUMIF(주문_리스트!C:C,거래처!B106,주문_리스트!L:L)</f>
        <v>0</v>
      </c>
    </row>
    <row r="107" spans="1:15">
      <c r="A107">
        <v>106</v>
      </c>
      <c r="B107" t="s">
        <v>1038</v>
      </c>
      <c r="C107" t="s">
        <v>1039</v>
      </c>
      <c r="F107" t="s">
        <v>1040</v>
      </c>
      <c r="I107" s="206">
        <f>SUMIF(주문_리스트!C:C,거래처!B107,주문_리스트!K:K)+SUMIF(주문_리스트!C:C,거래처!B107,주문_리스트!L:L)-450000</f>
        <v>0</v>
      </c>
    </row>
    <row r="108" spans="1:15">
      <c r="A108">
        <v>107</v>
      </c>
      <c r="B108" t="s">
        <v>1035</v>
      </c>
      <c r="C108" t="s">
        <v>1036</v>
      </c>
      <c r="F108" t="s">
        <v>1037</v>
      </c>
      <c r="I108" s="206">
        <f>SUMIF(주문_리스트!C:C,거래처!B108,주문_리스트!K:K)+SUMIF(주문_리스트!C:C,거래처!B108,주문_리스트!L:L)</f>
        <v>0</v>
      </c>
    </row>
    <row r="109" spans="1:15">
      <c r="A109">
        <v>108</v>
      </c>
      <c r="B109" t="s">
        <v>1030</v>
      </c>
      <c r="C109" t="s">
        <v>1031</v>
      </c>
      <c r="F109" t="s">
        <v>1032</v>
      </c>
      <c r="G109" t="s">
        <v>981</v>
      </c>
      <c r="I109" s="206">
        <f>SUMIF(주문_리스트!C:C,거래처!B109,주문_리스트!K:K)+SUMIF(주문_리스트!C:C,거래처!B109,주문_리스트!L:L)-3550000</f>
        <v>5582500</v>
      </c>
    </row>
    <row r="110" spans="1:15">
      <c r="A110">
        <v>109</v>
      </c>
      <c r="B110" t="s">
        <v>1019</v>
      </c>
      <c r="C110" t="s">
        <v>1020</v>
      </c>
      <c r="F110" t="s">
        <v>1021</v>
      </c>
      <c r="G110" t="s">
        <v>981</v>
      </c>
      <c r="I110" s="206">
        <f>SUMIF(주문_리스트!C:C,거래처!B110,주문_리스트!K:K)+SUMIF(주문_리스트!C:C,거래처!B110,주문_리스트!L:L)-1200000</f>
        <v>0</v>
      </c>
      <c r="O110" t="s">
        <v>2201</v>
      </c>
    </row>
    <row r="111" spans="1:15">
      <c r="A111">
        <v>110</v>
      </c>
      <c r="B111" t="s">
        <v>1403</v>
      </c>
      <c r="C111" t="s">
        <v>1108</v>
      </c>
      <c r="F111" t="s">
        <v>1109</v>
      </c>
      <c r="G111" t="s">
        <v>981</v>
      </c>
      <c r="I111" s="206">
        <f>SUMIF(주문_리스트!C:C,거래처!B111,주문_리스트!K:K)+SUMIF(주문_리스트!C:C,거래처!B111,주문_리스트!L:L)</f>
        <v>0</v>
      </c>
    </row>
    <row r="112" spans="1:15">
      <c r="A112">
        <v>111</v>
      </c>
      <c r="B112" t="s">
        <v>1668</v>
      </c>
      <c r="C112" t="s">
        <v>1669</v>
      </c>
      <c r="F112" t="s">
        <v>1670</v>
      </c>
      <c r="G112" t="s">
        <v>1664</v>
      </c>
      <c r="H112" t="s">
        <v>1671</v>
      </c>
      <c r="I112" s="206">
        <f>SUMIF(주문_리스트!C:C,거래처!B112,주문_리스트!K:K)+SUMIF(주문_리스트!C:C,거래처!B112,주문_리스트!L:L)</f>
        <v>0</v>
      </c>
      <c r="J112" s="52" t="s">
        <v>2945</v>
      </c>
    </row>
    <row r="113" spans="1:9">
      <c r="A113">
        <v>112</v>
      </c>
      <c r="B113" t="s">
        <v>1860</v>
      </c>
      <c r="C113" t="s">
        <v>1861</v>
      </c>
      <c r="F113" t="s">
        <v>1862</v>
      </c>
      <c r="G113" t="s">
        <v>36</v>
      </c>
      <c r="H113" t="s">
        <v>1864</v>
      </c>
      <c r="I113" s="206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1404</v>
      </c>
      <c r="C114" t="s">
        <v>1188</v>
      </c>
      <c r="F114" t="s">
        <v>1189</v>
      </c>
      <c r="I114" s="206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1192</v>
      </c>
      <c r="C115" t="s">
        <v>1193</v>
      </c>
      <c r="F115" t="s">
        <v>1194</v>
      </c>
      <c r="G115" t="s">
        <v>970</v>
      </c>
      <c r="I115" s="206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1210</v>
      </c>
      <c r="C116" t="s">
        <v>1211</v>
      </c>
      <c r="F116" t="s">
        <v>1212</v>
      </c>
      <c r="G116" t="s">
        <v>970</v>
      </c>
      <c r="H116" t="s">
        <v>1213</v>
      </c>
      <c r="I116" s="206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1405</v>
      </c>
      <c r="C117" t="s">
        <v>1124</v>
      </c>
      <c r="F117" t="s">
        <v>1125</v>
      </c>
      <c r="G117" t="s">
        <v>1218</v>
      </c>
      <c r="H117" t="s">
        <v>1125</v>
      </c>
      <c r="I117" s="206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1228</v>
      </c>
      <c r="C118" t="s">
        <v>1229</v>
      </c>
      <c r="F118" t="s">
        <v>1230</v>
      </c>
      <c r="G118" t="s">
        <v>1231</v>
      </c>
      <c r="H118" t="s">
        <v>1232</v>
      </c>
      <c r="I118" s="206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1270</v>
      </c>
      <c r="C119" t="s">
        <v>1271</v>
      </c>
      <c r="F119" t="s">
        <v>1272</v>
      </c>
      <c r="G119" t="s">
        <v>970</v>
      </c>
      <c r="H119" t="s">
        <v>1273</v>
      </c>
      <c r="I119" s="206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1281</v>
      </c>
      <c r="C120" t="s">
        <v>1282</v>
      </c>
      <c r="F120" t="s">
        <v>1283</v>
      </c>
      <c r="G120" t="s">
        <v>981</v>
      </c>
      <c r="I120" s="206">
        <f>SUMIF(주문_리스트!C:C,거래처!B120,주문_리스트!K:K)+SUMIF(주문_리스트!C:C,거래처!B120,주문_리스트!L:L)-1600000</f>
        <v>0</v>
      </c>
    </row>
    <row r="121" spans="1:9">
      <c r="A121">
        <v>120</v>
      </c>
      <c r="B121" t="s">
        <v>2622</v>
      </c>
      <c r="C121" t="s">
        <v>1568</v>
      </c>
      <c r="F121" t="s">
        <v>1569</v>
      </c>
      <c r="I121" s="206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2384</v>
      </c>
      <c r="C122" t="s">
        <v>2385</v>
      </c>
      <c r="F122" t="s">
        <v>2386</v>
      </c>
      <c r="G122" t="s">
        <v>2387</v>
      </c>
      <c r="H122" t="s">
        <v>2388</v>
      </c>
      <c r="I122" s="206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1611</v>
      </c>
      <c r="C123" t="s">
        <v>1612</v>
      </c>
      <c r="F123" t="s">
        <v>1613</v>
      </c>
      <c r="G123" t="s">
        <v>970</v>
      </c>
      <c r="H123" t="s">
        <v>1269</v>
      </c>
      <c r="I123" s="206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1719</v>
      </c>
      <c r="C124" t="s">
        <v>1720</v>
      </c>
      <c r="F124" t="s">
        <v>1721</v>
      </c>
      <c r="G124" t="s">
        <v>1218</v>
      </c>
      <c r="H124" t="s">
        <v>1721</v>
      </c>
      <c r="I124" s="206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1734</v>
      </c>
      <c r="C125" t="s">
        <v>1735</v>
      </c>
      <c r="F125" t="s">
        <v>1736</v>
      </c>
      <c r="I125" s="206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1920</v>
      </c>
      <c r="C126" t="s">
        <v>1921</v>
      </c>
      <c r="F126" t="s">
        <v>1922</v>
      </c>
      <c r="G126" t="s">
        <v>970</v>
      </c>
      <c r="H126" t="s">
        <v>1923</v>
      </c>
      <c r="I126" s="206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1975</v>
      </c>
      <c r="C127" t="s">
        <v>1976</v>
      </c>
      <c r="F127" t="s">
        <v>1977</v>
      </c>
      <c r="G127" t="s">
        <v>981</v>
      </c>
      <c r="I127" s="206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2103</v>
      </c>
      <c r="C128" t="s">
        <v>2104</v>
      </c>
      <c r="F128" t="s">
        <v>2105</v>
      </c>
      <c r="G128" t="s">
        <v>970</v>
      </c>
      <c r="H128" t="s">
        <v>2106</v>
      </c>
      <c r="I128" s="20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2158</v>
      </c>
      <c r="C129" t="s">
        <v>2159</v>
      </c>
      <c r="F129" t="s">
        <v>2160</v>
      </c>
      <c r="G129" t="s">
        <v>970</v>
      </c>
      <c r="H129" t="s">
        <v>1995</v>
      </c>
      <c r="I129" s="20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2120</v>
      </c>
      <c r="C130" t="s">
        <v>2121</v>
      </c>
      <c r="F130" t="s">
        <v>2122</v>
      </c>
      <c r="I130" s="20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2125</v>
      </c>
      <c r="C131" t="s">
        <v>2126</v>
      </c>
      <c r="F131" t="s">
        <v>2127</v>
      </c>
      <c r="I131" s="20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2180</v>
      </c>
      <c r="C132" t="s">
        <v>2181</v>
      </c>
      <c r="F132" t="s">
        <v>2182</v>
      </c>
      <c r="G132" t="s">
        <v>1218</v>
      </c>
      <c r="H132" t="s">
        <v>2183</v>
      </c>
      <c r="I132" s="20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2189</v>
      </c>
      <c r="C133" t="s">
        <v>2190</v>
      </c>
      <c r="F133" t="s">
        <v>2191</v>
      </c>
      <c r="G133" t="s">
        <v>984</v>
      </c>
      <c r="H133" t="s">
        <v>2192</v>
      </c>
      <c r="I133" s="20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2409</v>
      </c>
      <c r="C134" t="s">
        <v>2215</v>
      </c>
      <c r="F134" t="s">
        <v>2216</v>
      </c>
      <c r="G134" t="s">
        <v>981</v>
      </c>
      <c r="I134" s="20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2228</v>
      </c>
      <c r="C135" t="s">
        <v>2229</v>
      </c>
      <c r="F135" t="s">
        <v>2230</v>
      </c>
      <c r="I135" s="20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2244</v>
      </c>
      <c r="C136" t="s">
        <v>2246</v>
      </c>
      <c r="F136" t="s">
        <v>2247</v>
      </c>
      <c r="I136" s="206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2378</v>
      </c>
      <c r="C137" t="s">
        <v>2379</v>
      </c>
      <c r="F137" t="s">
        <v>2380</v>
      </c>
      <c r="G137" t="s">
        <v>29</v>
      </c>
      <c r="I137" s="20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2930</v>
      </c>
      <c r="C138" t="s">
        <v>2931</v>
      </c>
      <c r="F138" t="s">
        <v>2932</v>
      </c>
      <c r="G138" t="s">
        <v>2933</v>
      </c>
      <c r="H138" t="s">
        <v>2934</v>
      </c>
      <c r="I138" s="20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2488</v>
      </c>
      <c r="C139" t="s">
        <v>2489</v>
      </c>
      <c r="F139" t="s">
        <v>2490</v>
      </c>
      <c r="I139" s="20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2359</v>
      </c>
      <c r="C140" t="s">
        <v>2467</v>
      </c>
      <c r="F140" t="s">
        <v>2468</v>
      </c>
      <c r="G140" t="s">
        <v>970</v>
      </c>
      <c r="I140" s="20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2478</v>
      </c>
      <c r="C141" t="s">
        <v>2479</v>
      </c>
      <c r="F141" t="s">
        <v>2480</v>
      </c>
      <c r="I141" s="20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2484</v>
      </c>
      <c r="C142" t="s">
        <v>2485</v>
      </c>
      <c r="F142" t="s">
        <v>2486</v>
      </c>
      <c r="I142" s="20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2495</v>
      </c>
      <c r="C143" t="s">
        <v>2496</v>
      </c>
      <c r="F143" t="s">
        <v>2497</v>
      </c>
      <c r="I143" s="206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2598</v>
      </c>
      <c r="C144" t="s">
        <v>2599</v>
      </c>
      <c r="F144" t="s">
        <v>2601</v>
      </c>
      <c r="G144" t="s">
        <v>2600</v>
      </c>
      <c r="I144" s="206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2602</v>
      </c>
      <c r="C145" t="s">
        <v>2586</v>
      </c>
      <c r="F145" t="s">
        <v>2587</v>
      </c>
      <c r="I145" s="206">
        <f>SUMIF(주문_리스트!C:C,거래처!B145,주문_리스트!K:K)+SUMIF(주문_리스트!C:C,거래처!B145,주문_리스트!L:L)</f>
        <v>0</v>
      </c>
    </row>
    <row r="146" spans="1:9">
      <c r="A146">
        <v>145</v>
      </c>
      <c r="B146" t="s">
        <v>2618</v>
      </c>
      <c r="C146" t="s">
        <v>2619</v>
      </c>
      <c r="F146" t="s">
        <v>2620</v>
      </c>
      <c r="G146" t="s">
        <v>970</v>
      </c>
      <c r="H146" t="s">
        <v>2621</v>
      </c>
      <c r="I146" s="206">
        <f>SUMIF(주문_리스트!C:C,거래처!B146,주문_리스트!K:K)+SUMIF(주문_리스트!C:C,거래처!B146,주문_리스트!L:L)</f>
        <v>0</v>
      </c>
    </row>
    <row r="147" spans="1:9">
      <c r="A147">
        <v>146</v>
      </c>
      <c r="B147" t="s">
        <v>2836</v>
      </c>
      <c r="C147" t="s">
        <v>2834</v>
      </c>
      <c r="D147" t="s">
        <v>2837</v>
      </c>
      <c r="F147" t="s">
        <v>2835</v>
      </c>
      <c r="I147" s="206">
        <f>SUMIF(주문_리스트!C:C,거래처!B147,주문_리스트!K:K)+SUMIF(주문_리스트!C:C,거래처!B147,주문_리스트!L:L)</f>
        <v>0</v>
      </c>
    </row>
    <row r="148" spans="1:9">
      <c r="A148">
        <v>147</v>
      </c>
      <c r="B148" t="s">
        <v>2695</v>
      </c>
      <c r="C148" t="s">
        <v>2696</v>
      </c>
      <c r="F148" t="s">
        <v>2697</v>
      </c>
      <c r="G148" t="s">
        <v>984</v>
      </c>
      <c r="H148" t="s">
        <v>2698</v>
      </c>
      <c r="I148" s="206">
        <f>SUMIF(주문_리스트!C:C,거래처!B148,주문_리스트!K:K)+SUMIF(주문_리스트!C:C,거래처!B148,주문_리스트!L:L)</f>
        <v>0</v>
      </c>
    </row>
    <row r="149" spans="1:9">
      <c r="A149">
        <v>148</v>
      </c>
      <c r="B149" t="s">
        <v>2778</v>
      </c>
      <c r="C149" t="s">
        <v>2779</v>
      </c>
      <c r="E149" t="s">
        <v>2780</v>
      </c>
      <c r="F149" t="s">
        <v>2781</v>
      </c>
      <c r="G149" t="s">
        <v>2782</v>
      </c>
      <c r="H149" t="s">
        <v>2783</v>
      </c>
      <c r="I149" s="206">
        <f>SUMIF(주문_리스트!C:C,거래처!B149,주문_리스트!K:K)+SUMIF(주문_리스트!C:C,거래처!B149,주문_리스트!L:L)</f>
        <v>0</v>
      </c>
    </row>
    <row r="150" spans="1:9">
      <c r="A150">
        <v>149</v>
      </c>
      <c r="B150" t="s">
        <v>2865</v>
      </c>
      <c r="C150" t="s">
        <v>2866</v>
      </c>
      <c r="F150" t="s">
        <v>2867</v>
      </c>
      <c r="G150" t="s">
        <v>970</v>
      </c>
      <c r="H150" t="s">
        <v>2868</v>
      </c>
      <c r="I150" s="206">
        <f>SUMIF(주문_리스트!C:C,거래처!B150,주문_리스트!K:K)+SUMIF(주문_리스트!C:C,거래처!B150,주문_리스트!L:L)</f>
        <v>0</v>
      </c>
    </row>
    <row r="151" spans="1:9">
      <c r="A151">
        <v>150</v>
      </c>
      <c r="B151" t="s">
        <v>2902</v>
      </c>
      <c r="C151" t="s">
        <v>2903</v>
      </c>
      <c r="F151" t="s">
        <v>2904</v>
      </c>
      <c r="G151" t="s">
        <v>1218</v>
      </c>
      <c r="I151" s="206">
        <f>SUMIF(주문_리스트!C:C,거래처!B151,주문_리스트!K:K)+SUMIF(주문_리스트!C:C,거래처!B151,주문_리스트!L:L)</f>
        <v>0</v>
      </c>
    </row>
    <row r="152" spans="1:9">
      <c r="A152">
        <v>151</v>
      </c>
      <c r="B152" t="s">
        <v>2914</v>
      </c>
      <c r="C152" t="s">
        <v>2915</v>
      </c>
      <c r="F152" t="s">
        <v>2916</v>
      </c>
      <c r="G152" t="s">
        <v>970</v>
      </c>
      <c r="H152" t="s">
        <v>2917</v>
      </c>
      <c r="I152" s="206">
        <f>SUMIF(주문_리스트!C:C,거래처!B152,주문_리스트!K:K)+SUMIF(주문_리스트!C:C,거래처!B152,주문_리스트!L:L)</f>
        <v>0</v>
      </c>
    </row>
    <row r="153" spans="1:9">
      <c r="A153">
        <v>152</v>
      </c>
      <c r="B153" t="s">
        <v>2935</v>
      </c>
      <c r="C153" t="s">
        <v>2936</v>
      </c>
      <c r="F153" t="s">
        <v>2937</v>
      </c>
      <c r="G153" t="s">
        <v>1218</v>
      </c>
      <c r="I153" s="206">
        <f>SUMIF(주문_리스트!C:C,거래처!B153,주문_리스트!K:K)+SUMIF(주문_리스트!C:C,거래처!B153,주문_리스트!L:L)</f>
        <v>0</v>
      </c>
    </row>
    <row r="154" spans="1:9">
      <c r="A154">
        <v>153</v>
      </c>
      <c r="B154" t="s">
        <v>2946</v>
      </c>
      <c r="C154" t="s">
        <v>2951</v>
      </c>
      <c r="F154" t="s">
        <v>2952</v>
      </c>
      <c r="G154" t="s">
        <v>1218</v>
      </c>
      <c r="I154" s="206">
        <f>SUMIF(주문_리스트!C:C,거래처!B154,주문_리스트!K:K)+SUMIF(주문_리스트!C:C,거래처!B154,주문_리스트!L:L)</f>
        <v>0</v>
      </c>
    </row>
    <row r="155" spans="1:9">
      <c r="I155" s="206">
        <f>SUMIF(주문_리스트!C:C,거래처!B155,주문_리스트!K:K)+SUMIF(주문_리스트!C:C,거래처!B155,주문_리스트!L:L)</f>
        <v>0</v>
      </c>
    </row>
    <row r="156" spans="1:9">
      <c r="I156" s="206">
        <f>SUMIF(주문_리스트!C:C,거래처!B156,주문_리스트!K:K)+SUMIF(주문_리스트!C:C,거래처!B156,주문_리스트!L:L)</f>
        <v>0</v>
      </c>
    </row>
    <row r="157" spans="1:9">
      <c r="I157" s="206">
        <f>SUMIF(주문_리스트!C:C,거래처!B157,주문_리스트!K:K)+SUMIF(주문_리스트!C:C,거래처!B157,주문_리스트!L:L)</f>
        <v>0</v>
      </c>
    </row>
    <row r="158" spans="1:9">
      <c r="I158" s="206">
        <f>SUMIF(주문_리스트!C:C,거래처!B158,주문_리스트!K:K)+SUMIF(주문_리스트!C:C,거래처!B158,주문_리스트!L:L)</f>
        <v>0</v>
      </c>
    </row>
    <row r="159" spans="1:9">
      <c r="I159" s="206">
        <f>SUMIF(주문_리스트!C:C,거래처!B159,주문_리스트!K:K)+SUMIF(주문_리스트!C:C,거래처!B159,주문_리스트!L:L)</f>
        <v>0</v>
      </c>
    </row>
    <row r="160" spans="1:9">
      <c r="I160" s="206">
        <f>SUMIF(주문_리스트!C:C,거래처!B160,주문_리스트!K:K)+SUMIF(주문_리스트!C:C,거래처!B160,주문_리스트!L:L)</f>
        <v>0</v>
      </c>
    </row>
    <row r="161" spans="9:9">
      <c r="I161" s="206">
        <f>SUMIF(주문_리스트!C:C,거래처!B161,주문_리스트!K:K)+SUMIF(주문_리스트!C:C,거래처!B161,주문_리스트!L:L)</f>
        <v>0</v>
      </c>
    </row>
    <row r="162" spans="9:9">
      <c r="I162" s="206">
        <f>SUMIF(주문_리스트!C:C,거래처!B162,주문_리스트!K:K)+SUMIF(주문_리스트!C:C,거래처!B162,주문_리스트!L:L)</f>
        <v>0</v>
      </c>
    </row>
    <row r="163" spans="9:9">
      <c r="I163" s="206">
        <f>SUMIF(주문_리스트!C:C,거래처!B163,주문_리스트!K:K)+SUMIF(주문_리스트!C:C,거래처!B163,주문_리스트!L:L)</f>
        <v>0</v>
      </c>
    </row>
    <row r="164" spans="9:9">
      <c r="I164" s="206">
        <f>SUMIF(주문_리스트!C:C,거래처!B164,주문_리스트!K:K)+SUMIF(주문_리스트!C:C,거래처!B164,주문_리스트!L:L)</f>
        <v>0</v>
      </c>
    </row>
    <row r="165" spans="9:9">
      <c r="I165" s="206">
        <f>SUMIF(주문_리스트!C:C,거래처!B165,주문_리스트!K:K)+SUMIF(주문_리스트!C:C,거래처!B165,주문_리스트!L:L)</f>
        <v>0</v>
      </c>
    </row>
    <row r="166" spans="9:9">
      <c r="I166" s="206">
        <f>SUMIF(주문_리스트!C:C,거래처!B166,주문_리스트!K:K)+SUMIF(주문_리스트!C:C,거래처!B166,주문_리스트!L:L)</f>
        <v>0</v>
      </c>
    </row>
    <row r="167" spans="9:9">
      <c r="I167" s="206">
        <f>SUMIF(주문_리스트!C:C,거래처!B167,주문_리스트!K:K)+SUMIF(주문_리스트!C:C,거래처!B167,주문_리스트!L:L)</f>
        <v>0</v>
      </c>
    </row>
    <row r="168" spans="9:9">
      <c r="I168" s="206">
        <f>SUMIF(주문_리스트!C:C,거래처!B168,주문_리스트!K:K)+SUMIF(주문_리스트!C:C,거래처!B168,주문_리스트!L:L)</f>
        <v>0</v>
      </c>
    </row>
    <row r="169" spans="9:9">
      <c r="I169" s="206">
        <f>SUMIF(주문_리스트!C:C,거래처!B169,주문_리스트!K:K)+SUMIF(주문_리스트!C:C,거래처!B169,주문_리스트!L:L)</f>
        <v>0</v>
      </c>
    </row>
    <row r="170" spans="9:9">
      <c r="I170" s="206">
        <f>SUMIF(주문_리스트!C:C,거래처!B170,주문_리스트!K:K)+SUMIF(주문_리스트!C:C,거래처!B170,주문_리스트!L:L)</f>
        <v>0</v>
      </c>
    </row>
    <row r="171" spans="9:9">
      <c r="I171" s="206">
        <f>SUMIF(주문_리스트!C:C,거래처!B171,주문_리스트!K:K)+SUMIF(주문_리스트!C:C,거래처!B171,주문_리스트!L:L)</f>
        <v>0</v>
      </c>
    </row>
    <row r="172" spans="9:9">
      <c r="I172" s="206">
        <f>SUMIF(주문_리스트!C:C,거래처!B172,주문_리스트!K:K)+SUMIF(주문_리스트!C:C,거래처!B172,주문_리스트!L:L)</f>
        <v>0</v>
      </c>
    </row>
    <row r="173" spans="9:9">
      <c r="I173" s="206">
        <f>SUMIF(주문_리스트!C:C,거래처!B173,주문_리스트!K:K)+SUMIF(주문_리스트!C:C,거래처!B173,주문_리스트!L:L)</f>
        <v>0</v>
      </c>
    </row>
    <row r="174" spans="9:9">
      <c r="I174" s="206">
        <f>SUMIF(주문_리스트!C:C,거래처!B174,주문_리스트!K:K)+SUMIF(주문_리스트!C:C,거래처!B174,주문_리스트!L:L)</f>
        <v>0</v>
      </c>
    </row>
    <row r="175" spans="9:9">
      <c r="I175" s="206">
        <f>SUMIF(주문_리스트!C:C,거래처!B175,주문_리스트!K:K)+SUMIF(주문_리스트!C:C,거래처!B175,주문_리스트!L:L)</f>
        <v>0</v>
      </c>
    </row>
    <row r="176" spans="9:9">
      <c r="I176" s="206">
        <f>SUMIF(주문_리스트!C:C,거래처!B176,주문_리스트!K:K)+SUMIF(주문_리스트!C:C,거래처!B176,주문_리스트!L:L)</f>
        <v>0</v>
      </c>
    </row>
    <row r="177" spans="9:9">
      <c r="I177" s="206">
        <f>SUMIF(주문_리스트!C:C,거래처!B177,주문_리스트!K:K)+SUMIF(주문_리스트!C:C,거래처!B177,주문_리스트!L:L)</f>
        <v>0</v>
      </c>
    </row>
    <row r="178" spans="9:9">
      <c r="I178" s="206">
        <f>SUMIF(주문_리스트!C:C,거래처!B178,주문_리스트!K:K)+SUMIF(주문_리스트!C:C,거래처!B178,주문_리스트!L:L)</f>
        <v>0</v>
      </c>
    </row>
    <row r="179" spans="9:9">
      <c r="I179" s="206">
        <f>SUMIF(주문_리스트!C:C,거래처!B179,주문_리스트!K:K)+SUMIF(주문_리스트!C:C,거래처!B179,주문_리스트!L:L)</f>
        <v>0</v>
      </c>
    </row>
    <row r="180" spans="9:9">
      <c r="I180" s="206">
        <f>SUMIF(주문_리스트!C:C,거래처!B180,주문_리스트!K:K)+SUMIF(주문_리스트!C:C,거래처!B180,주문_리스트!L:L)</f>
        <v>0</v>
      </c>
    </row>
    <row r="181" spans="9:9">
      <c r="I181" s="206">
        <f>SUMIF(주문_리스트!C:C,거래처!B181,주문_리스트!K:K)+SUMIF(주문_리스트!C:C,거래처!B181,주문_리스트!L:L)</f>
        <v>0</v>
      </c>
    </row>
    <row r="182" spans="9:9">
      <c r="I182" s="206">
        <f>SUMIF(주문_리스트!C:C,거래처!B182,주문_리스트!K:K)+SUMIF(주문_리스트!C:C,거래처!B182,주문_리스트!L:L)</f>
        <v>0</v>
      </c>
    </row>
    <row r="183" spans="9:9">
      <c r="I183" s="206">
        <f>SUMIF(주문_리스트!C:C,거래처!B183,주문_리스트!K:K)+SUMIF(주문_리스트!C:C,거래처!B183,주문_리스트!L:L)</f>
        <v>0</v>
      </c>
    </row>
    <row r="184" spans="9:9">
      <c r="I184" s="206">
        <f>SUMIF(주문_리스트!C:C,거래처!B184,주문_리스트!K:K)+SUMIF(주문_리스트!C:C,거래처!B184,주문_리스트!L:L)</f>
        <v>0</v>
      </c>
    </row>
    <row r="185" spans="9:9">
      <c r="I185" s="206">
        <f>SUMIF(주문_리스트!C:C,거래처!B185,주문_리스트!K:K)+SUMIF(주문_리스트!C:C,거래처!B185,주문_리스트!L:L)</f>
        <v>0</v>
      </c>
    </row>
    <row r="186" spans="9:9">
      <c r="I186" s="206">
        <f>SUMIF(주문_리스트!C:C,거래처!B186,주문_리스트!K:K)+SUMIF(주문_리스트!C:C,거래처!B186,주문_리스트!L:L)</f>
        <v>0</v>
      </c>
    </row>
    <row r="187" spans="9:9">
      <c r="I187" s="206">
        <f>SUMIF(주문_리스트!C:C,거래처!B187,주문_리스트!K:K)+SUMIF(주문_리스트!C:C,거래처!B187,주문_리스트!L:L)</f>
        <v>0</v>
      </c>
    </row>
    <row r="188" spans="9:9">
      <c r="I188" s="206">
        <f>SUMIF(주문_리스트!C:C,거래처!B188,주문_리스트!K:K)+SUMIF(주문_리스트!C:C,거래처!B188,주문_리스트!L:L)</f>
        <v>0</v>
      </c>
    </row>
    <row r="189" spans="9:9">
      <c r="I189" s="206">
        <f>SUMIF(주문_리스트!C:C,거래처!B189,주문_리스트!K:K)+SUMIF(주문_리스트!C:C,거래처!B189,주문_리스트!L:L)</f>
        <v>0</v>
      </c>
    </row>
    <row r="190" spans="9:9">
      <c r="I190" s="206">
        <f>SUMIF(주문_리스트!C:C,거래처!B190,주문_리스트!K:K)+SUMIF(주문_리스트!C:C,거래처!B190,주문_리스트!L:L)</f>
        <v>0</v>
      </c>
    </row>
    <row r="191" spans="9:9">
      <c r="I191" s="206">
        <f>SUMIF(주문_리스트!C:C,거래처!B191,주문_리스트!K:K)+SUMIF(주문_리스트!C:C,거래처!B191,주문_리스트!L:L)</f>
        <v>0</v>
      </c>
    </row>
    <row r="192" spans="9:9">
      <c r="I192" s="206">
        <f>SUMIF(주문_리스트!C:C,거래처!B192,주문_리스트!K:K)+SUMIF(주문_리스트!C:C,거래처!B192,주문_리스트!L:L)</f>
        <v>0</v>
      </c>
    </row>
    <row r="193" spans="9:9">
      <c r="I193" s="206">
        <f>SUMIF(주문_리스트!C:C,거래처!B193,주문_리스트!K:K)+SUMIF(주문_리스트!C:C,거래처!B193,주문_리스트!L:L)</f>
        <v>0</v>
      </c>
    </row>
    <row r="194" spans="9:9">
      <c r="I194" s="206">
        <f>SUMIF(주문_리스트!C:C,거래처!B194,주문_리스트!K:K)+SUMIF(주문_리스트!C:C,거래처!B194,주문_리스트!L:L)</f>
        <v>0</v>
      </c>
    </row>
    <row r="195" spans="9:9">
      <c r="I195" s="206">
        <f>SUMIF(주문_리스트!C:C,거래처!B195,주문_리스트!K:K)+SUMIF(주문_리스트!C:C,거래처!B195,주문_리스트!L:L)</f>
        <v>0</v>
      </c>
    </row>
    <row r="196" spans="9:9">
      <c r="I196" s="206">
        <f>SUMIF(주문_리스트!C:C,거래처!B196,주문_리스트!K:K)+SUMIF(주문_리스트!C:C,거래처!B196,주문_리스트!L:L)</f>
        <v>0</v>
      </c>
    </row>
    <row r="197" spans="9:9">
      <c r="I197" s="206">
        <f>SUMIF(주문_리스트!C:C,거래처!B197,주문_리스트!K:K)+SUMIF(주문_리스트!C:C,거래처!B197,주문_리스트!L:L)</f>
        <v>0</v>
      </c>
    </row>
    <row r="198" spans="9:9">
      <c r="I198" s="206">
        <f>SUMIF(주문_리스트!C:C,거래처!B198,주문_리스트!K:K)+SUMIF(주문_리스트!C:C,거래처!B198,주문_리스트!L:L)</f>
        <v>0</v>
      </c>
    </row>
    <row r="199" spans="9:9">
      <c r="I199" s="206">
        <f>SUMIF(주문_리스트!C:C,거래처!B199,주문_리스트!K:K)+SUMIF(주문_리스트!C:C,거래처!B199,주문_리스트!L:L)</f>
        <v>0</v>
      </c>
    </row>
    <row r="200" spans="9:9">
      <c r="I200" s="206">
        <f>SUMIF(주문_리스트!C:C,거래처!B200,주문_리스트!K:K)+SUMIF(주문_리스트!C:C,거래처!B200,주문_리스트!L:L)</f>
        <v>0</v>
      </c>
    </row>
    <row r="201" spans="9:9">
      <c r="I201" s="206">
        <f>SUMIF(주문_리스트!C:C,거래처!B201,주문_리스트!K:K)+SUMIF(주문_리스트!C:C,거래처!B201,주문_리스트!L:L)</f>
        <v>0</v>
      </c>
    </row>
    <row r="202" spans="9:9">
      <c r="I202" s="206">
        <f>SUMIF(주문_리스트!C:C,거래처!B202,주문_리스트!K:K)+SUMIF(주문_리스트!C:C,거래처!B202,주문_리스트!L:L)</f>
        <v>0</v>
      </c>
    </row>
    <row r="203" spans="9:9">
      <c r="I203" s="206">
        <f>SUMIF(주문_리스트!C:C,거래처!B203,주문_리스트!K:K)+SUMIF(주문_리스트!C:C,거래처!B203,주문_리스트!L:L)</f>
        <v>0</v>
      </c>
    </row>
    <row r="204" spans="9:9">
      <c r="I204" s="206">
        <f>SUMIF(주문_리스트!C:C,거래처!B204,주문_리스트!K:K)+SUMIF(주문_리스트!C:C,거래처!B204,주문_리스트!L:L)</f>
        <v>0</v>
      </c>
    </row>
    <row r="205" spans="9:9">
      <c r="I205" s="206">
        <f>SUMIF(주문_리스트!C:C,거래처!B205,주문_리스트!K:K)+SUMIF(주문_리스트!C:C,거래처!B205,주문_리스트!L:L)</f>
        <v>0</v>
      </c>
    </row>
    <row r="206" spans="9:9">
      <c r="I206" s="206">
        <f>SUMIF(주문_리스트!C:C,거래처!B206,주문_리스트!K:K)+SUMIF(주문_리스트!C:C,거래처!B206,주문_리스트!L:L)</f>
        <v>0</v>
      </c>
    </row>
    <row r="207" spans="9:9">
      <c r="I207" s="206">
        <f>SUMIF(주문_리스트!C:C,거래처!B207,주문_리스트!K:K)+SUMIF(주문_리스트!C:C,거래처!B207,주문_리스트!L:L)</f>
        <v>0</v>
      </c>
    </row>
    <row r="208" spans="9:9">
      <c r="I208" s="206">
        <f>SUMIF(주문_리스트!C:C,거래처!B208,주문_리스트!K:K)+SUMIF(주문_리스트!C:C,거래처!B208,주문_리스트!L:L)</f>
        <v>0</v>
      </c>
    </row>
    <row r="209" spans="9:9">
      <c r="I209" s="206">
        <f>SUMIF(주문_리스트!C:C,거래처!B209,주문_리스트!K:K)+SUMIF(주문_리스트!C:C,거래처!B209,주문_리스트!L:L)</f>
        <v>0</v>
      </c>
    </row>
    <row r="210" spans="9:9">
      <c r="I210" s="206">
        <f>SUMIF(주문_리스트!C:C,거래처!B210,주문_리스트!K:K)+SUMIF(주문_리스트!C:C,거래처!B210,주문_리스트!L:L)</f>
        <v>0</v>
      </c>
    </row>
    <row r="211" spans="9:9">
      <c r="I211" s="206">
        <f>SUMIF(주문_리스트!C:C,거래처!B211,주문_리스트!K:K)+SUMIF(주문_리스트!C:C,거래처!B211,주문_리스트!L:L)</f>
        <v>0</v>
      </c>
    </row>
    <row r="212" spans="9:9">
      <c r="I212" s="206">
        <f>SUMIF(주문_리스트!C:C,거래처!B212,주문_리스트!K:K)+SUMIF(주문_리스트!C:C,거래처!B212,주문_리스트!L:L)</f>
        <v>0</v>
      </c>
    </row>
    <row r="213" spans="9:9">
      <c r="I213" s="206">
        <f>SUMIF(주문_리스트!C:C,거래처!B213,주문_리스트!K:K)+SUMIF(주문_리스트!C:C,거래처!B213,주문_리스트!L:L)</f>
        <v>0</v>
      </c>
    </row>
    <row r="214" spans="9:9">
      <c r="I214" s="206">
        <f>SUMIF(주문_리스트!C:C,거래처!B214,주문_리스트!K:K)+SUMIF(주문_리스트!C:C,거래처!B214,주문_리스트!L:L)</f>
        <v>0</v>
      </c>
    </row>
    <row r="215" spans="9:9">
      <c r="I215" s="206">
        <f>SUMIF(주문_리스트!C:C,거래처!B215,주문_리스트!K:K)+SUMIF(주문_리스트!C:C,거래처!B215,주문_리스트!L:L)</f>
        <v>0</v>
      </c>
    </row>
    <row r="216" spans="9:9">
      <c r="I216" s="206">
        <f>SUMIF(주문_리스트!C:C,거래처!B216,주문_리스트!K:K)+SUMIF(주문_리스트!C:C,거래처!B216,주문_리스트!L:L)</f>
        <v>0</v>
      </c>
    </row>
    <row r="217" spans="9:9">
      <c r="I217" s="206">
        <f>SUMIF(주문_리스트!C:C,거래처!B217,주문_리스트!K:K)+SUMIF(주문_리스트!C:C,거래처!B217,주문_리스트!L:L)</f>
        <v>0</v>
      </c>
    </row>
    <row r="218" spans="9:9">
      <c r="I218" s="206">
        <f>SUMIF(주문_리스트!C:C,거래처!B218,주문_리스트!K:K)+SUMIF(주문_리스트!C:C,거래처!B218,주문_리스트!L:L)</f>
        <v>0</v>
      </c>
    </row>
    <row r="219" spans="9:9">
      <c r="I219" s="206">
        <f>SUMIF(주문_리스트!C:C,거래처!B219,주문_리스트!K:K)+SUMIF(주문_리스트!C:C,거래처!B219,주문_리스트!L:L)</f>
        <v>0</v>
      </c>
    </row>
    <row r="220" spans="9:9">
      <c r="I220" s="206">
        <f>SUMIF(주문_리스트!C:C,거래처!B220,주문_리스트!K:K)+SUMIF(주문_리스트!C:C,거래처!B220,주문_리스트!L:L)</f>
        <v>0</v>
      </c>
    </row>
    <row r="221" spans="9:9">
      <c r="I221" s="206">
        <f>SUMIF(주문_리스트!C:C,거래처!B221,주문_리스트!K:K)+SUMIF(주문_리스트!C:C,거래처!B221,주문_리스트!L:L)</f>
        <v>0</v>
      </c>
    </row>
    <row r="222" spans="9:9">
      <c r="I222" s="206">
        <f>SUMIF(주문_리스트!C:C,거래처!B222,주문_리스트!K:K)+SUMIF(주문_리스트!C:C,거래처!B222,주문_리스트!L:L)</f>
        <v>0</v>
      </c>
    </row>
    <row r="223" spans="9:9">
      <c r="I223" s="206">
        <f>SUMIF(주문_리스트!C:C,거래처!B223,주문_리스트!K:K)+SUMIF(주문_리스트!C:C,거래처!B223,주문_리스트!L:L)</f>
        <v>0</v>
      </c>
    </row>
    <row r="224" spans="9:9">
      <c r="I224" s="206">
        <f>SUMIF(주문_리스트!C:C,거래처!B224,주문_리스트!K:K)+SUMIF(주문_리스트!C:C,거래처!B224,주문_리스트!L:L)</f>
        <v>0</v>
      </c>
    </row>
    <row r="225" spans="9:9">
      <c r="I225" s="206">
        <f>SUMIF(주문_리스트!C:C,거래처!B225,주문_리스트!K:K)+SUMIF(주문_리스트!C:C,거래처!B225,주문_리스트!L:L)</f>
        <v>0</v>
      </c>
    </row>
    <row r="226" spans="9:9">
      <c r="I226" s="206">
        <f>SUMIF(주문_리스트!C:C,거래처!B226,주문_리스트!K:K)+SUMIF(주문_리스트!C:C,거래처!B226,주문_리스트!L:L)</f>
        <v>0</v>
      </c>
    </row>
    <row r="227" spans="9:9">
      <c r="I227" s="206">
        <f>SUMIF(주문_리스트!C:C,거래처!B227,주문_리스트!K:K)+SUMIF(주문_리스트!C:C,거래처!B227,주문_리스트!L:L)</f>
        <v>0</v>
      </c>
    </row>
  </sheetData>
  <autoFilter ref="A1:J22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1146</v>
      </c>
      <c r="F1" s="61" t="s">
        <v>1147</v>
      </c>
      <c r="G1" s="61" t="s">
        <v>1154</v>
      </c>
      <c r="H1" s="61" t="s">
        <v>1148</v>
      </c>
      <c r="I1" s="61" t="s">
        <v>1149</v>
      </c>
      <c r="J1" s="61" t="s">
        <v>1150</v>
      </c>
      <c r="K1" s="519" t="s">
        <v>1151</v>
      </c>
      <c r="L1" s="519"/>
      <c r="M1" s="519"/>
      <c r="N1" s="519" t="s">
        <v>1152</v>
      </c>
      <c r="O1" s="519"/>
      <c r="P1" s="61" t="s">
        <v>1153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1617</v>
      </c>
      <c r="E1" s="31" t="s">
        <v>0</v>
      </c>
      <c r="F1" s="31" t="s">
        <v>52</v>
      </c>
      <c r="G1" s="65" t="s">
        <v>1147</v>
      </c>
      <c r="H1" s="51" t="s">
        <v>47</v>
      </c>
      <c r="I1" s="31" t="s">
        <v>55</v>
      </c>
      <c r="J1" s="31" t="s">
        <v>88</v>
      </c>
      <c r="K1" s="51" t="s">
        <v>63</v>
      </c>
      <c r="L1" s="51" t="s">
        <v>64</v>
      </c>
      <c r="M1" s="65" t="s">
        <v>1148</v>
      </c>
      <c r="N1" s="65" t="s">
        <v>1149</v>
      </c>
      <c r="O1" s="65" t="s">
        <v>1150</v>
      </c>
      <c r="P1" s="64" t="s">
        <v>1155</v>
      </c>
      <c r="Q1" s="51" t="s">
        <v>1156</v>
      </c>
      <c r="R1" s="51" t="s">
        <v>1157</v>
      </c>
      <c r="S1" s="51" t="s">
        <v>1160</v>
      </c>
      <c r="T1" s="51" t="s">
        <v>1159</v>
      </c>
      <c r="U1" s="51" t="s">
        <v>1158</v>
      </c>
      <c r="V1" s="51" t="s">
        <v>1153</v>
      </c>
      <c r="W1" s="8">
        <v>1</v>
      </c>
    </row>
    <row r="2" spans="1:25">
      <c r="A2" s="49">
        <v>1</v>
      </c>
      <c r="B2" s="13">
        <v>45723</v>
      </c>
      <c r="C2" s="49" t="s">
        <v>1445</v>
      </c>
      <c r="D2" s="49"/>
      <c r="E2" s="49" t="s">
        <v>1171</v>
      </c>
      <c r="F2" s="49">
        <v>2821402</v>
      </c>
      <c r="G2" s="49"/>
      <c r="H2" s="52">
        <v>30000</v>
      </c>
      <c r="I2" s="49">
        <v>3</v>
      </c>
      <c r="J2" s="97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1483</v>
      </c>
      <c r="D3" s="49"/>
      <c r="E3" s="49" t="s">
        <v>1241</v>
      </c>
      <c r="F3" s="49" t="s">
        <v>1406</v>
      </c>
      <c r="G3" s="49"/>
      <c r="H3" s="52">
        <v>1300000</v>
      </c>
      <c r="I3" s="49">
        <v>1</v>
      </c>
      <c r="J3" s="97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1483</v>
      </c>
      <c r="D4" s="49"/>
      <c r="E4" s="49" t="s">
        <v>1181</v>
      </c>
      <c r="F4" s="49"/>
      <c r="G4" s="49"/>
      <c r="H4" s="52">
        <v>800000</v>
      </c>
      <c r="I4" s="49">
        <v>1</v>
      </c>
      <c r="J4" s="97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1437</v>
      </c>
      <c r="D5" s="49"/>
      <c r="E5" s="49" t="s">
        <v>1172</v>
      </c>
      <c r="F5" s="49"/>
      <c r="G5" s="49"/>
      <c r="H5" s="52">
        <v>1000000</v>
      </c>
      <c r="I5" s="49">
        <v>1</v>
      </c>
      <c r="J5" s="97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1445</v>
      </c>
      <c r="D6" s="49"/>
      <c r="E6" s="49" t="s">
        <v>1173</v>
      </c>
      <c r="F6" s="49"/>
      <c r="G6" s="49"/>
      <c r="H6" s="52">
        <v>198000</v>
      </c>
      <c r="I6" s="49">
        <v>1</v>
      </c>
      <c r="J6" s="97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1445</v>
      </c>
      <c r="D7" s="49"/>
      <c r="E7" s="49" t="s">
        <v>1174</v>
      </c>
      <c r="F7" s="49"/>
      <c r="G7" s="49"/>
      <c r="H7" s="52">
        <v>12000</v>
      </c>
      <c r="I7" s="49">
        <v>1</v>
      </c>
      <c r="J7" s="97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1445</v>
      </c>
      <c r="D8" s="49"/>
      <c r="E8" s="49" t="s">
        <v>1180</v>
      </c>
      <c r="F8" s="49"/>
      <c r="G8" s="49"/>
      <c r="H8" s="52">
        <v>25000</v>
      </c>
      <c r="I8" s="49">
        <v>1</v>
      </c>
      <c r="J8" s="97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1183</v>
      </c>
      <c r="D9" s="49"/>
      <c r="E9" s="49" t="s">
        <v>1175</v>
      </c>
      <c r="F9" s="49"/>
      <c r="G9" s="49"/>
      <c r="H9" s="52">
        <v>1100000</v>
      </c>
      <c r="I9" s="49">
        <v>1</v>
      </c>
      <c r="J9" s="97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1488</v>
      </c>
      <c r="D10" s="49"/>
      <c r="E10" s="49" t="s">
        <v>1241</v>
      </c>
      <c r="F10" s="49" t="s">
        <v>1406</v>
      </c>
      <c r="G10" s="49"/>
      <c r="H10" s="52">
        <v>1200000</v>
      </c>
      <c r="I10" s="49">
        <v>1</v>
      </c>
      <c r="J10" s="97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1490</v>
      </c>
      <c r="D11" s="49"/>
      <c r="E11" s="49">
        <v>415054509</v>
      </c>
      <c r="F11" s="49"/>
      <c r="H11" s="52">
        <v>330000</v>
      </c>
      <c r="I11" s="49">
        <v>1</v>
      </c>
      <c r="J11" s="97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1445</v>
      </c>
      <c r="D12" s="49"/>
      <c r="E12" s="49" t="s">
        <v>1176</v>
      </c>
      <c r="F12" s="49"/>
      <c r="H12" s="52">
        <v>1000000</v>
      </c>
      <c r="I12" s="49">
        <v>1</v>
      </c>
      <c r="J12" s="97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1490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7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1490</v>
      </c>
      <c r="D14" s="49"/>
      <c r="E14" s="49" t="s">
        <v>1161</v>
      </c>
      <c r="F14" s="49"/>
      <c r="G14" s="49"/>
      <c r="H14" s="52">
        <v>-300000</v>
      </c>
      <c r="I14" s="49">
        <v>1</v>
      </c>
      <c r="J14" s="97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1183</v>
      </c>
      <c r="D15" s="49"/>
      <c r="E15" s="49" t="s">
        <v>1185</v>
      </c>
      <c r="F15" s="49"/>
      <c r="G15" s="49"/>
      <c r="H15" s="52">
        <v>610000</v>
      </c>
      <c r="I15" s="49">
        <v>1</v>
      </c>
      <c r="J15" s="97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1183</v>
      </c>
      <c r="D16" s="49"/>
      <c r="E16" s="49" t="s">
        <v>1171</v>
      </c>
      <c r="F16" s="49">
        <v>2821402</v>
      </c>
      <c r="G16" s="49"/>
      <c r="H16" s="52">
        <v>55000</v>
      </c>
      <c r="I16" s="49">
        <v>1</v>
      </c>
      <c r="J16" s="97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1183</v>
      </c>
      <c r="D17" s="49"/>
      <c r="E17" s="49" t="s">
        <v>1179</v>
      </c>
      <c r="F17" s="49"/>
      <c r="G17" s="49"/>
      <c r="H17" s="52">
        <v>600000</v>
      </c>
      <c r="I17" s="49">
        <v>1</v>
      </c>
      <c r="J17" s="97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1495</v>
      </c>
      <c r="D18" s="49"/>
      <c r="E18" s="49" t="s">
        <v>1186</v>
      </c>
      <c r="F18" s="49"/>
      <c r="G18" s="49"/>
      <c r="H18" s="52">
        <v>1100000</v>
      </c>
      <c r="I18" s="49">
        <v>1</v>
      </c>
      <c r="J18" s="97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1445</v>
      </c>
      <c r="D19" s="49"/>
      <c r="E19" s="49" t="s">
        <v>1175</v>
      </c>
      <c r="F19" s="49"/>
      <c r="G19" s="49"/>
      <c r="H19" s="52">
        <v>650000</v>
      </c>
      <c r="I19" s="49">
        <v>1</v>
      </c>
      <c r="J19" s="97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1498</v>
      </c>
      <c r="D20" s="49"/>
      <c r="E20" s="49" t="s">
        <v>1187</v>
      </c>
      <c r="F20" s="49"/>
      <c r="G20" s="49"/>
      <c r="H20" s="52">
        <v>1650000</v>
      </c>
      <c r="I20" s="49">
        <v>1</v>
      </c>
      <c r="J20" s="97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2">
        <v>45723</v>
      </c>
      <c r="C21" s="123" t="s">
        <v>1500</v>
      </c>
      <c r="D21" s="123"/>
      <c r="E21" s="52" t="s">
        <v>1175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1502</v>
      </c>
      <c r="D22" s="49"/>
      <c r="E22" s="49" t="s">
        <v>1190</v>
      </c>
      <c r="F22" s="49"/>
      <c r="G22" s="49"/>
      <c r="H22" s="52">
        <v>700000</v>
      </c>
      <c r="I22" s="49">
        <v>1</v>
      </c>
      <c r="J22" s="97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1504</v>
      </c>
      <c r="D23" s="49"/>
      <c r="E23" s="49" t="s">
        <v>1166</v>
      </c>
      <c r="F23" s="49"/>
      <c r="G23" s="49"/>
      <c r="H23" s="52">
        <v>1500000</v>
      </c>
      <c r="I23" s="49">
        <v>1</v>
      </c>
      <c r="J23" s="97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1445</v>
      </c>
      <c r="D24" s="49"/>
      <c r="E24" s="49" t="s">
        <v>1241</v>
      </c>
      <c r="F24" s="49" t="s">
        <v>1406</v>
      </c>
      <c r="G24" s="49"/>
      <c r="H24" s="52">
        <v>1200000</v>
      </c>
      <c r="I24" s="49">
        <v>1</v>
      </c>
      <c r="J24" s="97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1445</v>
      </c>
      <c r="D25" s="49"/>
      <c r="E25" s="49" t="s">
        <v>1173</v>
      </c>
      <c r="F25" s="49"/>
      <c r="G25" s="49"/>
      <c r="H25" s="52">
        <v>198000</v>
      </c>
      <c r="I25" s="49">
        <v>1</v>
      </c>
      <c r="J25" s="97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1490</v>
      </c>
      <c r="D26" s="49"/>
      <c r="E26" s="49" t="s">
        <v>1168</v>
      </c>
      <c r="F26" s="49"/>
      <c r="G26" s="49"/>
      <c r="H26" s="52">
        <v>300000</v>
      </c>
      <c r="I26" s="49">
        <v>1</v>
      </c>
      <c r="J26" s="97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1069</v>
      </c>
      <c r="D27" s="49"/>
      <c r="E27" s="49" t="s">
        <v>1167</v>
      </c>
      <c r="F27" s="49"/>
      <c r="G27" s="49"/>
      <c r="H27" s="52">
        <v>1000000</v>
      </c>
      <c r="I27" s="49">
        <v>1</v>
      </c>
      <c r="J27" s="97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1105</v>
      </c>
      <c r="D28" s="49"/>
      <c r="E28" s="49" t="s">
        <v>1166</v>
      </c>
      <c r="F28" s="49"/>
      <c r="G28" s="49"/>
      <c r="H28" s="52">
        <v>1500000</v>
      </c>
      <c r="I28" s="49">
        <v>1</v>
      </c>
      <c r="J28" s="97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1445</v>
      </c>
      <c r="D29" s="49"/>
      <c r="E29" s="49" t="s">
        <v>1175</v>
      </c>
      <c r="F29" s="49"/>
      <c r="G29" s="49"/>
      <c r="H29" s="52">
        <v>650000</v>
      </c>
      <c r="I29" s="49">
        <v>1</v>
      </c>
      <c r="J29" s="97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1445</v>
      </c>
      <c r="E30" t="s">
        <v>1165</v>
      </c>
      <c r="F30" t="s">
        <v>1510</v>
      </c>
      <c r="G30"/>
      <c r="H30" s="52">
        <v>1500000</v>
      </c>
      <c r="I30">
        <v>1</v>
      </c>
      <c r="J30" s="97"/>
      <c r="L30" s="52">
        <v>1500000</v>
      </c>
    </row>
    <row r="31" spans="1:26">
      <c r="A31" s="49">
        <v>30</v>
      </c>
      <c r="B31" s="13">
        <v>45727</v>
      </c>
      <c r="C31" t="s">
        <v>1192</v>
      </c>
      <c r="E31" t="s">
        <v>1241</v>
      </c>
      <c r="F31" t="s">
        <v>1406</v>
      </c>
      <c r="G31"/>
      <c r="H31" s="52">
        <v>1200000</v>
      </c>
      <c r="I31">
        <v>1</v>
      </c>
      <c r="J31" s="97"/>
      <c r="L31" s="52">
        <v>1200000</v>
      </c>
    </row>
    <row r="32" spans="1:26">
      <c r="A32" s="49">
        <v>31</v>
      </c>
      <c r="B32" s="13">
        <v>45727</v>
      </c>
      <c r="C32" t="s">
        <v>1513</v>
      </c>
      <c r="E32" t="s">
        <v>1199</v>
      </c>
      <c r="G32"/>
      <c r="H32" s="52">
        <v>150000</v>
      </c>
      <c r="I32">
        <v>1</v>
      </c>
      <c r="J32" s="97"/>
      <c r="L32" s="52">
        <v>150000</v>
      </c>
    </row>
    <row r="33" spans="1:12">
      <c r="A33" s="49">
        <v>32</v>
      </c>
      <c r="B33" s="13">
        <v>45727</v>
      </c>
      <c r="C33" t="s">
        <v>1513</v>
      </c>
      <c r="E33" t="s">
        <v>1199</v>
      </c>
      <c r="G33"/>
      <c r="H33" s="52">
        <v>150000</v>
      </c>
      <c r="I33">
        <v>2</v>
      </c>
      <c r="J33" s="97"/>
      <c r="L33" s="52">
        <v>300000</v>
      </c>
    </row>
    <row r="34" spans="1:12">
      <c r="A34" s="49">
        <v>33</v>
      </c>
      <c r="B34" s="13">
        <v>45727</v>
      </c>
      <c r="C34" t="s">
        <v>1513</v>
      </c>
      <c r="E34" t="s">
        <v>1200</v>
      </c>
      <c r="G34"/>
      <c r="H34" s="52">
        <v>100000</v>
      </c>
      <c r="I34">
        <v>1</v>
      </c>
      <c r="J34" s="97"/>
      <c r="L34" s="52">
        <v>100000</v>
      </c>
    </row>
    <row r="35" spans="1:12">
      <c r="A35" s="49">
        <v>34</v>
      </c>
      <c r="B35" s="13">
        <v>45727</v>
      </c>
      <c r="C35" t="s">
        <v>1513</v>
      </c>
      <c r="E35" t="s">
        <v>1201</v>
      </c>
      <c r="G35"/>
      <c r="H35" s="52">
        <v>230000</v>
      </c>
      <c r="I35">
        <v>1</v>
      </c>
      <c r="J35" s="97"/>
      <c r="L35" s="52">
        <v>230000</v>
      </c>
    </row>
    <row r="36" spans="1:12">
      <c r="A36" s="49">
        <v>35</v>
      </c>
      <c r="B36" s="13">
        <v>45729</v>
      </c>
      <c r="C36" t="s">
        <v>1515</v>
      </c>
      <c r="E36" t="s">
        <v>1304</v>
      </c>
      <c r="F36" t="s">
        <v>1303</v>
      </c>
      <c r="G36"/>
      <c r="H36" s="52">
        <v>130000</v>
      </c>
      <c r="I36">
        <v>1</v>
      </c>
      <c r="J36" s="97"/>
      <c r="L36" s="52">
        <v>130000</v>
      </c>
    </row>
    <row r="37" spans="1:12">
      <c r="A37" s="49">
        <v>36</v>
      </c>
      <c r="B37" s="13">
        <v>45729</v>
      </c>
      <c r="C37" t="s">
        <v>1515</v>
      </c>
      <c r="E37" t="s">
        <v>1516</v>
      </c>
      <c r="G37"/>
      <c r="H37" s="52">
        <v>10000</v>
      </c>
      <c r="I37">
        <v>1</v>
      </c>
      <c r="J37" s="97"/>
      <c r="L37" s="52">
        <v>10000</v>
      </c>
    </row>
    <row r="38" spans="1:12">
      <c r="A38" s="49">
        <v>37</v>
      </c>
      <c r="B38" s="13">
        <v>45729</v>
      </c>
      <c r="C38" t="s">
        <v>1019</v>
      </c>
      <c r="E38" t="s">
        <v>1310</v>
      </c>
      <c r="F38" t="s">
        <v>1309</v>
      </c>
      <c r="G38"/>
      <c r="H38" s="52">
        <v>50000</v>
      </c>
      <c r="I38">
        <v>1</v>
      </c>
      <c r="J38" s="97"/>
      <c r="L38" s="52">
        <v>50000</v>
      </c>
    </row>
    <row r="39" spans="1:12">
      <c r="A39" s="49">
        <v>38</v>
      </c>
      <c r="B39" s="13">
        <v>45730</v>
      </c>
      <c r="C39" t="s">
        <v>1519</v>
      </c>
      <c r="E39" t="s">
        <v>1241</v>
      </c>
      <c r="F39" t="s">
        <v>1406</v>
      </c>
      <c r="G39"/>
      <c r="H39" s="52">
        <v>1100000</v>
      </c>
      <c r="I39">
        <v>1</v>
      </c>
      <c r="J39" s="97"/>
      <c r="L39" s="52">
        <v>1100000</v>
      </c>
    </row>
    <row r="40" spans="1:12">
      <c r="A40" s="49">
        <v>39</v>
      </c>
      <c r="B40" s="13">
        <v>45730</v>
      </c>
      <c r="C40" t="s">
        <v>1445</v>
      </c>
      <c r="E40" t="s">
        <v>1521</v>
      </c>
      <c r="G40"/>
      <c r="H40" s="52">
        <v>13000</v>
      </c>
      <c r="I40">
        <v>1</v>
      </c>
      <c r="J40" s="97"/>
      <c r="L40" s="52">
        <v>13000</v>
      </c>
    </row>
    <row r="41" spans="1:12">
      <c r="A41" s="49">
        <v>40</v>
      </c>
      <c r="B41" s="13">
        <v>45730</v>
      </c>
      <c r="C41" t="s">
        <v>1445</v>
      </c>
      <c r="E41" t="s">
        <v>1522</v>
      </c>
      <c r="G41"/>
      <c r="H41" s="52">
        <v>50000</v>
      </c>
      <c r="I41">
        <v>1</v>
      </c>
      <c r="J41" s="97"/>
      <c r="L41" s="52">
        <v>50000</v>
      </c>
    </row>
    <row r="42" spans="1:12">
      <c r="A42" s="49">
        <v>41</v>
      </c>
      <c r="B42" s="13">
        <v>45731</v>
      </c>
      <c r="C42" t="s">
        <v>1210</v>
      </c>
      <c r="E42" t="s">
        <v>1175</v>
      </c>
      <c r="G42"/>
      <c r="H42" s="52">
        <v>1100000</v>
      </c>
      <c r="I42">
        <v>1</v>
      </c>
      <c r="J42" s="97"/>
      <c r="L42" s="52">
        <v>1100000</v>
      </c>
    </row>
    <row r="43" spans="1:12">
      <c r="A43" s="49">
        <v>42</v>
      </c>
      <c r="B43" s="13">
        <v>45731</v>
      </c>
      <c r="C43" t="s">
        <v>1525</v>
      </c>
      <c r="E43" t="s">
        <v>1526</v>
      </c>
      <c r="G43"/>
      <c r="H43" s="52">
        <v>140000</v>
      </c>
      <c r="I43">
        <v>3</v>
      </c>
      <c r="J43" s="97"/>
      <c r="L43" s="52">
        <v>420000</v>
      </c>
    </row>
    <row r="44" spans="1:12">
      <c r="A44" s="49">
        <v>43</v>
      </c>
      <c r="B44" s="13">
        <v>45731</v>
      </c>
      <c r="C44" t="s">
        <v>1038</v>
      </c>
      <c r="E44" t="s">
        <v>1528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1183</v>
      </c>
      <c r="E45" t="s">
        <v>1528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1531</v>
      </c>
      <c r="E46" t="s">
        <v>1532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1060</v>
      </c>
      <c r="E47" t="s">
        <v>1536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1515</v>
      </c>
      <c r="E48" t="s">
        <v>1538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1540</v>
      </c>
      <c r="E49" t="s">
        <v>1541</v>
      </c>
      <c r="F49" t="s">
        <v>1406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1540</v>
      </c>
      <c r="E50" t="s">
        <v>1542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1544</v>
      </c>
      <c r="E51" t="s">
        <v>1241</v>
      </c>
      <c r="F51" t="s">
        <v>1406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1445</v>
      </c>
      <c r="E52" t="s">
        <v>1259</v>
      </c>
      <c r="F52" t="s">
        <v>1258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1445</v>
      </c>
      <c r="E53" t="s">
        <v>1547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1069</v>
      </c>
      <c r="E54" t="s">
        <v>1549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1424</v>
      </c>
      <c r="E55" t="s">
        <v>1551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1424</v>
      </c>
      <c r="E56" t="s">
        <v>1552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1490</v>
      </c>
      <c r="E57" t="s">
        <v>1554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1490</v>
      </c>
      <c r="E58" t="s">
        <v>1555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1490</v>
      </c>
      <c r="E59" t="s">
        <v>1556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1281</v>
      </c>
      <c r="E60" t="s">
        <v>1243</v>
      </c>
      <c r="F60" t="s">
        <v>1242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1515</v>
      </c>
      <c r="E61" t="s">
        <v>1241</v>
      </c>
      <c r="F61" t="s">
        <v>1406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1270</v>
      </c>
      <c r="E62" t="s">
        <v>1549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1561</v>
      </c>
      <c r="E63" t="s">
        <v>1175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1563</v>
      </c>
      <c r="E64" t="s">
        <v>1564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1563</v>
      </c>
      <c r="E65" t="s">
        <v>1565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1567</v>
      </c>
      <c r="E66" t="s">
        <v>1570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1490</v>
      </c>
      <c r="E67" t="s">
        <v>1246</v>
      </c>
      <c r="F67" t="s">
        <v>1245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1490</v>
      </c>
      <c r="E68" t="s">
        <v>1454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1351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1281</v>
      </c>
      <c r="E70" t="s">
        <v>1241</v>
      </c>
      <c r="F70" t="s">
        <v>1406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1418</v>
      </c>
      <c r="E71" t="s">
        <v>1191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1210</v>
      </c>
      <c r="E72" t="s">
        <v>1241</v>
      </c>
      <c r="F72" t="s">
        <v>1406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1019</v>
      </c>
      <c r="E73" t="s">
        <v>1186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1578</v>
      </c>
      <c r="E74" t="s">
        <v>1240</v>
      </c>
      <c r="F74" t="s">
        <v>1239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1495</v>
      </c>
      <c r="E75" t="s">
        <v>1581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1183</v>
      </c>
      <c r="E76" t="s">
        <v>1241</v>
      </c>
      <c r="F76" t="s">
        <v>1406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1030</v>
      </c>
      <c r="E77" t="s">
        <v>1584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1490</v>
      </c>
      <c r="E78" t="s">
        <v>1168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1490</v>
      </c>
      <c r="E79" t="s">
        <v>1168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1587</v>
      </c>
      <c r="E80" t="s">
        <v>1588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1590</v>
      </c>
      <c r="E81" t="s">
        <v>1259</v>
      </c>
      <c r="F81" t="s">
        <v>1258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1030</v>
      </c>
      <c r="E82" t="s">
        <v>1241</v>
      </c>
      <c r="F82" t="s">
        <v>1406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1030</v>
      </c>
      <c r="E83" t="s">
        <v>1542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1437</v>
      </c>
      <c r="E84" t="s">
        <v>1241</v>
      </c>
      <c r="F84" t="s">
        <v>1406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1441</v>
      </c>
      <c r="E85" t="s">
        <v>1175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1019</v>
      </c>
      <c r="E86" t="s">
        <v>1595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00"/>
  <sheetViews>
    <sheetView zoomScale="115" zoomScaleNormal="115" workbookViewId="0">
      <pane xSplit="2" ySplit="1" topLeftCell="C20" activePane="bottomRight" state="frozen"/>
      <selection activeCell="N26" sqref="N26"/>
      <selection pane="topRight" activeCell="N26" sqref="N26"/>
      <selection pane="bottomLeft" activeCell="N26" sqref="N26"/>
      <selection pane="bottomRight" activeCell="I110" sqref="A110:I110"/>
    </sheetView>
  </sheetViews>
  <sheetFormatPr defaultColWidth="9" defaultRowHeight="16.5"/>
  <cols>
    <col min="1" max="2" width="11.75" customWidth="1"/>
    <col min="3" max="3" width="22" style="203" customWidth="1"/>
    <col min="4" max="4" width="26" style="202" bestFit="1" customWidth="1"/>
    <col min="5" max="5" width="14.375" style="202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1141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1657</v>
      </c>
      <c r="H1" s="51" t="s">
        <v>4</v>
      </c>
      <c r="I1" s="51" t="s">
        <v>1910</v>
      </c>
      <c r="J1" s="106">
        <v>203</v>
      </c>
    </row>
    <row r="2" spans="1:11">
      <c r="A2">
        <v>2</v>
      </c>
      <c r="B2">
        <v>2</v>
      </c>
      <c r="C2" s="202">
        <v>28120504</v>
      </c>
      <c r="D2" s="202" t="s">
        <v>2652</v>
      </c>
      <c r="E2" s="202">
        <v>28120504</v>
      </c>
      <c r="F2" s="52">
        <v>1000000</v>
      </c>
      <c r="H2"/>
      <c r="I2">
        <f>SUMIF(재고!E:E,제품!D2,재고!H:H)-SUMIF(주문_리스트!E:E,제품!D2,주문_리스트!H:H)</f>
        <v>0</v>
      </c>
    </row>
    <row r="3" spans="1:11">
      <c r="A3">
        <v>3</v>
      </c>
      <c r="B3">
        <v>3</v>
      </c>
      <c r="C3" s="202"/>
      <c r="D3" s="202" t="s">
        <v>2292</v>
      </c>
      <c r="F3" s="52">
        <v>300000</v>
      </c>
      <c r="H3"/>
      <c r="I3">
        <f>SUMIF(재고!E:E,제품!D3,재고!H:H)-SUMIF(주문_리스트!E:E,제품!D3,주문_리스트!H:H)</f>
        <v>0</v>
      </c>
    </row>
    <row r="4" spans="1:11">
      <c r="A4">
        <v>4</v>
      </c>
      <c r="B4">
        <v>1</v>
      </c>
      <c r="C4" s="202"/>
      <c r="D4" s="202" t="s">
        <v>1177</v>
      </c>
      <c r="F4" s="52">
        <v>700000</v>
      </c>
      <c r="H4"/>
      <c r="I4">
        <f>SUMIF(재고!E:E,제품!D4,재고!H:H)-SUMIF(주문_리스트!E:E,제품!D4,주문_리스트!H:H)</f>
        <v>-1</v>
      </c>
    </row>
    <row r="5" spans="1:11">
      <c r="A5">
        <v>5</v>
      </c>
      <c r="B5">
        <v>6</v>
      </c>
      <c r="C5" s="203" t="s">
        <v>2037</v>
      </c>
      <c r="D5" s="202" t="s">
        <v>2036</v>
      </c>
      <c r="E5" s="202" t="s">
        <v>2037</v>
      </c>
      <c r="F5" s="52">
        <v>1000000</v>
      </c>
      <c r="G5" s="52">
        <v>550000</v>
      </c>
      <c r="H5"/>
      <c r="I5">
        <f>SUMIF(재고!E:E,제품!D5,재고!H:H)-SUMIF(주문_리스트!E:E,제품!D5,주문_리스트!H:H)</f>
        <v>-1</v>
      </c>
    </row>
    <row r="6" spans="1:11">
      <c r="A6">
        <v>6</v>
      </c>
      <c r="B6">
        <v>1</v>
      </c>
      <c r="C6" s="202"/>
      <c r="D6" s="202" t="s">
        <v>1692</v>
      </c>
      <c r="F6" s="52">
        <v>198000</v>
      </c>
      <c r="H6"/>
      <c r="I6">
        <f>SUMIF(재고!E:E,제품!D6,재고!H:H)-SUMIF(주문_리스트!E:E,제품!D6,주문_리스트!H:H)</f>
        <v>-3</v>
      </c>
    </row>
    <row r="7" spans="1:11">
      <c r="A7">
        <v>7</v>
      </c>
      <c r="B7">
        <v>8</v>
      </c>
      <c r="C7" s="202"/>
      <c r="D7" s="202" t="s">
        <v>1659</v>
      </c>
      <c r="F7" s="52">
        <v>12000</v>
      </c>
      <c r="H7"/>
      <c r="I7">
        <f>SUMIF(재고!E:E,제품!D7,재고!H:H)-SUMIF(주문_리스트!E:E,제품!D7,주문_리스트!H:H)</f>
        <v>-1</v>
      </c>
    </row>
    <row r="8" spans="1:11">
      <c r="A8">
        <v>8</v>
      </c>
      <c r="C8" s="202"/>
      <c r="D8" s="202" t="s">
        <v>1813</v>
      </c>
      <c r="F8" s="52">
        <v>650000</v>
      </c>
      <c r="H8"/>
      <c r="I8">
        <f>SUMIF(재고!E:E,제품!D8,재고!H:H)-SUMIF(주문_리스트!E:E,제품!D8,주문_리스트!H:H)</f>
        <v>-16</v>
      </c>
    </row>
    <row r="9" spans="1:11">
      <c r="A9">
        <v>9</v>
      </c>
      <c r="B9">
        <v>2</v>
      </c>
      <c r="D9" s="202" t="s">
        <v>1176</v>
      </c>
      <c r="F9" s="52">
        <v>1000000</v>
      </c>
      <c r="I9">
        <f>SUMIF(재고!E:E,제품!D9,재고!H:H)-SUMIF(주문_리스트!E:E,제품!D9,주문_리스트!H:H)</f>
        <v>-4</v>
      </c>
    </row>
    <row r="10" spans="1:11">
      <c r="A10">
        <v>10</v>
      </c>
      <c r="B10">
        <v>9</v>
      </c>
      <c r="D10" s="202" t="s">
        <v>2293</v>
      </c>
      <c r="E10" s="202">
        <v>602000700</v>
      </c>
      <c r="F10" s="52">
        <v>350000</v>
      </c>
      <c r="I10">
        <f>SUMIF(재고!E:E,제품!D10,재고!H:H)-SUMIF(주문_리스트!E:E,제품!D10,주문_리스트!H:H)</f>
        <v>0</v>
      </c>
    </row>
    <row r="11" spans="1:11">
      <c r="A11">
        <v>12</v>
      </c>
      <c r="B11">
        <v>7</v>
      </c>
      <c r="D11" s="202" t="s">
        <v>1179</v>
      </c>
      <c r="F11" s="52">
        <v>600000</v>
      </c>
      <c r="I11">
        <f>SUMIF(재고!E:E,제품!D11,재고!H:H)-SUMIF(주문_리스트!E:E,제품!D11,주문_리스트!H:H)</f>
        <v>-1</v>
      </c>
    </row>
    <row r="12" spans="1:11">
      <c r="A12">
        <v>13</v>
      </c>
      <c r="B12">
        <v>8</v>
      </c>
      <c r="D12" s="202" t="s">
        <v>1180</v>
      </c>
      <c r="F12" s="52">
        <v>25000</v>
      </c>
      <c r="I12">
        <f>SUMIF(재고!E:E,제품!D12,재고!H:H)-SUMIF(주문_리스트!E:E,제품!D12,주문_리스트!H:H)</f>
        <v>-1</v>
      </c>
    </row>
    <row r="13" spans="1:11">
      <c r="A13">
        <v>14</v>
      </c>
      <c r="B13">
        <v>8</v>
      </c>
      <c r="D13" s="202" t="s">
        <v>1181</v>
      </c>
      <c r="F13" s="52">
        <v>800000</v>
      </c>
      <c r="I13">
        <f>SUMIF(재고!E:E,제품!D13,재고!H:H)-SUMIF(주문_리스트!E:E,제품!D13,주문_리스트!H:H)</f>
        <v>-1</v>
      </c>
    </row>
    <row r="14" spans="1:11">
      <c r="A14">
        <v>15</v>
      </c>
      <c r="B14">
        <v>9</v>
      </c>
      <c r="C14" s="203">
        <v>415054509</v>
      </c>
      <c r="D14" s="202" t="s">
        <v>2655</v>
      </c>
      <c r="E14" s="202">
        <v>415054509</v>
      </c>
      <c r="F14" s="52">
        <v>330000</v>
      </c>
      <c r="I14">
        <f>SUMIF(재고!E:E,제품!D14,재고!H:H)-SUMIF(주문_리스트!E:E,제품!D14,주문_리스트!H:H)</f>
        <v>-12</v>
      </c>
      <c r="J14" t="s">
        <v>1696</v>
      </c>
      <c r="K14">
        <v>75000</v>
      </c>
    </row>
    <row r="15" spans="1:11">
      <c r="A15">
        <v>16</v>
      </c>
      <c r="B15">
        <v>2</v>
      </c>
      <c r="C15" s="203">
        <v>2830402</v>
      </c>
      <c r="D15" s="202" t="s">
        <v>1715</v>
      </c>
      <c r="E15" s="202">
        <v>2830402</v>
      </c>
      <c r="F15" s="52">
        <v>1100000</v>
      </c>
      <c r="I15">
        <f>SUMIF(재고!E:E,제품!D15,재고!H:H)-SUMIF(주문_리스트!E:E,제품!D15,주문_리스트!H:H)</f>
        <v>-2</v>
      </c>
    </row>
    <row r="16" spans="1:11">
      <c r="A16">
        <v>17</v>
      </c>
      <c r="B16">
        <v>2</v>
      </c>
      <c r="C16" s="203">
        <v>2830506</v>
      </c>
      <c r="D16" s="202" t="s">
        <v>2842</v>
      </c>
      <c r="E16" s="202">
        <v>2830506</v>
      </c>
      <c r="F16" s="52">
        <v>1650000</v>
      </c>
      <c r="I16">
        <f>SUMIF(재고!E:E,제품!D16,재고!H:H)-SUMIF(주문_리스트!E:E,제품!D16,주문_리스트!H:H)</f>
        <v>-1</v>
      </c>
    </row>
    <row r="17" spans="1:9">
      <c r="A17">
        <v>18</v>
      </c>
      <c r="B17">
        <v>3</v>
      </c>
      <c r="C17" s="203">
        <v>2820403</v>
      </c>
      <c r="D17" s="202" t="s">
        <v>2846</v>
      </c>
      <c r="E17" s="202">
        <v>2820403</v>
      </c>
      <c r="F17" s="52">
        <v>1500000</v>
      </c>
      <c r="I17">
        <f>SUMIF(재고!E:E,제품!D17,재고!H:H)-SUMIF(주문_리스트!E:E,제품!D17,주문_리스트!H:H)</f>
        <v>-6</v>
      </c>
    </row>
    <row r="18" spans="1:9">
      <c r="A18">
        <v>19</v>
      </c>
      <c r="D18" s="202" t="s">
        <v>1131</v>
      </c>
      <c r="F18" s="52">
        <v>198000</v>
      </c>
      <c r="I18">
        <f>SUMIF(재고!E:E,제품!D18,재고!H:H)-SUMIF(주문_리스트!E:E,제품!D18,주문_리스트!H:H)</f>
        <v>-1</v>
      </c>
    </row>
    <row r="19" spans="1:9">
      <c r="A19">
        <v>20</v>
      </c>
      <c r="B19">
        <v>8</v>
      </c>
      <c r="D19" s="202" t="s">
        <v>2301</v>
      </c>
      <c r="F19" s="52">
        <v>150000</v>
      </c>
      <c r="I19">
        <f>SUMIF(재고!E:E,제품!D19,재고!H:H)-SUMIF(주문_리스트!E:E,제품!D19,주문_리스트!H:H)</f>
        <v>-1</v>
      </c>
    </row>
    <row r="20" spans="1:9">
      <c r="A20">
        <v>21</v>
      </c>
      <c r="B20">
        <v>8</v>
      </c>
      <c r="D20" s="202" t="s">
        <v>2299</v>
      </c>
      <c r="F20" s="52">
        <v>100000</v>
      </c>
      <c r="I20">
        <f>SUMIF(재고!E:E,제품!D20,재고!H:H)-SUMIF(주문_리스트!E:E,제품!D20,주문_리스트!H:H)</f>
        <v>0</v>
      </c>
    </row>
    <row r="21" spans="1:9">
      <c r="A21">
        <v>22</v>
      </c>
      <c r="B21">
        <v>8</v>
      </c>
      <c r="D21" s="202" t="s">
        <v>1712</v>
      </c>
      <c r="F21" s="52">
        <v>230000</v>
      </c>
      <c r="I21">
        <f>SUMIF(재고!E:E,제품!D21,재고!H:H)-SUMIF(주문_리스트!E:E,제품!D21,주문_리스트!H:H)</f>
        <v>-1</v>
      </c>
    </row>
    <row r="22" spans="1:9">
      <c r="A22">
        <v>23</v>
      </c>
      <c r="B22">
        <v>3</v>
      </c>
      <c r="D22" s="202" t="s">
        <v>2282</v>
      </c>
      <c r="F22" s="52">
        <v>600000</v>
      </c>
      <c r="I22">
        <f>SUMIF(재고!E:E,제품!D22,재고!H:H)-SUMIF(주문_리스트!E:E,제품!D22,주문_리스트!H:H)</f>
        <v>0</v>
      </c>
    </row>
    <row r="23" spans="1:9">
      <c r="A23">
        <v>24</v>
      </c>
      <c r="B23">
        <v>4</v>
      </c>
      <c r="C23" s="203" t="s">
        <v>1236</v>
      </c>
      <c r="D23" s="202" t="s">
        <v>2295</v>
      </c>
      <c r="E23" s="202" t="s">
        <v>1236</v>
      </c>
      <c r="F23" s="52">
        <v>1000000</v>
      </c>
      <c r="I23">
        <f>SUMIF(재고!E:E,제품!D23,재고!H:H)-SUMIF(주문_리스트!E:E,제품!D23,주문_리스트!H:H)</f>
        <v>-4</v>
      </c>
    </row>
    <row r="24" spans="1:9">
      <c r="A24">
        <v>25</v>
      </c>
      <c r="B24">
        <v>4</v>
      </c>
      <c r="C24" s="203" t="s">
        <v>1237</v>
      </c>
      <c r="D24" s="202" t="s">
        <v>2295</v>
      </c>
      <c r="E24" s="202" t="s">
        <v>1237</v>
      </c>
      <c r="F24" s="52">
        <v>1000000</v>
      </c>
      <c r="I24">
        <f>SUMIF(재고!E:E,제품!D24,재고!H:H)-SUMIF(주문_리스트!E:E,제품!D24,주문_리스트!H:H)</f>
        <v>-4</v>
      </c>
    </row>
    <row r="25" spans="1:9">
      <c r="A25">
        <v>26</v>
      </c>
      <c r="B25">
        <v>3</v>
      </c>
      <c r="C25" s="203" t="s">
        <v>1238</v>
      </c>
      <c r="D25" s="202" t="s">
        <v>2283</v>
      </c>
      <c r="E25" s="202" t="s">
        <v>1238</v>
      </c>
      <c r="F25" s="52">
        <v>1400000</v>
      </c>
      <c r="I25">
        <f>SUMIF(재고!E:E,제품!D25,재고!H:H)-SUMIF(주문_리스트!E:E,제품!D25,주문_리스트!H:H)</f>
        <v>-4</v>
      </c>
    </row>
    <row r="26" spans="1:9">
      <c r="A26">
        <v>27</v>
      </c>
      <c r="B26">
        <v>3</v>
      </c>
      <c r="C26" s="203" t="s">
        <v>1239</v>
      </c>
      <c r="D26" s="202" t="s">
        <v>2277</v>
      </c>
      <c r="E26" s="202" t="s">
        <v>1239</v>
      </c>
      <c r="F26" s="52">
        <v>1500000</v>
      </c>
      <c r="I26">
        <f>SUMIF(재고!E:E,제품!D26,재고!H:H)-SUMIF(주문_리스트!E:E,제품!D26,주문_리스트!H:H)</f>
        <v>-21</v>
      </c>
    </row>
    <row r="27" spans="1:9">
      <c r="A27">
        <v>28</v>
      </c>
      <c r="B27">
        <v>3</v>
      </c>
      <c r="C27" s="203" t="s">
        <v>2080</v>
      </c>
      <c r="D27" s="202" t="s">
        <v>1703</v>
      </c>
      <c r="E27" s="202" t="s">
        <v>2080</v>
      </c>
      <c r="F27" s="52">
        <v>1500000</v>
      </c>
      <c r="I27">
        <f>SUMIF(재고!E:E,제품!D27,재고!H:H)-SUMIF(주문_리스트!E:E,제품!D27,주문_리스트!H:H)</f>
        <v>-1</v>
      </c>
    </row>
    <row r="28" spans="1:9">
      <c r="A28">
        <v>29</v>
      </c>
      <c r="B28">
        <v>1</v>
      </c>
      <c r="C28" s="202" t="s">
        <v>1263</v>
      </c>
      <c r="D28" s="202" t="s">
        <v>1261</v>
      </c>
      <c r="E28" s="202" t="s">
        <v>1263</v>
      </c>
      <c r="F28" s="52">
        <v>1400000</v>
      </c>
      <c r="H28" s="52">
        <v>5000</v>
      </c>
      <c r="I28">
        <f>SUMIF(재고!E:E,제품!D28,재고!H:H)-SUMIF(주문_리스트!E:E,제품!D28,주문_리스트!H:H)</f>
        <v>-44</v>
      </c>
    </row>
    <row r="29" spans="1:9">
      <c r="A29">
        <v>30</v>
      </c>
      <c r="B29">
        <v>1</v>
      </c>
      <c r="C29" s="203" t="s">
        <v>1242</v>
      </c>
      <c r="D29" s="202" t="s">
        <v>1243</v>
      </c>
      <c r="E29" s="202" t="s">
        <v>1242</v>
      </c>
      <c r="F29" s="52">
        <v>1200000</v>
      </c>
      <c r="I29">
        <f>SUMIF(재고!E:E,제품!D29,재고!H:H)-SUMIF(주문_리스트!E:E,제품!D29,주문_리스트!H:H)</f>
        <v>-12</v>
      </c>
    </row>
    <row r="30" spans="1:9">
      <c r="A30">
        <v>31</v>
      </c>
      <c r="B30">
        <v>1</v>
      </c>
      <c r="C30" s="203" t="s">
        <v>1244</v>
      </c>
      <c r="D30" s="202" t="s">
        <v>1243</v>
      </c>
      <c r="E30" s="202" t="s">
        <v>1244</v>
      </c>
      <c r="F30" s="52">
        <v>1200000</v>
      </c>
      <c r="I30">
        <f>SUMIF(재고!E:E,제품!D30,재고!H:H)-SUMIF(주문_리스트!E:E,제품!D30,주문_리스트!H:H)</f>
        <v>-12</v>
      </c>
    </row>
    <row r="31" spans="1:9">
      <c r="A31">
        <v>32</v>
      </c>
      <c r="B31">
        <v>3</v>
      </c>
      <c r="C31" s="203" t="s">
        <v>1832</v>
      </c>
      <c r="D31" s="202" t="s">
        <v>2315</v>
      </c>
      <c r="E31" s="202" t="s">
        <v>1832</v>
      </c>
      <c r="F31" s="52">
        <v>569000</v>
      </c>
      <c r="G31" s="52">
        <v>480000</v>
      </c>
      <c r="I31">
        <f>SUMIF(재고!E:E,제품!D31,재고!H:H)-SUMIF(주문_리스트!E:E,제품!D31,주문_리스트!H:H)</f>
        <v>-10</v>
      </c>
    </row>
    <row r="32" spans="1:9">
      <c r="A32">
        <v>33</v>
      </c>
      <c r="B32">
        <v>1</v>
      </c>
      <c r="C32" s="202" t="s">
        <v>1248</v>
      </c>
      <c r="D32" s="202" t="s">
        <v>1247</v>
      </c>
      <c r="E32" s="202" t="s">
        <v>1248</v>
      </c>
      <c r="F32" s="52">
        <v>1300000</v>
      </c>
      <c r="I32">
        <f>SUMIF(재고!E:E,제품!D32,재고!H:H)-SUMIF(주문_리스트!E:E,제품!D32,주문_리스트!H:H)</f>
        <v>0</v>
      </c>
    </row>
    <row r="33" spans="1:9">
      <c r="A33">
        <v>34</v>
      </c>
      <c r="B33">
        <v>4</v>
      </c>
      <c r="C33" s="203" t="s">
        <v>1253</v>
      </c>
      <c r="D33" s="202" t="s">
        <v>2595</v>
      </c>
      <c r="E33" s="202" t="s">
        <v>1253</v>
      </c>
      <c r="F33" s="52">
        <v>1500000</v>
      </c>
      <c r="I33">
        <f>SUMIF(재고!E:E,제품!D33,재고!H:H)-SUMIF(주문_리스트!E:E,제품!D33,주문_리스트!H:H)</f>
        <v>-8</v>
      </c>
    </row>
    <row r="34" spans="1:9">
      <c r="A34">
        <v>35</v>
      </c>
      <c r="B34">
        <v>4</v>
      </c>
      <c r="C34" s="203" t="s">
        <v>2714</v>
      </c>
      <c r="D34" s="202" t="s">
        <v>2715</v>
      </c>
      <c r="E34" s="202" t="s">
        <v>2714</v>
      </c>
      <c r="F34" s="52">
        <v>1600000</v>
      </c>
      <c r="I34">
        <f>SUMIF(재고!E:E,제품!D34,재고!H:H)-SUMIF(주문_리스트!E:E,제품!D34,주문_리스트!H:H)</f>
        <v>-1</v>
      </c>
    </row>
    <row r="35" spans="1:9">
      <c r="A35">
        <v>36</v>
      </c>
      <c r="B35">
        <v>4</v>
      </c>
      <c r="C35" s="203" t="s">
        <v>1257</v>
      </c>
      <c r="D35" s="202" t="s">
        <v>2276</v>
      </c>
      <c r="E35" s="202" t="s">
        <v>1257</v>
      </c>
      <c r="F35" s="52">
        <v>2200000</v>
      </c>
      <c r="I35">
        <f>SUMIF(재고!E:E,제품!D35,재고!H:H)-SUMIF(주문_리스트!E:E,제품!D35,주문_리스트!H:H)</f>
        <v>-1</v>
      </c>
    </row>
    <row r="36" spans="1:9">
      <c r="A36">
        <v>37</v>
      </c>
      <c r="B36">
        <v>4</v>
      </c>
      <c r="C36" s="203" t="s">
        <v>1258</v>
      </c>
      <c r="D36" s="202" t="s">
        <v>1704</v>
      </c>
      <c r="E36" s="202" t="s">
        <v>1258</v>
      </c>
      <c r="F36" s="52">
        <v>1500000</v>
      </c>
      <c r="I36">
        <f>SUMIF(재고!E:E,제품!D36,재고!H:H)-SUMIF(주문_리스트!E:E,제품!D36,주문_리스트!H:H)</f>
        <v>-4</v>
      </c>
    </row>
    <row r="37" spans="1:9">
      <c r="A37">
        <v>38</v>
      </c>
      <c r="B37">
        <v>1</v>
      </c>
      <c r="C37" s="202" t="s">
        <v>1265</v>
      </c>
      <c r="D37" s="202" t="s">
        <v>1411</v>
      </c>
      <c r="E37" s="202" t="s">
        <v>1412</v>
      </c>
      <c r="F37" s="52">
        <v>1600000</v>
      </c>
      <c r="I37">
        <f>SUMIF(재고!E:E,제품!D37,재고!H:H)-SUMIF(주문_리스트!E:E,제품!D37,주문_리스트!H:H)</f>
        <v>-1</v>
      </c>
    </row>
    <row r="38" spans="1:9">
      <c r="A38">
        <v>39</v>
      </c>
      <c r="B38">
        <v>1</v>
      </c>
      <c r="C38" s="202" t="s">
        <v>1301</v>
      </c>
      <c r="D38" s="202" t="s">
        <v>1302</v>
      </c>
      <c r="E38" s="202" t="s">
        <v>1301</v>
      </c>
      <c r="F38" s="52">
        <v>770000</v>
      </c>
      <c r="I38">
        <f>SUMIF(재고!E:E,제품!D38,재고!H:H)-SUMIF(주문_리스트!E:E,제품!D38,주문_리스트!H:H)</f>
        <v>-1</v>
      </c>
    </row>
    <row r="39" spans="1:9">
      <c r="A39">
        <v>40</v>
      </c>
      <c r="B39">
        <v>3</v>
      </c>
      <c r="C39" s="203" t="s">
        <v>1741</v>
      </c>
      <c r="D39" s="202" t="s">
        <v>2285</v>
      </c>
      <c r="E39" s="202" t="s">
        <v>1741</v>
      </c>
      <c r="F39" s="52">
        <v>130000</v>
      </c>
      <c r="G39" s="52">
        <v>90000</v>
      </c>
      <c r="I39">
        <f>SUMIF(재고!E:E,제품!D39,재고!H:H)-SUMIF(주문_리스트!E:E,제품!D39,주문_리스트!H:H)</f>
        <v>-9</v>
      </c>
    </row>
    <row r="40" spans="1:9">
      <c r="A40">
        <v>41</v>
      </c>
      <c r="B40">
        <v>2</v>
      </c>
      <c r="C40" s="203" t="s">
        <v>1795</v>
      </c>
      <c r="D40" s="202" t="s">
        <v>1796</v>
      </c>
      <c r="E40" s="202" t="s">
        <v>1795</v>
      </c>
      <c r="F40" s="52">
        <v>50000</v>
      </c>
      <c r="I40">
        <f>SUMIF(재고!E:E,제품!D40,재고!H:H)-SUMIF(주문_리스트!E:E,제품!D40,주문_리스트!H:H)</f>
        <v>-28</v>
      </c>
    </row>
    <row r="41" spans="1:9">
      <c r="A41">
        <v>43</v>
      </c>
      <c r="B41">
        <v>2</v>
      </c>
      <c r="D41" s="202" t="s">
        <v>1426</v>
      </c>
      <c r="F41" s="52">
        <v>1000000</v>
      </c>
      <c r="I41">
        <f>SUMIF(재고!E:E,제품!D41,재고!H:H)-SUMIF(주문_리스트!E:E,제품!D41,주문_리스트!H:H)</f>
        <v>-1</v>
      </c>
    </row>
    <row r="42" spans="1:9">
      <c r="A42">
        <v>44</v>
      </c>
      <c r="B42">
        <v>8</v>
      </c>
      <c r="D42" s="202" t="s">
        <v>1516</v>
      </c>
      <c r="F42" s="52">
        <v>10000</v>
      </c>
      <c r="I42">
        <f>SUMIF(재고!E:E,제품!D42,재고!H:H)-SUMIF(주문_리스트!E:E,제품!D42,주문_리스트!H:H)</f>
        <v>-1</v>
      </c>
    </row>
    <row r="43" spans="1:9">
      <c r="A43">
        <v>45</v>
      </c>
      <c r="B43">
        <v>8</v>
      </c>
      <c r="D43" s="202" t="s">
        <v>1526</v>
      </c>
      <c r="F43" s="52">
        <v>140000</v>
      </c>
      <c r="I43">
        <f>SUMIF(재고!E:E,제품!D43,재고!H:H)-SUMIF(주문_리스트!E:E,제품!D43,주문_리스트!H:H)</f>
        <v>-3</v>
      </c>
    </row>
    <row r="44" spans="1:9">
      <c r="A44">
        <v>46</v>
      </c>
      <c r="B44">
        <v>2</v>
      </c>
      <c r="D44" s="202" t="s">
        <v>1532</v>
      </c>
      <c r="F44" s="52">
        <v>1600000</v>
      </c>
      <c r="I44">
        <f>SUMIF(재고!E:E,제품!D44,재고!H:H)-SUMIF(주문_리스트!E:E,제품!D44,주문_리스트!H:H)</f>
        <v>-1</v>
      </c>
    </row>
    <row r="45" spans="1:9">
      <c r="A45">
        <v>47</v>
      </c>
      <c r="B45">
        <v>7</v>
      </c>
      <c r="D45" s="202" t="s">
        <v>2302</v>
      </c>
      <c r="F45" s="52">
        <v>1600000</v>
      </c>
      <c r="I45">
        <f>SUMIF(재고!E:E,제품!D45,재고!H:H)-SUMIF(주문_리스트!E:E,제품!D45,주문_리스트!H:H)</f>
        <v>0</v>
      </c>
    </row>
    <row r="46" spans="1:9">
      <c r="A46">
        <v>48</v>
      </c>
      <c r="B46">
        <v>3</v>
      </c>
      <c r="D46" s="202" t="s">
        <v>2286</v>
      </c>
      <c r="F46" s="52">
        <v>100000</v>
      </c>
      <c r="I46">
        <f>SUMIF(재고!E:E,제품!D46,재고!H:H)-SUMIF(주문_리스트!E:E,제품!D46,주문_리스트!H:H)</f>
        <v>0</v>
      </c>
    </row>
    <row r="47" spans="1:9">
      <c r="A47">
        <v>49</v>
      </c>
      <c r="B47">
        <v>1</v>
      </c>
      <c r="C47" s="203" t="s">
        <v>2882</v>
      </c>
      <c r="D47" s="202" t="s">
        <v>2440</v>
      </c>
      <c r="E47" s="202" t="s">
        <v>2882</v>
      </c>
      <c r="F47" s="52">
        <v>350000</v>
      </c>
      <c r="I47">
        <f>SUMIF(재고!E:E,제품!D47,재고!H:H)-SUMIF(주문_리스트!E:E,제품!D47,주문_리스트!H:H)</f>
        <v>-24</v>
      </c>
    </row>
    <row r="48" spans="1:9">
      <c r="A48">
        <v>50</v>
      </c>
      <c r="D48" s="202" t="s">
        <v>2303</v>
      </c>
      <c r="F48" s="52">
        <v>1600000</v>
      </c>
      <c r="I48">
        <f>SUMIF(재고!E:E,제품!D48,재고!H:H)-SUMIF(주문_리스트!E:E,제품!D48,주문_리스트!H:H)</f>
        <v>-2</v>
      </c>
    </row>
    <row r="49" spans="1:9">
      <c r="A49">
        <v>51</v>
      </c>
      <c r="D49" s="202" t="s">
        <v>1552</v>
      </c>
      <c r="F49" s="52">
        <v>200000</v>
      </c>
      <c r="I49">
        <f>SUMIF(재고!E:E,제품!D49,재고!H:H)-SUMIF(주문_리스트!E:E,제품!D49,주문_리스트!H:H)</f>
        <v>-1</v>
      </c>
    </row>
    <row r="50" spans="1:9">
      <c r="A50">
        <v>52</v>
      </c>
      <c r="D50" s="202" t="s">
        <v>1565</v>
      </c>
      <c r="F50" s="52">
        <v>20000</v>
      </c>
      <c r="I50">
        <f>SUMIF(재고!E:E,제품!D50,재고!H:H)-SUMIF(주문_리스트!E:E,제품!D50,주문_리스트!H:H)</f>
        <v>-8</v>
      </c>
    </row>
    <row r="51" spans="1:9">
      <c r="A51">
        <v>53</v>
      </c>
      <c r="D51" s="202" t="s">
        <v>1570</v>
      </c>
      <c r="F51" s="52">
        <v>250000</v>
      </c>
      <c r="I51">
        <f>SUMIF(재고!E:E,제품!D51,재고!H:H)-SUMIF(주문_리스트!E:E,제품!D51,주문_리스트!H:H)</f>
        <v>-2</v>
      </c>
    </row>
    <row r="52" spans="1:9">
      <c r="A52">
        <v>54</v>
      </c>
      <c r="B52">
        <v>1</v>
      </c>
      <c r="D52" s="202">
        <v>2703900</v>
      </c>
      <c r="F52" s="52">
        <v>1600000</v>
      </c>
      <c r="I52">
        <f>SUMIF(재고!E:E,제품!D52,재고!H:H)-SUMIF(주문_리스트!E:E,제품!D52,주문_리스트!H:H)</f>
        <v>-1</v>
      </c>
    </row>
    <row r="53" spans="1:9">
      <c r="A53">
        <v>55</v>
      </c>
      <c r="B53">
        <v>1</v>
      </c>
      <c r="D53" s="202">
        <v>2703900</v>
      </c>
      <c r="F53" s="52">
        <v>1600000</v>
      </c>
      <c r="I53">
        <f>SUMIF(재고!E:E,제품!D53,재고!H:H)-SUMIF(주문_리스트!E:E,제품!D53,주문_리스트!H:H)</f>
        <v>-1</v>
      </c>
    </row>
    <row r="54" spans="1:9">
      <c r="A54">
        <v>56</v>
      </c>
      <c r="D54" s="202" t="s">
        <v>1581</v>
      </c>
      <c r="F54" s="52">
        <v>450000</v>
      </c>
      <c r="I54">
        <f>SUMIF(재고!E:E,제품!D54,재고!H:H)-SUMIF(주문_리스트!E:E,제품!D54,주문_리스트!H:H)</f>
        <v>-9</v>
      </c>
    </row>
    <row r="55" spans="1:9">
      <c r="A55">
        <v>57</v>
      </c>
      <c r="B55">
        <v>2</v>
      </c>
      <c r="C55" s="203">
        <v>24152333903</v>
      </c>
      <c r="D55" s="202" t="s">
        <v>1896</v>
      </c>
      <c r="E55" s="202">
        <v>24152333903</v>
      </c>
      <c r="F55" s="52">
        <v>50000</v>
      </c>
      <c r="H55" s="52" t="s">
        <v>1897</v>
      </c>
      <c r="I55">
        <f>SUMIF(재고!E:E,제품!D55,재고!H:H)-SUMIF(주문_리스트!E:E,제품!D55,주문_리스트!H:H)</f>
        <v>-7</v>
      </c>
    </row>
    <row r="56" spans="1:9">
      <c r="A56">
        <v>58</v>
      </c>
      <c r="B56">
        <v>10</v>
      </c>
      <c r="D56" s="202" t="s">
        <v>1601</v>
      </c>
      <c r="F56" s="52">
        <v>350000</v>
      </c>
      <c r="I56">
        <f>SUMIF(재고!E:E,제품!D56,재고!H:H)-SUMIF(주문_리스트!E:E,제품!D56,주문_리스트!H:H)</f>
        <v>-1</v>
      </c>
    </row>
    <row r="57" spans="1:9">
      <c r="A57">
        <v>59</v>
      </c>
      <c r="B57">
        <v>3</v>
      </c>
      <c r="C57" s="203" t="s">
        <v>1705</v>
      </c>
      <c r="D57" s="202" t="s">
        <v>2055</v>
      </c>
      <c r="E57" s="202" t="s">
        <v>1705</v>
      </c>
      <c r="F57" s="52">
        <v>1800000</v>
      </c>
      <c r="I57">
        <f>SUMIF(재고!E:E,제품!D57,재고!H:H)-SUMIF(주문_리스트!E:E,제품!D57,주문_리스트!H:H)</f>
        <v>2</v>
      </c>
    </row>
    <row r="58" spans="1:9">
      <c r="A58">
        <v>60</v>
      </c>
      <c r="C58" s="203" t="s">
        <v>1248</v>
      </c>
      <c r="D58" s="202" t="s">
        <v>1472</v>
      </c>
      <c r="E58" s="202" t="s">
        <v>1248</v>
      </c>
      <c r="F58" s="52">
        <v>1000000</v>
      </c>
      <c r="I58">
        <f>SUMIF(재고!E:E,제품!D58,재고!H:H)-SUMIF(주문_리스트!E:E,제품!D58,주문_리스트!H:H)</f>
        <v>-12</v>
      </c>
    </row>
    <row r="59" spans="1:9">
      <c r="A59">
        <v>62</v>
      </c>
      <c r="B59">
        <v>3</v>
      </c>
      <c r="C59" s="203" t="s">
        <v>2920</v>
      </c>
      <c r="D59" s="202" t="s">
        <v>2304</v>
      </c>
      <c r="E59" s="202" t="s">
        <v>2920</v>
      </c>
      <c r="F59" s="52">
        <v>1100000</v>
      </c>
      <c r="I59">
        <f>SUMIF(재고!E:E,제품!D59,재고!H:H)-SUMIF(주문_리스트!E:E,제품!D59,주문_리스트!H:H)</f>
        <v>-1</v>
      </c>
    </row>
    <row r="60" spans="1:9">
      <c r="A60">
        <v>63</v>
      </c>
      <c r="B60">
        <v>1</v>
      </c>
      <c r="C60" s="203" t="s">
        <v>1709</v>
      </c>
      <c r="D60" s="202" t="s">
        <v>1708</v>
      </c>
      <c r="E60" s="202" t="s">
        <v>1709</v>
      </c>
      <c r="F60" s="52">
        <v>1100000</v>
      </c>
      <c r="I60">
        <f>SUMIF(재고!E:E,제품!D60,재고!H:H)-SUMIF(주문_리스트!E:E,제품!D60,주문_리스트!H:H)</f>
        <v>-1</v>
      </c>
    </row>
    <row r="61" spans="1:9">
      <c r="A61">
        <v>64</v>
      </c>
      <c r="B61">
        <v>1</v>
      </c>
      <c r="C61" s="203" t="s">
        <v>1710</v>
      </c>
      <c r="D61" s="202" t="s">
        <v>1711</v>
      </c>
      <c r="E61" s="202" t="s">
        <v>1710</v>
      </c>
      <c r="F61" s="52">
        <v>3500000</v>
      </c>
      <c r="I61">
        <f>SUMIF(재고!E:E,제품!D61,재고!H:H)-SUMIF(주문_리스트!E:E,제품!D61,주문_리스트!H:H)</f>
        <v>0</v>
      </c>
    </row>
    <row r="62" spans="1:9">
      <c r="A62">
        <v>65</v>
      </c>
      <c r="B62">
        <v>3</v>
      </c>
      <c r="C62" s="203">
        <v>2820403</v>
      </c>
      <c r="D62" s="202" t="s">
        <v>2844</v>
      </c>
      <c r="E62" s="202">
        <v>2820403</v>
      </c>
      <c r="F62" s="52">
        <v>800000</v>
      </c>
      <c r="I62">
        <f>SUMIF(재고!E:E,제품!D62,재고!H:H)-SUMIF(주문_리스트!E:E,제품!D62,주문_리스트!H:H)</f>
        <v>0</v>
      </c>
    </row>
    <row r="63" spans="1:9">
      <c r="A63">
        <v>66</v>
      </c>
      <c r="B63">
        <v>9</v>
      </c>
      <c r="C63" s="203">
        <v>415090409</v>
      </c>
      <c r="D63" s="202" t="s">
        <v>2655</v>
      </c>
      <c r="E63" s="202">
        <v>415090409</v>
      </c>
      <c r="F63" s="52">
        <v>510000</v>
      </c>
      <c r="H63" s="52" t="s">
        <v>2656</v>
      </c>
      <c r="I63">
        <f>SUMIF(재고!E:E,제품!D63,재고!H:H)-SUMIF(주문_리스트!E:E,제품!D63,주문_리스트!H:H)</f>
        <v>-12</v>
      </c>
    </row>
    <row r="64" spans="1:9">
      <c r="A64">
        <v>67</v>
      </c>
      <c r="C64" s="203" t="s">
        <v>1677</v>
      </c>
      <c r="D64" s="202" t="s">
        <v>1678</v>
      </c>
      <c r="E64" s="202" t="s">
        <v>1677</v>
      </c>
      <c r="F64" s="52">
        <v>12000</v>
      </c>
      <c r="I64">
        <f>SUMIF(재고!E:E,제품!D64,재고!H:H)-SUMIF(주문_리스트!E:E,제품!D64,주문_리스트!H:H)</f>
        <v>-2</v>
      </c>
    </row>
    <row r="65" spans="1:9">
      <c r="A65">
        <v>68</v>
      </c>
      <c r="D65" s="202" t="s">
        <v>1680</v>
      </c>
      <c r="F65" s="52">
        <v>27000</v>
      </c>
      <c r="I65">
        <f>SUMIF(재고!E:E,제품!D65,재고!H:H)-SUMIF(주문_리스트!E:E,제품!D65,주문_리스트!H:H)</f>
        <v>-1</v>
      </c>
    </row>
    <row r="66" spans="1:9">
      <c r="A66">
        <v>69</v>
      </c>
      <c r="B66">
        <v>2</v>
      </c>
      <c r="D66" s="202" t="s">
        <v>1688</v>
      </c>
      <c r="F66" s="52">
        <v>850000</v>
      </c>
      <c r="I66">
        <f>SUMIF(재고!E:E,제품!D66,재고!H:H)-SUMIF(주문_리스트!E:E,제품!D66,주문_리스트!H:H)</f>
        <v>-1</v>
      </c>
    </row>
    <row r="67" spans="1:9">
      <c r="A67">
        <v>70</v>
      </c>
      <c r="B67">
        <v>4</v>
      </c>
      <c r="C67" s="203">
        <v>50228</v>
      </c>
      <c r="D67" s="202" t="s">
        <v>2287</v>
      </c>
      <c r="E67" s="202">
        <v>50228</v>
      </c>
      <c r="F67" s="52">
        <v>110000</v>
      </c>
      <c r="I67">
        <f>SUMIF(재고!E:E,제품!D67,재고!H:H)-SUMIF(주문_리스트!E:E,제품!D67,주문_리스트!H:H)</f>
        <v>-10</v>
      </c>
    </row>
    <row r="68" spans="1:9">
      <c r="A68">
        <v>71</v>
      </c>
      <c r="B68">
        <v>4</v>
      </c>
      <c r="C68" s="203">
        <v>50229</v>
      </c>
      <c r="D68" s="202" t="s">
        <v>2287</v>
      </c>
      <c r="E68" s="202">
        <v>50229</v>
      </c>
      <c r="F68" s="52">
        <v>75000</v>
      </c>
      <c r="I68">
        <f>SUMIF(재고!E:E,제품!D68,재고!H:H)-SUMIF(주문_리스트!E:E,제품!D68,주문_리스트!H:H)</f>
        <v>-10</v>
      </c>
    </row>
    <row r="69" spans="1:9">
      <c r="A69">
        <v>72</v>
      </c>
      <c r="D69" s="202" t="s">
        <v>1714</v>
      </c>
      <c r="F69" s="52">
        <v>150000</v>
      </c>
      <c r="I69">
        <f>SUMIF(재고!E:E,제품!D69,재고!H:H)-SUMIF(주문_리스트!E:E,제품!D69,주문_리스트!H:H)</f>
        <v>0</v>
      </c>
    </row>
    <row r="70" spans="1:9">
      <c r="A70">
        <v>73</v>
      </c>
      <c r="D70" s="202" t="s">
        <v>1714</v>
      </c>
      <c r="F70" s="52">
        <v>200000</v>
      </c>
      <c r="I70">
        <f>SUMIF(재고!E:E,제품!D70,재고!H:H)-SUMIF(주문_리스트!E:E,제품!D70,주문_리스트!H:H)</f>
        <v>0</v>
      </c>
    </row>
    <row r="71" spans="1:9">
      <c r="A71">
        <v>74</v>
      </c>
      <c r="D71" s="202" t="s">
        <v>1722</v>
      </c>
      <c r="F71" s="52">
        <v>250000</v>
      </c>
      <c r="I71">
        <f>SUMIF(재고!E:E,제품!D71,재고!H:H)-SUMIF(주문_리스트!E:E,제품!D71,주문_리스트!H:H)</f>
        <v>-1</v>
      </c>
    </row>
    <row r="72" spans="1:9">
      <c r="A72">
        <v>75</v>
      </c>
      <c r="B72">
        <v>2</v>
      </c>
      <c r="D72" s="202" t="s">
        <v>1729</v>
      </c>
      <c r="F72" s="52">
        <v>1850000</v>
      </c>
      <c r="I72">
        <f>SUMIF(재고!E:E,제품!D72,재고!H:H)-SUMIF(주문_리스트!E:E,제품!D72,주문_리스트!H:H)</f>
        <v>-1</v>
      </c>
    </row>
    <row r="73" spans="1:9">
      <c r="A73">
        <v>76</v>
      </c>
      <c r="B73">
        <v>4</v>
      </c>
      <c r="C73" s="203" t="s">
        <v>2716</v>
      </c>
      <c r="D73" s="202" t="s">
        <v>2717</v>
      </c>
      <c r="E73" s="202" t="s">
        <v>2716</v>
      </c>
      <c r="F73" s="52">
        <v>1500000</v>
      </c>
      <c r="I73">
        <f>SUMIF(재고!E:E,제품!D73,재고!H:H)-SUMIF(주문_리스트!E:E,제품!D73,주문_리스트!H:H)</f>
        <v>0</v>
      </c>
    </row>
    <row r="74" spans="1:9">
      <c r="A74">
        <v>77</v>
      </c>
      <c r="B74">
        <v>4</v>
      </c>
      <c r="C74" s="203" t="s">
        <v>1743</v>
      </c>
      <c r="D74" s="202" t="s">
        <v>2296</v>
      </c>
      <c r="E74" s="202" t="s">
        <v>1743</v>
      </c>
      <c r="F74" s="52">
        <v>50000</v>
      </c>
      <c r="G74" s="52">
        <v>14500</v>
      </c>
      <c r="I74">
        <f>SUMIF(재고!E:E,제품!D74,재고!H:H)-SUMIF(주문_리스트!E:E,제품!D74,주문_리스트!H:H)</f>
        <v>0</v>
      </c>
    </row>
    <row r="75" spans="1:9">
      <c r="A75">
        <v>78</v>
      </c>
      <c r="B75">
        <v>13</v>
      </c>
      <c r="C75" s="203">
        <v>28111601</v>
      </c>
      <c r="D75" s="202" t="s">
        <v>1842</v>
      </c>
      <c r="E75" s="202">
        <v>28111601</v>
      </c>
      <c r="F75" s="52">
        <v>220000</v>
      </c>
      <c r="G75" s="52">
        <v>105000</v>
      </c>
      <c r="H75" s="52" t="s">
        <v>1848</v>
      </c>
      <c r="I75">
        <f>SUMIF(재고!E:E,제품!D75,재고!H:H)-SUMIF(주문_리스트!E:E,제품!D75,주문_리스트!H:H)</f>
        <v>0</v>
      </c>
    </row>
    <row r="76" spans="1:9">
      <c r="A76">
        <v>79</v>
      </c>
      <c r="D76" s="202" t="s">
        <v>1844</v>
      </c>
      <c r="F76" s="52">
        <v>200000</v>
      </c>
      <c r="G76" s="52">
        <v>105000</v>
      </c>
      <c r="H76" s="52" t="s">
        <v>1843</v>
      </c>
      <c r="I76">
        <f>SUMIF(재고!E:E,제품!D76,재고!H:H)-SUMIF(주문_리스트!E:E,제품!D76,주문_리스트!H:H)</f>
        <v>0</v>
      </c>
    </row>
    <row r="77" spans="1:9">
      <c r="A77">
        <v>80</v>
      </c>
      <c r="D77" s="202" t="s">
        <v>2297</v>
      </c>
      <c r="F77" s="52">
        <v>130000</v>
      </c>
      <c r="G77" s="52">
        <v>53000</v>
      </c>
      <c r="I77">
        <f>SUMIF(재고!E:E,제품!D77,재고!H:H)-SUMIF(주문_리스트!E:E,제품!D77,주문_리스트!H:H)</f>
        <v>0</v>
      </c>
    </row>
    <row r="78" spans="1:9">
      <c r="A78">
        <v>81</v>
      </c>
      <c r="B78">
        <v>2</v>
      </c>
      <c r="C78" s="203" t="s">
        <v>1760</v>
      </c>
      <c r="D78" s="202" t="s">
        <v>1776</v>
      </c>
      <c r="E78" s="202" t="s">
        <v>1760</v>
      </c>
      <c r="F78" s="52">
        <v>20000</v>
      </c>
      <c r="G78" s="52">
        <v>12000</v>
      </c>
      <c r="H78" s="52" t="s">
        <v>1777</v>
      </c>
      <c r="I78">
        <f>SUMIF(재고!E:E,제품!D78,재고!H:H)-SUMIF(주문_리스트!E:E,제품!D78,주문_리스트!H:H)</f>
        <v>-6</v>
      </c>
    </row>
    <row r="79" spans="1:9">
      <c r="A79">
        <v>82</v>
      </c>
      <c r="D79" s="202" t="s">
        <v>1747</v>
      </c>
      <c r="F79" s="52">
        <v>20000</v>
      </c>
      <c r="G79" s="52">
        <v>10000</v>
      </c>
      <c r="I79">
        <f>SUMIF(재고!E:E,제품!D79,재고!H:H)-SUMIF(주문_리스트!E:E,제품!D79,주문_리스트!H:H)</f>
        <v>0</v>
      </c>
    </row>
    <row r="80" spans="1:9">
      <c r="A80">
        <v>83</v>
      </c>
      <c r="B80">
        <v>2</v>
      </c>
      <c r="D80" s="202" t="s">
        <v>1754</v>
      </c>
      <c r="F80" s="52">
        <v>35000</v>
      </c>
      <c r="G80" s="52">
        <v>13000</v>
      </c>
      <c r="H80" s="52" t="s">
        <v>1764</v>
      </c>
      <c r="I80">
        <f>SUMIF(재고!E:E,제품!D80,재고!H:H)-SUMIF(주문_리스트!E:E,제품!D80,주문_리스트!H:H)</f>
        <v>-3</v>
      </c>
    </row>
    <row r="81" spans="1:9">
      <c r="A81">
        <v>84</v>
      </c>
      <c r="D81" s="202" t="s">
        <v>2298</v>
      </c>
      <c r="F81" s="52">
        <v>10000</v>
      </c>
      <c r="I81">
        <f>SUMIF(재고!E:E,제품!D81,재고!H:H)-SUMIF(주문_리스트!E:E,제품!D81,주문_리스트!H:H)</f>
        <v>0</v>
      </c>
    </row>
    <row r="82" spans="1:9">
      <c r="A82">
        <v>85</v>
      </c>
      <c r="B82">
        <v>2</v>
      </c>
      <c r="D82" s="202" t="s">
        <v>1748</v>
      </c>
      <c r="F82" s="52">
        <v>130000</v>
      </c>
      <c r="G82" s="52">
        <v>53000</v>
      </c>
      <c r="H82" s="52" t="s">
        <v>1749</v>
      </c>
      <c r="I82">
        <f>SUMIF(재고!E:E,제품!D82,재고!H:H)-SUMIF(주문_리스트!E:E,제품!D82,주문_리스트!H:H)</f>
        <v>0</v>
      </c>
    </row>
    <row r="83" spans="1:9">
      <c r="A83">
        <v>86</v>
      </c>
      <c r="B83">
        <v>2</v>
      </c>
      <c r="D83" s="202" t="s">
        <v>1758</v>
      </c>
      <c r="F83" s="52">
        <v>280000</v>
      </c>
      <c r="I83">
        <f>SUMIF(재고!E:E,제품!D83,재고!H:H)-SUMIF(주문_리스트!E:E,제품!D83,주문_리스트!H:H)</f>
        <v>0</v>
      </c>
    </row>
    <row r="84" spans="1:9">
      <c r="A84">
        <v>87</v>
      </c>
      <c r="B84">
        <v>2</v>
      </c>
      <c r="C84" s="203">
        <v>24137542885</v>
      </c>
      <c r="D84" s="202" t="s">
        <v>1768</v>
      </c>
      <c r="E84" s="202">
        <v>24137542885</v>
      </c>
      <c r="H84" s="52" t="s">
        <v>1769</v>
      </c>
      <c r="I84">
        <f>SUMIF(재고!E:E,제품!D84,재고!H:H)-SUMIF(주문_리스트!E:E,제품!D84,주문_리스트!H:H)</f>
        <v>0</v>
      </c>
    </row>
    <row r="85" spans="1:9">
      <c r="A85">
        <v>88</v>
      </c>
      <c r="B85">
        <v>2</v>
      </c>
      <c r="C85" s="203">
        <v>24137519344</v>
      </c>
      <c r="D85" s="202" t="s">
        <v>1774</v>
      </c>
      <c r="E85" s="202">
        <v>24137519344</v>
      </c>
      <c r="H85" s="52" t="s">
        <v>1775</v>
      </c>
      <c r="I85">
        <f>SUMIF(재고!E:E,제품!D85,재고!H:H)-SUMIF(주문_리스트!E:E,제품!D85,주문_리스트!H:H)</f>
        <v>0</v>
      </c>
    </row>
    <row r="86" spans="1:9">
      <c r="A86">
        <v>89</v>
      </c>
      <c r="B86">
        <v>1</v>
      </c>
      <c r="C86" s="203" t="s">
        <v>2922</v>
      </c>
      <c r="D86" s="202" t="s">
        <v>2907</v>
      </c>
      <c r="E86" s="202" t="s">
        <v>2922</v>
      </c>
      <c r="F86" s="52">
        <v>129000</v>
      </c>
      <c r="G86" s="52">
        <v>70000</v>
      </c>
      <c r="I86">
        <f>SUMIF(재고!E:E,제품!D86,재고!H:H)-SUMIF(주문_리스트!E:E,제품!D86,주문_리스트!H:H)</f>
        <v>0</v>
      </c>
    </row>
    <row r="87" spans="1:9">
      <c r="A87">
        <v>90</v>
      </c>
      <c r="B87">
        <v>1</v>
      </c>
      <c r="C87" s="203" t="s">
        <v>1772</v>
      </c>
      <c r="D87" s="202" t="s">
        <v>1773</v>
      </c>
      <c r="E87" s="202" t="s">
        <v>1772</v>
      </c>
      <c r="F87" s="52">
        <v>50000</v>
      </c>
      <c r="I87">
        <f>SUMIF(재고!E:E,제품!D87,재고!H:H)-SUMIF(주문_리스트!E:E,제품!D87,주문_리스트!H:H)</f>
        <v>-19</v>
      </c>
    </row>
    <row r="88" spans="1:9">
      <c r="A88">
        <v>91</v>
      </c>
      <c r="B88">
        <v>1</v>
      </c>
      <c r="C88" s="203" t="s">
        <v>1783</v>
      </c>
      <c r="D88" s="202" t="s">
        <v>1784</v>
      </c>
      <c r="E88" s="202" t="s">
        <v>1783</v>
      </c>
      <c r="F88" s="52">
        <v>20000</v>
      </c>
      <c r="G88" s="52">
        <v>9000</v>
      </c>
      <c r="I88">
        <f>SUMIF(재고!E:E,제품!D88,재고!H:H)-SUMIF(주문_리스트!E:E,제품!D88,주문_리스트!H:H)</f>
        <v>-2</v>
      </c>
    </row>
    <row r="89" spans="1:9">
      <c r="A89">
        <v>92</v>
      </c>
      <c r="B89">
        <v>2</v>
      </c>
      <c r="C89" s="203">
        <v>2800802</v>
      </c>
      <c r="D89" s="202" t="s">
        <v>1791</v>
      </c>
      <c r="E89" s="202">
        <v>2800802</v>
      </c>
      <c r="F89" s="52">
        <v>150000</v>
      </c>
      <c r="G89" s="52">
        <v>85000</v>
      </c>
      <c r="I89">
        <f>SUMIF(재고!E:E,제품!D89,재고!H:H)-SUMIF(주문_리스트!E:E,제품!D89,주문_리스트!H:H)</f>
        <v>-20</v>
      </c>
    </row>
    <row r="90" spans="1:9">
      <c r="A90">
        <v>93</v>
      </c>
      <c r="B90">
        <v>2</v>
      </c>
      <c r="C90" s="203">
        <v>2800801</v>
      </c>
      <c r="D90" s="202" t="s">
        <v>1792</v>
      </c>
      <c r="E90" s="202">
        <v>2800801</v>
      </c>
      <c r="F90" s="52">
        <v>150000</v>
      </c>
      <c r="G90" s="52">
        <v>85000</v>
      </c>
      <c r="I90">
        <f>SUMIF(재고!E:E,제품!D90,재고!H:H)-SUMIF(주문_리스트!E:E,제품!D90,주문_리스트!H:H)</f>
        <v>-5</v>
      </c>
    </row>
    <row r="91" spans="1:9">
      <c r="A91">
        <v>94</v>
      </c>
      <c r="B91">
        <v>3</v>
      </c>
      <c r="C91" s="203" t="s">
        <v>1786</v>
      </c>
      <c r="D91" s="202" t="s">
        <v>2323</v>
      </c>
      <c r="E91" s="202" t="s">
        <v>1786</v>
      </c>
      <c r="F91" s="52">
        <v>250000</v>
      </c>
      <c r="G91" s="52">
        <v>45000</v>
      </c>
      <c r="H91" s="52" t="s">
        <v>2324</v>
      </c>
      <c r="I91">
        <f>SUMIF(재고!E:E,제품!D91,재고!H:H)-SUMIF(주문_리스트!E:E,제품!D91,주문_리스트!H:H)</f>
        <v>-3</v>
      </c>
    </row>
    <row r="92" spans="1:9">
      <c r="A92">
        <v>95</v>
      </c>
      <c r="B92">
        <v>3</v>
      </c>
      <c r="C92" s="203" t="s">
        <v>1788</v>
      </c>
      <c r="D92" s="202" t="s">
        <v>2280</v>
      </c>
      <c r="E92" s="202" t="s">
        <v>1788</v>
      </c>
      <c r="F92" s="52">
        <v>60000</v>
      </c>
      <c r="G92" s="52">
        <v>40000</v>
      </c>
      <c r="I92">
        <f>SUMIF(재고!E:E,제품!D92,재고!H:H)-SUMIF(주문_리스트!E:E,제품!D92,주문_리스트!H:H)</f>
        <v>-2</v>
      </c>
    </row>
    <row r="93" spans="1:9">
      <c r="A93">
        <v>96</v>
      </c>
      <c r="D93" s="202" t="s">
        <v>1798</v>
      </c>
      <c r="F93" s="52">
        <v>200000</v>
      </c>
      <c r="G93" s="52">
        <v>25000</v>
      </c>
      <c r="I93">
        <f>SUMIF(재고!E:E,제품!D93,재고!H:H)-SUMIF(주문_리스트!E:E,제품!D93,주문_리스트!H:H)</f>
        <v>0</v>
      </c>
    </row>
    <row r="94" spans="1:9">
      <c r="A94">
        <v>97</v>
      </c>
      <c r="B94">
        <v>3</v>
      </c>
      <c r="C94" s="203" t="s">
        <v>1800</v>
      </c>
      <c r="D94" s="202" t="s">
        <v>2288</v>
      </c>
      <c r="E94" s="202" t="s">
        <v>1800</v>
      </c>
      <c r="F94" s="52">
        <v>30000</v>
      </c>
      <c r="G94" s="52">
        <v>16000</v>
      </c>
      <c r="I94">
        <f>SUMIF(재고!E:E,제품!D94,재고!H:H)-SUMIF(주문_리스트!E:E,제품!D94,주문_리스트!H:H)</f>
        <v>-4</v>
      </c>
    </row>
    <row r="95" spans="1:9">
      <c r="A95">
        <v>98</v>
      </c>
      <c r="B95">
        <v>3</v>
      </c>
      <c r="C95" s="203" t="s">
        <v>1802</v>
      </c>
      <c r="D95" s="202" t="s">
        <v>2289</v>
      </c>
      <c r="E95" s="202" t="s">
        <v>1802</v>
      </c>
      <c r="F95" s="52">
        <v>10000</v>
      </c>
      <c r="G95" s="52">
        <v>8500</v>
      </c>
      <c r="H95" s="52" t="s">
        <v>1856</v>
      </c>
      <c r="I95">
        <f>SUMIF(재고!E:E,제품!D95,재고!H:H)-SUMIF(주문_리스트!E:E,제품!D95,주문_리스트!H:H)</f>
        <v>-10</v>
      </c>
    </row>
    <row r="96" spans="1:9">
      <c r="A96">
        <v>99</v>
      </c>
      <c r="B96">
        <v>3</v>
      </c>
      <c r="C96" s="203" t="s">
        <v>1857</v>
      </c>
      <c r="D96" s="202" t="s">
        <v>2290</v>
      </c>
      <c r="E96" s="202" t="s">
        <v>1857</v>
      </c>
      <c r="F96" s="52">
        <v>10000</v>
      </c>
      <c r="G96" s="52">
        <v>5500</v>
      </c>
      <c r="I96">
        <f>SUMIF(재고!E:E,제품!D96,재고!H:H)-SUMIF(주문_리스트!E:E,제품!D96,주문_리스트!H:H)</f>
        <v>0</v>
      </c>
    </row>
    <row r="97" spans="1:9">
      <c r="A97">
        <v>100</v>
      </c>
      <c r="B97">
        <v>3</v>
      </c>
      <c r="C97" s="203" t="s">
        <v>1803</v>
      </c>
      <c r="D97" s="202" t="s">
        <v>1804</v>
      </c>
      <c r="E97" s="202" t="s">
        <v>1803</v>
      </c>
      <c r="F97" s="52">
        <v>20000</v>
      </c>
      <c r="G97" s="52">
        <v>13000</v>
      </c>
      <c r="I97">
        <f>SUMIF(재고!E:E,제품!D97,재고!H:H)-SUMIF(주문_리스트!E:E,제품!D97,주문_리스트!H:H)</f>
        <v>-3</v>
      </c>
    </row>
    <row r="98" spans="1:9">
      <c r="A98">
        <v>101</v>
      </c>
      <c r="B98">
        <v>6</v>
      </c>
      <c r="C98" s="203">
        <v>2850701</v>
      </c>
      <c r="D98" s="202" t="s">
        <v>1805</v>
      </c>
      <c r="E98" s="202">
        <v>2850701</v>
      </c>
      <c r="F98" s="52">
        <v>400000</v>
      </c>
      <c r="G98" s="52">
        <v>160000</v>
      </c>
      <c r="I98">
        <f>SUMIF(재고!E:E,제품!D98,재고!H:H)-SUMIF(주문_리스트!E:E,제품!D98,주문_리스트!H:H)</f>
        <v>-1</v>
      </c>
    </row>
    <row r="99" spans="1:9">
      <c r="A99">
        <v>102</v>
      </c>
      <c r="B99">
        <v>1</v>
      </c>
      <c r="C99" s="203">
        <v>2810701</v>
      </c>
      <c r="D99" s="202" t="s">
        <v>2629</v>
      </c>
      <c r="E99" s="202">
        <v>2810701</v>
      </c>
      <c r="F99" s="52">
        <v>450000</v>
      </c>
      <c r="G99" s="52">
        <v>250000</v>
      </c>
      <c r="I99">
        <f>SUMIF(재고!E:E,제품!D99,재고!H:H)-SUMIF(주문_리스트!E:E,제품!D99,주문_리스트!H:H)</f>
        <v>-1</v>
      </c>
    </row>
    <row r="100" spans="1:9">
      <c r="A100">
        <v>103</v>
      </c>
      <c r="B100">
        <v>2</v>
      </c>
      <c r="C100" s="203">
        <v>2830701</v>
      </c>
      <c r="D100" s="202" t="s">
        <v>1807</v>
      </c>
      <c r="E100" s="202">
        <v>2830701</v>
      </c>
      <c r="F100" s="52">
        <v>160000</v>
      </c>
      <c r="G100" s="52">
        <v>360000</v>
      </c>
      <c r="H100" s="52" t="s">
        <v>1808</v>
      </c>
      <c r="I100">
        <f>SUMIF(재고!E:E,제품!D100,재고!H:H)-SUMIF(주문_리스트!E:E,제품!D100,주문_리스트!H:H)</f>
        <v>0</v>
      </c>
    </row>
    <row r="101" spans="1:9">
      <c r="A101">
        <v>104</v>
      </c>
      <c r="B101">
        <v>2</v>
      </c>
      <c r="C101" s="203">
        <v>2830701</v>
      </c>
      <c r="D101" s="202" t="s">
        <v>1807</v>
      </c>
      <c r="E101" s="202">
        <v>2830701</v>
      </c>
      <c r="F101" s="52">
        <v>360000</v>
      </c>
      <c r="G101" s="52">
        <v>160000</v>
      </c>
      <c r="I101">
        <f>SUMIF(재고!E:E,제품!D101,재고!H:H)-SUMIF(주문_리스트!E:E,제품!D101,주문_리스트!H:H)</f>
        <v>0</v>
      </c>
    </row>
    <row r="102" spans="1:9">
      <c r="A102">
        <v>105</v>
      </c>
      <c r="B102">
        <v>3</v>
      </c>
      <c r="C102" s="203">
        <v>2801701</v>
      </c>
      <c r="D102" s="202" t="s">
        <v>1810</v>
      </c>
      <c r="E102" s="202">
        <v>2801701</v>
      </c>
      <c r="F102" s="52">
        <v>15000</v>
      </c>
      <c r="G102" s="52">
        <v>4500</v>
      </c>
      <c r="H102" s="52" t="s">
        <v>1811</v>
      </c>
      <c r="I102">
        <f>SUMIF(재고!E:E,제품!D102,재고!H:H)-SUMIF(주문_리스트!E:E,제품!D102,주문_리스트!H:H)</f>
        <v>0</v>
      </c>
    </row>
    <row r="103" spans="1:9">
      <c r="A103">
        <v>106</v>
      </c>
      <c r="B103">
        <v>3</v>
      </c>
      <c r="C103" s="203">
        <v>2801702</v>
      </c>
      <c r="D103" s="202" t="s">
        <v>1810</v>
      </c>
      <c r="E103" s="202">
        <v>2801702</v>
      </c>
      <c r="F103" s="52">
        <v>15000</v>
      </c>
      <c r="G103" s="52">
        <v>3300</v>
      </c>
      <c r="H103" s="52" t="s">
        <v>1812</v>
      </c>
      <c r="I103">
        <f>SUMIF(재고!E:E,제품!D103,재고!H:H)-SUMIF(주문_리스트!E:E,제품!D103,주문_리스트!H:H)</f>
        <v>0</v>
      </c>
    </row>
    <row r="104" spans="1:9">
      <c r="A104">
        <v>107</v>
      </c>
      <c r="B104">
        <v>3</v>
      </c>
      <c r="C104" s="203" t="s">
        <v>1825</v>
      </c>
      <c r="D104" s="202" t="s">
        <v>2278</v>
      </c>
      <c r="E104" s="202" t="s">
        <v>1825</v>
      </c>
      <c r="F104" s="52">
        <v>50000</v>
      </c>
      <c r="G104" s="52">
        <v>33000</v>
      </c>
      <c r="H104" s="52" t="s">
        <v>1827</v>
      </c>
      <c r="I104">
        <f>SUMIF(재고!E:E,제품!D104,재고!H:H)-SUMIF(주문_리스트!E:E,제품!D104,주문_리스트!H:H)</f>
        <v>-21</v>
      </c>
    </row>
    <row r="105" spans="1:9">
      <c r="A105">
        <v>108</v>
      </c>
      <c r="B105">
        <v>2</v>
      </c>
      <c r="C105" s="203">
        <v>2830501</v>
      </c>
      <c r="D105" s="202" t="s">
        <v>1906</v>
      </c>
      <c r="E105" s="202">
        <v>2830501</v>
      </c>
      <c r="F105" s="52">
        <v>1550000</v>
      </c>
      <c r="I105">
        <f>SUMIF(재고!E:E,제품!D105,재고!H:H)-SUMIF(주문_리스트!E:E,제품!D105,주문_리스트!H:H)</f>
        <v>-10</v>
      </c>
    </row>
    <row r="106" spans="1:9">
      <c r="A106">
        <v>109</v>
      </c>
      <c r="B106">
        <v>1</v>
      </c>
      <c r="C106" s="203" t="s">
        <v>1822</v>
      </c>
      <c r="D106" s="202" t="s">
        <v>1241</v>
      </c>
      <c r="E106" s="202" t="s">
        <v>1822</v>
      </c>
      <c r="F106" s="52">
        <v>1200000</v>
      </c>
      <c r="H106" s="52" t="s">
        <v>1823</v>
      </c>
      <c r="I106">
        <f>SUMIF(재고!E:E,제품!D106,재고!H:H)-SUMIF(주문_리스트!E:E,제품!D106,주문_리스트!H:H)</f>
        <v>-44</v>
      </c>
    </row>
    <row r="107" spans="1:9">
      <c r="A107">
        <v>110</v>
      </c>
      <c r="B107">
        <v>2</v>
      </c>
      <c r="C107" s="203">
        <v>24347544930</v>
      </c>
      <c r="D107" s="202" t="s">
        <v>1830</v>
      </c>
      <c r="E107" s="202">
        <v>24347544930</v>
      </c>
      <c r="F107" s="52">
        <v>250000</v>
      </c>
      <c r="G107" s="52">
        <v>0</v>
      </c>
      <c r="H107" s="52" t="s">
        <v>1829</v>
      </c>
      <c r="I107">
        <f>SUMIF(재고!E:E,제품!D107,재고!H:H)-SUMIF(주문_리스트!E:E,제품!D107,주문_리스트!H:H)</f>
        <v>0</v>
      </c>
    </row>
    <row r="108" spans="1:9">
      <c r="A108">
        <v>111</v>
      </c>
      <c r="B108">
        <v>14</v>
      </c>
      <c r="C108" s="203">
        <v>501220639</v>
      </c>
      <c r="D108" s="202" t="s">
        <v>2179</v>
      </c>
      <c r="E108" s="202">
        <v>501220639</v>
      </c>
      <c r="F108" s="52">
        <v>250000</v>
      </c>
      <c r="G108" s="52">
        <v>150000</v>
      </c>
      <c r="I108">
        <f>SUMIF(재고!E:E,제품!D108,재고!H:H)-SUMIF(주문_리스트!E:E,제품!D108,주문_리스트!H:H)</f>
        <v>-2</v>
      </c>
    </row>
    <row r="109" spans="1:9">
      <c r="A109">
        <v>112</v>
      </c>
      <c r="B109">
        <v>12</v>
      </c>
      <c r="C109" s="203" t="s">
        <v>1836</v>
      </c>
      <c r="D109" s="202" t="s">
        <v>1837</v>
      </c>
      <c r="E109" s="202" t="s">
        <v>1836</v>
      </c>
      <c r="F109" s="52">
        <v>25000</v>
      </c>
      <c r="G109" s="52">
        <v>11200</v>
      </c>
      <c r="H109" s="52" t="s">
        <v>1838</v>
      </c>
      <c r="I109">
        <f>SUMIF(재고!E:E,제품!D109,재고!H:H)-SUMIF(주문_리스트!E:E,제품!D109,주문_리스트!H:H)</f>
        <v>-4</v>
      </c>
    </row>
    <row r="110" spans="1:9">
      <c r="A110">
        <v>113</v>
      </c>
      <c r="B110">
        <v>12</v>
      </c>
      <c r="C110" s="203" t="s">
        <v>1839</v>
      </c>
      <c r="D110" s="202" t="s">
        <v>1837</v>
      </c>
      <c r="E110" s="202" t="s">
        <v>1839</v>
      </c>
      <c r="F110" s="52">
        <v>65000</v>
      </c>
      <c r="G110" s="52">
        <v>45000</v>
      </c>
      <c r="H110" s="52" t="s">
        <v>1840</v>
      </c>
      <c r="I110">
        <f>SUMIF(재고!E:E,제품!D110,재고!H:H)-SUMIF(주문_리스트!E:E,제품!D110,주문_리스트!H:H)</f>
        <v>-4</v>
      </c>
    </row>
    <row r="111" spans="1:9">
      <c r="A111">
        <v>114</v>
      </c>
      <c r="B111">
        <v>1</v>
      </c>
      <c r="C111" s="203" t="s">
        <v>1841</v>
      </c>
      <c r="D111" s="202" t="s">
        <v>1607</v>
      </c>
      <c r="E111" s="202" t="s">
        <v>1841</v>
      </c>
      <c r="F111" s="52">
        <v>1400000</v>
      </c>
      <c r="I111">
        <f>SUMIF(재고!E:E,제품!D111,재고!H:H)-SUMIF(주문_리스트!E:E,제품!D111,주문_리스트!H:H)</f>
        <v>-1</v>
      </c>
    </row>
    <row r="112" spans="1:9">
      <c r="A112">
        <v>115</v>
      </c>
      <c r="B112">
        <v>2</v>
      </c>
      <c r="C112" s="203">
        <v>1068298046</v>
      </c>
      <c r="D112" s="202" t="s">
        <v>1894</v>
      </c>
      <c r="E112" s="202">
        <v>1068298046</v>
      </c>
      <c r="F112" s="52">
        <v>450000</v>
      </c>
      <c r="H112" s="52" t="s">
        <v>1895</v>
      </c>
      <c r="I112">
        <f>SUMIF(재고!E:E,제품!D112,재고!H:H)-SUMIF(주문_리스트!E:E,제품!D112,주문_리스트!H:H)</f>
        <v>-5</v>
      </c>
    </row>
    <row r="113" spans="1:9">
      <c r="A113">
        <v>116</v>
      </c>
      <c r="B113">
        <v>2</v>
      </c>
      <c r="C113" s="203">
        <v>1087298388</v>
      </c>
      <c r="D113" s="202" t="s">
        <v>2337</v>
      </c>
      <c r="E113" s="202">
        <v>1087298388</v>
      </c>
      <c r="F113" s="52">
        <v>550000</v>
      </c>
      <c r="H113" s="52" t="s">
        <v>2335</v>
      </c>
      <c r="I113">
        <f>SUMIF(재고!E:E,제품!D113,재고!H:H)-SUMIF(주문_리스트!E:E,제품!D113,주문_리스트!H:H)</f>
        <v>-2</v>
      </c>
    </row>
    <row r="114" spans="1:9">
      <c r="A114">
        <v>117</v>
      </c>
      <c r="B114">
        <v>2</v>
      </c>
      <c r="C114" s="203">
        <v>1068298044</v>
      </c>
      <c r="D114" s="202" t="s">
        <v>1894</v>
      </c>
      <c r="E114" s="202">
        <v>1068298044</v>
      </c>
      <c r="F114" s="52">
        <v>400000</v>
      </c>
      <c r="H114" s="52" t="s">
        <v>1899</v>
      </c>
      <c r="I114">
        <f>SUMIF(재고!E:E,제품!D114,재고!H:H)-SUMIF(주문_리스트!E:E,제품!D114,주문_리스트!H:H)</f>
        <v>-5</v>
      </c>
    </row>
    <row r="115" spans="1:9">
      <c r="A115">
        <v>118</v>
      </c>
      <c r="B115">
        <v>2</v>
      </c>
      <c r="C115" s="203">
        <v>24152333907</v>
      </c>
      <c r="D115" s="202" t="s">
        <v>1595</v>
      </c>
      <c r="E115" s="202">
        <v>24152333907</v>
      </c>
      <c r="F115" s="52">
        <v>50000</v>
      </c>
      <c r="H115" s="52" t="s">
        <v>1898</v>
      </c>
      <c r="I115">
        <f>SUMIF(재고!E:E,제품!D115,재고!H:H)-SUMIF(주문_리스트!E:E,제품!D115,주문_리스트!H:H)</f>
        <v>-7</v>
      </c>
    </row>
    <row r="116" spans="1:9">
      <c r="A116">
        <v>119</v>
      </c>
      <c r="B116">
        <v>3</v>
      </c>
      <c r="C116" s="203">
        <v>6058008122</v>
      </c>
      <c r="D116" s="202" t="s">
        <v>1909</v>
      </c>
      <c r="E116" s="202">
        <v>6058008122</v>
      </c>
      <c r="F116" s="52">
        <v>2500000</v>
      </c>
      <c r="I116">
        <f>SUMIF(재고!E:E,제품!D116,재고!H:H)-SUMIF(주문_리스트!E:E,제품!D116,주문_리스트!H:H)</f>
        <v>0</v>
      </c>
    </row>
    <row r="117" spans="1:9">
      <c r="A117">
        <v>120</v>
      </c>
      <c r="B117">
        <v>1</v>
      </c>
      <c r="C117" s="203" t="s">
        <v>1936</v>
      </c>
      <c r="D117" s="202" t="s">
        <v>1937</v>
      </c>
      <c r="E117" s="202" t="s">
        <v>1936</v>
      </c>
      <c r="F117" s="52">
        <v>210000</v>
      </c>
      <c r="G117" s="52">
        <v>150000</v>
      </c>
      <c r="H117" s="52" t="s">
        <v>1939</v>
      </c>
    </row>
    <row r="118" spans="1:9">
      <c r="A118">
        <v>121</v>
      </c>
      <c r="B118">
        <v>9</v>
      </c>
      <c r="C118" s="203">
        <v>415062109</v>
      </c>
      <c r="D118" s="202" t="s">
        <v>2655</v>
      </c>
      <c r="E118" s="202">
        <v>415062109</v>
      </c>
      <c r="F118" s="52">
        <v>680000</v>
      </c>
    </row>
    <row r="119" spans="1:9">
      <c r="A119">
        <v>122</v>
      </c>
      <c r="B119">
        <v>12</v>
      </c>
      <c r="D119" s="202" t="s">
        <v>1947</v>
      </c>
      <c r="F119" s="52">
        <v>3500000</v>
      </c>
    </row>
    <row r="120" spans="1:9">
      <c r="A120">
        <v>123</v>
      </c>
      <c r="B120">
        <v>2</v>
      </c>
      <c r="C120" s="203" t="s">
        <v>1958</v>
      </c>
      <c r="D120" s="202" t="s">
        <v>1959</v>
      </c>
      <c r="E120" s="202" t="s">
        <v>1958</v>
      </c>
      <c r="F120" s="52">
        <v>10000</v>
      </c>
      <c r="G120" s="52">
        <v>0</v>
      </c>
      <c r="H120" s="52" t="s">
        <v>1960</v>
      </c>
    </row>
    <row r="121" spans="1:9">
      <c r="A121">
        <v>124</v>
      </c>
      <c r="B121">
        <v>3</v>
      </c>
      <c r="D121" s="202" t="s">
        <v>1978</v>
      </c>
      <c r="F121" s="52">
        <v>250000</v>
      </c>
    </row>
    <row r="122" spans="1:9">
      <c r="A122">
        <v>125</v>
      </c>
      <c r="B122">
        <v>2</v>
      </c>
      <c r="C122" s="203">
        <v>501215718</v>
      </c>
      <c r="D122" s="202" t="s">
        <v>1998</v>
      </c>
      <c r="E122" s="202">
        <v>501215718</v>
      </c>
      <c r="F122" s="52">
        <v>15000</v>
      </c>
      <c r="G122" s="52">
        <v>8000</v>
      </c>
      <c r="H122" s="52" t="s">
        <v>1996</v>
      </c>
    </row>
    <row r="123" spans="1:9">
      <c r="A123">
        <v>126</v>
      </c>
      <c r="B123">
        <v>2</v>
      </c>
      <c r="C123" s="203">
        <v>501215783</v>
      </c>
      <c r="D123" s="202" t="s">
        <v>1998</v>
      </c>
      <c r="E123" s="202">
        <v>501215783</v>
      </c>
      <c r="F123" s="52">
        <v>15000</v>
      </c>
      <c r="G123" s="52">
        <v>8000</v>
      </c>
      <c r="H123" s="52" t="s">
        <v>1997</v>
      </c>
    </row>
    <row r="124" spans="1:9">
      <c r="A124">
        <v>127</v>
      </c>
      <c r="B124">
        <v>4</v>
      </c>
      <c r="C124" s="203" t="s">
        <v>2142</v>
      </c>
      <c r="D124" s="202" t="s">
        <v>2143</v>
      </c>
      <c r="E124" s="202" t="s">
        <v>2142</v>
      </c>
      <c r="F124" s="52">
        <v>1000000</v>
      </c>
    </row>
    <row r="125" spans="1:9">
      <c r="A125">
        <v>128</v>
      </c>
      <c r="B125">
        <v>14</v>
      </c>
      <c r="D125" s="202" t="s">
        <v>2004</v>
      </c>
      <c r="F125" s="52">
        <v>2000000</v>
      </c>
    </row>
    <row r="126" spans="1:9">
      <c r="A126">
        <v>129</v>
      </c>
      <c r="B126">
        <v>1</v>
      </c>
      <c r="C126" s="203" t="s">
        <v>2008</v>
      </c>
      <c r="D126" s="202" t="s">
        <v>1630</v>
      </c>
      <c r="E126" s="202" t="s">
        <v>2008</v>
      </c>
      <c r="F126" s="52">
        <v>1400000</v>
      </c>
    </row>
    <row r="127" spans="1:9">
      <c r="A127">
        <v>130</v>
      </c>
      <c r="B127">
        <v>13</v>
      </c>
      <c r="D127" s="202" t="s">
        <v>2011</v>
      </c>
      <c r="F127" s="52">
        <v>1200000</v>
      </c>
    </row>
    <row r="128" spans="1:9">
      <c r="A128">
        <v>131</v>
      </c>
      <c r="B128">
        <v>12</v>
      </c>
      <c r="C128" s="203" t="s">
        <v>2024</v>
      </c>
      <c r="D128" s="202" t="s">
        <v>2025</v>
      </c>
      <c r="E128" s="202" t="s">
        <v>2024</v>
      </c>
      <c r="F128" s="52">
        <v>1200000</v>
      </c>
      <c r="G128" s="52">
        <v>400000</v>
      </c>
      <c r="H128" s="52" t="s">
        <v>2026</v>
      </c>
    </row>
    <row r="129" spans="1:7">
      <c r="A129">
        <v>132</v>
      </c>
      <c r="B129">
        <v>12</v>
      </c>
      <c r="C129" s="203" t="s">
        <v>2022</v>
      </c>
      <c r="D129" s="202" t="s">
        <v>2023</v>
      </c>
      <c r="E129" s="202" t="s">
        <v>2022</v>
      </c>
      <c r="F129" s="52">
        <v>1000000</v>
      </c>
      <c r="G129" s="52">
        <v>380000</v>
      </c>
    </row>
    <row r="130" spans="1:7">
      <c r="A130">
        <v>133</v>
      </c>
      <c r="B130">
        <v>9</v>
      </c>
      <c r="C130" s="203">
        <v>415072909</v>
      </c>
      <c r="D130" s="202" t="s">
        <v>2655</v>
      </c>
      <c r="E130" s="202">
        <v>415072909</v>
      </c>
      <c r="F130" s="52">
        <v>380000</v>
      </c>
    </row>
    <row r="131" spans="1:7">
      <c r="A131">
        <v>134</v>
      </c>
      <c r="B131">
        <v>3</v>
      </c>
      <c r="C131" s="203" t="s">
        <v>2035</v>
      </c>
      <c r="D131" s="202" t="s">
        <v>2034</v>
      </c>
      <c r="E131" s="202" t="s">
        <v>2035</v>
      </c>
      <c r="F131" s="52">
        <v>250000</v>
      </c>
      <c r="G131" s="52">
        <v>120000</v>
      </c>
    </row>
    <row r="132" spans="1:7">
      <c r="A132">
        <v>135</v>
      </c>
      <c r="D132" s="202" t="s">
        <v>2038</v>
      </c>
      <c r="F132" s="52">
        <v>50000</v>
      </c>
    </row>
    <row r="133" spans="1:7">
      <c r="A133">
        <v>136</v>
      </c>
      <c r="B133">
        <v>4</v>
      </c>
      <c r="D133" s="202" t="s">
        <v>2044</v>
      </c>
      <c r="F133" s="52">
        <v>1600000</v>
      </c>
    </row>
    <row r="134" spans="1:7">
      <c r="A134">
        <v>137</v>
      </c>
      <c r="B134">
        <v>3</v>
      </c>
      <c r="D134" s="202" t="s">
        <v>2291</v>
      </c>
      <c r="F134" s="52">
        <v>600000</v>
      </c>
    </row>
    <row r="135" spans="1:7">
      <c r="A135">
        <v>138</v>
      </c>
      <c r="B135">
        <v>2</v>
      </c>
      <c r="C135" s="203">
        <v>7583332</v>
      </c>
      <c r="D135" s="202" t="s">
        <v>2069</v>
      </c>
      <c r="E135" s="202">
        <v>7583332</v>
      </c>
      <c r="F135" s="52">
        <v>450000</v>
      </c>
    </row>
    <row r="136" spans="1:7">
      <c r="A136">
        <v>139</v>
      </c>
      <c r="D136" s="202" t="s">
        <v>2071</v>
      </c>
      <c r="F136" s="52">
        <v>150000</v>
      </c>
    </row>
    <row r="137" spans="1:7">
      <c r="A137">
        <v>140</v>
      </c>
      <c r="B137">
        <v>1</v>
      </c>
      <c r="C137" s="203" t="s">
        <v>2078</v>
      </c>
      <c r="D137" s="202" t="s">
        <v>1243</v>
      </c>
      <c r="E137" s="202" t="s">
        <v>2078</v>
      </c>
      <c r="F137" s="52">
        <v>1700000</v>
      </c>
    </row>
    <row r="138" spans="1:7">
      <c r="A138">
        <v>141</v>
      </c>
      <c r="B138">
        <v>14</v>
      </c>
      <c r="D138" s="202" t="s">
        <v>2096</v>
      </c>
      <c r="F138" s="52">
        <v>2000000</v>
      </c>
    </row>
    <row r="139" spans="1:7">
      <c r="A139">
        <v>142</v>
      </c>
      <c r="B139">
        <v>14</v>
      </c>
      <c r="C139" s="203" t="s">
        <v>2108</v>
      </c>
      <c r="D139" s="202" t="s">
        <v>2109</v>
      </c>
      <c r="E139" s="202" t="s">
        <v>2108</v>
      </c>
      <c r="F139" s="52">
        <v>550000</v>
      </c>
    </row>
    <row r="140" spans="1:7">
      <c r="A140">
        <v>143</v>
      </c>
      <c r="D140" s="202" t="s">
        <v>2115</v>
      </c>
      <c r="F140" s="52">
        <v>84000</v>
      </c>
    </row>
    <row r="141" spans="1:7">
      <c r="A141">
        <v>144</v>
      </c>
      <c r="D141" s="202" t="s">
        <v>2118</v>
      </c>
      <c r="F141" s="52">
        <v>1000000</v>
      </c>
    </row>
    <row r="142" spans="1:7">
      <c r="A142">
        <v>145</v>
      </c>
      <c r="B142">
        <v>2</v>
      </c>
      <c r="C142" s="203">
        <v>2830406</v>
      </c>
      <c r="D142" s="202" t="s">
        <v>2845</v>
      </c>
      <c r="E142" s="202">
        <v>2830406</v>
      </c>
      <c r="F142" s="52">
        <v>1200000</v>
      </c>
    </row>
    <row r="143" spans="1:7">
      <c r="A143">
        <v>146</v>
      </c>
      <c r="B143">
        <v>14</v>
      </c>
      <c r="C143" s="203">
        <v>2830301</v>
      </c>
      <c r="D143" s="202" t="s">
        <v>2843</v>
      </c>
      <c r="E143" s="202">
        <v>2830301</v>
      </c>
      <c r="F143" s="52">
        <v>1000000</v>
      </c>
    </row>
    <row r="144" spans="1:7">
      <c r="A144">
        <v>147</v>
      </c>
      <c r="D144" s="202" t="s">
        <v>2135</v>
      </c>
      <c r="F144" s="52">
        <v>900000</v>
      </c>
    </row>
    <row r="145" spans="1:8">
      <c r="A145">
        <v>148</v>
      </c>
      <c r="B145">
        <v>8</v>
      </c>
      <c r="C145" s="203" t="s">
        <v>1996</v>
      </c>
      <c r="D145" s="202" t="s">
        <v>2236</v>
      </c>
      <c r="E145" s="202" t="s">
        <v>1996</v>
      </c>
      <c r="F145" s="52">
        <v>20000</v>
      </c>
      <c r="G145" s="52">
        <v>14500</v>
      </c>
    </row>
    <row r="146" spans="1:8">
      <c r="A146">
        <v>149</v>
      </c>
      <c r="B146">
        <v>8</v>
      </c>
      <c r="C146" s="203">
        <v>24347588724</v>
      </c>
      <c r="D146" s="202" t="s">
        <v>2150</v>
      </c>
      <c r="E146" s="202">
        <v>24347588724</v>
      </c>
      <c r="F146" s="52">
        <v>20000</v>
      </c>
      <c r="G146" s="52">
        <v>14500</v>
      </c>
    </row>
    <row r="147" spans="1:8">
      <c r="A147">
        <v>150</v>
      </c>
      <c r="B147">
        <v>14</v>
      </c>
      <c r="C147" s="203">
        <v>501220522</v>
      </c>
      <c r="D147" s="202" t="s">
        <v>2178</v>
      </c>
      <c r="E147" s="202">
        <v>501220522</v>
      </c>
      <c r="F147" s="52">
        <v>450000</v>
      </c>
    </row>
    <row r="148" spans="1:8">
      <c r="A148">
        <v>151</v>
      </c>
      <c r="C148" s="203">
        <v>2830401</v>
      </c>
      <c r="D148" s="202" t="s">
        <v>2310</v>
      </c>
      <c r="E148" s="202">
        <v>2830401</v>
      </c>
      <c r="F148" s="52">
        <v>1100000</v>
      </c>
    </row>
    <row r="149" spans="1:8">
      <c r="A149">
        <v>152</v>
      </c>
      <c r="B149">
        <v>13</v>
      </c>
      <c r="C149" s="203">
        <v>36050661</v>
      </c>
      <c r="D149" s="202" t="s">
        <v>2203</v>
      </c>
      <c r="E149" s="202">
        <v>36050661</v>
      </c>
      <c r="F149" s="52">
        <v>1200000</v>
      </c>
      <c r="G149" s="52">
        <v>440000</v>
      </c>
    </row>
    <row r="150" spans="1:8">
      <c r="A150">
        <v>153</v>
      </c>
      <c r="B150">
        <v>14</v>
      </c>
      <c r="C150" s="203" t="s">
        <v>2720</v>
      </c>
      <c r="D150" s="202" t="s">
        <v>2444</v>
      </c>
      <c r="E150" s="202" t="s">
        <v>2720</v>
      </c>
      <c r="F150" s="52">
        <v>65000</v>
      </c>
      <c r="G150" s="52">
        <v>35000</v>
      </c>
    </row>
    <row r="151" spans="1:8">
      <c r="A151">
        <v>154</v>
      </c>
      <c r="B151">
        <v>14</v>
      </c>
      <c r="C151" s="203">
        <v>6058008211</v>
      </c>
      <c r="D151" s="202" t="s">
        <v>2129</v>
      </c>
      <c r="E151" s="202">
        <v>6058008211</v>
      </c>
    </row>
    <row r="152" spans="1:8">
      <c r="A152">
        <v>155</v>
      </c>
      <c r="B152">
        <v>2</v>
      </c>
      <c r="D152" s="202" t="s">
        <v>2221</v>
      </c>
      <c r="F152" s="52">
        <v>200000</v>
      </c>
    </row>
    <row r="153" spans="1:8">
      <c r="A153">
        <v>156</v>
      </c>
      <c r="B153">
        <v>2</v>
      </c>
      <c r="D153" s="202" t="s">
        <v>2222</v>
      </c>
      <c r="F153" s="52">
        <v>250000</v>
      </c>
    </row>
    <row r="154" spans="1:8">
      <c r="A154">
        <v>157</v>
      </c>
      <c r="B154">
        <v>2</v>
      </c>
      <c r="C154" s="203">
        <v>2830502</v>
      </c>
      <c r="D154" s="202" t="s">
        <v>2847</v>
      </c>
      <c r="E154" s="202">
        <v>2830502</v>
      </c>
      <c r="F154" s="52">
        <v>1650000</v>
      </c>
    </row>
    <row r="155" spans="1:8">
      <c r="A155">
        <v>158</v>
      </c>
      <c r="B155">
        <v>14</v>
      </c>
      <c r="C155" s="203">
        <v>28120505</v>
      </c>
      <c r="D155" s="202" t="s">
        <v>2651</v>
      </c>
      <c r="E155" s="202">
        <v>28120505</v>
      </c>
      <c r="F155" s="52">
        <v>1550000</v>
      </c>
    </row>
    <row r="156" spans="1:8">
      <c r="A156">
        <v>159</v>
      </c>
      <c r="B156">
        <v>4</v>
      </c>
      <c r="D156" s="202" t="s">
        <v>2252</v>
      </c>
      <c r="F156" s="52">
        <v>990000</v>
      </c>
      <c r="G156" s="52">
        <v>940000</v>
      </c>
      <c r="H156" s="52" t="s">
        <v>2854</v>
      </c>
    </row>
    <row r="157" spans="1:8">
      <c r="A157">
        <v>160</v>
      </c>
      <c r="B157">
        <v>3</v>
      </c>
      <c r="D157" s="202" t="s">
        <v>2254</v>
      </c>
      <c r="F157" s="52">
        <v>1000000</v>
      </c>
    </row>
    <row r="158" spans="1:8">
      <c r="A158">
        <v>161</v>
      </c>
      <c r="B158">
        <v>2</v>
      </c>
      <c r="D158" s="202" t="s">
        <v>2256</v>
      </c>
      <c r="F158" s="52">
        <v>1200000</v>
      </c>
    </row>
    <row r="159" spans="1:8">
      <c r="A159">
        <v>162</v>
      </c>
      <c r="C159" s="203">
        <v>2295001282</v>
      </c>
      <c r="D159" s="202" t="s">
        <v>2655</v>
      </c>
      <c r="E159" s="202">
        <v>2295001282</v>
      </c>
      <c r="F159" s="52">
        <v>422000</v>
      </c>
    </row>
    <row r="160" spans="1:8">
      <c r="A160">
        <v>163</v>
      </c>
      <c r="D160" s="202" t="s">
        <v>2719</v>
      </c>
      <c r="F160" s="52">
        <v>500000</v>
      </c>
      <c r="G160" s="52">
        <v>250000</v>
      </c>
    </row>
    <row r="161" spans="1:8">
      <c r="A161">
        <v>164</v>
      </c>
      <c r="D161" s="202" t="s">
        <v>2329</v>
      </c>
      <c r="F161" s="52">
        <v>150000</v>
      </c>
    </row>
    <row r="162" spans="1:8">
      <c r="A162">
        <v>165</v>
      </c>
      <c r="B162">
        <v>6</v>
      </c>
      <c r="D162" s="202" t="s">
        <v>2340</v>
      </c>
      <c r="F162" s="52">
        <v>800000</v>
      </c>
    </row>
    <row r="163" spans="1:8">
      <c r="A163">
        <v>166</v>
      </c>
      <c r="D163" s="202" t="s">
        <v>2346</v>
      </c>
      <c r="F163" s="52">
        <v>900000</v>
      </c>
    </row>
    <row r="164" spans="1:8">
      <c r="A164">
        <v>167</v>
      </c>
      <c r="D164" s="202" t="s">
        <v>2357</v>
      </c>
      <c r="F164" s="52">
        <v>900000</v>
      </c>
      <c r="G164" s="52">
        <v>600000</v>
      </c>
    </row>
    <row r="165" spans="1:8">
      <c r="A165">
        <v>168</v>
      </c>
      <c r="B165">
        <v>14</v>
      </c>
      <c r="C165" s="203">
        <v>1068327224</v>
      </c>
      <c r="D165" s="202" t="s">
        <v>2373</v>
      </c>
      <c r="E165" s="202">
        <v>1068327224</v>
      </c>
      <c r="F165" s="52">
        <v>80000</v>
      </c>
      <c r="G165" s="52">
        <v>45000</v>
      </c>
    </row>
    <row r="166" spans="1:8">
      <c r="A166">
        <v>169</v>
      </c>
      <c r="C166" s="203">
        <v>1087327175</v>
      </c>
      <c r="D166" s="202" t="s">
        <v>2371</v>
      </c>
      <c r="E166" s="202">
        <v>1087327175</v>
      </c>
      <c r="F166" s="52">
        <v>90000</v>
      </c>
      <c r="G166" s="52">
        <v>65000</v>
      </c>
      <c r="H166" s="52" t="s">
        <v>2372</v>
      </c>
    </row>
    <row r="167" spans="1:8">
      <c r="A167">
        <v>170</v>
      </c>
      <c r="B167">
        <v>3</v>
      </c>
      <c r="C167" s="203" t="s">
        <v>2374</v>
      </c>
      <c r="D167" s="202" t="s">
        <v>2375</v>
      </c>
      <c r="E167" s="202" t="s">
        <v>2374</v>
      </c>
      <c r="F167" s="52">
        <v>350000</v>
      </c>
      <c r="G167" s="52">
        <v>155000</v>
      </c>
    </row>
    <row r="168" spans="1:8">
      <c r="A168">
        <v>171</v>
      </c>
      <c r="C168" s="203" t="s">
        <v>2603</v>
      </c>
      <c r="D168" s="202" t="s">
        <v>2604</v>
      </c>
      <c r="E168" s="202" t="s">
        <v>2603</v>
      </c>
      <c r="F168" s="52">
        <v>450000</v>
      </c>
      <c r="G168" s="52">
        <v>260000</v>
      </c>
    </row>
    <row r="169" spans="1:8">
      <c r="A169">
        <v>172</v>
      </c>
      <c r="C169" s="203">
        <v>4150862090</v>
      </c>
      <c r="D169" s="202" t="s">
        <v>2655</v>
      </c>
      <c r="E169" s="202">
        <v>4150862090</v>
      </c>
      <c r="F169" s="52">
        <v>445000</v>
      </c>
    </row>
    <row r="170" spans="1:8">
      <c r="A170">
        <v>173</v>
      </c>
      <c r="B170">
        <v>3</v>
      </c>
      <c r="D170" s="202" t="s">
        <v>2391</v>
      </c>
      <c r="F170" s="52">
        <v>1600000</v>
      </c>
    </row>
    <row r="171" spans="1:8">
      <c r="A171">
        <v>174</v>
      </c>
      <c r="D171" s="202" t="s">
        <v>2420</v>
      </c>
      <c r="F171" s="52">
        <v>1200000</v>
      </c>
    </row>
    <row r="172" spans="1:8">
      <c r="A172">
        <v>175</v>
      </c>
      <c r="D172" s="202" t="s">
        <v>2401</v>
      </c>
      <c r="F172" s="52">
        <v>650000</v>
      </c>
    </row>
    <row r="173" spans="1:8">
      <c r="A173">
        <v>176</v>
      </c>
      <c r="C173" s="203">
        <v>415089709</v>
      </c>
      <c r="D173" s="202" t="s">
        <v>2655</v>
      </c>
      <c r="E173" s="202">
        <v>415089709</v>
      </c>
      <c r="F173" s="52">
        <v>498000</v>
      </c>
    </row>
    <row r="174" spans="1:8">
      <c r="A174">
        <v>177</v>
      </c>
      <c r="B174">
        <v>1</v>
      </c>
      <c r="C174" s="203" t="s">
        <v>2429</v>
      </c>
      <c r="D174" s="202" t="s">
        <v>2430</v>
      </c>
      <c r="E174" s="202" t="s">
        <v>2429</v>
      </c>
      <c r="F174" s="52">
        <v>990000</v>
      </c>
      <c r="G174" s="52">
        <v>900000</v>
      </c>
    </row>
    <row r="175" spans="1:8">
      <c r="A175">
        <v>178</v>
      </c>
      <c r="B175">
        <v>14</v>
      </c>
      <c r="C175" s="203">
        <v>28120411</v>
      </c>
      <c r="D175" s="202" t="s">
        <v>2432</v>
      </c>
      <c r="E175" s="202">
        <v>28120411</v>
      </c>
      <c r="F175" s="52">
        <v>1500000</v>
      </c>
    </row>
    <row r="176" spans="1:8">
      <c r="A176">
        <v>179</v>
      </c>
      <c r="B176">
        <v>9</v>
      </c>
      <c r="C176" s="203">
        <v>1087298437</v>
      </c>
      <c r="D176" s="202" t="s">
        <v>2820</v>
      </c>
      <c r="E176" s="202">
        <v>1087298437</v>
      </c>
      <c r="F176" s="52">
        <v>86000</v>
      </c>
      <c r="G176" s="52">
        <v>76000</v>
      </c>
    </row>
    <row r="177" spans="1:7">
      <c r="A177">
        <v>180</v>
      </c>
      <c r="D177" s="202" t="s">
        <v>2447</v>
      </c>
      <c r="F177" s="52">
        <v>150000</v>
      </c>
    </row>
    <row r="178" spans="1:7">
      <c r="A178">
        <v>181</v>
      </c>
      <c r="B178">
        <v>15</v>
      </c>
      <c r="C178" s="203">
        <v>24046895</v>
      </c>
      <c r="D178" s="202" t="s">
        <v>2451</v>
      </c>
      <c r="E178" s="202">
        <v>24046895</v>
      </c>
      <c r="F178" s="52">
        <v>120000</v>
      </c>
      <c r="G178" s="52">
        <v>55000</v>
      </c>
    </row>
    <row r="179" spans="1:7">
      <c r="A179">
        <v>182</v>
      </c>
      <c r="D179" s="202" t="s">
        <v>2513</v>
      </c>
      <c r="F179" s="52">
        <v>450000</v>
      </c>
    </row>
    <row r="180" spans="1:7">
      <c r="A180">
        <v>183</v>
      </c>
      <c r="D180" s="202" t="s">
        <v>2514</v>
      </c>
      <c r="F180" s="52">
        <v>600000</v>
      </c>
    </row>
    <row r="181" spans="1:7">
      <c r="A181">
        <v>184</v>
      </c>
      <c r="B181">
        <v>1</v>
      </c>
      <c r="C181" s="203" t="s">
        <v>2516</v>
      </c>
      <c r="D181" s="202" t="s">
        <v>2517</v>
      </c>
      <c r="E181" s="202" t="s">
        <v>2516</v>
      </c>
      <c r="F181" s="52">
        <v>850000</v>
      </c>
      <c r="G181" s="52">
        <v>520000</v>
      </c>
    </row>
    <row r="182" spans="1:7">
      <c r="A182">
        <v>185</v>
      </c>
      <c r="D182" s="202" t="s">
        <v>2521</v>
      </c>
      <c r="F182" s="52">
        <v>200000</v>
      </c>
    </row>
    <row r="183" spans="1:7">
      <c r="A183">
        <v>186</v>
      </c>
      <c r="B183">
        <v>1</v>
      </c>
      <c r="C183" s="203" t="s">
        <v>2534</v>
      </c>
      <c r="D183" s="202" t="s">
        <v>2498</v>
      </c>
      <c r="E183" s="202" t="s">
        <v>2534</v>
      </c>
      <c r="F183" s="52">
        <v>770000</v>
      </c>
    </row>
    <row r="184" spans="1:7">
      <c r="A184">
        <v>187</v>
      </c>
      <c r="B184">
        <v>3</v>
      </c>
      <c r="C184" s="203" t="s">
        <v>2541</v>
      </c>
      <c r="D184" s="202" t="s">
        <v>2542</v>
      </c>
      <c r="E184" s="202" t="s">
        <v>2541</v>
      </c>
      <c r="F184" s="52">
        <v>650000</v>
      </c>
      <c r="G184" s="52">
        <v>627000</v>
      </c>
    </row>
    <row r="185" spans="1:7">
      <c r="A185">
        <v>188</v>
      </c>
      <c r="B185">
        <v>3</v>
      </c>
      <c r="C185" s="203" t="s">
        <v>2543</v>
      </c>
      <c r="D185" s="202" t="s">
        <v>2544</v>
      </c>
      <c r="E185" s="202" t="s">
        <v>2543</v>
      </c>
      <c r="F185" s="52">
        <v>100000</v>
      </c>
      <c r="G185" s="52">
        <v>69000</v>
      </c>
    </row>
    <row r="186" spans="1:7">
      <c r="A186">
        <v>189</v>
      </c>
      <c r="D186" s="202" t="s">
        <v>2581</v>
      </c>
      <c r="F186" s="52">
        <v>850000</v>
      </c>
    </row>
    <row r="187" spans="1:7">
      <c r="A187">
        <v>190</v>
      </c>
      <c r="B187">
        <v>1</v>
      </c>
      <c r="D187" s="202" t="s">
        <v>2630</v>
      </c>
      <c r="F187" s="52">
        <v>500000</v>
      </c>
    </row>
    <row r="188" spans="1:7">
      <c r="A188">
        <v>191</v>
      </c>
      <c r="C188" s="203">
        <v>2463772400</v>
      </c>
      <c r="D188" s="202" t="s">
        <v>2646</v>
      </c>
      <c r="E188" s="202">
        <v>2463772400</v>
      </c>
      <c r="F188" s="52">
        <v>67500</v>
      </c>
    </row>
    <row r="189" spans="1:7">
      <c r="A189">
        <v>192</v>
      </c>
      <c r="C189" s="203">
        <v>2462500901</v>
      </c>
      <c r="D189" s="202" t="s">
        <v>2645</v>
      </c>
      <c r="E189" s="202">
        <v>2462500901</v>
      </c>
      <c r="F189" s="52">
        <v>1170000</v>
      </c>
    </row>
    <row r="190" spans="1:7">
      <c r="A190">
        <v>193</v>
      </c>
      <c r="B190">
        <v>3</v>
      </c>
      <c r="C190" s="203" t="s">
        <v>2701</v>
      </c>
      <c r="D190" s="202" t="s">
        <v>2702</v>
      </c>
      <c r="E190" s="202" t="s">
        <v>2701</v>
      </c>
      <c r="F190" s="52">
        <v>1000000</v>
      </c>
    </row>
    <row r="191" spans="1:7">
      <c r="A191">
        <v>194</v>
      </c>
      <c r="B191">
        <v>3</v>
      </c>
      <c r="C191" s="203" t="s">
        <v>2703</v>
      </c>
      <c r="D191" s="202" t="s">
        <v>2704</v>
      </c>
      <c r="E191" s="202" t="s">
        <v>2703</v>
      </c>
      <c r="F191" s="52">
        <v>1000000</v>
      </c>
    </row>
    <row r="192" spans="1:7">
      <c r="A192">
        <v>194</v>
      </c>
      <c r="B192">
        <v>12</v>
      </c>
      <c r="C192" s="203" t="s">
        <v>2758</v>
      </c>
      <c r="D192" s="202" t="s">
        <v>2759</v>
      </c>
      <c r="E192" s="202" t="s">
        <v>2758</v>
      </c>
      <c r="F192" s="52">
        <v>1500000</v>
      </c>
      <c r="G192" s="52">
        <v>1250000</v>
      </c>
    </row>
    <row r="193" spans="1:8">
      <c r="A193">
        <v>195</v>
      </c>
      <c r="B193">
        <v>2</v>
      </c>
      <c r="D193" s="202" t="s">
        <v>2767</v>
      </c>
      <c r="F193" s="52">
        <v>1100000</v>
      </c>
    </row>
    <row r="194" spans="1:8">
      <c r="A194">
        <v>196</v>
      </c>
      <c r="D194" s="202" t="s">
        <v>2797</v>
      </c>
      <c r="F194" s="52">
        <v>1700000</v>
      </c>
    </row>
    <row r="195" spans="1:8">
      <c r="A195">
        <v>197</v>
      </c>
      <c r="C195" s="203" t="s">
        <v>2849</v>
      </c>
      <c r="D195" s="202" t="s">
        <v>2850</v>
      </c>
      <c r="E195" s="202" t="s">
        <v>2849</v>
      </c>
      <c r="F195" s="52">
        <v>400000</v>
      </c>
    </row>
    <row r="196" spans="1:8">
      <c r="A196">
        <v>198</v>
      </c>
      <c r="C196" s="203" t="s">
        <v>2873</v>
      </c>
      <c r="D196" s="202" t="s">
        <v>2874</v>
      </c>
      <c r="E196" s="202" t="s">
        <v>2873</v>
      </c>
      <c r="F196" s="52">
        <v>1500000</v>
      </c>
    </row>
    <row r="197" spans="1:8">
      <c r="A197">
        <v>199</v>
      </c>
      <c r="B197">
        <v>2</v>
      </c>
      <c r="D197" s="202" t="s">
        <v>2892</v>
      </c>
      <c r="F197" s="52">
        <v>150000</v>
      </c>
    </row>
    <row r="198" spans="1:8">
      <c r="A198">
        <v>200</v>
      </c>
      <c r="B198">
        <v>1</v>
      </c>
      <c r="C198" s="203">
        <v>7252703114</v>
      </c>
      <c r="D198" s="202" t="s">
        <v>2921</v>
      </c>
      <c r="E198" s="202">
        <v>7252703114</v>
      </c>
      <c r="F198" s="52">
        <v>198000</v>
      </c>
      <c r="G198" s="52">
        <v>135000</v>
      </c>
    </row>
    <row r="199" spans="1:8">
      <c r="A199">
        <v>201</v>
      </c>
      <c r="B199">
        <v>14</v>
      </c>
      <c r="C199" s="203">
        <v>1094302044</v>
      </c>
      <c r="D199" s="202" t="s">
        <v>2923</v>
      </c>
      <c r="E199" s="202">
        <v>1094302044</v>
      </c>
      <c r="F199" s="52">
        <v>300000</v>
      </c>
      <c r="G199" s="52">
        <v>150000</v>
      </c>
      <c r="H199" s="52" t="s">
        <v>2924</v>
      </c>
    </row>
    <row r="200" spans="1:8">
      <c r="A200">
        <v>202</v>
      </c>
      <c r="C200" s="203">
        <v>54463610</v>
      </c>
      <c r="D200" s="202" t="s">
        <v>1607</v>
      </c>
      <c r="E200" s="202">
        <v>54463610</v>
      </c>
      <c r="F200" s="52">
        <v>1600000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3" customWidth="1"/>
    <col min="5" max="5" width="26" style="202" bestFit="1" customWidth="1"/>
    <col min="6" max="6" width="14.375" style="202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6">
        <v>125</v>
      </c>
    </row>
    <row r="2" spans="1:10">
      <c r="A2">
        <v>1</v>
      </c>
      <c r="C2" s="13">
        <v>45778</v>
      </c>
      <c r="D2" s="202" t="s">
        <v>1263</v>
      </c>
      <c r="E2" s="202" t="s">
        <v>1252</v>
      </c>
      <c r="F2" s="202" t="s">
        <v>1263</v>
      </c>
      <c r="G2" s="52">
        <v>1500000</v>
      </c>
      <c r="H2">
        <v>5</v>
      </c>
    </row>
    <row r="3" spans="1:10">
      <c r="A3">
        <v>2</v>
      </c>
      <c r="C3" s="13"/>
      <c r="D3" s="202"/>
      <c r="E3" s="202" t="s">
        <v>1658</v>
      </c>
      <c r="G3" s="52">
        <v>1000000</v>
      </c>
    </row>
    <row r="4" spans="1:10">
      <c r="A4">
        <v>3</v>
      </c>
      <c r="C4" s="13"/>
      <c r="D4" s="202"/>
      <c r="E4" s="202" t="s">
        <v>1168</v>
      </c>
      <c r="G4" s="52">
        <v>300000</v>
      </c>
    </row>
    <row r="5" spans="1:10">
      <c r="A5">
        <v>4</v>
      </c>
      <c r="C5" s="13"/>
      <c r="D5" s="202"/>
      <c r="E5" s="202" t="s">
        <v>1177</v>
      </c>
      <c r="G5" s="52">
        <v>700000</v>
      </c>
    </row>
    <row r="6" spans="1:10">
      <c r="A6">
        <v>5</v>
      </c>
      <c r="E6" s="202" t="s">
        <v>1293</v>
      </c>
      <c r="G6" s="52">
        <v>1000000</v>
      </c>
    </row>
    <row r="7" spans="1:10">
      <c r="A7">
        <v>6</v>
      </c>
      <c r="D7" s="202"/>
      <c r="E7" s="202" t="s">
        <v>1692</v>
      </c>
      <c r="G7" s="52">
        <v>198000</v>
      </c>
    </row>
    <row r="8" spans="1:10">
      <c r="A8">
        <v>7</v>
      </c>
      <c r="D8" s="202"/>
      <c r="E8" s="202" t="s">
        <v>1659</v>
      </c>
      <c r="G8" s="52">
        <v>12000</v>
      </c>
    </row>
    <row r="9" spans="1:10">
      <c r="A9">
        <v>8</v>
      </c>
      <c r="D9" s="202"/>
      <c r="E9" s="202" t="s">
        <v>1813</v>
      </c>
      <c r="G9" s="52">
        <v>650000</v>
      </c>
    </row>
    <row r="10" spans="1:10">
      <c r="A10">
        <v>9</v>
      </c>
      <c r="E10" s="202" t="s">
        <v>1176</v>
      </c>
      <c r="G10" s="52">
        <v>1000000</v>
      </c>
    </row>
    <row r="11" spans="1:10">
      <c r="A11">
        <v>10</v>
      </c>
      <c r="E11" s="202" t="s">
        <v>1693</v>
      </c>
      <c r="F11" s="202">
        <v>602000700</v>
      </c>
      <c r="G11" s="52">
        <v>350000</v>
      </c>
    </row>
    <row r="12" spans="1:10">
      <c r="A12">
        <v>11</v>
      </c>
      <c r="E12" s="202" t="s">
        <v>1694</v>
      </c>
      <c r="G12" s="52">
        <v>55000</v>
      </c>
    </row>
    <row r="13" spans="1:10">
      <c r="A13">
        <v>12</v>
      </c>
      <c r="E13" s="202" t="s">
        <v>1179</v>
      </c>
      <c r="G13" s="52">
        <v>600000</v>
      </c>
    </row>
    <row r="14" spans="1:10">
      <c r="A14">
        <v>13</v>
      </c>
      <c r="E14" s="202" t="s">
        <v>1180</v>
      </c>
      <c r="G14" s="52">
        <v>25000</v>
      </c>
    </row>
    <row r="15" spans="1:10">
      <c r="A15">
        <v>14</v>
      </c>
      <c r="E15" s="202" t="s">
        <v>1181</v>
      </c>
      <c r="G15" s="52">
        <v>800000</v>
      </c>
    </row>
    <row r="16" spans="1:10">
      <c r="A16">
        <v>15</v>
      </c>
      <c r="E16" s="202" t="s">
        <v>1695</v>
      </c>
      <c r="G16" s="52">
        <v>330000</v>
      </c>
    </row>
    <row r="17" spans="1:7">
      <c r="A17">
        <v>16</v>
      </c>
      <c r="E17" s="202" t="s">
        <v>1715</v>
      </c>
      <c r="G17" s="52">
        <v>1100000</v>
      </c>
    </row>
    <row r="18" spans="1:7">
      <c r="A18">
        <v>17</v>
      </c>
      <c r="E18" s="202" t="s">
        <v>1187</v>
      </c>
      <c r="G18" s="52">
        <v>1650000</v>
      </c>
    </row>
    <row r="19" spans="1:7">
      <c r="A19">
        <v>18</v>
      </c>
      <c r="E19" s="202" t="s">
        <v>1191</v>
      </c>
      <c r="G19" s="52">
        <v>1500000</v>
      </c>
    </row>
    <row r="20" spans="1:7">
      <c r="A20">
        <v>19</v>
      </c>
      <c r="E20" s="202" t="s">
        <v>1131</v>
      </c>
      <c r="G20" s="52">
        <v>198000</v>
      </c>
    </row>
    <row r="21" spans="1:7">
      <c r="A21">
        <v>20</v>
      </c>
      <c r="E21" s="202" t="s">
        <v>1199</v>
      </c>
      <c r="G21" s="52">
        <v>150000</v>
      </c>
    </row>
    <row r="22" spans="1:7">
      <c r="A22">
        <v>21</v>
      </c>
      <c r="E22" s="202" t="s">
        <v>1200</v>
      </c>
      <c r="G22" s="52">
        <v>100000</v>
      </c>
    </row>
    <row r="23" spans="1:7">
      <c r="A23">
        <v>22</v>
      </c>
      <c r="E23" s="202" t="s">
        <v>1712</v>
      </c>
      <c r="G23" s="52">
        <v>230000</v>
      </c>
    </row>
    <row r="24" spans="1:7">
      <c r="A24">
        <v>23</v>
      </c>
      <c r="E24" s="202" t="s">
        <v>1713</v>
      </c>
      <c r="G24" s="52">
        <v>600000</v>
      </c>
    </row>
    <row r="25" spans="1:7">
      <c r="A25">
        <v>24</v>
      </c>
      <c r="D25" s="203">
        <v>927769</v>
      </c>
      <c r="E25" s="202" t="s">
        <v>1698</v>
      </c>
      <c r="F25" s="202">
        <v>927769</v>
      </c>
      <c r="G25" s="52">
        <v>1000000</v>
      </c>
    </row>
    <row r="26" spans="1:7">
      <c r="A26">
        <v>25</v>
      </c>
      <c r="D26" s="203" t="s">
        <v>1236</v>
      </c>
      <c r="E26" s="202" t="s">
        <v>1698</v>
      </c>
      <c r="F26" s="202" t="s">
        <v>1236</v>
      </c>
      <c r="G26" s="52">
        <v>1000000</v>
      </c>
    </row>
    <row r="27" spans="1:7">
      <c r="A27">
        <v>26</v>
      </c>
      <c r="D27" s="203" t="s">
        <v>1237</v>
      </c>
      <c r="E27" s="202" t="s">
        <v>1698</v>
      </c>
      <c r="F27" s="202" t="s">
        <v>1237</v>
      </c>
      <c r="G27" s="52">
        <v>1000000</v>
      </c>
    </row>
    <row r="28" spans="1:7">
      <c r="A28">
        <v>27</v>
      </c>
      <c r="D28" s="203" t="s">
        <v>1238</v>
      </c>
      <c r="E28" s="202" t="s">
        <v>1700</v>
      </c>
      <c r="F28" s="202" t="s">
        <v>1238</v>
      </c>
      <c r="G28" s="52">
        <v>1400000</v>
      </c>
    </row>
    <row r="29" spans="1:7">
      <c r="A29">
        <v>28</v>
      </c>
      <c r="D29" s="203" t="s">
        <v>1239</v>
      </c>
      <c r="E29" s="202" t="s">
        <v>1702</v>
      </c>
      <c r="F29" s="202" t="s">
        <v>1239</v>
      </c>
      <c r="G29" s="52">
        <v>1500000</v>
      </c>
    </row>
    <row r="30" spans="1:7">
      <c r="A30">
        <v>29</v>
      </c>
      <c r="D30" s="203">
        <v>927156</v>
      </c>
      <c r="E30" s="202" t="s">
        <v>1703</v>
      </c>
      <c r="F30" s="202">
        <v>927156</v>
      </c>
      <c r="G30" s="52">
        <v>1500000</v>
      </c>
    </row>
    <row r="31" spans="1:7">
      <c r="A31">
        <v>30</v>
      </c>
      <c r="D31" s="202" t="s">
        <v>1263</v>
      </c>
      <c r="E31" s="202" t="s">
        <v>1261</v>
      </c>
      <c r="F31" s="202" t="s">
        <v>1263</v>
      </c>
      <c r="G31" s="52">
        <v>1400000</v>
      </c>
    </row>
    <row r="32" spans="1:7">
      <c r="A32">
        <v>31</v>
      </c>
      <c r="D32" s="203" t="s">
        <v>1242</v>
      </c>
      <c r="E32" s="202" t="s">
        <v>1243</v>
      </c>
      <c r="F32" s="202" t="s">
        <v>1242</v>
      </c>
      <c r="G32" s="52">
        <v>1200000</v>
      </c>
    </row>
    <row r="33" spans="1:7">
      <c r="A33">
        <v>32</v>
      </c>
      <c r="D33" s="203" t="s">
        <v>1244</v>
      </c>
      <c r="E33" s="202" t="s">
        <v>1243</v>
      </c>
      <c r="F33" s="202" t="s">
        <v>1244</v>
      </c>
      <c r="G33" s="52">
        <v>1200000</v>
      </c>
    </row>
    <row r="34" spans="1:7">
      <c r="A34">
        <v>33</v>
      </c>
      <c r="D34" s="203" t="s">
        <v>1832</v>
      </c>
      <c r="E34" s="202" t="s">
        <v>1833</v>
      </c>
      <c r="F34" s="202" t="s">
        <v>1832</v>
      </c>
      <c r="G34" s="52">
        <v>549000</v>
      </c>
    </row>
    <row r="35" spans="1:7">
      <c r="A35">
        <v>34</v>
      </c>
      <c r="D35" s="202" t="s">
        <v>1248</v>
      </c>
      <c r="E35" s="202" t="s">
        <v>1247</v>
      </c>
      <c r="F35" s="202" t="s">
        <v>1248</v>
      </c>
      <c r="G35" s="52">
        <v>1300000</v>
      </c>
    </row>
    <row r="36" spans="1:7">
      <c r="A36">
        <v>35</v>
      </c>
      <c r="D36" s="203" t="s">
        <v>1254</v>
      </c>
      <c r="E36" s="202" t="s">
        <v>1252</v>
      </c>
      <c r="F36" s="202" t="s">
        <v>1253</v>
      </c>
      <c r="G36" s="52">
        <v>1500000</v>
      </c>
    </row>
    <row r="37" spans="1:7">
      <c r="A37">
        <v>36</v>
      </c>
      <c r="D37" s="203" t="s">
        <v>1254</v>
      </c>
      <c r="E37" s="202" t="s">
        <v>1255</v>
      </c>
      <c r="F37" s="202" t="s">
        <v>1254</v>
      </c>
      <c r="G37" s="52">
        <v>1600000</v>
      </c>
    </row>
    <row r="38" spans="1:7">
      <c r="A38">
        <v>37</v>
      </c>
      <c r="D38" s="203" t="s">
        <v>1257</v>
      </c>
      <c r="E38" s="202" t="s">
        <v>1256</v>
      </c>
      <c r="F38" s="202" t="s">
        <v>1257</v>
      </c>
      <c r="G38" s="52">
        <v>2200000</v>
      </c>
    </row>
    <row r="39" spans="1:7">
      <c r="A39">
        <v>38</v>
      </c>
      <c r="D39" s="203" t="s">
        <v>1258</v>
      </c>
      <c r="E39" s="202" t="s">
        <v>1704</v>
      </c>
      <c r="F39" s="202" t="s">
        <v>1258</v>
      </c>
      <c r="G39" s="52">
        <v>1500000</v>
      </c>
    </row>
    <row r="40" spans="1:7">
      <c r="A40">
        <v>39</v>
      </c>
      <c r="D40" s="202" t="s">
        <v>1265</v>
      </c>
      <c r="E40" s="202" t="s">
        <v>1411</v>
      </c>
      <c r="F40" s="202" t="s">
        <v>1412</v>
      </c>
      <c r="G40" s="52">
        <v>1600000</v>
      </c>
    </row>
    <row r="41" spans="1:7">
      <c r="A41">
        <v>40</v>
      </c>
      <c r="D41" s="202" t="s">
        <v>1301</v>
      </c>
      <c r="E41" s="202" t="s">
        <v>1302</v>
      </c>
      <c r="F41" s="202" t="s">
        <v>1301</v>
      </c>
    </row>
    <row r="42" spans="1:7">
      <c r="A42">
        <v>41</v>
      </c>
      <c r="D42" s="203" t="s">
        <v>1741</v>
      </c>
      <c r="E42" s="202" t="s">
        <v>1742</v>
      </c>
      <c r="F42" s="202" t="s">
        <v>1741</v>
      </c>
      <c r="G42" s="52">
        <v>130000</v>
      </c>
    </row>
    <row r="43" spans="1:7">
      <c r="A43">
        <v>42</v>
      </c>
      <c r="D43" s="203" t="s">
        <v>1795</v>
      </c>
      <c r="E43" s="202" t="s">
        <v>1796</v>
      </c>
      <c r="F43" s="202" t="s">
        <v>1795</v>
      </c>
      <c r="G43" s="52">
        <v>50000</v>
      </c>
    </row>
    <row r="44" spans="1:7">
      <c r="A44">
        <v>43</v>
      </c>
      <c r="D44" s="203">
        <v>2703900</v>
      </c>
      <c r="E44" s="202" t="s">
        <v>1311</v>
      </c>
      <c r="F44" s="202">
        <v>2703900</v>
      </c>
      <c r="G44" s="52">
        <v>1600000</v>
      </c>
    </row>
    <row r="45" spans="1:7">
      <c r="A45">
        <v>44</v>
      </c>
      <c r="E45" s="202" t="s">
        <v>1426</v>
      </c>
      <c r="G45" s="52">
        <v>1000000</v>
      </c>
    </row>
    <row r="46" spans="1:7">
      <c r="A46">
        <v>45</v>
      </c>
      <c r="E46" s="202" t="s">
        <v>1516</v>
      </c>
      <c r="G46" s="52">
        <v>10000</v>
      </c>
    </row>
    <row r="47" spans="1:7">
      <c r="A47">
        <v>46</v>
      </c>
      <c r="E47" s="202" t="s">
        <v>1526</v>
      </c>
      <c r="G47" s="52">
        <v>140000</v>
      </c>
    </row>
    <row r="48" spans="1:7">
      <c r="A48">
        <v>47</v>
      </c>
      <c r="E48" s="202" t="s">
        <v>1532</v>
      </c>
      <c r="G48" s="52">
        <v>1600000</v>
      </c>
    </row>
    <row r="49" spans="1:7">
      <c r="A49">
        <v>48</v>
      </c>
      <c r="E49" s="202" t="s">
        <v>1536</v>
      </c>
      <c r="G49" s="52">
        <v>1600000</v>
      </c>
    </row>
    <row r="50" spans="1:7">
      <c r="A50">
        <v>49</v>
      </c>
      <c r="E50" s="202" t="s">
        <v>1538</v>
      </c>
      <c r="G50" s="52">
        <v>100000</v>
      </c>
    </row>
    <row r="51" spans="1:7">
      <c r="A51">
        <v>50</v>
      </c>
      <c r="E51" s="202" t="s">
        <v>1542</v>
      </c>
      <c r="G51" s="52">
        <v>350000</v>
      </c>
    </row>
    <row r="52" spans="1:7">
      <c r="A52">
        <v>51</v>
      </c>
      <c r="E52" s="202" t="s">
        <v>1549</v>
      </c>
      <c r="G52" s="52">
        <v>1600000</v>
      </c>
    </row>
    <row r="53" spans="1:7">
      <c r="A53">
        <v>52</v>
      </c>
      <c r="E53" s="202" t="s">
        <v>1552</v>
      </c>
      <c r="G53" s="52">
        <v>200000</v>
      </c>
    </row>
    <row r="54" spans="1:7">
      <c r="A54">
        <v>53</v>
      </c>
      <c r="E54" s="202" t="s">
        <v>1565</v>
      </c>
      <c r="G54" s="52">
        <v>20000</v>
      </c>
    </row>
    <row r="55" spans="1:7">
      <c r="A55">
        <v>54</v>
      </c>
      <c r="E55" s="202" t="s">
        <v>1570</v>
      </c>
      <c r="G55" s="52">
        <v>250000</v>
      </c>
    </row>
    <row r="56" spans="1:7">
      <c r="A56">
        <v>55</v>
      </c>
      <c r="E56" s="202">
        <v>2703900</v>
      </c>
      <c r="G56" s="52">
        <v>1600000</v>
      </c>
    </row>
    <row r="57" spans="1:7">
      <c r="A57">
        <v>56</v>
      </c>
      <c r="E57" s="202">
        <v>2703900</v>
      </c>
      <c r="G57" s="52">
        <v>1600000</v>
      </c>
    </row>
    <row r="58" spans="1:7">
      <c r="A58">
        <v>57</v>
      </c>
      <c r="E58" s="202" t="s">
        <v>1581</v>
      </c>
      <c r="G58" s="52">
        <v>450000</v>
      </c>
    </row>
    <row r="59" spans="1:7">
      <c r="A59">
        <v>58</v>
      </c>
      <c r="D59" s="203">
        <v>24152333903</v>
      </c>
      <c r="E59" s="202" t="s">
        <v>1896</v>
      </c>
      <c r="F59" s="202">
        <v>24152333903</v>
      </c>
      <c r="G59" s="52">
        <v>50000</v>
      </c>
    </row>
    <row r="60" spans="1:7">
      <c r="A60">
        <v>59</v>
      </c>
      <c r="E60" s="202" t="s">
        <v>1601</v>
      </c>
      <c r="G60" s="52">
        <v>350000</v>
      </c>
    </row>
    <row r="61" spans="1:7">
      <c r="A61">
        <v>60</v>
      </c>
      <c r="D61" s="203" t="s">
        <v>1705</v>
      </c>
      <c r="E61" s="202" t="s">
        <v>1706</v>
      </c>
      <c r="F61" s="202" t="s">
        <v>1705</v>
      </c>
    </row>
    <row r="62" spans="1:7">
      <c r="A62">
        <v>61</v>
      </c>
      <c r="D62" s="203" t="s">
        <v>1248</v>
      </c>
      <c r="E62" s="202" t="s">
        <v>1472</v>
      </c>
      <c r="F62" s="202" t="s">
        <v>1248</v>
      </c>
      <c r="G62" s="52">
        <v>1300000</v>
      </c>
    </row>
    <row r="63" spans="1:7">
      <c r="A63">
        <v>62</v>
      </c>
      <c r="E63" s="202" t="s">
        <v>1624</v>
      </c>
      <c r="G63" s="52">
        <v>30000</v>
      </c>
    </row>
    <row r="64" spans="1:7">
      <c r="A64">
        <v>63</v>
      </c>
      <c r="E64" s="202" t="s">
        <v>1707</v>
      </c>
      <c r="G64" s="52">
        <v>1100000</v>
      </c>
    </row>
    <row r="65" spans="1:7">
      <c r="A65">
        <v>64</v>
      </c>
      <c r="D65" s="203" t="s">
        <v>1709</v>
      </c>
      <c r="E65" s="202" t="s">
        <v>1411</v>
      </c>
      <c r="F65" s="202" t="s">
        <v>1709</v>
      </c>
      <c r="G65" s="52">
        <v>1100000</v>
      </c>
    </row>
    <row r="66" spans="1:7">
      <c r="A66">
        <v>65</v>
      </c>
      <c r="D66" s="203" t="s">
        <v>1710</v>
      </c>
      <c r="E66" s="202" t="s">
        <v>1711</v>
      </c>
      <c r="F66" s="202" t="s">
        <v>1710</v>
      </c>
      <c r="G66" s="52">
        <v>3500000</v>
      </c>
    </row>
    <row r="67" spans="1:7">
      <c r="A67">
        <v>66</v>
      </c>
      <c r="E67" s="202" t="s">
        <v>1636</v>
      </c>
      <c r="G67" s="52">
        <v>800000</v>
      </c>
    </row>
    <row r="68" spans="1:7">
      <c r="A68">
        <v>67</v>
      </c>
      <c r="D68" s="203">
        <v>415090409</v>
      </c>
      <c r="E68" s="202" t="s">
        <v>1845</v>
      </c>
      <c r="F68" s="202">
        <v>415090409</v>
      </c>
      <c r="G68" s="52">
        <v>510000</v>
      </c>
    </row>
    <row r="69" spans="1:7">
      <c r="A69">
        <v>68</v>
      </c>
      <c r="D69" s="203" t="s">
        <v>1677</v>
      </c>
      <c r="E69" s="202" t="s">
        <v>1678</v>
      </c>
      <c r="F69" s="202" t="s">
        <v>1677</v>
      </c>
      <c r="G69" s="52">
        <v>12000</v>
      </c>
    </row>
    <row r="70" spans="1:7">
      <c r="A70">
        <v>69</v>
      </c>
      <c r="E70" s="202" t="s">
        <v>1680</v>
      </c>
      <c r="G70" s="52">
        <v>27000</v>
      </c>
    </row>
    <row r="71" spans="1:7">
      <c r="A71">
        <v>70</v>
      </c>
      <c r="E71" s="202" t="s">
        <v>1688</v>
      </c>
      <c r="G71" s="52">
        <v>850000</v>
      </c>
    </row>
    <row r="72" spans="1:7">
      <c r="A72">
        <v>71</v>
      </c>
      <c r="D72" s="203">
        <v>50228</v>
      </c>
      <c r="E72" s="202" t="s">
        <v>1697</v>
      </c>
      <c r="F72" s="202">
        <v>50228</v>
      </c>
      <c r="G72" s="52">
        <v>110000</v>
      </c>
    </row>
    <row r="73" spans="1:7">
      <c r="A73">
        <v>72</v>
      </c>
      <c r="D73" s="203">
        <v>50229</v>
      </c>
      <c r="E73" s="202" t="s">
        <v>1697</v>
      </c>
      <c r="F73" s="202">
        <v>50229</v>
      </c>
      <c r="G73" s="52">
        <v>75000</v>
      </c>
    </row>
    <row r="74" spans="1:7">
      <c r="A74">
        <v>73</v>
      </c>
      <c r="E74" s="202" t="s">
        <v>1714</v>
      </c>
      <c r="G74" s="52">
        <v>150000</v>
      </c>
    </row>
    <row r="75" spans="1:7">
      <c r="A75">
        <v>74</v>
      </c>
      <c r="E75" s="202" t="s">
        <v>1714</v>
      </c>
      <c r="G75" s="52">
        <v>200000</v>
      </c>
    </row>
    <row r="76" spans="1:7">
      <c r="A76">
        <v>75</v>
      </c>
      <c r="E76" s="202" t="s">
        <v>1722</v>
      </c>
      <c r="G76" s="52">
        <v>250000</v>
      </c>
    </row>
    <row r="77" spans="1:7">
      <c r="A77">
        <v>76</v>
      </c>
      <c r="E77" s="202" t="s">
        <v>1729</v>
      </c>
      <c r="G77" s="52">
        <v>1850000</v>
      </c>
    </row>
    <row r="78" spans="1:7">
      <c r="A78">
        <v>77</v>
      </c>
      <c r="D78" s="203" t="s">
        <v>1731</v>
      </c>
      <c r="E78" s="202" t="s">
        <v>1732</v>
      </c>
      <c r="F78" s="202" t="s">
        <v>1731</v>
      </c>
      <c r="G78" s="52">
        <v>1500000</v>
      </c>
    </row>
    <row r="79" spans="1:7">
      <c r="A79">
        <v>78</v>
      </c>
      <c r="D79" s="203" t="s">
        <v>1743</v>
      </c>
      <c r="E79" s="202" t="s">
        <v>1744</v>
      </c>
      <c r="F79" s="202" t="s">
        <v>1743</v>
      </c>
      <c r="G79" s="52">
        <v>50000</v>
      </c>
    </row>
    <row r="80" spans="1:7">
      <c r="A80">
        <v>79</v>
      </c>
      <c r="D80" s="203">
        <v>28111601</v>
      </c>
      <c r="E80" s="202" t="s">
        <v>1842</v>
      </c>
      <c r="F80" s="202">
        <v>28111601</v>
      </c>
      <c r="G80" s="52">
        <v>220000</v>
      </c>
    </row>
    <row r="81" spans="1:7">
      <c r="A81">
        <v>80</v>
      </c>
      <c r="E81" s="202" t="s">
        <v>1844</v>
      </c>
      <c r="G81" s="52">
        <v>200000</v>
      </c>
    </row>
    <row r="82" spans="1:7">
      <c r="A82">
        <v>81</v>
      </c>
      <c r="E82" s="202" t="s">
        <v>1745</v>
      </c>
      <c r="G82" s="52">
        <v>130000</v>
      </c>
    </row>
    <row r="83" spans="1:7">
      <c r="A83">
        <v>82</v>
      </c>
      <c r="D83" s="203" t="s">
        <v>1760</v>
      </c>
      <c r="E83" s="202" t="s">
        <v>1776</v>
      </c>
      <c r="F83" s="202" t="s">
        <v>1760</v>
      </c>
      <c r="G83" s="52">
        <v>20000</v>
      </c>
    </row>
    <row r="84" spans="1:7">
      <c r="A84">
        <v>83</v>
      </c>
      <c r="E84" s="202" t="s">
        <v>1747</v>
      </c>
      <c r="G84" s="52">
        <v>20000</v>
      </c>
    </row>
    <row r="85" spans="1:7">
      <c r="A85">
        <v>84</v>
      </c>
      <c r="E85" s="202" t="s">
        <v>1754</v>
      </c>
      <c r="G85" s="52">
        <v>35000</v>
      </c>
    </row>
    <row r="86" spans="1:7">
      <c r="A86">
        <v>85</v>
      </c>
      <c r="E86" s="202" t="s">
        <v>1746</v>
      </c>
      <c r="G86" s="52">
        <v>10000</v>
      </c>
    </row>
    <row r="87" spans="1:7">
      <c r="A87">
        <v>86</v>
      </c>
      <c r="E87" s="202" t="s">
        <v>1748</v>
      </c>
      <c r="G87" s="52">
        <v>130000</v>
      </c>
    </row>
    <row r="88" spans="1:7">
      <c r="A88">
        <v>87</v>
      </c>
      <c r="E88" s="202" t="s">
        <v>1758</v>
      </c>
      <c r="G88" s="52">
        <v>280000</v>
      </c>
    </row>
    <row r="89" spans="1:7">
      <c r="A89">
        <v>88</v>
      </c>
      <c r="D89" s="203">
        <v>24137542885</v>
      </c>
      <c r="E89" s="202" t="s">
        <v>1768</v>
      </c>
      <c r="F89" s="202">
        <v>24137542885</v>
      </c>
    </row>
    <row r="90" spans="1:7">
      <c r="A90">
        <v>89</v>
      </c>
      <c r="D90" s="203">
        <v>24137519344</v>
      </c>
      <c r="E90" s="202" t="s">
        <v>1774</v>
      </c>
      <c r="F90" s="202">
        <v>24137519344</v>
      </c>
    </row>
    <row r="91" spans="1:7">
      <c r="A91">
        <v>90</v>
      </c>
      <c r="D91" s="203">
        <v>7252703114</v>
      </c>
      <c r="E91" s="202" t="s">
        <v>1771</v>
      </c>
      <c r="F91" s="202">
        <v>7252703114</v>
      </c>
      <c r="G91" s="52">
        <v>129000</v>
      </c>
    </row>
    <row r="92" spans="1:7">
      <c r="A92">
        <v>91</v>
      </c>
      <c r="D92" s="203" t="s">
        <v>1772</v>
      </c>
      <c r="E92" s="202" t="s">
        <v>1773</v>
      </c>
      <c r="F92" s="202" t="s">
        <v>1772</v>
      </c>
      <c r="G92" s="52">
        <v>50000</v>
      </c>
    </row>
    <row r="93" spans="1:7">
      <c r="A93">
        <v>92</v>
      </c>
      <c r="D93" s="203" t="s">
        <v>1783</v>
      </c>
      <c r="E93" s="202" t="s">
        <v>1784</v>
      </c>
      <c r="F93" s="202" t="s">
        <v>1783</v>
      </c>
      <c r="G93" s="52">
        <v>20000</v>
      </c>
    </row>
    <row r="94" spans="1:7">
      <c r="A94">
        <v>93</v>
      </c>
      <c r="D94" s="203">
        <v>2800802</v>
      </c>
      <c r="E94" s="202" t="s">
        <v>1791</v>
      </c>
      <c r="F94" s="202">
        <v>2800802</v>
      </c>
      <c r="G94" s="52">
        <v>150000</v>
      </c>
    </row>
    <row r="95" spans="1:7">
      <c r="A95">
        <v>94</v>
      </c>
      <c r="D95" s="203">
        <v>2800801</v>
      </c>
      <c r="E95" s="202" t="s">
        <v>1792</v>
      </c>
      <c r="F95" s="202">
        <v>2800801</v>
      </c>
      <c r="G95" s="52">
        <v>150000</v>
      </c>
    </row>
    <row r="96" spans="1:7">
      <c r="A96">
        <v>95</v>
      </c>
      <c r="D96" s="203" t="s">
        <v>1786</v>
      </c>
      <c r="E96" s="202" t="s">
        <v>1787</v>
      </c>
      <c r="F96" s="202" t="s">
        <v>1786</v>
      </c>
      <c r="G96" s="52">
        <v>250000</v>
      </c>
    </row>
    <row r="97" spans="1:7">
      <c r="A97">
        <v>96</v>
      </c>
      <c r="D97" s="203" t="s">
        <v>1788</v>
      </c>
      <c r="E97" s="202" t="s">
        <v>1789</v>
      </c>
      <c r="F97" s="202" t="s">
        <v>1788</v>
      </c>
      <c r="G97" s="52">
        <v>60000</v>
      </c>
    </row>
    <row r="98" spans="1:7">
      <c r="A98">
        <v>97</v>
      </c>
      <c r="E98" s="202" t="s">
        <v>1798</v>
      </c>
      <c r="G98" s="52">
        <v>200000</v>
      </c>
    </row>
    <row r="99" spans="1:7">
      <c r="A99">
        <v>98</v>
      </c>
      <c r="D99" s="203" t="s">
        <v>1800</v>
      </c>
      <c r="E99" s="202" t="s">
        <v>1801</v>
      </c>
      <c r="F99" s="202" t="s">
        <v>1800</v>
      </c>
      <c r="G99" s="52">
        <v>30000</v>
      </c>
    </row>
    <row r="100" spans="1:7">
      <c r="A100">
        <v>99</v>
      </c>
      <c r="D100" s="203" t="s">
        <v>1802</v>
      </c>
      <c r="E100" s="202" t="s">
        <v>1855</v>
      </c>
      <c r="F100" s="202" t="s">
        <v>1802</v>
      </c>
      <c r="G100" s="52">
        <v>10000</v>
      </c>
    </row>
    <row r="101" spans="1:7">
      <c r="A101">
        <v>100</v>
      </c>
      <c r="D101" s="203" t="s">
        <v>1857</v>
      </c>
      <c r="E101" s="202" t="s">
        <v>1858</v>
      </c>
      <c r="F101" s="202" t="s">
        <v>1857</v>
      </c>
      <c r="G101" s="52">
        <v>10000</v>
      </c>
    </row>
    <row r="102" spans="1:7">
      <c r="A102">
        <v>101</v>
      </c>
      <c r="D102" s="203" t="s">
        <v>1803</v>
      </c>
      <c r="E102" s="202" t="s">
        <v>1804</v>
      </c>
      <c r="F102" s="202" t="s">
        <v>1803</v>
      </c>
      <c r="G102" s="52">
        <v>20000</v>
      </c>
    </row>
    <row r="103" spans="1:7">
      <c r="A103">
        <v>102</v>
      </c>
      <c r="D103" s="203">
        <v>2850701</v>
      </c>
      <c r="E103" s="202" t="s">
        <v>1805</v>
      </c>
      <c r="F103" s="202">
        <v>2850701</v>
      </c>
      <c r="G103" s="52">
        <v>400000</v>
      </c>
    </row>
    <row r="104" spans="1:7">
      <c r="A104">
        <v>103</v>
      </c>
      <c r="D104" s="203">
        <v>2810701</v>
      </c>
      <c r="E104" s="202" t="s">
        <v>1806</v>
      </c>
      <c r="F104" s="202">
        <v>2810701</v>
      </c>
      <c r="G104" s="52">
        <v>250000</v>
      </c>
    </row>
    <row r="105" spans="1:7">
      <c r="A105">
        <v>104</v>
      </c>
      <c r="D105" s="203">
        <v>2830701</v>
      </c>
      <c r="E105" s="202" t="s">
        <v>1807</v>
      </c>
      <c r="F105" s="202">
        <v>2830701</v>
      </c>
      <c r="G105" s="52">
        <v>160000</v>
      </c>
    </row>
    <row r="106" spans="1:7">
      <c r="A106">
        <v>105</v>
      </c>
      <c r="D106" s="203">
        <v>2830701</v>
      </c>
      <c r="E106" s="202" t="s">
        <v>1807</v>
      </c>
      <c r="F106" s="202">
        <v>2830701</v>
      </c>
      <c r="G106" s="52">
        <v>360000</v>
      </c>
    </row>
    <row r="107" spans="1:7">
      <c r="A107">
        <v>106</v>
      </c>
      <c r="D107" s="203">
        <v>2801701</v>
      </c>
      <c r="E107" s="202" t="s">
        <v>1810</v>
      </c>
      <c r="F107" s="202">
        <v>2801701</v>
      </c>
      <c r="G107" s="52">
        <v>15000</v>
      </c>
    </row>
    <row r="108" spans="1:7">
      <c r="A108">
        <v>107</v>
      </c>
      <c r="D108" s="203">
        <v>2801702</v>
      </c>
      <c r="E108" s="202" t="s">
        <v>1810</v>
      </c>
      <c r="F108" s="202">
        <v>2801702</v>
      </c>
      <c r="G108" s="52">
        <v>15000</v>
      </c>
    </row>
    <row r="109" spans="1:7">
      <c r="A109">
        <v>108</v>
      </c>
      <c r="D109" s="203" t="s">
        <v>1825</v>
      </c>
      <c r="E109" s="202" t="s">
        <v>1826</v>
      </c>
      <c r="F109" s="202" t="s">
        <v>1825</v>
      </c>
      <c r="G109" s="52">
        <v>50000</v>
      </c>
    </row>
    <row r="110" spans="1:7">
      <c r="A110">
        <v>109</v>
      </c>
      <c r="E110" s="202" t="s">
        <v>1814</v>
      </c>
      <c r="G110" s="52">
        <v>1550000</v>
      </c>
    </row>
    <row r="111" spans="1:7">
      <c r="A111">
        <v>110</v>
      </c>
      <c r="D111" s="203" t="s">
        <v>1822</v>
      </c>
      <c r="E111" s="202" t="s">
        <v>1241</v>
      </c>
      <c r="F111" s="202" t="s">
        <v>1822</v>
      </c>
      <c r="G111" s="52">
        <v>1200000</v>
      </c>
    </row>
    <row r="112" spans="1:7">
      <c r="A112">
        <v>111</v>
      </c>
      <c r="D112" s="203">
        <v>24347544930</v>
      </c>
      <c r="E112" s="202" t="s">
        <v>1830</v>
      </c>
      <c r="F112" s="202">
        <v>24347544930</v>
      </c>
      <c r="G112" s="52">
        <v>250000</v>
      </c>
    </row>
    <row r="113" spans="1:8">
      <c r="A113">
        <v>112</v>
      </c>
      <c r="D113" s="203">
        <v>501220641</v>
      </c>
      <c r="E113" s="202" t="s">
        <v>1831</v>
      </c>
      <c r="F113" s="202">
        <v>501220641</v>
      </c>
      <c r="G113" s="52">
        <v>300000</v>
      </c>
    </row>
    <row r="114" spans="1:8">
      <c r="A114">
        <v>113</v>
      </c>
      <c r="D114" s="203" t="s">
        <v>1836</v>
      </c>
      <c r="E114" s="202" t="s">
        <v>1837</v>
      </c>
      <c r="F114" s="202" t="s">
        <v>1836</v>
      </c>
      <c r="G114" s="52">
        <v>25000</v>
      </c>
    </row>
    <row r="115" spans="1:8">
      <c r="A115">
        <v>114</v>
      </c>
      <c r="D115" s="203" t="s">
        <v>1839</v>
      </c>
      <c r="E115" s="202" t="s">
        <v>1837</v>
      </c>
      <c r="F115" s="202" t="s">
        <v>1839</v>
      </c>
      <c r="G115" s="52">
        <v>65000</v>
      </c>
    </row>
    <row r="116" spans="1:8">
      <c r="A116">
        <v>115</v>
      </c>
      <c r="D116" s="203" t="s">
        <v>1841</v>
      </c>
      <c r="E116" s="202" t="s">
        <v>1607</v>
      </c>
      <c r="F116" s="202" t="s">
        <v>1841</v>
      </c>
      <c r="G116" s="52">
        <v>1400000</v>
      </c>
    </row>
    <row r="117" spans="1:8">
      <c r="A117">
        <v>116</v>
      </c>
      <c r="D117" s="203">
        <v>1068298046</v>
      </c>
      <c r="E117" s="202" t="s">
        <v>1894</v>
      </c>
      <c r="F117" s="202">
        <v>1068298046</v>
      </c>
      <c r="G117" s="52">
        <v>450000</v>
      </c>
    </row>
    <row r="118" spans="1:8">
      <c r="A118">
        <v>117</v>
      </c>
      <c r="D118" s="203">
        <v>1087298388</v>
      </c>
      <c r="E118" s="202" t="s">
        <v>1893</v>
      </c>
      <c r="F118" s="202">
        <v>1087298388</v>
      </c>
    </row>
    <row r="119" spans="1:8">
      <c r="A119">
        <v>118</v>
      </c>
      <c r="D119" s="203">
        <v>1068298044</v>
      </c>
      <c r="E119" s="202" t="s">
        <v>1894</v>
      </c>
      <c r="F119" s="202">
        <v>1068298044</v>
      </c>
      <c r="G119" s="52">
        <v>400000</v>
      </c>
    </row>
    <row r="120" spans="1:8">
      <c r="A120">
        <v>119</v>
      </c>
      <c r="D120" s="203">
        <v>24152333907</v>
      </c>
      <c r="E120" s="202" t="s">
        <v>1595</v>
      </c>
      <c r="F120" s="202">
        <v>24152333907</v>
      </c>
      <c r="G120" s="52">
        <v>50000</v>
      </c>
    </row>
    <row r="121" spans="1:8">
      <c r="A121">
        <v>120</v>
      </c>
      <c r="D121" s="203">
        <v>6058008122</v>
      </c>
      <c r="E121" s="202" t="s">
        <v>1909</v>
      </c>
      <c r="F121" s="202">
        <v>6058008122</v>
      </c>
      <c r="G121" s="52">
        <v>2500000</v>
      </c>
    </row>
    <row r="122" spans="1:8">
      <c r="A122">
        <v>121</v>
      </c>
      <c r="D122" s="202" t="s">
        <v>1263</v>
      </c>
      <c r="E122" s="202" t="s">
        <v>1261</v>
      </c>
      <c r="F122" s="202" t="s">
        <v>1263</v>
      </c>
      <c r="G122" s="52">
        <v>1400000</v>
      </c>
      <c r="H122">
        <v>4</v>
      </c>
    </row>
    <row r="123" spans="1:8">
      <c r="A123">
        <v>122</v>
      </c>
      <c r="D123" s="202" t="s">
        <v>1919</v>
      </c>
      <c r="E123" s="202" t="s">
        <v>1261</v>
      </c>
      <c r="F123" s="202" t="s">
        <v>1919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2" t="s">
        <v>1265</v>
      </c>
      <c r="E124" s="202" t="s">
        <v>1411</v>
      </c>
      <c r="F124" s="202" t="s">
        <v>1412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3" t="s">
        <v>1705</v>
      </c>
      <c r="E125" s="202" t="s">
        <v>2055</v>
      </c>
      <c r="F125" s="203" t="s">
        <v>1705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  <row r="5" spans="1:1">
      <c r="A5" t="s">
        <v>2833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1134</v>
      </c>
    </row>
    <row r="4" spans="1:3">
      <c r="A4">
        <v>3</v>
      </c>
      <c r="B4" t="s">
        <v>1135</v>
      </c>
    </row>
    <row r="5" spans="1:3">
      <c r="A5">
        <v>4</v>
      </c>
      <c r="B5" t="s">
        <v>1799</v>
      </c>
    </row>
    <row r="6" spans="1:3">
      <c r="A6">
        <v>5</v>
      </c>
      <c r="B6" t="s">
        <v>1136</v>
      </c>
    </row>
    <row r="7" spans="1:3">
      <c r="A7">
        <v>6</v>
      </c>
      <c r="B7" t="s">
        <v>1137</v>
      </c>
    </row>
    <row r="8" spans="1:3">
      <c r="A8">
        <v>7</v>
      </c>
      <c r="B8" t="s">
        <v>1169</v>
      </c>
    </row>
    <row r="9" spans="1:3">
      <c r="A9">
        <v>8</v>
      </c>
      <c r="B9" t="s">
        <v>1170</v>
      </c>
    </row>
    <row r="10" spans="1:3">
      <c r="A10">
        <v>9</v>
      </c>
      <c r="B10" t="s">
        <v>1178</v>
      </c>
    </row>
    <row r="11" spans="1:3">
      <c r="A11">
        <v>12</v>
      </c>
      <c r="B11" t="s">
        <v>1835</v>
      </c>
    </row>
    <row r="12" spans="1:3">
      <c r="A12">
        <v>13</v>
      </c>
      <c r="B12" t="s">
        <v>1847</v>
      </c>
    </row>
    <row r="13" spans="1:3">
      <c r="A13">
        <v>14</v>
      </c>
      <c r="B13" t="s">
        <v>2003</v>
      </c>
    </row>
    <row r="14" spans="1:3">
      <c r="A14">
        <v>15</v>
      </c>
      <c r="B14" t="s">
        <v>2450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963</v>
      </c>
      <c r="B1" t="s">
        <v>10</v>
      </c>
      <c r="C1" t="s">
        <v>9</v>
      </c>
    </row>
    <row r="2" spans="1:3" ht="54.75" thickBot="1">
      <c r="A2" s="39" t="s">
        <v>98</v>
      </c>
      <c r="B2" s="39" t="s">
        <v>99</v>
      </c>
      <c r="C2" s="40" t="s">
        <v>100</v>
      </c>
    </row>
    <row r="3" spans="1:3" ht="54.75" thickBot="1">
      <c r="A3" s="41" t="s">
        <v>101</v>
      </c>
      <c r="B3" s="42" t="s">
        <v>102</v>
      </c>
      <c r="C3" s="43" t="s">
        <v>103</v>
      </c>
    </row>
    <row r="4" spans="1:3" ht="54.75" thickBot="1">
      <c r="A4" s="39" t="s">
        <v>104</v>
      </c>
      <c r="B4" s="39" t="s">
        <v>105</v>
      </c>
      <c r="C4" s="40" t="s">
        <v>106</v>
      </c>
    </row>
    <row r="5" spans="1:3" ht="54.75" thickBot="1">
      <c r="A5" s="41" t="s">
        <v>107</v>
      </c>
      <c r="B5" s="42" t="s">
        <v>108</v>
      </c>
      <c r="C5" s="43" t="s">
        <v>109</v>
      </c>
    </row>
    <row r="6" spans="1:3" ht="54.75" thickBot="1">
      <c r="A6" s="41" t="s">
        <v>110</v>
      </c>
      <c r="B6" s="39" t="s">
        <v>111</v>
      </c>
      <c r="C6" s="40" t="s">
        <v>112</v>
      </c>
    </row>
    <row r="7" spans="1:3" ht="54.75" thickBot="1">
      <c r="A7" s="41" t="s">
        <v>113</v>
      </c>
      <c r="B7" s="42" t="s">
        <v>114</v>
      </c>
      <c r="C7" s="43" t="s">
        <v>115</v>
      </c>
    </row>
    <row r="8" spans="1:3" ht="54.75" thickBot="1">
      <c r="A8" s="41" t="s">
        <v>116</v>
      </c>
      <c r="B8" s="39" t="s">
        <v>117</v>
      </c>
      <c r="C8" s="40" t="s">
        <v>118</v>
      </c>
    </row>
    <row r="9" spans="1:3" ht="68.25" thickBot="1">
      <c r="A9" s="41" t="s">
        <v>119</v>
      </c>
      <c r="B9" s="42" t="s">
        <v>120</v>
      </c>
      <c r="C9" s="43" t="s">
        <v>121</v>
      </c>
    </row>
    <row r="10" spans="1:3" ht="54.75" thickBot="1">
      <c r="A10" s="41" t="s">
        <v>104</v>
      </c>
      <c r="B10" s="39" t="s">
        <v>105</v>
      </c>
      <c r="C10" s="40" t="s">
        <v>106</v>
      </c>
    </row>
    <row r="11" spans="1:3" ht="54.75" thickBot="1">
      <c r="A11" s="41" t="s">
        <v>122</v>
      </c>
      <c r="B11" s="42" t="s">
        <v>123</v>
      </c>
      <c r="C11" s="43" t="s">
        <v>124</v>
      </c>
    </row>
    <row r="12" spans="1:3" ht="81.75" thickBot="1">
      <c r="A12" s="41" t="s">
        <v>125</v>
      </c>
      <c r="B12" s="39" t="s">
        <v>126</v>
      </c>
      <c r="C12" s="40" t="s">
        <v>127</v>
      </c>
    </row>
    <row r="13" spans="1:3" ht="68.25" thickBot="1">
      <c r="A13" s="41" t="s">
        <v>128</v>
      </c>
      <c r="B13" s="42" t="s">
        <v>129</v>
      </c>
      <c r="C13" s="43" t="s">
        <v>130</v>
      </c>
    </row>
    <row r="14" spans="1:3" ht="54.75" thickBot="1">
      <c r="A14" s="41" t="s">
        <v>131</v>
      </c>
      <c r="B14" s="39" t="s">
        <v>132</v>
      </c>
      <c r="C14" s="40" t="s">
        <v>133</v>
      </c>
    </row>
    <row r="15" spans="1:3" ht="54.75" thickBot="1">
      <c r="A15" s="41" t="s">
        <v>134</v>
      </c>
      <c r="B15" s="42" t="s">
        <v>135</v>
      </c>
      <c r="C15" s="43" t="s">
        <v>136</v>
      </c>
    </row>
    <row r="16" spans="1:3" ht="68.25" thickBot="1">
      <c r="A16" s="41" t="s">
        <v>137</v>
      </c>
      <c r="B16" s="39" t="s">
        <v>138</v>
      </c>
      <c r="C16" s="40" t="s">
        <v>139</v>
      </c>
    </row>
    <row r="17" spans="1:3" ht="54.75" thickBot="1">
      <c r="A17" s="41" t="s">
        <v>140</v>
      </c>
      <c r="B17" s="42" t="s">
        <v>141</v>
      </c>
      <c r="C17" s="43" t="s">
        <v>142</v>
      </c>
    </row>
    <row r="18" spans="1:3" ht="41.25" thickBot="1">
      <c r="A18" s="39" t="s">
        <v>143</v>
      </c>
      <c r="B18" s="39" t="s">
        <v>144</v>
      </c>
      <c r="C18" s="40" t="s">
        <v>145</v>
      </c>
    </row>
    <row r="19" spans="1:3" ht="41.25" thickBot="1">
      <c r="A19" s="41" t="s">
        <v>146</v>
      </c>
      <c r="B19" s="42" t="s">
        <v>147</v>
      </c>
      <c r="C19" s="43" t="s">
        <v>148</v>
      </c>
    </row>
    <row r="20" spans="1:3" ht="41.25" thickBot="1">
      <c r="A20" s="39" t="s">
        <v>149</v>
      </c>
      <c r="B20" s="39" t="s">
        <v>150</v>
      </c>
      <c r="C20" s="40" t="s">
        <v>151</v>
      </c>
    </row>
    <row r="21" spans="1:3" ht="41.25" thickBot="1">
      <c r="A21" s="41" t="s">
        <v>152</v>
      </c>
      <c r="B21" s="42" t="s">
        <v>153</v>
      </c>
      <c r="C21" s="43" t="s">
        <v>154</v>
      </c>
    </row>
    <row r="22" spans="1:3" ht="41.25" thickBot="1">
      <c r="A22" s="41" t="s">
        <v>155</v>
      </c>
      <c r="B22" s="39" t="s">
        <v>156</v>
      </c>
      <c r="C22" s="40" t="s">
        <v>157</v>
      </c>
    </row>
    <row r="23" spans="1:3" ht="41.25" thickBot="1">
      <c r="A23" s="42" t="s">
        <v>158</v>
      </c>
      <c r="B23" s="42" t="s">
        <v>159</v>
      </c>
      <c r="C23" s="43" t="s">
        <v>160</v>
      </c>
    </row>
    <row r="24" spans="1:3" ht="41.25" thickBot="1">
      <c r="A24" s="41" t="s">
        <v>161</v>
      </c>
      <c r="B24" s="39" t="s">
        <v>162</v>
      </c>
      <c r="C24" s="40" t="s">
        <v>163</v>
      </c>
    </row>
    <row r="25" spans="1:3" ht="41.25" thickBot="1">
      <c r="A25" s="41" t="s">
        <v>164</v>
      </c>
      <c r="B25" s="42" t="s">
        <v>165</v>
      </c>
      <c r="C25" s="43" t="s">
        <v>166</v>
      </c>
    </row>
    <row r="26" spans="1:3" ht="54.75" thickBot="1">
      <c r="A26" s="41" t="s">
        <v>167</v>
      </c>
      <c r="B26" s="39" t="s">
        <v>168</v>
      </c>
      <c r="C26" s="40" t="s">
        <v>169</v>
      </c>
    </row>
    <row r="27" spans="1:3" ht="41.25" thickBot="1">
      <c r="A27" s="41" t="s">
        <v>170</v>
      </c>
      <c r="B27" s="42" t="s">
        <v>171</v>
      </c>
      <c r="C27" s="43" t="s">
        <v>172</v>
      </c>
    </row>
    <row r="28" spans="1:3" ht="54.75" thickBot="1">
      <c r="A28" s="41" t="s">
        <v>173</v>
      </c>
      <c r="B28" s="39" t="s">
        <v>174</v>
      </c>
      <c r="C28" s="40" t="s">
        <v>175</v>
      </c>
    </row>
    <row r="29" spans="1:3" ht="54.75" thickBot="1">
      <c r="A29" s="41" t="s">
        <v>176</v>
      </c>
      <c r="B29" s="42" t="s">
        <v>177</v>
      </c>
      <c r="C29" s="43" t="s">
        <v>178</v>
      </c>
    </row>
    <row r="30" spans="1:3" ht="54.75" thickBot="1">
      <c r="A30" s="41" t="s">
        <v>179</v>
      </c>
      <c r="B30" s="39" t="s">
        <v>180</v>
      </c>
      <c r="C30" s="40" t="s">
        <v>181</v>
      </c>
    </row>
    <row r="31" spans="1:3" ht="54.75" thickBot="1">
      <c r="A31" s="41" t="s">
        <v>182</v>
      </c>
      <c r="B31" s="42" t="s">
        <v>183</v>
      </c>
      <c r="C31" s="43" t="s">
        <v>184</v>
      </c>
    </row>
    <row r="32" spans="1:3" ht="54.75" thickBot="1">
      <c r="A32" s="41" t="s">
        <v>185</v>
      </c>
      <c r="B32" s="39" t="s">
        <v>186</v>
      </c>
      <c r="C32" s="40" t="s">
        <v>187</v>
      </c>
    </row>
    <row r="33" spans="1:3" ht="41.25" thickBot="1">
      <c r="A33" s="41" t="s">
        <v>188</v>
      </c>
      <c r="B33" s="42" t="s">
        <v>189</v>
      </c>
      <c r="C33" s="43" t="s">
        <v>190</v>
      </c>
    </row>
    <row r="34" spans="1:3" ht="41.25" thickBot="1">
      <c r="A34" s="41" t="s">
        <v>191</v>
      </c>
      <c r="B34" s="39" t="s">
        <v>192</v>
      </c>
      <c r="C34" s="40" t="s">
        <v>193</v>
      </c>
    </row>
    <row r="35" spans="1:3" ht="54.75" thickBot="1">
      <c r="A35" s="41" t="s">
        <v>194</v>
      </c>
      <c r="B35" s="42" t="s">
        <v>195</v>
      </c>
      <c r="C35" s="43" t="s">
        <v>196</v>
      </c>
    </row>
    <row r="36" spans="1:3" ht="54.75" thickBot="1">
      <c r="A36" s="41" t="s">
        <v>197</v>
      </c>
      <c r="B36" s="39" t="s">
        <v>198</v>
      </c>
      <c r="C36" s="40" t="s">
        <v>199</v>
      </c>
    </row>
    <row r="37" spans="1:3" ht="54.75" thickBot="1">
      <c r="A37" s="41" t="s">
        <v>200</v>
      </c>
      <c r="B37" s="42" t="s">
        <v>201</v>
      </c>
      <c r="C37" s="43" t="s">
        <v>202</v>
      </c>
    </row>
    <row r="38" spans="1:3" ht="54.75" thickBot="1">
      <c r="A38" s="41" t="s">
        <v>203</v>
      </c>
      <c r="B38" s="39" t="s">
        <v>204</v>
      </c>
      <c r="C38" s="40" t="s">
        <v>205</v>
      </c>
    </row>
    <row r="39" spans="1:3" ht="54.75" thickBot="1">
      <c r="A39" s="41" t="s">
        <v>206</v>
      </c>
      <c r="B39" s="42" t="s">
        <v>207</v>
      </c>
      <c r="C39" s="43" t="s">
        <v>208</v>
      </c>
    </row>
    <row r="40" spans="1:3" ht="54.75" thickBot="1">
      <c r="A40" s="41" t="s">
        <v>203</v>
      </c>
      <c r="B40" s="39" t="s">
        <v>209</v>
      </c>
      <c r="C40" s="40" t="s">
        <v>205</v>
      </c>
    </row>
    <row r="41" spans="1:3" ht="41.25" thickBot="1">
      <c r="A41" s="41" t="s">
        <v>210</v>
      </c>
      <c r="B41" s="42" t="s">
        <v>211</v>
      </c>
      <c r="C41" s="43" t="s">
        <v>212</v>
      </c>
    </row>
    <row r="42" spans="1:3" ht="54.75" thickBot="1">
      <c r="A42" s="39" t="s">
        <v>213</v>
      </c>
      <c r="B42" s="39" t="s">
        <v>214</v>
      </c>
      <c r="C42" s="40" t="s">
        <v>215</v>
      </c>
    </row>
    <row r="43" spans="1:3" ht="54.75" thickBot="1">
      <c r="A43" s="41" t="s">
        <v>216</v>
      </c>
      <c r="B43" s="42" t="s">
        <v>217</v>
      </c>
      <c r="C43" s="43" t="s">
        <v>218</v>
      </c>
    </row>
    <row r="44" spans="1:3" ht="54.75" thickBot="1">
      <c r="A44" s="41" t="s">
        <v>219</v>
      </c>
      <c r="B44" s="39" t="s">
        <v>220</v>
      </c>
      <c r="C44" s="40" t="s">
        <v>221</v>
      </c>
    </row>
    <row r="45" spans="1:3" ht="41.25" thickBot="1">
      <c r="A45" s="42" t="s">
        <v>222</v>
      </c>
      <c r="B45" s="42" t="s">
        <v>223</v>
      </c>
      <c r="C45" s="43" t="s">
        <v>224</v>
      </c>
    </row>
    <row r="46" spans="1:3" ht="41.25" thickBot="1">
      <c r="A46" s="41" t="s">
        <v>225</v>
      </c>
      <c r="B46" s="39" t="s">
        <v>226</v>
      </c>
      <c r="C46" s="40" t="s">
        <v>227</v>
      </c>
    </row>
    <row r="47" spans="1:3" ht="41.25" thickBot="1">
      <c r="A47" s="41" t="s">
        <v>228</v>
      </c>
      <c r="B47" s="42" t="s">
        <v>229</v>
      </c>
      <c r="C47" s="43" t="s">
        <v>230</v>
      </c>
    </row>
    <row r="48" spans="1:3" ht="41.25" thickBot="1">
      <c r="A48" s="41" t="s">
        <v>231</v>
      </c>
      <c r="B48" s="39" t="s">
        <v>232</v>
      </c>
      <c r="C48" s="40" t="s">
        <v>233</v>
      </c>
    </row>
    <row r="49" spans="1:3" ht="41.25" thickBot="1">
      <c r="A49" s="41" t="s">
        <v>234</v>
      </c>
      <c r="B49" s="42" t="s">
        <v>235</v>
      </c>
      <c r="C49" s="43" t="s">
        <v>236</v>
      </c>
    </row>
    <row r="50" spans="1:3" ht="54.75" thickBot="1">
      <c r="A50" s="39" t="s">
        <v>237</v>
      </c>
      <c r="B50" s="39" t="s">
        <v>238</v>
      </c>
      <c r="C50" s="40" t="s">
        <v>239</v>
      </c>
    </row>
    <row r="51" spans="1:3" ht="41.25" thickBot="1">
      <c r="A51" s="41" t="s">
        <v>240</v>
      </c>
      <c r="B51" s="42" t="s">
        <v>241</v>
      </c>
      <c r="C51" s="43" t="s">
        <v>242</v>
      </c>
    </row>
    <row r="52" spans="1:3" ht="68.25" thickBot="1">
      <c r="A52" s="41" t="s">
        <v>243</v>
      </c>
      <c r="B52" s="39" t="s">
        <v>244</v>
      </c>
      <c r="C52" s="40" t="s">
        <v>245</v>
      </c>
    </row>
    <row r="53" spans="1:3" ht="41.25" thickBot="1">
      <c r="A53" s="41" t="s">
        <v>246</v>
      </c>
      <c r="B53" s="42" t="s">
        <v>247</v>
      </c>
      <c r="C53" s="43" t="s">
        <v>248</v>
      </c>
    </row>
    <row r="54" spans="1:3" ht="54.75" thickBot="1">
      <c r="A54" s="41" t="s">
        <v>249</v>
      </c>
      <c r="B54" s="39" t="s">
        <v>250</v>
      </c>
      <c r="C54" s="40" t="s">
        <v>251</v>
      </c>
    </row>
    <row r="55" spans="1:3" ht="54.75" thickBot="1">
      <c r="A55" s="41" t="s">
        <v>252</v>
      </c>
      <c r="B55" s="42" t="s">
        <v>253</v>
      </c>
      <c r="C55" s="43" t="s">
        <v>254</v>
      </c>
    </row>
    <row r="56" spans="1:3" ht="54.75" thickBot="1">
      <c r="A56" s="41" t="s">
        <v>255</v>
      </c>
      <c r="B56" s="39" t="s">
        <v>256</v>
      </c>
      <c r="C56" s="40" t="s">
        <v>257</v>
      </c>
    </row>
    <row r="57" spans="1:3" ht="54.75" thickBot="1">
      <c r="A57" s="41" t="s">
        <v>258</v>
      </c>
      <c r="B57" s="42" t="s">
        <v>259</v>
      </c>
      <c r="C57" s="43" t="s">
        <v>260</v>
      </c>
    </row>
    <row r="58" spans="1:3" ht="54.75" thickBot="1">
      <c r="A58" s="41" t="s">
        <v>261</v>
      </c>
      <c r="B58" s="39" t="s">
        <v>262</v>
      </c>
      <c r="C58" s="40" t="s">
        <v>263</v>
      </c>
    </row>
    <row r="59" spans="1:3" ht="54.75" thickBot="1">
      <c r="A59" s="41" t="s">
        <v>264</v>
      </c>
      <c r="B59" s="42" t="s">
        <v>265</v>
      </c>
      <c r="C59" s="43" t="s">
        <v>266</v>
      </c>
    </row>
    <row r="60" spans="1:3" ht="54.75" thickBot="1">
      <c r="A60" s="41" t="s">
        <v>267</v>
      </c>
      <c r="B60" s="39" t="s">
        <v>268</v>
      </c>
      <c r="C60" s="40" t="s">
        <v>269</v>
      </c>
    </row>
    <row r="61" spans="1:3" ht="68.25" thickBot="1">
      <c r="A61" s="41" t="s">
        <v>270</v>
      </c>
      <c r="B61" s="42" t="s">
        <v>271</v>
      </c>
      <c r="C61" s="43" t="s">
        <v>272</v>
      </c>
    </row>
    <row r="62" spans="1:3" ht="68.25" thickBot="1">
      <c r="A62" s="41" t="s">
        <v>273</v>
      </c>
      <c r="B62" s="39" t="s">
        <v>274</v>
      </c>
      <c r="C62" s="40" t="s">
        <v>275</v>
      </c>
    </row>
    <row r="63" spans="1:3" ht="68.25" thickBot="1">
      <c r="A63" s="41" t="s">
        <v>276</v>
      </c>
      <c r="B63" s="42" t="s">
        <v>277</v>
      </c>
      <c r="C63" s="43" t="s">
        <v>278</v>
      </c>
    </row>
    <row r="64" spans="1:3" ht="54.75" thickBot="1">
      <c r="A64" s="41" t="s">
        <v>279</v>
      </c>
      <c r="B64" s="39" t="s">
        <v>280</v>
      </c>
      <c r="C64" s="40" t="s">
        <v>281</v>
      </c>
    </row>
    <row r="65" spans="1:3" ht="54.75" thickBot="1">
      <c r="A65" s="41" t="s">
        <v>282</v>
      </c>
      <c r="B65" s="42" t="s">
        <v>283</v>
      </c>
      <c r="C65" s="43" t="s">
        <v>284</v>
      </c>
    </row>
    <row r="66" spans="1:3" ht="68.25" thickBot="1">
      <c r="A66" s="41" t="s">
        <v>285</v>
      </c>
      <c r="B66" s="39" t="s">
        <v>286</v>
      </c>
      <c r="C66" s="40" t="s">
        <v>287</v>
      </c>
    </row>
    <row r="67" spans="1:3" ht="54.75" thickBot="1">
      <c r="A67" s="41" t="s">
        <v>288</v>
      </c>
      <c r="B67" s="42" t="s">
        <v>289</v>
      </c>
      <c r="C67" s="43" t="s">
        <v>290</v>
      </c>
    </row>
    <row r="68" spans="1:3" ht="68.25" thickBot="1">
      <c r="A68" s="41" t="s">
        <v>291</v>
      </c>
      <c r="B68" s="39" t="s">
        <v>292</v>
      </c>
      <c r="C68" s="40" t="s">
        <v>293</v>
      </c>
    </row>
    <row r="69" spans="1:3" ht="54.75" thickBot="1">
      <c r="A69" s="41" t="s">
        <v>294</v>
      </c>
      <c r="B69" s="42" t="s">
        <v>295</v>
      </c>
      <c r="C69" s="43" t="s">
        <v>296</v>
      </c>
    </row>
    <row r="70" spans="1:3" ht="54.75" thickBot="1">
      <c r="A70" s="41" t="s">
        <v>297</v>
      </c>
      <c r="B70" s="39" t="s">
        <v>298</v>
      </c>
      <c r="C70" s="40" t="s">
        <v>299</v>
      </c>
    </row>
    <row r="71" spans="1:3" ht="54.75" thickBot="1">
      <c r="A71" s="41" t="s">
        <v>300</v>
      </c>
      <c r="B71" s="42" t="s">
        <v>301</v>
      </c>
      <c r="C71" s="43" t="s">
        <v>302</v>
      </c>
    </row>
    <row r="72" spans="1:3" ht="54.75" thickBot="1">
      <c r="A72" s="41" t="s">
        <v>303</v>
      </c>
      <c r="B72" s="39" t="s">
        <v>304</v>
      </c>
      <c r="C72" s="40" t="s">
        <v>305</v>
      </c>
    </row>
    <row r="73" spans="1:3" ht="54.75" thickBot="1">
      <c r="A73" s="41" t="s">
        <v>306</v>
      </c>
      <c r="B73" s="42" t="s">
        <v>307</v>
      </c>
      <c r="C73" s="43" t="s">
        <v>308</v>
      </c>
    </row>
    <row r="74" spans="1:3" ht="54.75" thickBot="1">
      <c r="A74" s="41" t="s">
        <v>309</v>
      </c>
      <c r="B74" s="39" t="s">
        <v>310</v>
      </c>
      <c r="C74" s="40" t="s">
        <v>311</v>
      </c>
    </row>
    <row r="75" spans="1:3" ht="54.75" thickBot="1">
      <c r="A75" s="41" t="s">
        <v>312</v>
      </c>
      <c r="B75" s="42" t="s">
        <v>313</v>
      </c>
      <c r="C75" s="43" t="s">
        <v>314</v>
      </c>
    </row>
    <row r="76" spans="1:3" ht="54.75" thickBot="1">
      <c r="A76" s="41" t="s">
        <v>315</v>
      </c>
      <c r="B76" s="39" t="s">
        <v>316</v>
      </c>
      <c r="C76" s="40" t="s">
        <v>317</v>
      </c>
    </row>
    <row r="77" spans="1:3" ht="54.75" thickBot="1">
      <c r="A77" s="41" t="s">
        <v>318</v>
      </c>
      <c r="B77" s="42" t="s">
        <v>319</v>
      </c>
      <c r="C77" s="43" t="s">
        <v>320</v>
      </c>
    </row>
    <row r="78" spans="1:3" ht="68.25" thickBot="1">
      <c r="A78" s="41" t="s">
        <v>309</v>
      </c>
      <c r="B78" s="39" t="s">
        <v>321</v>
      </c>
      <c r="C78" s="40" t="s">
        <v>311</v>
      </c>
    </row>
    <row r="79" spans="1:3" ht="54.75" thickBot="1">
      <c r="A79" s="42" t="s">
        <v>322</v>
      </c>
      <c r="B79" s="42" t="s">
        <v>323</v>
      </c>
      <c r="C79" s="43" t="s">
        <v>324</v>
      </c>
    </row>
    <row r="80" spans="1:3" ht="54.75" thickBot="1">
      <c r="A80" s="41" t="s">
        <v>325</v>
      </c>
      <c r="B80" s="39" t="s">
        <v>326</v>
      </c>
      <c r="C80" s="40" t="s">
        <v>327</v>
      </c>
    </row>
    <row r="81" spans="1:3" ht="54.75" thickBot="1">
      <c r="A81" s="41" t="s">
        <v>325</v>
      </c>
      <c r="B81" s="42" t="s">
        <v>326</v>
      </c>
      <c r="C81" s="43" t="s">
        <v>327</v>
      </c>
    </row>
    <row r="82" spans="1:3" ht="54.75" thickBot="1">
      <c r="A82" s="41" t="s">
        <v>328</v>
      </c>
      <c r="B82" s="39" t="s">
        <v>329</v>
      </c>
      <c r="C82" s="40" t="s">
        <v>330</v>
      </c>
    </row>
    <row r="83" spans="1:3" ht="68.25" thickBot="1">
      <c r="A83" s="41" t="s">
        <v>331</v>
      </c>
      <c r="B83" s="42" t="s">
        <v>332</v>
      </c>
      <c r="C83" s="43" t="s">
        <v>333</v>
      </c>
    </row>
    <row r="84" spans="1:3" ht="54.75" thickBot="1">
      <c r="A84" s="41" t="s">
        <v>334</v>
      </c>
      <c r="B84" s="39" t="s">
        <v>335</v>
      </c>
      <c r="C84" s="40" t="s">
        <v>336</v>
      </c>
    </row>
    <row r="85" spans="1:3" ht="68.25" thickBot="1">
      <c r="A85" s="41" t="s">
        <v>337</v>
      </c>
      <c r="B85" s="42" t="s">
        <v>338</v>
      </c>
      <c r="C85" s="43" t="s">
        <v>339</v>
      </c>
    </row>
    <row r="86" spans="1:3" ht="81.75" thickBot="1">
      <c r="A86" s="41" t="s">
        <v>340</v>
      </c>
      <c r="B86" s="39" t="s">
        <v>341</v>
      </c>
      <c r="C86" s="40" t="s">
        <v>342</v>
      </c>
    </row>
    <row r="87" spans="1:3" ht="81.75" thickBot="1">
      <c r="A87" s="41" t="s">
        <v>343</v>
      </c>
      <c r="B87" s="42" t="s">
        <v>344</v>
      </c>
      <c r="C87" s="43" t="s">
        <v>345</v>
      </c>
    </row>
    <row r="88" spans="1:3" ht="68.25" thickBot="1">
      <c r="A88" s="41" t="s">
        <v>346</v>
      </c>
      <c r="B88" s="39" t="s">
        <v>347</v>
      </c>
      <c r="C88" s="40" t="s">
        <v>348</v>
      </c>
    </row>
    <row r="89" spans="1:3" ht="68.25" thickBot="1">
      <c r="A89" s="41" t="s">
        <v>349</v>
      </c>
      <c r="B89" s="42" t="s">
        <v>350</v>
      </c>
      <c r="C89" s="43" t="s">
        <v>351</v>
      </c>
    </row>
    <row r="90" spans="1:3" ht="68.25" thickBot="1">
      <c r="A90" s="41" t="s">
        <v>352</v>
      </c>
      <c r="B90" s="39" t="s">
        <v>353</v>
      </c>
      <c r="C90" s="40" t="s">
        <v>354</v>
      </c>
    </row>
    <row r="91" spans="1:3" ht="68.25" thickBot="1">
      <c r="A91" s="41" t="s">
        <v>355</v>
      </c>
      <c r="B91" s="42" t="s">
        <v>356</v>
      </c>
      <c r="C91" s="43" t="s">
        <v>357</v>
      </c>
    </row>
    <row r="92" spans="1:3" ht="54.75" thickBot="1">
      <c r="A92" s="41" t="s">
        <v>358</v>
      </c>
      <c r="B92" s="39" t="s">
        <v>359</v>
      </c>
      <c r="C92" s="40" t="s">
        <v>360</v>
      </c>
    </row>
    <row r="93" spans="1:3" ht="68.25" thickBot="1">
      <c r="A93" s="41" t="s">
        <v>361</v>
      </c>
      <c r="B93" s="42" t="s">
        <v>362</v>
      </c>
      <c r="C93" s="43" t="s">
        <v>363</v>
      </c>
    </row>
    <row r="94" spans="1:3" ht="41.25" thickBot="1">
      <c r="A94" s="41" t="s">
        <v>364</v>
      </c>
      <c r="B94" s="39" t="s">
        <v>365</v>
      </c>
      <c r="C94" s="40" t="s">
        <v>366</v>
      </c>
    </row>
    <row r="95" spans="1:3" ht="68.25" thickBot="1">
      <c r="A95" s="41" t="s">
        <v>328</v>
      </c>
      <c r="B95" s="42" t="s">
        <v>367</v>
      </c>
      <c r="C95" s="43" t="s">
        <v>330</v>
      </c>
    </row>
    <row r="96" spans="1:3" ht="68.25" thickBot="1">
      <c r="A96" s="41" t="s">
        <v>368</v>
      </c>
      <c r="B96" s="39" t="s">
        <v>369</v>
      </c>
      <c r="C96" s="40" t="s">
        <v>370</v>
      </c>
    </row>
    <row r="97" spans="1:3" ht="41.25" thickBot="1">
      <c r="A97" s="42" t="s">
        <v>371</v>
      </c>
      <c r="B97" s="42" t="s">
        <v>372</v>
      </c>
      <c r="C97" s="43" t="s">
        <v>373</v>
      </c>
    </row>
    <row r="98" spans="1:3" ht="41.25" thickBot="1">
      <c r="A98" s="39" t="s">
        <v>374</v>
      </c>
      <c r="B98" s="39" t="s">
        <v>375</v>
      </c>
      <c r="C98" s="40" t="s">
        <v>376</v>
      </c>
    </row>
    <row r="99" spans="1:3" ht="41.25" thickBot="1">
      <c r="A99" s="41" t="s">
        <v>377</v>
      </c>
      <c r="B99" s="42" t="s">
        <v>378</v>
      </c>
      <c r="C99" s="43" t="s">
        <v>379</v>
      </c>
    </row>
    <row r="100" spans="1:3" ht="54.75" thickBot="1">
      <c r="A100" s="41" t="s">
        <v>380</v>
      </c>
      <c r="B100" s="39" t="s">
        <v>381</v>
      </c>
      <c r="C100" s="40" t="s">
        <v>382</v>
      </c>
    </row>
    <row r="101" spans="1:3" ht="41.25" thickBot="1">
      <c r="A101" s="41" t="s">
        <v>383</v>
      </c>
      <c r="B101" s="42" t="s">
        <v>384</v>
      </c>
      <c r="C101" s="43" t="s">
        <v>385</v>
      </c>
    </row>
    <row r="102" spans="1:3" ht="54.75" thickBot="1">
      <c r="A102" s="41" t="s">
        <v>386</v>
      </c>
      <c r="B102" s="39" t="s">
        <v>387</v>
      </c>
      <c r="C102" s="40" t="s">
        <v>388</v>
      </c>
    </row>
    <row r="103" spans="1:3" ht="54.75" thickBot="1">
      <c r="A103" s="41" t="s">
        <v>389</v>
      </c>
      <c r="B103" s="42" t="s">
        <v>390</v>
      </c>
      <c r="C103" s="43" t="s">
        <v>391</v>
      </c>
    </row>
    <row r="104" spans="1:3" ht="54.75" thickBot="1">
      <c r="A104" s="41" t="s">
        <v>392</v>
      </c>
      <c r="B104" s="39" t="s">
        <v>393</v>
      </c>
      <c r="C104" s="40" t="s">
        <v>394</v>
      </c>
    </row>
    <row r="105" spans="1:3" ht="54.75" thickBot="1">
      <c r="A105" s="41" t="s">
        <v>395</v>
      </c>
      <c r="B105" s="42" t="s">
        <v>396</v>
      </c>
      <c r="C105" s="43" t="s">
        <v>397</v>
      </c>
    </row>
    <row r="106" spans="1:3" ht="54.75" thickBot="1">
      <c r="A106" s="39" t="s">
        <v>398</v>
      </c>
      <c r="B106" s="39" t="s">
        <v>399</v>
      </c>
      <c r="C106" s="40" t="s">
        <v>400</v>
      </c>
    </row>
    <row r="107" spans="1:3" ht="54.75" thickBot="1">
      <c r="A107" s="41" t="s">
        <v>401</v>
      </c>
      <c r="B107" s="42" t="s">
        <v>402</v>
      </c>
      <c r="C107" s="43" t="s">
        <v>403</v>
      </c>
    </row>
    <row r="108" spans="1:3" ht="54.75" thickBot="1">
      <c r="A108" s="41" t="s">
        <v>404</v>
      </c>
      <c r="B108" s="39" t="s">
        <v>405</v>
      </c>
      <c r="C108" s="40" t="s">
        <v>406</v>
      </c>
    </row>
    <row r="109" spans="1:3" ht="54.75" thickBot="1">
      <c r="A109" s="41" t="s">
        <v>407</v>
      </c>
      <c r="B109" s="42" t="s">
        <v>405</v>
      </c>
      <c r="C109" s="43" t="s">
        <v>408</v>
      </c>
    </row>
    <row r="110" spans="1:3" ht="54.75" thickBot="1">
      <c r="A110" s="41" t="s">
        <v>409</v>
      </c>
      <c r="B110" s="39" t="s">
        <v>410</v>
      </c>
      <c r="C110" s="40" t="s">
        <v>406</v>
      </c>
    </row>
    <row r="111" spans="1:3" ht="54.75" thickBot="1">
      <c r="A111" s="41" t="s">
        <v>411</v>
      </c>
      <c r="B111" s="42" t="s">
        <v>410</v>
      </c>
      <c r="C111" s="43" t="s">
        <v>412</v>
      </c>
    </row>
    <row r="112" spans="1:3" ht="54.75" thickBot="1">
      <c r="A112" s="41" t="s">
        <v>413</v>
      </c>
      <c r="B112" s="39" t="s">
        <v>410</v>
      </c>
      <c r="C112" s="40" t="s">
        <v>400</v>
      </c>
    </row>
    <row r="113" spans="1:3" ht="54.75" thickBot="1">
      <c r="A113" s="41" t="s">
        <v>414</v>
      </c>
      <c r="B113" s="42" t="s">
        <v>410</v>
      </c>
      <c r="C113" s="43" t="s">
        <v>406</v>
      </c>
    </row>
    <row r="114" spans="1:3" ht="54.75" thickBot="1">
      <c r="A114" s="41" t="s">
        <v>415</v>
      </c>
      <c r="B114" s="39" t="s">
        <v>416</v>
      </c>
      <c r="C114" s="40" t="s">
        <v>417</v>
      </c>
    </row>
    <row r="115" spans="1:3" ht="68.25" thickBot="1">
      <c r="A115" s="41" t="s">
        <v>418</v>
      </c>
      <c r="B115" s="42" t="s">
        <v>419</v>
      </c>
      <c r="C115" s="43" t="s">
        <v>420</v>
      </c>
    </row>
    <row r="116" spans="1:3" ht="54.75" thickBot="1">
      <c r="A116" s="41" t="s">
        <v>398</v>
      </c>
      <c r="B116" s="39" t="s">
        <v>399</v>
      </c>
      <c r="C116" s="40" t="s">
        <v>400</v>
      </c>
    </row>
    <row r="117" spans="1:3" ht="54.75" thickBot="1">
      <c r="A117" s="41" t="s">
        <v>401</v>
      </c>
      <c r="B117" s="42" t="s">
        <v>402</v>
      </c>
      <c r="C117" s="43" t="s">
        <v>403</v>
      </c>
    </row>
    <row r="118" spans="1:3" ht="54.75" thickBot="1">
      <c r="A118" s="39" t="s">
        <v>421</v>
      </c>
      <c r="B118" s="39" t="s">
        <v>422</v>
      </c>
      <c r="C118" s="40" t="s">
        <v>423</v>
      </c>
    </row>
    <row r="119" spans="1:3" ht="54.75" thickBot="1">
      <c r="A119" s="41" t="s">
        <v>424</v>
      </c>
      <c r="B119" s="42" t="s">
        <v>425</v>
      </c>
      <c r="C119" s="43" t="s">
        <v>426</v>
      </c>
    </row>
    <row r="120" spans="1:3" ht="54.75" thickBot="1">
      <c r="A120" s="41" t="s">
        <v>427</v>
      </c>
      <c r="B120" s="39" t="s">
        <v>428</v>
      </c>
      <c r="C120" s="40" t="s">
        <v>429</v>
      </c>
    </row>
    <row r="121" spans="1:3" ht="68.25" thickBot="1">
      <c r="A121" s="41" t="s">
        <v>430</v>
      </c>
      <c r="B121" s="42" t="s">
        <v>431</v>
      </c>
      <c r="C121" s="43" t="s">
        <v>432</v>
      </c>
    </row>
    <row r="122" spans="1:3" ht="54.75" thickBot="1">
      <c r="A122" s="41" t="s">
        <v>433</v>
      </c>
      <c r="B122" s="39" t="s">
        <v>434</v>
      </c>
      <c r="C122" s="40" t="s">
        <v>435</v>
      </c>
    </row>
    <row r="123" spans="1:3" ht="68.25" thickBot="1">
      <c r="A123" s="41" t="s">
        <v>436</v>
      </c>
      <c r="B123" s="42" t="s">
        <v>437</v>
      </c>
      <c r="C123" s="43" t="s">
        <v>438</v>
      </c>
    </row>
    <row r="124" spans="1:3" ht="54.75" thickBot="1">
      <c r="A124" s="39" t="s">
        <v>439</v>
      </c>
      <c r="B124" s="39" t="s">
        <v>440</v>
      </c>
      <c r="C124" s="40" t="s">
        <v>441</v>
      </c>
    </row>
    <row r="125" spans="1:3" ht="41.25" thickBot="1">
      <c r="A125" s="41" t="s">
        <v>442</v>
      </c>
      <c r="B125" s="42" t="s">
        <v>443</v>
      </c>
      <c r="C125" s="43" t="s">
        <v>444</v>
      </c>
    </row>
    <row r="126" spans="1:3" ht="41.25" thickBot="1">
      <c r="A126" s="41" t="s">
        <v>445</v>
      </c>
      <c r="B126" s="39" t="s">
        <v>446</v>
      </c>
      <c r="C126" s="40" t="s">
        <v>447</v>
      </c>
    </row>
    <row r="127" spans="1:3" ht="54.75" thickBot="1">
      <c r="A127" s="41" t="s">
        <v>448</v>
      </c>
      <c r="B127" s="42" t="s">
        <v>449</v>
      </c>
      <c r="C127" s="43" t="s">
        <v>450</v>
      </c>
    </row>
    <row r="128" spans="1:3" ht="68.25" thickBot="1">
      <c r="A128" s="41" t="s">
        <v>451</v>
      </c>
      <c r="B128" s="39" t="s">
        <v>452</v>
      </c>
      <c r="C128" s="40" t="s">
        <v>453</v>
      </c>
    </row>
    <row r="129" spans="1:3" ht="41.25" thickBot="1">
      <c r="A129" s="41" t="s">
        <v>454</v>
      </c>
      <c r="B129" s="42" t="s">
        <v>455</v>
      </c>
      <c r="C129" s="43" t="s">
        <v>456</v>
      </c>
    </row>
    <row r="130" spans="1:3" ht="68.25" thickBot="1">
      <c r="A130" s="41" t="s">
        <v>457</v>
      </c>
      <c r="B130" s="39" t="s">
        <v>458</v>
      </c>
      <c r="C130" s="40" t="s">
        <v>459</v>
      </c>
    </row>
    <row r="131" spans="1:3" ht="41.25" thickBot="1">
      <c r="A131" s="41" t="s">
        <v>460</v>
      </c>
      <c r="B131" s="42" t="s">
        <v>461</v>
      </c>
      <c r="C131" s="43" t="s">
        <v>462</v>
      </c>
    </row>
    <row r="132" spans="1:3" ht="68.25" thickBot="1">
      <c r="A132" s="41" t="s">
        <v>463</v>
      </c>
      <c r="B132" s="39" t="s">
        <v>464</v>
      </c>
      <c r="C132" s="40" t="s">
        <v>465</v>
      </c>
    </row>
    <row r="133" spans="1:3" ht="54.75" thickBot="1">
      <c r="A133" s="41" t="s">
        <v>466</v>
      </c>
      <c r="B133" s="42" t="s">
        <v>467</v>
      </c>
      <c r="C133" s="43" t="s">
        <v>468</v>
      </c>
    </row>
    <row r="134" spans="1:3" ht="54.75" thickBot="1">
      <c r="A134" s="41" t="s">
        <v>469</v>
      </c>
      <c r="B134" s="39" t="s">
        <v>470</v>
      </c>
      <c r="C134" s="40" t="s">
        <v>471</v>
      </c>
    </row>
    <row r="135" spans="1:3" ht="68.25" thickBot="1">
      <c r="A135" s="41" t="s">
        <v>472</v>
      </c>
      <c r="B135" s="42" t="s">
        <v>473</v>
      </c>
      <c r="C135" s="43" t="s">
        <v>474</v>
      </c>
    </row>
    <row r="136" spans="1:3" ht="54.75" thickBot="1">
      <c r="A136" s="41" t="s">
        <v>475</v>
      </c>
      <c r="B136" s="39" t="s">
        <v>476</v>
      </c>
      <c r="C136" s="40" t="s">
        <v>477</v>
      </c>
    </row>
    <row r="137" spans="1:3" ht="68.25" thickBot="1">
      <c r="A137" s="41" t="s">
        <v>478</v>
      </c>
      <c r="B137" s="42" t="s">
        <v>479</v>
      </c>
      <c r="C137" s="43" t="s">
        <v>480</v>
      </c>
    </row>
    <row r="138" spans="1:3" ht="54.75" thickBot="1">
      <c r="A138" s="39" t="s">
        <v>481</v>
      </c>
      <c r="B138" s="39" t="s">
        <v>482</v>
      </c>
      <c r="C138" s="40" t="s">
        <v>483</v>
      </c>
    </row>
    <row r="139" spans="1:3" ht="54.75" thickBot="1">
      <c r="A139" s="41" t="s">
        <v>484</v>
      </c>
      <c r="B139" s="42" t="s">
        <v>485</v>
      </c>
      <c r="C139" s="43" t="s">
        <v>486</v>
      </c>
    </row>
    <row r="140" spans="1:3" ht="54.75" thickBot="1">
      <c r="A140" s="41" t="s">
        <v>487</v>
      </c>
      <c r="B140" s="39" t="s">
        <v>488</v>
      </c>
      <c r="C140" s="40" t="s">
        <v>489</v>
      </c>
    </row>
    <row r="141" spans="1:3" ht="81.75" thickBot="1">
      <c r="A141" s="41" t="s">
        <v>490</v>
      </c>
      <c r="B141" s="42" t="s">
        <v>491</v>
      </c>
      <c r="C141" s="43" t="s">
        <v>492</v>
      </c>
    </row>
    <row r="142" spans="1:3" ht="54.75" thickBot="1">
      <c r="A142" s="41" t="s">
        <v>493</v>
      </c>
      <c r="B142" s="39" t="s">
        <v>494</v>
      </c>
      <c r="C142" s="40" t="s">
        <v>495</v>
      </c>
    </row>
    <row r="143" spans="1:3" ht="81.75" thickBot="1">
      <c r="A143" s="41" t="s">
        <v>496</v>
      </c>
      <c r="B143" s="42" t="s">
        <v>497</v>
      </c>
      <c r="C143" s="43" t="s">
        <v>498</v>
      </c>
    </row>
    <row r="144" spans="1:3" ht="68.25" thickBot="1">
      <c r="A144" s="41" t="s">
        <v>499</v>
      </c>
      <c r="B144" s="39" t="s">
        <v>500</v>
      </c>
      <c r="C144" s="40" t="s">
        <v>501</v>
      </c>
    </row>
    <row r="145" spans="1:3" ht="68.25" thickBot="1">
      <c r="A145" s="41" t="s">
        <v>502</v>
      </c>
      <c r="B145" s="42" t="s">
        <v>500</v>
      </c>
      <c r="C145" s="43" t="s">
        <v>501</v>
      </c>
    </row>
    <row r="146" spans="1:3" ht="81.75" thickBot="1">
      <c r="A146" s="41" t="s">
        <v>503</v>
      </c>
      <c r="B146" s="39" t="s">
        <v>504</v>
      </c>
      <c r="C146" s="40" t="s">
        <v>505</v>
      </c>
    </row>
    <row r="147" spans="1:3" ht="68.25" thickBot="1">
      <c r="A147" s="41" t="s">
        <v>506</v>
      </c>
      <c r="B147" s="42" t="s">
        <v>507</v>
      </c>
      <c r="C147" s="43" t="s">
        <v>508</v>
      </c>
    </row>
    <row r="148" spans="1:3" ht="68.25" thickBot="1">
      <c r="A148" s="41" t="s">
        <v>509</v>
      </c>
      <c r="B148" s="39" t="s">
        <v>510</v>
      </c>
      <c r="C148" s="40" t="s">
        <v>511</v>
      </c>
    </row>
    <row r="149" spans="1:3" ht="81.75" thickBot="1">
      <c r="A149" s="41" t="s">
        <v>481</v>
      </c>
      <c r="B149" s="42" t="s">
        <v>512</v>
      </c>
      <c r="C149" s="43" t="s">
        <v>483</v>
      </c>
    </row>
    <row r="150" spans="1:3" ht="95.25" thickBot="1">
      <c r="A150" s="41" t="s">
        <v>513</v>
      </c>
      <c r="B150" s="39" t="s">
        <v>514</v>
      </c>
      <c r="C150" s="40" t="s">
        <v>515</v>
      </c>
    </row>
    <row r="151" spans="1:3" ht="108.75" thickBot="1">
      <c r="A151" s="41" t="s">
        <v>516</v>
      </c>
      <c r="B151" s="42" t="s">
        <v>517</v>
      </c>
      <c r="C151" s="43" t="s">
        <v>518</v>
      </c>
    </row>
    <row r="152" spans="1:3" ht="54.75" thickBot="1">
      <c r="A152" s="41" t="s">
        <v>519</v>
      </c>
      <c r="B152" s="39" t="s">
        <v>520</v>
      </c>
      <c r="C152" s="40" t="s">
        <v>521</v>
      </c>
    </row>
    <row r="153" spans="1:3" ht="54.75" thickBot="1">
      <c r="A153" s="41" t="s">
        <v>522</v>
      </c>
      <c r="B153" s="42" t="s">
        <v>523</v>
      </c>
      <c r="C153" s="43" t="s">
        <v>524</v>
      </c>
    </row>
    <row r="154" spans="1:3" ht="54.75" thickBot="1">
      <c r="A154" s="41" t="s">
        <v>525</v>
      </c>
      <c r="B154" s="39" t="s">
        <v>526</v>
      </c>
      <c r="C154" s="40" t="s">
        <v>527</v>
      </c>
    </row>
    <row r="155" spans="1:3" ht="54.75" thickBot="1">
      <c r="A155" s="41" t="s">
        <v>528</v>
      </c>
      <c r="B155" s="42" t="s">
        <v>529</v>
      </c>
      <c r="C155" s="43" t="s">
        <v>530</v>
      </c>
    </row>
    <row r="156" spans="1:3" ht="68.25" thickBot="1">
      <c r="A156" s="39" t="s">
        <v>531</v>
      </c>
      <c r="B156" s="39" t="s">
        <v>532</v>
      </c>
      <c r="C156" s="40" t="s">
        <v>533</v>
      </c>
    </row>
    <row r="157" spans="1:3" ht="54.75" thickBot="1">
      <c r="A157" s="41" t="s">
        <v>534</v>
      </c>
      <c r="B157" s="42" t="s">
        <v>535</v>
      </c>
      <c r="C157" s="43" t="s">
        <v>536</v>
      </c>
    </row>
    <row r="158" spans="1:3" ht="54.75" thickBot="1">
      <c r="A158" s="41" t="s">
        <v>525</v>
      </c>
      <c r="B158" s="39" t="s">
        <v>526</v>
      </c>
      <c r="C158" s="40" t="s">
        <v>527</v>
      </c>
    </row>
    <row r="159" spans="1:3" ht="68.25" thickBot="1">
      <c r="A159" s="41" t="s">
        <v>537</v>
      </c>
      <c r="B159" s="42" t="s">
        <v>538</v>
      </c>
      <c r="C159" s="43" t="s">
        <v>539</v>
      </c>
    </row>
    <row r="160" spans="1:3" ht="54.75" thickBot="1">
      <c r="A160" s="41" t="s">
        <v>540</v>
      </c>
      <c r="B160" s="39" t="s">
        <v>541</v>
      </c>
      <c r="C160" s="40" t="s">
        <v>542</v>
      </c>
    </row>
    <row r="161" spans="1:3" ht="54.75" thickBot="1">
      <c r="A161" s="41" t="s">
        <v>543</v>
      </c>
      <c r="B161" s="42" t="s">
        <v>544</v>
      </c>
      <c r="C161" s="43" t="s">
        <v>545</v>
      </c>
    </row>
    <row r="162" spans="1:3" ht="54.75" thickBot="1">
      <c r="A162" s="41" t="s">
        <v>546</v>
      </c>
      <c r="B162" s="39" t="s">
        <v>547</v>
      </c>
      <c r="C162" s="40" t="s">
        <v>548</v>
      </c>
    </row>
    <row r="163" spans="1:3" ht="54.75" thickBot="1">
      <c r="A163" s="41" t="s">
        <v>549</v>
      </c>
      <c r="B163" s="42" t="s">
        <v>550</v>
      </c>
      <c r="C163" s="43" t="s">
        <v>551</v>
      </c>
    </row>
    <row r="164" spans="1:3" ht="54.75" thickBot="1">
      <c r="A164" s="41" t="s">
        <v>528</v>
      </c>
      <c r="B164" s="39" t="s">
        <v>529</v>
      </c>
      <c r="C164" s="40" t="s">
        <v>530</v>
      </c>
    </row>
    <row r="165" spans="1:3" ht="41.25" thickBot="1">
      <c r="A165" s="41" t="s">
        <v>552</v>
      </c>
      <c r="B165" s="42" t="s">
        <v>553</v>
      </c>
      <c r="C165" s="43" t="s">
        <v>554</v>
      </c>
    </row>
    <row r="166" spans="1:3" ht="54.75" thickBot="1">
      <c r="A166" s="39" t="s">
        <v>555</v>
      </c>
      <c r="B166" s="39" t="s">
        <v>556</v>
      </c>
      <c r="C166" s="40" t="s">
        <v>557</v>
      </c>
    </row>
    <row r="167" spans="1:3" ht="68.25" thickBot="1">
      <c r="A167" s="41" t="s">
        <v>558</v>
      </c>
      <c r="B167" s="42" t="s">
        <v>559</v>
      </c>
      <c r="C167" s="43" t="s">
        <v>560</v>
      </c>
    </row>
    <row r="168" spans="1:3" ht="68.25" thickBot="1">
      <c r="A168" s="41" t="s">
        <v>561</v>
      </c>
      <c r="B168" s="39" t="s">
        <v>562</v>
      </c>
      <c r="C168" s="40" t="s">
        <v>563</v>
      </c>
    </row>
    <row r="169" spans="1:3" ht="54.75" thickBot="1">
      <c r="A169" s="41" t="s">
        <v>564</v>
      </c>
      <c r="B169" s="42" t="s">
        <v>565</v>
      </c>
      <c r="C169" s="43" t="s">
        <v>566</v>
      </c>
    </row>
    <row r="170" spans="1:3" ht="54.75" thickBot="1">
      <c r="A170" s="41" t="s">
        <v>567</v>
      </c>
      <c r="B170" s="39" t="s">
        <v>568</v>
      </c>
      <c r="C170" s="40" t="s">
        <v>569</v>
      </c>
    </row>
    <row r="171" spans="1:3" ht="54.75" thickBot="1">
      <c r="A171" s="42" t="s">
        <v>570</v>
      </c>
      <c r="B171" s="42" t="s">
        <v>571</v>
      </c>
      <c r="C171" s="43" t="s">
        <v>572</v>
      </c>
    </row>
    <row r="172" spans="1:3" ht="81.75" thickBot="1">
      <c r="A172" s="41" t="s">
        <v>573</v>
      </c>
      <c r="B172" s="39" t="s">
        <v>574</v>
      </c>
      <c r="C172" s="40" t="s">
        <v>575</v>
      </c>
    </row>
    <row r="173" spans="1:3" ht="54.75" thickBot="1">
      <c r="A173" s="41" t="s">
        <v>576</v>
      </c>
      <c r="B173" s="42" t="s">
        <v>577</v>
      </c>
      <c r="C173" s="43" t="s">
        <v>578</v>
      </c>
    </row>
    <row r="174" spans="1:3" ht="54.75" thickBot="1">
      <c r="A174" s="41" t="s">
        <v>579</v>
      </c>
      <c r="B174" s="39" t="s">
        <v>580</v>
      </c>
      <c r="C174" s="40" t="s">
        <v>581</v>
      </c>
    </row>
    <row r="175" spans="1:3" ht="54.75" thickBot="1">
      <c r="A175" s="41" t="s">
        <v>582</v>
      </c>
      <c r="B175" s="42" t="s">
        <v>583</v>
      </c>
      <c r="C175" s="43" t="s">
        <v>584</v>
      </c>
    </row>
    <row r="176" spans="1:3" ht="54.75" thickBot="1">
      <c r="A176" s="41" t="s">
        <v>585</v>
      </c>
      <c r="B176" s="39" t="s">
        <v>586</v>
      </c>
      <c r="C176" s="40" t="s">
        <v>587</v>
      </c>
    </row>
    <row r="177" spans="1:3" ht="41.25" thickBot="1">
      <c r="A177" s="41" t="s">
        <v>588</v>
      </c>
      <c r="B177" s="42" t="s">
        <v>589</v>
      </c>
      <c r="C177" s="43" t="s">
        <v>590</v>
      </c>
    </row>
    <row r="178" spans="1:3" ht="54.75" thickBot="1">
      <c r="A178" s="41" t="s">
        <v>591</v>
      </c>
      <c r="B178" s="39" t="s">
        <v>592</v>
      </c>
      <c r="C178" s="40" t="s">
        <v>593</v>
      </c>
    </row>
    <row r="179" spans="1:3" ht="54.75" thickBot="1">
      <c r="A179" s="41" t="s">
        <v>594</v>
      </c>
      <c r="B179" s="42" t="s">
        <v>595</v>
      </c>
      <c r="C179" s="43" t="s">
        <v>596</v>
      </c>
    </row>
    <row r="180" spans="1:3" ht="54.75" thickBot="1">
      <c r="A180" s="41" t="s">
        <v>597</v>
      </c>
      <c r="B180" s="39" t="s">
        <v>598</v>
      </c>
      <c r="C180" s="40" t="s">
        <v>599</v>
      </c>
    </row>
    <row r="181" spans="1:3" ht="41.25" thickBot="1">
      <c r="A181" s="41" t="s">
        <v>588</v>
      </c>
      <c r="B181" s="42" t="s">
        <v>600</v>
      </c>
      <c r="C181" s="43" t="s">
        <v>590</v>
      </c>
    </row>
    <row r="182" spans="1:3" ht="54.75" thickBot="1">
      <c r="A182" s="39" t="s">
        <v>601</v>
      </c>
      <c r="B182" s="39" t="s">
        <v>602</v>
      </c>
      <c r="C182" s="40" t="s">
        <v>603</v>
      </c>
    </row>
    <row r="183" spans="1:3" ht="54.75" thickBot="1">
      <c r="A183" s="41" t="s">
        <v>604</v>
      </c>
      <c r="B183" s="42" t="s">
        <v>605</v>
      </c>
      <c r="C183" s="43" t="s">
        <v>606</v>
      </c>
    </row>
    <row r="184" spans="1:3" ht="41.25" thickBot="1">
      <c r="A184" s="39" t="s">
        <v>607</v>
      </c>
      <c r="B184" s="39" t="s">
        <v>608</v>
      </c>
      <c r="C184" s="40" t="s">
        <v>609</v>
      </c>
    </row>
    <row r="185" spans="1:3" ht="54.75" thickBot="1">
      <c r="A185" s="41" t="s">
        <v>610</v>
      </c>
      <c r="B185" s="42" t="s">
        <v>611</v>
      </c>
      <c r="C185" s="43" t="s">
        <v>612</v>
      </c>
    </row>
    <row r="186" spans="1:3" ht="54.75" thickBot="1">
      <c r="A186" s="41" t="s">
        <v>613</v>
      </c>
      <c r="B186" s="39" t="s">
        <v>614</v>
      </c>
      <c r="C186" s="40" t="s">
        <v>615</v>
      </c>
    </row>
    <row r="187" spans="1:3" ht="54.75" thickBot="1">
      <c r="A187" s="42" t="s">
        <v>616</v>
      </c>
      <c r="B187" s="42" t="s">
        <v>617</v>
      </c>
      <c r="C187" s="43" t="s">
        <v>618</v>
      </c>
    </row>
    <row r="188" spans="1:3" ht="54.75" thickBot="1">
      <c r="A188" s="39" t="s">
        <v>619</v>
      </c>
      <c r="B188" s="39" t="s">
        <v>620</v>
      </c>
      <c r="C188" s="40" t="s">
        <v>621</v>
      </c>
    </row>
    <row r="189" spans="1:3" ht="41.25" thickBot="1">
      <c r="A189" s="41" t="s">
        <v>622</v>
      </c>
      <c r="B189" s="42" t="s">
        <v>623</v>
      </c>
      <c r="C189" s="43" t="s">
        <v>624</v>
      </c>
    </row>
    <row r="190" spans="1:3" ht="54.75" thickBot="1">
      <c r="A190" s="39" t="s">
        <v>625</v>
      </c>
      <c r="B190" s="39" t="s">
        <v>626</v>
      </c>
      <c r="C190" s="40" t="s">
        <v>627</v>
      </c>
    </row>
    <row r="191" spans="1:3" ht="54.75" thickBot="1">
      <c r="A191" s="41" t="s">
        <v>628</v>
      </c>
      <c r="B191" s="42" t="s">
        <v>629</v>
      </c>
      <c r="C191" s="43" t="s">
        <v>630</v>
      </c>
    </row>
    <row r="192" spans="1:3" ht="68.25" thickBot="1">
      <c r="A192" s="41" t="s">
        <v>631</v>
      </c>
      <c r="B192" s="39" t="s">
        <v>632</v>
      </c>
      <c r="C192" s="40" t="s">
        <v>633</v>
      </c>
    </row>
    <row r="193" spans="1:3" ht="68.25" thickBot="1">
      <c r="A193" s="41" t="s">
        <v>634</v>
      </c>
      <c r="B193" s="42" t="s">
        <v>635</v>
      </c>
      <c r="C193" s="43" t="s">
        <v>636</v>
      </c>
    </row>
    <row r="194" spans="1:3" ht="68.25" thickBot="1">
      <c r="A194" s="41" t="s">
        <v>637</v>
      </c>
      <c r="B194" s="39" t="s">
        <v>638</v>
      </c>
      <c r="C194" s="40" t="s">
        <v>639</v>
      </c>
    </row>
    <row r="195" spans="1:3" ht="54.75" thickBot="1">
      <c r="A195" s="41" t="s">
        <v>640</v>
      </c>
      <c r="B195" s="42" t="s">
        <v>641</v>
      </c>
      <c r="C195" s="43" t="s">
        <v>642</v>
      </c>
    </row>
    <row r="196" spans="1:3" ht="54.75" thickBot="1">
      <c r="A196" s="41" t="s">
        <v>643</v>
      </c>
      <c r="B196" s="39" t="s">
        <v>644</v>
      </c>
      <c r="C196" s="40" t="s">
        <v>645</v>
      </c>
    </row>
    <row r="197" spans="1:3" ht="68.25" thickBot="1">
      <c r="A197" s="41" t="s">
        <v>646</v>
      </c>
      <c r="B197" s="42" t="s">
        <v>647</v>
      </c>
      <c r="C197" s="43" t="s">
        <v>648</v>
      </c>
    </row>
    <row r="198" spans="1:3" ht="68.25" thickBot="1">
      <c r="A198" s="41" t="s">
        <v>649</v>
      </c>
      <c r="B198" s="39" t="s">
        <v>650</v>
      </c>
      <c r="C198" s="40" t="s">
        <v>651</v>
      </c>
    </row>
    <row r="199" spans="1:3" ht="68.25" thickBot="1">
      <c r="A199" s="41" t="s">
        <v>652</v>
      </c>
      <c r="B199" s="42" t="s">
        <v>653</v>
      </c>
      <c r="C199" s="43" t="s">
        <v>654</v>
      </c>
    </row>
    <row r="200" spans="1:3" ht="68.25" thickBot="1">
      <c r="A200" s="41" t="s">
        <v>655</v>
      </c>
      <c r="B200" s="39" t="s">
        <v>656</v>
      </c>
      <c r="C200" s="40" t="s">
        <v>657</v>
      </c>
    </row>
    <row r="201" spans="1:3" ht="41.25" thickBot="1">
      <c r="A201" s="42" t="s">
        <v>658</v>
      </c>
      <c r="B201" s="42" t="s">
        <v>659</v>
      </c>
      <c r="C201" s="43" t="s">
        <v>660</v>
      </c>
    </row>
    <row r="202" spans="1:3" ht="41.25" thickBot="1">
      <c r="A202" s="41" t="s">
        <v>661</v>
      </c>
      <c r="B202" s="39" t="s">
        <v>662</v>
      </c>
      <c r="C202" s="40" t="s">
        <v>663</v>
      </c>
    </row>
    <row r="203" spans="1:3" ht="54.75" thickBot="1">
      <c r="A203" s="42" t="s">
        <v>664</v>
      </c>
      <c r="B203" s="42" t="s">
        <v>665</v>
      </c>
      <c r="C203" s="43" t="s">
        <v>666</v>
      </c>
    </row>
    <row r="204" spans="1:3" ht="54.75" thickBot="1">
      <c r="A204" s="41" t="s">
        <v>667</v>
      </c>
      <c r="B204" s="39" t="s">
        <v>668</v>
      </c>
      <c r="C204" s="40" t="s">
        <v>669</v>
      </c>
    </row>
    <row r="205" spans="1:3" ht="41.25" thickBot="1">
      <c r="A205" s="41" t="s">
        <v>670</v>
      </c>
      <c r="B205" s="42" t="s">
        <v>671</v>
      </c>
      <c r="C205" s="43" t="s">
        <v>672</v>
      </c>
    </row>
    <row r="206" spans="1:3" ht="41.25" thickBot="1">
      <c r="A206" s="41" t="s">
        <v>673</v>
      </c>
      <c r="B206" s="39" t="s">
        <v>674</v>
      </c>
      <c r="C206" s="40" t="s">
        <v>675</v>
      </c>
    </row>
    <row r="207" spans="1:3" ht="54.75" thickBot="1">
      <c r="A207" s="42" t="s">
        <v>676</v>
      </c>
      <c r="B207" s="42" t="s">
        <v>677</v>
      </c>
      <c r="C207" s="43" t="s">
        <v>678</v>
      </c>
    </row>
    <row r="208" spans="1:3" ht="54.75" thickBot="1">
      <c r="A208" s="41" t="s">
        <v>679</v>
      </c>
      <c r="B208" s="39" t="s">
        <v>680</v>
      </c>
      <c r="C208" s="40" t="s">
        <v>681</v>
      </c>
    </row>
    <row r="209" spans="1:3" ht="54.75" thickBot="1">
      <c r="A209" s="41" t="s">
        <v>682</v>
      </c>
      <c r="B209" s="42" t="s">
        <v>683</v>
      </c>
      <c r="C209" s="43" t="s">
        <v>684</v>
      </c>
    </row>
    <row r="210" spans="1:3" ht="68.25" thickBot="1">
      <c r="A210" s="41" t="s">
        <v>685</v>
      </c>
      <c r="B210" s="39" t="s">
        <v>686</v>
      </c>
      <c r="C210" s="40" t="s">
        <v>687</v>
      </c>
    </row>
    <row r="211" spans="1:3" ht="54.75" thickBot="1">
      <c r="A211" s="42" t="s">
        <v>688</v>
      </c>
      <c r="B211" s="42" t="s">
        <v>689</v>
      </c>
      <c r="C211" s="43" t="s">
        <v>690</v>
      </c>
    </row>
    <row r="212" spans="1:3" ht="54.75" thickBot="1">
      <c r="A212" s="41" t="s">
        <v>691</v>
      </c>
      <c r="B212" s="39" t="s">
        <v>692</v>
      </c>
      <c r="C212" s="40" t="s">
        <v>693</v>
      </c>
    </row>
    <row r="213" spans="1:3" ht="54.75" thickBot="1">
      <c r="A213" s="41" t="s">
        <v>688</v>
      </c>
      <c r="B213" s="42" t="s">
        <v>694</v>
      </c>
      <c r="C213" s="43" t="s">
        <v>690</v>
      </c>
    </row>
    <row r="214" spans="1:3" ht="54.75" thickBot="1">
      <c r="A214" s="41" t="s">
        <v>695</v>
      </c>
      <c r="B214" s="39" t="s">
        <v>696</v>
      </c>
      <c r="C214" s="40" t="s">
        <v>697</v>
      </c>
    </row>
    <row r="215" spans="1:3" ht="41.25" thickBot="1">
      <c r="A215" s="41" t="s">
        <v>698</v>
      </c>
      <c r="B215" s="42" t="s">
        <v>699</v>
      </c>
      <c r="C215" s="43" t="s">
        <v>700</v>
      </c>
    </row>
    <row r="216" spans="1:3" ht="54.75" thickBot="1">
      <c r="A216" s="41" t="s">
        <v>701</v>
      </c>
      <c r="B216" s="39" t="s">
        <v>702</v>
      </c>
      <c r="C216" s="40" t="s">
        <v>703</v>
      </c>
    </row>
    <row r="217" spans="1:3" ht="54.75" thickBot="1">
      <c r="A217" s="41" t="s">
        <v>704</v>
      </c>
      <c r="B217" s="42" t="s">
        <v>705</v>
      </c>
      <c r="C217" s="43" t="s">
        <v>706</v>
      </c>
    </row>
    <row r="218" spans="1:3" ht="54.75" thickBot="1">
      <c r="A218" s="41" t="s">
        <v>707</v>
      </c>
      <c r="B218" s="39" t="s">
        <v>708</v>
      </c>
      <c r="C218" s="40" t="s">
        <v>709</v>
      </c>
    </row>
    <row r="219" spans="1:3" ht="41.25" thickBot="1">
      <c r="A219" s="41" t="s">
        <v>710</v>
      </c>
      <c r="B219" s="42" t="s">
        <v>711</v>
      </c>
      <c r="C219" s="43" t="s">
        <v>712</v>
      </c>
    </row>
    <row r="220" spans="1:3" ht="41.25" thickBot="1">
      <c r="A220" s="41" t="s">
        <v>713</v>
      </c>
      <c r="B220" s="39" t="s">
        <v>714</v>
      </c>
      <c r="C220" s="40" t="s">
        <v>715</v>
      </c>
    </row>
    <row r="221" spans="1:3" ht="54.75" thickBot="1">
      <c r="A221" s="41" t="s">
        <v>716</v>
      </c>
      <c r="B221" s="42" t="s">
        <v>717</v>
      </c>
      <c r="C221" s="43" t="s">
        <v>718</v>
      </c>
    </row>
    <row r="222" spans="1:3" ht="54.75" thickBot="1">
      <c r="A222" s="41" t="s">
        <v>719</v>
      </c>
      <c r="B222" s="39" t="s">
        <v>720</v>
      </c>
      <c r="C222" s="40" t="s">
        <v>721</v>
      </c>
    </row>
    <row r="223" spans="1:3" ht="54.75" thickBot="1">
      <c r="A223" s="41" t="s">
        <v>722</v>
      </c>
      <c r="B223" s="42" t="s">
        <v>723</v>
      </c>
      <c r="C223" s="43" t="s">
        <v>724</v>
      </c>
    </row>
    <row r="224" spans="1:3" ht="54.75" thickBot="1">
      <c r="A224" s="41" t="s">
        <v>725</v>
      </c>
      <c r="B224" s="39" t="s">
        <v>726</v>
      </c>
      <c r="C224" s="40" t="s">
        <v>727</v>
      </c>
    </row>
    <row r="225" spans="1:3" ht="54.75" thickBot="1">
      <c r="A225" s="41" t="s">
        <v>728</v>
      </c>
      <c r="B225" s="42" t="s">
        <v>729</v>
      </c>
      <c r="C225" s="43" t="s">
        <v>730</v>
      </c>
    </row>
    <row r="226" spans="1:3" ht="54.75" thickBot="1">
      <c r="A226" s="41" t="s">
        <v>731</v>
      </c>
      <c r="B226" s="39" t="s">
        <v>732</v>
      </c>
      <c r="C226" s="40" t="s">
        <v>733</v>
      </c>
    </row>
    <row r="227" spans="1:3" ht="54.75" thickBot="1">
      <c r="A227" s="41" t="s">
        <v>734</v>
      </c>
      <c r="B227" s="42" t="s">
        <v>735</v>
      </c>
      <c r="C227" s="43" t="s">
        <v>736</v>
      </c>
    </row>
    <row r="228" spans="1:3" ht="54.75" thickBot="1">
      <c r="A228" s="41" t="s">
        <v>737</v>
      </c>
      <c r="B228" s="39" t="s">
        <v>738</v>
      </c>
      <c r="C228" s="40" t="s">
        <v>739</v>
      </c>
    </row>
    <row r="229" spans="1:3" ht="41.25" thickBot="1">
      <c r="A229" s="42" t="s">
        <v>740</v>
      </c>
      <c r="B229" s="42" t="s">
        <v>741</v>
      </c>
      <c r="C229" s="43" t="s">
        <v>742</v>
      </c>
    </row>
    <row r="230" spans="1:3" ht="41.25" thickBot="1">
      <c r="A230" s="41" t="s">
        <v>743</v>
      </c>
      <c r="B230" s="39" t="s">
        <v>744</v>
      </c>
      <c r="C230" s="40" t="s">
        <v>745</v>
      </c>
    </row>
    <row r="231" spans="1:3" ht="54.75" thickBot="1">
      <c r="A231" s="41" t="s">
        <v>746</v>
      </c>
      <c r="B231" s="42" t="s">
        <v>747</v>
      </c>
      <c r="C231" s="43" t="s">
        <v>748</v>
      </c>
    </row>
    <row r="232" spans="1:3" ht="54.75" thickBot="1">
      <c r="A232" s="41" t="s">
        <v>749</v>
      </c>
      <c r="B232" s="39" t="s">
        <v>750</v>
      </c>
      <c r="C232" s="40" t="s">
        <v>751</v>
      </c>
    </row>
    <row r="233" spans="1:3" ht="54.75" thickBot="1">
      <c r="A233" s="41" t="s">
        <v>752</v>
      </c>
      <c r="B233" s="42" t="s">
        <v>753</v>
      </c>
      <c r="C233" s="43" t="s">
        <v>754</v>
      </c>
    </row>
    <row r="234" spans="1:3" ht="54.75" thickBot="1">
      <c r="A234" s="41" t="s">
        <v>755</v>
      </c>
      <c r="B234" s="39" t="s">
        <v>756</v>
      </c>
      <c r="C234" s="40" t="s">
        <v>757</v>
      </c>
    </row>
    <row r="235" spans="1:3" ht="41.25" thickBot="1">
      <c r="A235" s="41" t="s">
        <v>758</v>
      </c>
      <c r="B235" s="42" t="s">
        <v>759</v>
      </c>
      <c r="C235" s="43" t="s">
        <v>760</v>
      </c>
    </row>
    <row r="236" spans="1:3" ht="54.75" thickBot="1">
      <c r="A236" s="41" t="s">
        <v>761</v>
      </c>
      <c r="B236" s="39" t="s">
        <v>762</v>
      </c>
      <c r="C236" s="40" t="s">
        <v>763</v>
      </c>
    </row>
    <row r="237" spans="1:3" ht="54.75" thickBot="1">
      <c r="A237" s="41" t="s">
        <v>764</v>
      </c>
      <c r="B237" s="42" t="s">
        <v>765</v>
      </c>
      <c r="C237" s="43" t="s">
        <v>766</v>
      </c>
    </row>
    <row r="238" spans="1:3" ht="54.75" thickBot="1">
      <c r="A238" s="41" t="s">
        <v>767</v>
      </c>
      <c r="B238" s="39" t="s">
        <v>768</v>
      </c>
      <c r="C238" s="40" t="s">
        <v>769</v>
      </c>
    </row>
    <row r="239" spans="1:3" ht="41.25" thickBot="1">
      <c r="A239" s="41" t="s">
        <v>743</v>
      </c>
      <c r="B239" s="42" t="s">
        <v>770</v>
      </c>
      <c r="C239" s="43" t="s">
        <v>745</v>
      </c>
    </row>
    <row r="240" spans="1:3" ht="54.75" thickBot="1">
      <c r="A240" s="41" t="s">
        <v>771</v>
      </c>
      <c r="B240" s="39" t="s">
        <v>772</v>
      </c>
      <c r="C240" s="40" t="s">
        <v>773</v>
      </c>
    </row>
    <row r="241" spans="1:3" ht="54.75" thickBot="1">
      <c r="A241" s="41" t="s">
        <v>774</v>
      </c>
      <c r="B241" s="42" t="s">
        <v>775</v>
      </c>
      <c r="C241" s="43" t="s">
        <v>776</v>
      </c>
    </row>
    <row r="242" spans="1:3" ht="54.75" thickBot="1">
      <c r="A242" s="41" t="s">
        <v>777</v>
      </c>
      <c r="B242" s="39" t="s">
        <v>778</v>
      </c>
      <c r="C242" s="40" t="s">
        <v>779</v>
      </c>
    </row>
    <row r="243" spans="1:3" ht="54.75" thickBot="1">
      <c r="A243" s="41" t="s">
        <v>780</v>
      </c>
      <c r="B243" s="42" t="s">
        <v>781</v>
      </c>
      <c r="C243" s="43" t="s">
        <v>782</v>
      </c>
    </row>
    <row r="244" spans="1:3" ht="54.75" thickBot="1">
      <c r="A244" s="41" t="s">
        <v>783</v>
      </c>
      <c r="B244" s="39" t="s">
        <v>784</v>
      </c>
      <c r="C244" s="40" t="s">
        <v>785</v>
      </c>
    </row>
    <row r="245" spans="1:3" ht="54.75" thickBot="1">
      <c r="A245" s="41" t="s">
        <v>746</v>
      </c>
      <c r="B245" s="42" t="s">
        <v>747</v>
      </c>
      <c r="C245" s="43" t="s">
        <v>748</v>
      </c>
    </row>
    <row r="246" spans="1:3" ht="54.75" thickBot="1">
      <c r="A246" s="41" t="s">
        <v>749</v>
      </c>
      <c r="B246" s="39" t="s">
        <v>750</v>
      </c>
      <c r="C246" s="40" t="s">
        <v>751</v>
      </c>
    </row>
    <row r="247" spans="1:3" ht="54.75" thickBot="1">
      <c r="A247" s="42" t="s">
        <v>786</v>
      </c>
      <c r="B247" s="42" t="s">
        <v>787</v>
      </c>
      <c r="C247" s="43" t="s">
        <v>666</v>
      </c>
    </row>
    <row r="248" spans="1:3" ht="54.75" thickBot="1">
      <c r="A248" s="41" t="s">
        <v>788</v>
      </c>
      <c r="B248" s="39" t="s">
        <v>789</v>
      </c>
      <c r="C248" s="40" t="s">
        <v>790</v>
      </c>
    </row>
    <row r="249" spans="1:3" ht="54.75" thickBot="1">
      <c r="A249" s="41" t="s">
        <v>791</v>
      </c>
      <c r="B249" s="42" t="s">
        <v>792</v>
      </c>
      <c r="C249" s="43" t="s">
        <v>793</v>
      </c>
    </row>
    <row r="250" spans="1:3" ht="68.25" thickBot="1">
      <c r="A250" s="41" t="s">
        <v>794</v>
      </c>
      <c r="B250" s="39" t="s">
        <v>795</v>
      </c>
      <c r="C250" s="40" t="s">
        <v>796</v>
      </c>
    </row>
    <row r="251" spans="1:3" ht="54.75" thickBot="1">
      <c r="A251" s="41" t="s">
        <v>797</v>
      </c>
      <c r="B251" s="42" t="s">
        <v>798</v>
      </c>
      <c r="C251" s="43" t="s">
        <v>799</v>
      </c>
    </row>
    <row r="252" spans="1:3" ht="54.75" thickBot="1">
      <c r="A252" s="41" t="s">
        <v>800</v>
      </c>
      <c r="B252" s="39" t="s">
        <v>801</v>
      </c>
      <c r="C252" s="40" t="s">
        <v>802</v>
      </c>
    </row>
    <row r="253" spans="1:3" ht="54.75" thickBot="1">
      <c r="A253" s="41" t="s">
        <v>803</v>
      </c>
      <c r="B253" s="42" t="s">
        <v>804</v>
      </c>
      <c r="C253" s="43" t="s">
        <v>805</v>
      </c>
    </row>
    <row r="254" spans="1:3" ht="54.75" thickBot="1">
      <c r="A254" s="41" t="s">
        <v>806</v>
      </c>
      <c r="B254" s="39" t="s">
        <v>807</v>
      </c>
      <c r="C254" s="40" t="s">
        <v>808</v>
      </c>
    </row>
    <row r="255" spans="1:3" ht="54.75" thickBot="1">
      <c r="A255" s="41" t="s">
        <v>809</v>
      </c>
      <c r="B255" s="42" t="s">
        <v>810</v>
      </c>
      <c r="C255" s="43" t="s">
        <v>811</v>
      </c>
    </row>
    <row r="256" spans="1:3" ht="41.25" thickBot="1">
      <c r="A256" s="41" t="s">
        <v>812</v>
      </c>
      <c r="B256" s="39" t="s">
        <v>813</v>
      </c>
      <c r="C256" s="40" t="s">
        <v>814</v>
      </c>
    </row>
    <row r="257" spans="1:3" ht="54.75" thickBot="1">
      <c r="A257" s="41" t="s">
        <v>815</v>
      </c>
      <c r="B257" s="42" t="s">
        <v>816</v>
      </c>
      <c r="C257" s="43" t="s">
        <v>817</v>
      </c>
    </row>
    <row r="258" spans="1:3" ht="41.25" thickBot="1">
      <c r="A258" s="39" t="s">
        <v>818</v>
      </c>
      <c r="B258" s="39" t="s">
        <v>819</v>
      </c>
      <c r="C258" s="40" t="s">
        <v>820</v>
      </c>
    </row>
    <row r="259" spans="1:3" ht="41.25" thickBot="1">
      <c r="A259" s="41" t="s">
        <v>821</v>
      </c>
      <c r="B259" s="42" t="s">
        <v>822</v>
      </c>
      <c r="C259" s="43" t="s">
        <v>823</v>
      </c>
    </row>
    <row r="260" spans="1:3" ht="54.75" thickBot="1">
      <c r="A260" s="41" t="s">
        <v>824</v>
      </c>
      <c r="B260" s="39" t="s">
        <v>825</v>
      </c>
      <c r="C260" s="40" t="s">
        <v>826</v>
      </c>
    </row>
    <row r="261" spans="1:3" ht="41.25" thickBot="1">
      <c r="A261" s="41" t="s">
        <v>827</v>
      </c>
      <c r="B261" s="42" t="s">
        <v>828</v>
      </c>
      <c r="C261" s="43" t="s">
        <v>829</v>
      </c>
    </row>
    <row r="262" spans="1:3" ht="41.25" thickBot="1">
      <c r="A262" s="41" t="s">
        <v>830</v>
      </c>
      <c r="B262" s="39" t="s">
        <v>831</v>
      </c>
      <c r="C262" s="40" t="s">
        <v>832</v>
      </c>
    </row>
    <row r="263" spans="1:3" ht="41.25" thickBot="1">
      <c r="A263" s="41" t="s">
        <v>833</v>
      </c>
      <c r="B263" s="42" t="s">
        <v>834</v>
      </c>
      <c r="C263" s="43" t="s">
        <v>835</v>
      </c>
    </row>
    <row r="264" spans="1:3" ht="41.25" thickBot="1">
      <c r="A264" s="39" t="s">
        <v>836</v>
      </c>
      <c r="B264" s="39" t="s">
        <v>837</v>
      </c>
      <c r="C264" s="40" t="s">
        <v>838</v>
      </c>
    </row>
    <row r="265" spans="1:3" ht="54.75" thickBot="1">
      <c r="A265" s="41" t="s">
        <v>839</v>
      </c>
      <c r="B265" s="42" t="s">
        <v>840</v>
      </c>
      <c r="C265" s="43" t="s">
        <v>841</v>
      </c>
    </row>
    <row r="266" spans="1:3" ht="41.25" thickBot="1">
      <c r="A266" s="41" t="s">
        <v>842</v>
      </c>
      <c r="B266" s="39" t="s">
        <v>843</v>
      </c>
      <c r="C266" s="40" t="s">
        <v>844</v>
      </c>
    </row>
    <row r="267" spans="1:3" ht="54.75" thickBot="1">
      <c r="A267" s="41" t="s">
        <v>845</v>
      </c>
      <c r="B267" s="42" t="s">
        <v>846</v>
      </c>
      <c r="C267" s="43" t="s">
        <v>847</v>
      </c>
    </row>
    <row r="268" spans="1:3" ht="54.75" thickBot="1">
      <c r="A268" s="41" t="s">
        <v>848</v>
      </c>
      <c r="B268" s="39" t="s">
        <v>849</v>
      </c>
      <c r="C268" s="40" t="s">
        <v>850</v>
      </c>
    </row>
    <row r="269" spans="1:3" ht="54.75" thickBot="1">
      <c r="A269" s="41" t="s">
        <v>851</v>
      </c>
      <c r="B269" s="42" t="s">
        <v>852</v>
      </c>
      <c r="C269" s="43" t="s">
        <v>853</v>
      </c>
    </row>
    <row r="270" spans="1:3" ht="68.25" thickBot="1">
      <c r="A270" s="41" t="s">
        <v>854</v>
      </c>
      <c r="B270" s="39" t="s">
        <v>855</v>
      </c>
      <c r="C270" s="40" t="s">
        <v>856</v>
      </c>
    </row>
    <row r="271" spans="1:3" ht="54.75" thickBot="1">
      <c r="A271" s="41" t="s">
        <v>857</v>
      </c>
      <c r="B271" s="42" t="s">
        <v>858</v>
      </c>
      <c r="C271" s="43" t="s">
        <v>859</v>
      </c>
    </row>
    <row r="272" spans="1:3" ht="54.75" thickBot="1">
      <c r="A272" s="41" t="s">
        <v>860</v>
      </c>
      <c r="B272" s="39" t="s">
        <v>861</v>
      </c>
      <c r="C272" s="40" t="s">
        <v>862</v>
      </c>
    </row>
    <row r="273" spans="1:3" ht="54.75" thickBot="1">
      <c r="A273" s="41" t="s">
        <v>863</v>
      </c>
      <c r="B273" s="42" t="s">
        <v>864</v>
      </c>
      <c r="C273" s="43" t="s">
        <v>865</v>
      </c>
    </row>
    <row r="274" spans="1:3" ht="54.75" thickBot="1">
      <c r="A274" s="41" t="s">
        <v>866</v>
      </c>
      <c r="B274" s="39" t="s">
        <v>867</v>
      </c>
      <c r="C274" s="40" t="s">
        <v>868</v>
      </c>
    </row>
    <row r="275" spans="1:3" ht="54.75" thickBot="1">
      <c r="A275" s="41" t="s">
        <v>869</v>
      </c>
      <c r="B275" s="42" t="s">
        <v>870</v>
      </c>
      <c r="C275" s="43" t="s">
        <v>871</v>
      </c>
    </row>
    <row r="276" spans="1:3" ht="54.75" thickBot="1">
      <c r="A276" s="41" t="s">
        <v>872</v>
      </c>
      <c r="B276" s="39" t="s">
        <v>873</v>
      </c>
      <c r="C276" s="40" t="s">
        <v>874</v>
      </c>
    </row>
    <row r="277" spans="1:3" ht="54.75" thickBot="1">
      <c r="A277" s="41" t="s">
        <v>839</v>
      </c>
      <c r="B277" s="42" t="s">
        <v>875</v>
      </c>
      <c r="C277" s="43" t="s">
        <v>841</v>
      </c>
    </row>
    <row r="278" spans="1:3" ht="41.25" thickBot="1">
      <c r="A278" s="41" t="s">
        <v>876</v>
      </c>
      <c r="B278" s="39" t="s">
        <v>877</v>
      </c>
      <c r="C278" s="40" t="s">
        <v>878</v>
      </c>
    </row>
    <row r="279" spans="1:3" ht="54.75" thickBot="1">
      <c r="A279" s="41" t="s">
        <v>879</v>
      </c>
      <c r="B279" s="42" t="s">
        <v>880</v>
      </c>
      <c r="C279" s="43" t="s">
        <v>881</v>
      </c>
    </row>
    <row r="280" spans="1:3" ht="54.75" thickBot="1">
      <c r="A280" s="41" t="s">
        <v>882</v>
      </c>
      <c r="B280" s="39" t="s">
        <v>883</v>
      </c>
      <c r="C280" s="40" t="s">
        <v>884</v>
      </c>
    </row>
    <row r="281" spans="1:3" ht="68.25" thickBot="1">
      <c r="A281" s="41" t="s">
        <v>885</v>
      </c>
      <c r="B281" s="42" t="s">
        <v>886</v>
      </c>
      <c r="C281" s="43" t="s">
        <v>887</v>
      </c>
    </row>
    <row r="282" spans="1:3" ht="54.75" thickBot="1">
      <c r="A282" s="41" t="s">
        <v>888</v>
      </c>
      <c r="B282" s="39" t="s">
        <v>889</v>
      </c>
      <c r="C282" s="40" t="s">
        <v>890</v>
      </c>
    </row>
    <row r="283" spans="1:3" ht="68.25" thickBot="1">
      <c r="A283" s="41" t="s">
        <v>891</v>
      </c>
      <c r="B283" s="42" t="s">
        <v>892</v>
      </c>
      <c r="C283" s="43" t="s">
        <v>893</v>
      </c>
    </row>
    <row r="284" spans="1:3" ht="41.25" thickBot="1">
      <c r="A284" s="41" t="s">
        <v>894</v>
      </c>
      <c r="B284" s="39" t="s">
        <v>895</v>
      </c>
      <c r="C284" s="40" t="s">
        <v>896</v>
      </c>
    </row>
    <row r="285" spans="1:3" ht="54.75" thickBot="1">
      <c r="A285" s="41" t="s">
        <v>897</v>
      </c>
      <c r="B285" s="42" t="s">
        <v>898</v>
      </c>
      <c r="C285" s="43" t="s">
        <v>899</v>
      </c>
    </row>
    <row r="286" spans="1:3" ht="54.75" thickBot="1">
      <c r="A286" s="41" t="s">
        <v>900</v>
      </c>
      <c r="B286" s="39" t="s">
        <v>901</v>
      </c>
      <c r="C286" s="40" t="s">
        <v>902</v>
      </c>
    </row>
    <row r="287" spans="1:3" ht="54.75" thickBot="1">
      <c r="A287" s="41" t="s">
        <v>903</v>
      </c>
      <c r="B287" s="42" t="s">
        <v>904</v>
      </c>
      <c r="C287" s="43" t="s">
        <v>905</v>
      </c>
    </row>
    <row r="288" spans="1:3" ht="54.75" thickBot="1">
      <c r="A288" s="41" t="s">
        <v>906</v>
      </c>
      <c r="B288" s="39" t="s">
        <v>907</v>
      </c>
      <c r="C288" s="40" t="s">
        <v>908</v>
      </c>
    </row>
    <row r="289" spans="1:3" ht="54.75" thickBot="1">
      <c r="A289" s="41" t="s">
        <v>909</v>
      </c>
      <c r="B289" s="42" t="s">
        <v>910</v>
      </c>
      <c r="C289" s="43" t="s">
        <v>911</v>
      </c>
    </row>
    <row r="290" spans="1:3" ht="54.75" thickBot="1">
      <c r="A290" s="41" t="s">
        <v>912</v>
      </c>
      <c r="B290" s="39" t="s">
        <v>913</v>
      </c>
      <c r="C290" s="40" t="s">
        <v>914</v>
      </c>
    </row>
    <row r="291" spans="1:3" ht="54.75" thickBot="1">
      <c r="A291" s="41" t="s">
        <v>915</v>
      </c>
      <c r="B291" s="42" t="s">
        <v>916</v>
      </c>
      <c r="C291" s="43" t="s">
        <v>917</v>
      </c>
    </row>
    <row r="292" spans="1:3" ht="54.75" thickBot="1">
      <c r="A292" s="41" t="s">
        <v>918</v>
      </c>
      <c r="B292" s="39" t="s">
        <v>919</v>
      </c>
      <c r="C292" s="40" t="s">
        <v>920</v>
      </c>
    </row>
    <row r="293" spans="1:3" ht="54.75" thickBot="1">
      <c r="A293" s="41" t="s">
        <v>921</v>
      </c>
      <c r="B293" s="42" t="s">
        <v>922</v>
      </c>
      <c r="C293" s="43" t="s">
        <v>923</v>
      </c>
    </row>
    <row r="294" spans="1:3" ht="54.75" thickBot="1">
      <c r="A294" s="41" t="s">
        <v>924</v>
      </c>
      <c r="B294" s="39" t="s">
        <v>925</v>
      </c>
      <c r="C294" s="40" t="s">
        <v>926</v>
      </c>
    </row>
    <row r="295" spans="1:3" ht="54.75" thickBot="1">
      <c r="A295" s="41" t="s">
        <v>927</v>
      </c>
      <c r="B295" s="42" t="s">
        <v>928</v>
      </c>
      <c r="C295" s="43" t="s">
        <v>929</v>
      </c>
    </row>
    <row r="296" spans="1:3" ht="54.75" thickBot="1">
      <c r="A296" s="41" t="s">
        <v>930</v>
      </c>
      <c r="B296" s="39" t="s">
        <v>931</v>
      </c>
      <c r="C296" s="40" t="s">
        <v>932</v>
      </c>
    </row>
    <row r="297" spans="1:3" ht="68.25" thickBot="1">
      <c r="A297" s="41" t="s">
        <v>933</v>
      </c>
      <c r="B297" s="42" t="s">
        <v>934</v>
      </c>
      <c r="C297" s="43" t="s">
        <v>935</v>
      </c>
    </row>
    <row r="298" spans="1:3" ht="54.75" thickBot="1">
      <c r="A298" s="41" t="s">
        <v>936</v>
      </c>
      <c r="B298" s="39" t="s">
        <v>937</v>
      </c>
      <c r="C298" s="40" t="s">
        <v>938</v>
      </c>
    </row>
    <row r="299" spans="1:3" ht="54.75" thickBot="1">
      <c r="A299" s="41" t="s">
        <v>939</v>
      </c>
      <c r="B299" s="42" t="s">
        <v>940</v>
      </c>
      <c r="C299" s="43" t="s">
        <v>941</v>
      </c>
    </row>
    <row r="300" spans="1:3" ht="68.25" thickBot="1">
      <c r="A300" s="41" t="s">
        <v>942</v>
      </c>
      <c r="B300" s="39" t="s">
        <v>943</v>
      </c>
      <c r="C300" s="40" t="s">
        <v>944</v>
      </c>
    </row>
    <row r="301" spans="1:3" ht="68.25" thickBot="1">
      <c r="A301" s="41" t="s">
        <v>945</v>
      </c>
      <c r="B301" s="42" t="s">
        <v>946</v>
      </c>
      <c r="C301" s="43" t="s">
        <v>947</v>
      </c>
    </row>
    <row r="302" spans="1:3" ht="68.25" thickBot="1">
      <c r="A302" s="41" t="s">
        <v>948</v>
      </c>
      <c r="B302" s="39" t="s">
        <v>949</v>
      </c>
      <c r="C302" s="40" t="s">
        <v>950</v>
      </c>
    </row>
    <row r="303" spans="1:3" ht="54.75" thickBot="1">
      <c r="A303" s="41" t="s">
        <v>951</v>
      </c>
      <c r="B303" s="42" t="s">
        <v>952</v>
      </c>
      <c r="C303" s="43" t="s">
        <v>953</v>
      </c>
    </row>
    <row r="304" spans="1:3" ht="68.25" thickBot="1">
      <c r="A304" s="41" t="s">
        <v>954</v>
      </c>
      <c r="B304" s="39" t="s">
        <v>955</v>
      </c>
      <c r="C304" s="40" t="s">
        <v>956</v>
      </c>
    </row>
    <row r="305" spans="1:3" ht="54.75" thickBot="1">
      <c r="A305" s="41" t="s">
        <v>957</v>
      </c>
      <c r="B305" s="42" t="s">
        <v>958</v>
      </c>
      <c r="C305" s="43" t="s">
        <v>959</v>
      </c>
    </row>
    <row r="306" spans="1:3" ht="54.75" thickBot="1">
      <c r="A306" s="44" t="s">
        <v>960</v>
      </c>
      <c r="B306" s="45" t="s">
        <v>961</v>
      </c>
      <c r="C306" s="46" t="s">
        <v>962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1132</v>
      </c>
      <c r="B1" t="s">
        <v>1133</v>
      </c>
    </row>
    <row r="2" spans="1:2">
      <c r="A2" s="48">
        <v>45722.801747685182</v>
      </c>
      <c r="B2" t="s">
        <v>1130</v>
      </c>
    </row>
    <row r="3" spans="1:2">
      <c r="A3" s="48">
        <v>45723.400613425925</v>
      </c>
      <c r="B3" t="s">
        <v>1130</v>
      </c>
    </row>
    <row r="4" spans="1:2">
      <c r="A4" s="48">
        <v>45723.658148148148</v>
      </c>
      <c r="B4" t="s">
        <v>1138</v>
      </c>
    </row>
    <row r="5" spans="1:2">
      <c r="A5" s="48">
        <v>45723.662939814814</v>
      </c>
      <c r="B5" t="s">
        <v>1139</v>
      </c>
    </row>
    <row r="6" spans="1:2">
      <c r="A6" s="48">
        <v>45723.943518518521</v>
      </c>
      <c r="B6" t="s">
        <v>1140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0" t="s">
        <v>12</v>
      </c>
      <c r="C4" s="521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7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1142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1143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1144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" sqref="J2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>
      <c r="A1" t="s">
        <v>1481</v>
      </c>
      <c r="B1" t="s">
        <v>48</v>
      </c>
      <c r="C1" t="s">
        <v>1481</v>
      </c>
      <c r="D1" t="s">
        <v>1446</v>
      </c>
      <c r="F1" t="s">
        <v>1448</v>
      </c>
      <c r="H1" t="s">
        <v>1449</v>
      </c>
      <c r="L1" t="s">
        <v>1456</v>
      </c>
      <c r="N1" t="s">
        <v>1460</v>
      </c>
      <c r="P1" t="s">
        <v>1766</v>
      </c>
      <c r="R1" t="s">
        <v>1765</v>
      </c>
    </row>
    <row r="2" spans="1:20">
      <c r="A2">
        <v>1</v>
      </c>
      <c r="B2" t="s">
        <v>32</v>
      </c>
      <c r="C2">
        <v>1</v>
      </c>
      <c r="D2" t="s">
        <v>1448</v>
      </c>
      <c r="E2">
        <v>1</v>
      </c>
      <c r="F2" t="s">
        <v>1463</v>
      </c>
      <c r="G2">
        <v>1</v>
      </c>
      <c r="H2" t="s">
        <v>1472</v>
      </c>
      <c r="I2">
        <v>1</v>
      </c>
      <c r="J2" t="s">
        <v>1219</v>
      </c>
      <c r="K2">
        <v>1</v>
      </c>
      <c r="L2" t="s">
        <v>1476</v>
      </c>
      <c r="M2">
        <v>1</v>
      </c>
      <c r="N2" t="s">
        <v>1479</v>
      </c>
      <c r="O2">
        <v>1</v>
      </c>
      <c r="Q2">
        <v>1</v>
      </c>
    </row>
    <row r="3" spans="1:20">
      <c r="A3">
        <v>2</v>
      </c>
      <c r="B3" t="s">
        <v>1135</v>
      </c>
      <c r="C3">
        <v>2</v>
      </c>
      <c r="D3" t="s">
        <v>1449</v>
      </c>
      <c r="E3">
        <v>2</v>
      </c>
      <c r="F3" t="s">
        <v>1464</v>
      </c>
      <c r="G3">
        <v>2</v>
      </c>
      <c r="H3" t="s">
        <v>1261</v>
      </c>
      <c r="I3">
        <v>2</v>
      </c>
      <c r="J3" t="s">
        <v>1220</v>
      </c>
      <c r="K3">
        <v>2</v>
      </c>
      <c r="L3" t="s">
        <v>1477</v>
      </c>
      <c r="M3">
        <v>2</v>
      </c>
      <c r="N3" t="s">
        <v>1480</v>
      </c>
      <c r="O3">
        <v>2</v>
      </c>
      <c r="Q3">
        <v>2</v>
      </c>
    </row>
    <row r="4" spans="1:20">
      <c r="A4">
        <v>3</v>
      </c>
      <c r="B4" t="s">
        <v>1134</v>
      </c>
      <c r="C4">
        <v>3</v>
      </c>
      <c r="D4" t="s">
        <v>1450</v>
      </c>
      <c r="E4">
        <v>3</v>
      </c>
      <c r="F4" t="s">
        <v>1465</v>
      </c>
      <c r="G4">
        <v>3</v>
      </c>
      <c r="H4" t="s">
        <v>1411</v>
      </c>
      <c r="I4">
        <v>3</v>
      </c>
      <c r="J4" t="s">
        <v>1473</v>
      </c>
      <c r="M4">
        <v>3</v>
      </c>
      <c r="N4" t="s">
        <v>1478</v>
      </c>
      <c r="O4">
        <v>3</v>
      </c>
      <c r="Q4">
        <v>3</v>
      </c>
    </row>
    <row r="5" spans="1:20">
      <c r="A5">
        <v>4</v>
      </c>
      <c r="B5" t="s">
        <v>1799</v>
      </c>
      <c r="C5">
        <v>4</v>
      </c>
      <c r="D5" t="s">
        <v>1451</v>
      </c>
      <c r="E5">
        <v>4</v>
      </c>
      <c r="F5" t="s">
        <v>1466</v>
      </c>
      <c r="I5">
        <v>4</v>
      </c>
      <c r="J5" t="s">
        <v>1475</v>
      </c>
    </row>
    <row r="6" spans="1:20">
      <c r="A6">
        <v>5</v>
      </c>
      <c r="B6" t="s">
        <v>1447</v>
      </c>
      <c r="C6">
        <v>5</v>
      </c>
      <c r="D6" t="s">
        <v>1452</v>
      </c>
      <c r="E6">
        <v>5</v>
      </c>
      <c r="F6" t="s">
        <v>1467</v>
      </c>
      <c r="I6">
        <v>5</v>
      </c>
      <c r="J6" t="s">
        <v>1221</v>
      </c>
    </row>
    <row r="7" spans="1:20">
      <c r="A7">
        <v>6</v>
      </c>
      <c r="B7" t="s">
        <v>1849</v>
      </c>
      <c r="C7">
        <v>6</v>
      </c>
      <c r="D7" t="s">
        <v>1453</v>
      </c>
      <c r="E7">
        <v>6</v>
      </c>
      <c r="F7" t="s">
        <v>1468</v>
      </c>
      <c r="I7">
        <v>6</v>
      </c>
      <c r="J7" t="s">
        <v>1222</v>
      </c>
    </row>
    <row r="8" spans="1:20">
      <c r="A8">
        <v>7</v>
      </c>
      <c r="B8" t="s">
        <v>1850</v>
      </c>
      <c r="C8">
        <v>7</v>
      </c>
      <c r="D8" t="s">
        <v>1455</v>
      </c>
      <c r="E8">
        <v>7</v>
      </c>
      <c r="F8" t="s">
        <v>1469</v>
      </c>
      <c r="I8">
        <v>7</v>
      </c>
      <c r="J8" t="s">
        <v>1223</v>
      </c>
    </row>
    <row r="9" spans="1:20">
      <c r="A9">
        <v>8</v>
      </c>
      <c r="B9" t="s">
        <v>1851</v>
      </c>
      <c r="C9">
        <v>8</v>
      </c>
      <c r="D9" t="s">
        <v>1456</v>
      </c>
      <c r="E9">
        <v>8</v>
      </c>
      <c r="F9" t="s">
        <v>1436</v>
      </c>
      <c r="I9">
        <v>8</v>
      </c>
      <c r="J9" t="s">
        <v>1224</v>
      </c>
    </row>
    <row r="10" spans="1:20">
      <c r="A10">
        <v>9</v>
      </c>
      <c r="B10" t="s">
        <v>1852</v>
      </c>
      <c r="C10">
        <v>9</v>
      </c>
      <c r="D10" t="s">
        <v>1457</v>
      </c>
      <c r="E10">
        <v>9</v>
      </c>
      <c r="F10" t="s">
        <v>1470</v>
      </c>
      <c r="I10">
        <v>9</v>
      </c>
      <c r="J10" t="s">
        <v>1474</v>
      </c>
    </row>
    <row r="11" spans="1:20">
      <c r="A11">
        <v>10</v>
      </c>
      <c r="B11" t="s">
        <v>1853</v>
      </c>
      <c r="C11">
        <v>10</v>
      </c>
      <c r="D11" t="s">
        <v>1458</v>
      </c>
      <c r="E11">
        <v>10</v>
      </c>
      <c r="F11" t="s">
        <v>1471</v>
      </c>
      <c r="I11">
        <v>10</v>
      </c>
      <c r="J11" t="s">
        <v>2000</v>
      </c>
    </row>
    <row r="12" spans="1:20">
      <c r="A12">
        <v>11</v>
      </c>
      <c r="B12" t="s">
        <v>1854</v>
      </c>
      <c r="C12">
        <v>11</v>
      </c>
      <c r="D12" t="s">
        <v>1459</v>
      </c>
      <c r="I12">
        <v>11</v>
      </c>
      <c r="J12" t="s">
        <v>2431</v>
      </c>
    </row>
    <row r="13" spans="1:20">
      <c r="A13">
        <v>12</v>
      </c>
      <c r="B13" t="s">
        <v>1999</v>
      </c>
      <c r="C13">
        <v>12</v>
      </c>
      <c r="D13" t="s">
        <v>1460</v>
      </c>
      <c r="I13">
        <v>12</v>
      </c>
      <c r="J13" t="s">
        <v>2576</v>
      </c>
    </row>
    <row r="14" spans="1:20">
      <c r="B14" t="s">
        <v>2249</v>
      </c>
      <c r="C14">
        <v>13</v>
      </c>
      <c r="D14" t="s">
        <v>1461</v>
      </c>
      <c r="I14">
        <v>13</v>
      </c>
      <c r="J14" t="s">
        <v>2788</v>
      </c>
    </row>
    <row r="15" spans="1:20">
      <c r="C15">
        <v>14</v>
      </c>
      <c r="D15" t="s">
        <v>1462</v>
      </c>
      <c r="T15">
        <v>28122</v>
      </c>
    </row>
    <row r="16" spans="1:20">
      <c r="C16">
        <v>15</v>
      </c>
      <c r="D16" t="s">
        <v>1765</v>
      </c>
    </row>
    <row r="17" spans="3:12">
      <c r="C17">
        <v>16</v>
      </c>
      <c r="D17" t="s">
        <v>1767</v>
      </c>
    </row>
    <row r="18" spans="3:12">
      <c r="C18">
        <v>17</v>
      </c>
      <c r="D18" t="s">
        <v>1809</v>
      </c>
    </row>
    <row r="19" spans="3:12">
      <c r="C19">
        <v>18</v>
      </c>
      <c r="D19" t="s">
        <v>1824</v>
      </c>
      <c r="L19">
        <v>2830506</v>
      </c>
    </row>
    <row r="20" spans="3:12">
      <c r="C20">
        <v>19</v>
      </c>
      <c r="D20" t="s">
        <v>2009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41"/>
      <c r="B1" s="242"/>
      <c r="C1" s="242"/>
      <c r="D1" s="242"/>
      <c r="E1" s="242"/>
      <c r="F1" s="241"/>
      <c r="G1" s="241"/>
      <c r="H1" s="241"/>
      <c r="I1" s="241"/>
    </row>
    <row r="2" spans="1:9" ht="28.35" customHeight="1">
      <c r="A2" s="243" t="s">
        <v>2518</v>
      </c>
      <c r="B2" s="242"/>
      <c r="C2" s="242"/>
      <c r="D2" s="242"/>
      <c r="E2" s="242"/>
      <c r="F2" s="241"/>
      <c r="G2" s="241"/>
      <c r="H2" s="241"/>
      <c r="I2" s="241"/>
    </row>
    <row r="3" spans="1:9" ht="28.35" customHeight="1">
      <c r="A3" s="244" t="s">
        <v>2519</v>
      </c>
      <c r="B3" s="242"/>
      <c r="C3" s="242"/>
      <c r="D3" s="242"/>
      <c r="E3" s="242"/>
      <c r="F3" s="241"/>
      <c r="G3" s="241"/>
      <c r="H3" s="241"/>
      <c r="I3" s="241"/>
    </row>
    <row r="4" spans="1:9" ht="28.35" customHeight="1">
      <c r="A4" s="244" t="s">
        <v>2520</v>
      </c>
      <c r="B4" s="242"/>
      <c r="C4" s="242"/>
      <c r="D4" s="242"/>
      <c r="E4" s="242"/>
      <c r="F4" s="241"/>
      <c r="G4" s="241"/>
      <c r="H4" s="241"/>
      <c r="I4" s="241"/>
    </row>
    <row r="5" spans="1:9" ht="28.35" customHeight="1">
      <c r="A5" s="241"/>
      <c r="B5" s="241"/>
      <c r="C5" s="241"/>
      <c r="D5" s="241"/>
      <c r="E5" s="241"/>
      <c r="F5" s="241"/>
      <c r="G5" s="241"/>
      <c r="H5" s="241"/>
      <c r="I5" s="241"/>
    </row>
    <row r="6" spans="1:9" ht="28.35" customHeight="1">
      <c r="A6" s="241"/>
      <c r="B6" s="241"/>
      <c r="C6" s="241"/>
      <c r="D6" s="241"/>
      <c r="E6" s="241"/>
      <c r="F6" s="241"/>
      <c r="G6" s="241"/>
      <c r="H6" s="241"/>
      <c r="I6" s="241"/>
    </row>
    <row r="7" spans="1:9" ht="28.35" customHeight="1">
      <c r="A7" s="241"/>
      <c r="B7" s="241"/>
      <c r="C7" s="241"/>
      <c r="D7" s="241"/>
      <c r="E7" s="241"/>
      <c r="F7" s="241"/>
      <c r="G7" s="241"/>
      <c r="H7" s="241"/>
      <c r="I7" s="241"/>
    </row>
    <row r="8" spans="1:9" ht="28.35" customHeight="1">
      <c r="A8" s="241"/>
      <c r="B8" s="241"/>
      <c r="C8" s="241"/>
      <c r="D8" s="241"/>
      <c r="E8" s="241"/>
      <c r="F8" s="241"/>
      <c r="G8" s="241"/>
      <c r="H8" s="241"/>
      <c r="I8" s="241"/>
    </row>
    <row r="9" spans="1:9" ht="28.35" customHeight="1">
      <c r="B9" s="242"/>
      <c r="C9" s="242"/>
      <c r="D9" s="242"/>
      <c r="E9" s="242"/>
      <c r="F9" s="242"/>
      <c r="G9" s="242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3" bestFit="1" customWidth="1"/>
    <col min="2" max="2" width="18" style="109" customWidth="1"/>
    <col min="3" max="3" width="13.25" style="109" customWidth="1"/>
    <col min="4" max="4" width="104.125" style="109" customWidth="1"/>
    <col min="5" max="5" width="46.5" style="114" customWidth="1"/>
  </cols>
  <sheetData>
    <row r="1" spans="1:6" s="47" customFormat="1" ht="17.25" thickBot="1">
      <c r="A1" s="115" t="s">
        <v>2</v>
      </c>
      <c r="B1" s="116" t="s">
        <v>14</v>
      </c>
      <c r="C1" s="116" t="s">
        <v>1288</v>
      </c>
      <c r="D1" s="116" t="s">
        <v>1289</v>
      </c>
      <c r="E1" s="117" t="s">
        <v>4</v>
      </c>
      <c r="F1" s="47">
        <v>1</v>
      </c>
    </row>
    <row r="2" spans="1:6" ht="33">
      <c r="A2" s="111"/>
      <c r="B2" s="110">
        <v>45737</v>
      </c>
      <c r="C2" s="109" t="s">
        <v>1299</v>
      </c>
      <c r="D2" s="119" t="s">
        <v>1298</v>
      </c>
      <c r="E2" s="112"/>
    </row>
    <row r="3" spans="1:6" ht="49.5">
      <c r="B3" s="108">
        <v>45737</v>
      </c>
      <c r="C3" s="109" t="s">
        <v>1290</v>
      </c>
      <c r="D3" s="118" t="s">
        <v>1305</v>
      </c>
    </row>
    <row r="4" spans="1:6" ht="33">
      <c r="B4" s="108">
        <v>45737</v>
      </c>
      <c r="C4" s="109" t="s">
        <v>1291</v>
      </c>
      <c r="D4" s="118" t="s">
        <v>1295</v>
      </c>
    </row>
    <row r="5" spans="1:6">
      <c r="B5" s="108">
        <v>45737</v>
      </c>
      <c r="C5" s="109" t="s">
        <v>1292</v>
      </c>
      <c r="D5" s="109" t="s">
        <v>1294</v>
      </c>
    </row>
    <row r="6" spans="1:6">
      <c r="B6" s="108">
        <v>45737</v>
      </c>
      <c r="C6" s="109" t="s">
        <v>1292</v>
      </c>
      <c r="D6" s="109" t="s">
        <v>1297</v>
      </c>
    </row>
    <row r="7" spans="1:6">
      <c r="B7" s="108">
        <v>45737</v>
      </c>
      <c r="C7" s="109" t="s">
        <v>1292</v>
      </c>
      <c r="D7" s="109" t="s">
        <v>1296</v>
      </c>
    </row>
    <row r="8" spans="1:6">
      <c r="B8" s="108"/>
      <c r="D8" s="109" t="s">
        <v>1300</v>
      </c>
    </row>
    <row r="9" spans="1:6">
      <c r="D9" s="109" t="s">
        <v>1306</v>
      </c>
    </row>
    <row r="10" spans="1:6">
      <c r="D10" s="109" t="s">
        <v>1307</v>
      </c>
    </row>
    <row r="11" spans="1:6" ht="33">
      <c r="B11" s="108">
        <v>45740</v>
      </c>
      <c r="C11" s="109" t="s">
        <v>1312</v>
      </c>
      <c r="D11" s="118" t="s">
        <v>1416</v>
      </c>
    </row>
    <row r="12" spans="1:6">
      <c r="B12" s="108">
        <v>45740</v>
      </c>
      <c r="C12" s="109" t="s">
        <v>1417</v>
      </c>
      <c r="D12" s="109" t="s">
        <v>1415</v>
      </c>
    </row>
    <row r="13" spans="1:6">
      <c r="C13" s="109" t="s">
        <v>1427</v>
      </c>
      <c r="D13" s="109" t="s">
        <v>1428</v>
      </c>
    </row>
    <row r="14" spans="1:6">
      <c r="C14" s="109" t="s">
        <v>1430</v>
      </c>
      <c r="D14" s="109" t="s">
        <v>1431</v>
      </c>
    </row>
    <row r="15" spans="1:6">
      <c r="B15" s="108">
        <v>45742</v>
      </c>
      <c r="C15" s="109" t="s">
        <v>1432</v>
      </c>
      <c r="D15" s="109" t="s">
        <v>1433</v>
      </c>
    </row>
    <row r="16" spans="1:6">
      <c r="B16" s="108">
        <v>45742</v>
      </c>
      <c r="C16" s="109" t="s">
        <v>1434</v>
      </c>
      <c r="D16" s="109" t="s">
        <v>1435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2025-07-04T06:29:38Z</cp:lastPrinted>
  <dcterms:created xsi:type="dcterms:W3CDTF">2020-10-02T11:51:16Z</dcterms:created>
  <dcterms:modified xsi:type="dcterms:W3CDTF">2025-07-05T03:42:34Z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