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D6728089-D4C0-4F89-881D-855ABFEFBF0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/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3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Q43" i="53" s="1"/>
  <c r="O20" i="53"/>
  <c r="O43" i="53" s="1"/>
  <c r="J20" i="53"/>
  <c r="J43" i="53" s="1"/>
  <c r="C4" i="33" l="1"/>
  <c r="F21" i="53"/>
  <c r="F44" i="53" s="1"/>
  <c r="T43" i="53"/>
</calcChain>
</file>

<file path=xl/sharedStrings.xml><?xml version="1.0" encoding="utf-8"?>
<sst xmlns="http://schemas.openxmlformats.org/spreadsheetml/2006/main" count="6894" uniqueCount="3009">
  <si>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</si>
  <si>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</si>
  <si>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</si>
  <si>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</si>
  <si>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</si>
  <si>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</si>
  <si>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</si>
  <si>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</si>
  <si>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</si>
  <si>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</si>
  <si>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</si>
  <si>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</si>
  <si>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</si>
  <si>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</si>
  <si>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</si>
  <si>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</si>
  <si>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</si>
  <si>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</si>
  <si>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</si>
  <si>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</si>
  <si>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</si>
  <si>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</si>
  <si>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</si>
  <si>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</si>
  <si>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</si>
  <si>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</si>
  <si>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</si>
  <si>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</si>
  <si>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</si>
  <si>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</si>
  <si>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</si>
  <si>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</si>
  <si>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</si>
  <si>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</si>
  <si>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</si>
  <si>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</si>
  <si>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</si>
  <si>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</si>
  <si>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</si>
  <si>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</si>
  <si>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</si>
  <si>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</si>
  <si>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</si>
  <si>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</si>
  <si>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</si>
  <si>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</si>
  <si>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</si>
  <si>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</si>
  <si>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</si>
  <si>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</si>
  <si>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</si>
  <si>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</si>
  <si>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</si>
  <si>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</si>
  <si>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</si>
  <si>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</si>
  <si>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</si>
  <si>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</si>
  <si>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</si>
  <si>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</si>
  <si>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</si>
  <si>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</si>
  <si>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</si>
  <si>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</si>
  <si>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</si>
  <si>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</si>
  <si>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</si>
  <si>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</si>
  <si>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</si>
  <si>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</si>
  <si>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</si>
  <si>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</si>
  <si>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</si>
  <si>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</si>
  <si>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</si>
  <si>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</si>
  <si>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</si>
  <si>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</si>
  <si>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</si>
  <si>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</si>
  <si>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</si>
  <si>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</si>
  <si>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</si>
  <si>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</si>
  <si>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</si>
  <si>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</si>
  <si>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</si>
  <si>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</si>
  <si>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</si>
  <si>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</si>
  <si>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</si>
  <si>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</si>
  <si>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</si>
  <si>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</si>
  <si>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</si>
  <si>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</si>
  <si>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</si>
  <si>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</si>
  <si>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</si>
  <si>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</si>
  <si>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</si>
  <si>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</si>
  <si>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</si>
  <si>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</si>
  <si>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</si>
  <si>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</si>
  <si>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</si>
  <si>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</si>
  <si>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</si>
  <si>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</si>
  <si>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</si>
  <si>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</si>
  <si>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</si>
  <si>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</si>
  <si>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</si>
  <si>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</si>
  <si>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</si>
  <si>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</si>
  <si>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</si>
  <si>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</si>
  <si>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</si>
  <si>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</si>
  <si>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</si>
  <si>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</si>
  <si>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</si>
  <si>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</si>
  <si>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</si>
  <si>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</si>
  <si>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</si>
  <si>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</si>
  <si>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</si>
  <si>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</si>
  <si>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</si>
  <si>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</si>
  <si>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</si>
  <si>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</si>
  <si>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</si>
  <si>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</si>
  <si>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</si>
  <si>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</si>
  <si>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</si>
  <si>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</si>
  <si>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</si>
  <si>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</si>
  <si>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</si>
  <si>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</si>
  <si>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</si>
  <si>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</si>
  <si>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</si>
  <si>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</si>
  <si>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</si>
  <si>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</si>
  <si>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</si>
  <si>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</si>
  <si>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</si>
  <si>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</si>
  <si>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</si>
  <si>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</si>
  <si>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</si>
  <si>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</si>
  <si>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</si>
  <si>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</si>
  <si>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</si>
  <si>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</si>
  <si>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</si>
  <si>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</si>
  <si>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</si>
  <si>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</si>
  <si>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</si>
  <si>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</si>
  <si>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</si>
  <si>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</si>
  <si>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</si>
  <si>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</si>
  <si>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</si>
  <si>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</si>
  <si>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</si>
  <si>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</si>
  <si>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</si>
  <si>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</si>
  <si>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</si>
  <si>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</si>
  <si>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</si>
  <si>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</si>
  <si>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</si>
  <si>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</si>
  <si>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</si>
  <si>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</si>
  <si>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</si>
  <si>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</si>
  <si>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</si>
  <si>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</si>
  <si>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</si>
  <si>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</si>
  <si>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</si>
  <si>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</si>
  <si>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</si>
  <si>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</si>
  <si>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</si>
  <si>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</si>
  <si>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</si>
  <si>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</si>
  <si>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</si>
  <si>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</si>
  <si>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</si>
  <si>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</si>
  <si>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</si>
  <si>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</si>
  <si>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</si>
  <si>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</si>
  <si>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</si>
  <si>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</si>
  <si>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</si>
  <si>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</si>
  <si>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</si>
  <si>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</si>
  <si>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</si>
  <si>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</si>
  <si>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</si>
  <si>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</si>
  <si>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</si>
  <si>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</si>
  <si>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</si>
  <si>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</si>
  <si>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</si>
  <si>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</si>
  <si>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</si>
  <si>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</si>
  <si>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</si>
  <si>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</si>
  <si>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</si>
  <si>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</si>
  <si>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</si>
  <si>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</si>
  <si>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</si>
  <si>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</si>
  <si>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</si>
  <si>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</si>
  <si>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</si>
  <si>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</si>
  <si>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</si>
  <si>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</si>
  <si>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</si>
  <si>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</si>
  <si>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</si>
  <si>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</si>
  <si>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</si>
  <si>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</si>
  <si>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</si>
  <si>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</si>
  <si>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</si>
  <si>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</si>
  <si>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</si>
  <si>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</si>
  <si>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</si>
  <si>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</si>
  <si>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</si>
  <si>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</si>
  <si>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</si>
  <si>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</si>
  <si>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</si>
  <si>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</si>
  <si>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</si>
  <si>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</si>
  <si>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</si>
  <si>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</si>
  <si>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</si>
  <si>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</si>
  <si>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</si>
  <si>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</si>
  <si>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</si>
  <si>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</si>
  <si>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</si>
  <si>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</si>
  <si>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</si>
  <si>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</si>
  <si>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</si>
  <si>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</si>
  <si>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</si>
  <si>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</si>
  <si>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</si>
  <si>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</si>
  <si>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</si>
  <si>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</si>
  <si>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</si>
  <si>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</si>
  <si>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</si>
  <si>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</si>
  <si>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</si>
  <si>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</si>
  <si>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</si>
  <si>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</si>
  <si>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</si>
  <si>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</si>
  <si>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</si>
  <si>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</si>
  <si>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</si>
  <si>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</si>
  <si>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</si>
  <si>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</si>
  <si>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</si>
  <si>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</si>
  <si>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</si>
  <si>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</si>
  <si>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</si>
  <si>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</si>
  <si>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</si>
  <si>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</si>
  <si>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</si>
  <si>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</si>
  <si>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</si>
  <si>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</si>
  <si>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</si>
  <si>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</si>
  <si>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</si>
  <si>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</si>
  <si>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</si>
  <si>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</si>
  <si>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</si>
  <si>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</si>
  <si>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</si>
  <si>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</si>
  <si>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</si>
  <si>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</si>
  <si>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</si>
  <si>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</si>
  <si>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</si>
  <si>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</si>
  <si>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</si>
  <si>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</si>
  <si>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</si>
  <si>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</si>
  <si>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</si>
  <si>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</si>
  <si>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</si>
  <si>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</si>
  <si>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</si>
  <si>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</si>
  <si>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</si>
  <si>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</si>
  <si>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</si>
  <si>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</si>
  <si>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</si>
  <si>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</si>
  <si>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</si>
  <si>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</si>
  <si>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</si>
  <si>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</si>
  <si>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</si>
  <si>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</si>
  <si>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</si>
  <si>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</si>
  <si>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</si>
  <si>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</si>
  <si>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</si>
  <si>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</si>
  <si>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</si>
  <si>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</si>
  <si>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</si>
  <si>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</si>
  <si>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</si>
  <si>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</si>
  <si>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</si>
  <si>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</si>
  <si>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</si>
  <si>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</si>
  <si>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</si>
  <si>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</si>
  <si>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</si>
  <si>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</si>
  <si>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</si>
  <si>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</si>
  <si>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</si>
  <si>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</si>
  <si>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</si>
  <si>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</si>
  <si>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</si>
  <si>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</si>
  <si>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</si>
  <si>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</si>
  <si>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</si>
  <si>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</si>
  <si>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</si>
  <si>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</si>
  <si>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</si>
  <si>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</si>
  <si>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</si>
  <si>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</si>
  <si>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</si>
  <si>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</si>
  <si>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</si>
  <si>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</si>
  <si>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</si>
  <si>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</si>
  <si>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</si>
  <si>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</si>
  <si>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</si>
  <si>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</si>
  <si>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</si>
  <si>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</si>
  <si>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</si>
  <si>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</si>
  <si>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</si>
  <si>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</si>
  <si>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</si>
  <si>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</si>
  <si>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</si>
  <si>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</si>
  <si>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</si>
  <si>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</si>
  <si>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</si>
  <si>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</si>
  <si>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</si>
  <si>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</si>
  <si>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</si>
  <si>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</si>
  <si>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</si>
  <si>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</si>
  <si>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</si>
  <si>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</si>
  <si>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</si>
  <si>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</si>
  <si>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</si>
  <si>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</si>
  <si>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</si>
  <si>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</si>
  <si>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</si>
  <si>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</si>
  <si>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</si>
  <si>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</si>
  <si>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</si>
  <si>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</si>
  <si>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</si>
  <si>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</si>
  <si>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</si>
  <si>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</si>
  <si>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</si>
  <si>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</si>
  <si>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</si>
  <si>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</si>
  <si>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</si>
  <si>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</si>
  <si>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</si>
  <si>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</si>
  <si>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</si>
  <si>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</si>
  <si>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</si>
  <si>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</si>
  <si>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</si>
  <si>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</si>
  <si>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</si>
  <si>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</si>
  <si>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</si>
  <si>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</si>
  <si>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</si>
  <si>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</si>
  <si>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</si>
  <si>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</si>
  <si>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</si>
  <si>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</si>
  <si>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</si>
  <si>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</si>
  <si>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</si>
  <si>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</si>
  <si>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</si>
  <si>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</si>
  <si>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</si>
  <si>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</si>
  <si>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</si>
  <si>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</si>
  <si>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</si>
  <si>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</si>
  <si>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</si>
  <si>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</si>
  <si>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</si>
  <si>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</si>
  <si>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</si>
  <si>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</si>
  <si>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</si>
  <si>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</si>
  <si>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</si>
  <si>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</si>
  <si>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</si>
  <si>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</si>
  <si>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</si>
  <si>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</si>
  <si>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</si>
  <si>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</si>
  <si>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</si>
  <si>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</si>
  <si>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</si>
  <si>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</si>
  <si>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</si>
  <si>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</si>
  <si>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</si>
  <si>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</si>
  <si>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</si>
  <si>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</si>
  <si>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</si>
  <si>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</si>
  <si>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</si>
  <si>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</si>
  <si>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</si>
  <si>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</si>
  <si>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</si>
  <si>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</si>
  <si>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</si>
  <si>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</si>
  <si>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</si>
  <si>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</si>
  <si>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</si>
  <si>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</si>
  <si>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</si>
  <si>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</si>
  <si>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</si>
  <si>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</si>
  <si>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</si>
  <si>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</si>
  <si>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</si>
  <si>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</si>
  <si>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</si>
  <si>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</si>
  <si>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</si>
  <si>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</si>
  <si>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</si>
  <si>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</si>
  <si>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</si>
  <si>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</si>
  <si>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</si>
  <si>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</si>
  <si>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</si>
  <si>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</si>
  <si>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</si>
  <si>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</si>
  <si>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</si>
  <si>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</si>
  <si>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</si>
  <si>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</si>
  <si>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</si>
  <si>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</si>
  <si>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</si>
  <si>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</si>
  <si>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</si>
  <si>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</si>
  <si>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</si>
  <si>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</si>
  <si>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</si>
  <si>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</si>
  <si>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</si>
  <si>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</si>
  <si>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</si>
  <si>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</si>
  <si>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</si>
  <si>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</si>
  <si>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</si>
  <si>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</si>
  <si>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</si>
  <si>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</si>
  <si>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</si>
  <si>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</si>
  <si>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</si>
  <si>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</si>
  <si>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</si>
  <si>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</si>
  <si>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</si>
  <si>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</si>
  <si>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</si>
  <si>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</si>
  <si>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</si>
  <si>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</si>
  <si>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</si>
  <si>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</si>
  <si>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</si>
  <si>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</si>
  <si>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</si>
  <si>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</si>
  <si>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</si>
  <si>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</si>
  <si>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</si>
  <si>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</si>
  <si>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</si>
  <si>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</si>
  <si>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</si>
  <si>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</si>
  <si>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</si>
  <si>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</si>
  <si>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</si>
  <si>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</si>
  <si>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</si>
  <si>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</si>
  <si>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</si>
  <si>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</si>
  <si>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</si>
  <si>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</si>
  <si>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</si>
  <si>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</si>
  <si>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</si>
  <si>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</si>
  <si>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</si>
  <si>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</si>
  <si>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</si>
  <si>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</si>
  <si>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</si>
  <si>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</si>
  <si>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</si>
  <si>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</si>
  <si>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</si>
  <si>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</si>
  <si>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</si>
  <si>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</si>
  <si>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</si>
  <si>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</si>
  <si>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</si>
  <si>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</si>
  <si>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</si>
  <si>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</si>
  <si>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</si>
  <si>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</si>
  <si>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</si>
  <si>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</si>
  <si>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</si>
  <si>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</si>
  <si>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</si>
  <si>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</si>
  <si>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</si>
  <si>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</si>
  <si>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</si>
  <si>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</si>
  <si>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</si>
  <si>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</si>
  <si>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</si>
  <si>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</si>
  <si>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</si>
  <si>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</si>
  <si>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</si>
  <si>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</si>
  <si>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</si>
  <si>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</si>
  <si>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</si>
  <si>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</si>
  <si>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</si>
  <si>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</si>
  <si>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</si>
  <si>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</si>
  <si>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</si>
  <si>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</si>
  <si>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</si>
  <si>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</si>
  <si>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</si>
  <si>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</si>
  <si>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</si>
  <si>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</si>
  <si>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</si>
  <si>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</si>
  <si>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</si>
  <si>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</si>
  <si>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</si>
  <si>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</si>
  <si>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</si>
  <si>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</si>
  <si>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</si>
  <si>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</si>
  <si>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</si>
  <si>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</si>
  <si>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</si>
  <si>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</si>
  <si>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</si>
  <si>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</si>
  <si>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</si>
  <si>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</si>
  <si>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</si>
  <si>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</si>
  <si>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</si>
  <si>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</si>
  <si>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</si>
  <si>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</si>
  <si>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</si>
  <si>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</si>
  <si>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</si>
  <si>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</si>
  <si>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</si>
  <si>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</si>
  <si>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</si>
  <si>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</si>
  <si>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</si>
  <si>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</si>
  <si>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</si>
  <si>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</si>
  <si>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</si>
  <si>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</si>
  <si>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</si>
  <si>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</si>
  <si>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</si>
  <si>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</si>
  <si>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</si>
  <si>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</si>
  <si>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</si>
  <si>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</si>
  <si>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</si>
  <si>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</si>
  <si>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</si>
  <si>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</si>
  <si>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</si>
  <si>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</si>
  <si>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</si>
  <si>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</si>
  <si>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</si>
  <si>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</si>
  <si>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</si>
  <si>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</si>
  <si>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</si>
  <si>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</si>
  <si>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</si>
  <si>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</si>
  <si>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</si>
  <si>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</si>
  <si>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</si>
  <si>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</si>
  <si>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</si>
  <si>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</si>
  <si>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</si>
  <si>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</si>
  <si>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</si>
  <si>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</si>
  <si>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</si>
  <si>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</si>
  <si>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</si>
  <si>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</si>
  <si>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</si>
  <si>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</si>
  <si>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</si>
  <si>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</si>
  <si>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</si>
  <si>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</si>
  <si>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</si>
  <si>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</si>
  <si>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</si>
  <si>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</si>
  <si>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</si>
  <si>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</si>
  <si>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</si>
  <si>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</si>
  <si>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</si>
  <si>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</si>
  <si>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</si>
  <si>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</si>
  <si>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</si>
  <si>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</si>
  <si>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</si>
  <si>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</si>
  <si>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</si>
  <si>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</si>
  <si>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</si>
  <si>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</si>
  <si>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</si>
  <si>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</si>
  <si>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</si>
  <si>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</si>
  <si>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</si>
  <si>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</si>
  <si>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</si>
  <si>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</si>
  <si>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</si>
  <si>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</si>
  <si>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</si>
  <si>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</si>
  <si>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</si>
  <si>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</si>
  <si>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</si>
  <si>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</si>
  <si>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</si>
  <si>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</si>
  <si>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</si>
  <si>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</si>
  <si>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</si>
  <si>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</si>
  <si>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</si>
  <si>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</si>
  <si>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</si>
  <si>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</si>
  <si>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</si>
  <si>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</si>
  <si>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</si>
  <si>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</si>
  <si>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</si>
  <si>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</si>
  <si>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</si>
  <si>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</si>
  <si>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</si>
  <si>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</si>
  <si>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</si>
  <si>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</si>
  <si>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</si>
  <si>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</si>
  <si>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</si>
  <si>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</si>
  <si>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</si>
  <si>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</si>
  <si>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</si>
  <si>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</si>
  <si>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</si>
  <si>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</si>
  <si>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</si>
  <si>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</si>
  <si>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</si>
  <si>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</si>
  <si>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</si>
  <si>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</si>
  <si>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</si>
  <si>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</si>
  <si>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</si>
  <si>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</si>
  <si>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</si>
  <si>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</si>
  <si>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</si>
  <si>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</si>
  <si>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</si>
  <si>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</si>
  <si>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</si>
  <si>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</si>
  <si>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</si>
  <si>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</si>
  <si>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</si>
  <si>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</si>
  <si>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</si>
  <si>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</si>
  <si>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</si>
  <si>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</si>
  <si>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</si>
  <si>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</si>
  <si>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</si>
  <si>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</si>
  <si>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</si>
  <si>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</si>
  <si>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</si>
  <si>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</si>
  <si>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</si>
  <si>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</si>
  <si>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</si>
  <si>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</si>
  <si>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</si>
  <si>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</si>
  <si>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</si>
  <si>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</si>
  <si>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</si>
  <si>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</si>
  <si>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</si>
  <si>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</si>
  <si>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</si>
  <si>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</si>
  <si>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</si>
  <si>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</si>
  <si>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</si>
  <si>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</si>
  <si>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</si>
  <si>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</si>
  <si>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</si>
  <si>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</si>
  <si>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</si>
  <si>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</si>
  <si>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</si>
  <si>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</si>
  <si>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</si>
  <si>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</si>
  <si>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</si>
  <si>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</si>
  <si>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</si>
  <si>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</si>
  <si>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</si>
  <si>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</si>
  <si>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</si>
  <si>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</si>
  <si>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</si>
  <si>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</si>
  <si>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</si>
  <si>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</si>
  <si>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</si>
  <si>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</si>
  <si>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</si>
  <si>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</si>
  <si>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</si>
  <si>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</si>
  <si>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</si>
  <si>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</si>
  <si>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</si>
  <si>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</si>
  <si>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</si>
  <si>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</si>
  <si>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</si>
  <si>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</si>
  <si>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</si>
  <si>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</si>
  <si>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</si>
  <si>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</si>
  <si>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</si>
  <si>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</si>
  <si>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</si>
  <si>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</si>
  <si>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</si>
  <si>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</si>
  <si>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</si>
  <si>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</si>
  <si>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</si>
  <si>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</si>
  <si>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</si>
  <si>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</si>
  <si>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</si>
  <si>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</si>
  <si>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</si>
  <si>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</si>
  <si>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</si>
  <si>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</si>
  <si>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</si>
  <si>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</si>
  <si>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</si>
  <si>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</si>
  <si>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</si>
  <si>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</si>
  <si>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</si>
  <si>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</si>
  <si>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</si>
  <si>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</si>
  <si>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</si>
  <si>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</si>
  <si>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</si>
  <si>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</si>
  <si>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</si>
  <si>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</si>
  <si>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</si>
  <si>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</si>
  <si>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</si>
  <si>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</si>
  <si>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</si>
  <si>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</si>
  <si>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</si>
  <si>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</si>
  <si>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</si>
  <si>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</si>
  <si>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</si>
  <si>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</si>
  <si>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</si>
  <si>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</si>
  <si>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</si>
  <si>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</si>
  <si>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</si>
  <si>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</si>
  <si>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</si>
  <si>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</si>
  <si>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</si>
  <si>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</si>
  <si>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</si>
  <si>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</si>
  <si>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</si>
  <si>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</si>
  <si>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</si>
  <si>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</si>
  <si>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</si>
  <si>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</si>
  <si>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</si>
  <si>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</si>
  <si>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</si>
  <si>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</si>
  <si>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</si>
  <si>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</si>
  <si>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</si>
  <si>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</si>
  <si>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</si>
  <si>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</si>
  <si>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</si>
  <si>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</si>
  <si>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</si>
  <si>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</si>
  <si>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</si>
  <si>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</si>
  <si>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</si>
  <si>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</si>
  <si>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</si>
  <si>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</si>
  <si>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</si>
  <si>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</si>
  <si>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</si>
  <si>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</si>
  <si>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</si>
  <si>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</si>
  <si>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</si>
  <si>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</si>
  <si>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</si>
  <si>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</si>
  <si>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</si>
  <si>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</si>
  <si>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</si>
  <si>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</si>
  <si>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</si>
  <si>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</si>
  <si>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</si>
  <si>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</si>
  <si>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</si>
  <si>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</si>
  <si>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</si>
  <si>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</si>
  <si>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</si>
  <si>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</si>
  <si>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</si>
  <si>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</si>
  <si>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</si>
  <si>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</si>
  <si>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</si>
  <si>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</si>
  <si>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</si>
  <si>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</si>
  <si>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</si>
  <si>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</si>
  <si>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</si>
  <si>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</si>
  <si>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</si>
  <si>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</si>
  <si>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</si>
  <si>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</si>
  <si>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</si>
  <si>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</si>
  <si>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</si>
  <si>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</si>
  <si>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</si>
  <si>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</si>
  <si>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</si>
  <si>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</si>
  <si>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</si>
  <si>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</si>
  <si>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</si>
  <si>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</si>
  <si>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</si>
  <si>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</si>
  <si>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</si>
  <si>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</si>
  <si>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</si>
  <si>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</si>
  <si>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</si>
  <si>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</si>
  <si>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</si>
  <si>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</si>
  <si>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</si>
  <si>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</si>
  <si>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</si>
  <si>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</si>
  <si>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</si>
  <si>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</si>
  <si>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</si>
  <si>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</si>
  <si>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</si>
  <si>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</si>
  <si>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</si>
  <si>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</si>
  <si>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</si>
  <si>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</si>
  <si>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</si>
  <si>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</si>
  <si>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</si>
  <si>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</si>
  <si>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</si>
  <si>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</si>
  <si>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</si>
  <si>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</si>
  <si>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</si>
  <si>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</si>
  <si>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</si>
  <si>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</si>
  <si>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</si>
  <si>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</si>
  <si>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</si>
  <si>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</si>
  <si>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</si>
  <si>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</si>
  <si>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</si>
  <si>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</si>
  <si>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</si>
  <si>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</si>
  <si>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</si>
  <si>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</si>
  <si>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</si>
  <si>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</si>
  <si>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</si>
  <si>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</si>
  <si>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</si>
  <si>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</si>
  <si>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</si>
  <si>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</si>
  <si>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</si>
  <si>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</si>
  <si>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</si>
  <si>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</si>
  <si>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</si>
  <si>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</si>
  <si>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</si>
  <si>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</si>
  <si>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</si>
  <si>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</si>
  <si>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</si>
  <si>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</si>
  <si>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</si>
  <si>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</si>
  <si>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</si>
  <si>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</si>
  <si>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</si>
  <si>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</si>
  <si>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</si>
  <si>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</si>
  <si>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</si>
  <si>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</si>
  <si>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</si>
  <si>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</si>
  <si>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</si>
  <si>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</si>
  <si>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</si>
  <si>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</si>
  <si>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</si>
  <si>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</si>
  <si>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</si>
  <si>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</si>
  <si>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</si>
  <si>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</si>
  <si>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</si>
  <si>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</si>
  <si>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</si>
  <si>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</si>
  <si>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</si>
  <si>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</si>
  <si>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</si>
  <si>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</si>
  <si>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</si>
  <si>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</si>
  <si>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</si>
  <si>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</si>
  <si>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</si>
  <si>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</si>
  <si>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</si>
  <si>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</si>
  <si>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</si>
  <si>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</si>
  <si>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</si>
  <si>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</si>
  <si>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</si>
  <si>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</si>
  <si>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</si>
  <si>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</si>
  <si>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</si>
  <si>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</si>
  <si>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</si>
  <si>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</si>
  <si>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</si>
  <si>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</si>
  <si>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</si>
  <si>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</si>
  <si>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</si>
  <si>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</si>
  <si>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</si>
  <si>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</si>
  <si>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</si>
  <si>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</si>
  <si>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</si>
  <si>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</si>
  <si>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</si>
  <si>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</si>
  <si>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</si>
  <si>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</si>
  <si>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</si>
  <si>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</si>
  <si>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</si>
  <si>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</si>
  <si>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</si>
  <si>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</si>
  <si>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</si>
  <si>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</si>
  <si>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</si>
  <si>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</si>
  <si>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</si>
  <si>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</si>
  <si>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</si>
  <si>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</si>
  <si>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</si>
  <si>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</si>
  <si>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</si>
  <si>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</si>
  <si>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</si>
  <si>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</si>
  <si>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</si>
  <si>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</si>
  <si>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</si>
  <si>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</si>
  <si>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</si>
  <si>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</si>
  <si>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</si>
  <si>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</si>
  <si>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</si>
  <si>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</si>
  <si>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</si>
  <si>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</si>
  <si>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</si>
  <si>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</si>
  <si>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</si>
  <si>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</si>
  <si>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</si>
  <si>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</si>
  <si>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</si>
  <si>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</si>
  <si>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</si>
  <si>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</si>
  <si>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</si>
  <si>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</si>
  <si>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</si>
  <si>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</si>
  <si>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</si>
  <si>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</si>
  <si>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</si>
  <si>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</si>
  <si>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</si>
  <si>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</si>
  <si>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</si>
  <si>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</si>
  <si>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</si>
  <si>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</si>
  <si>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</si>
  <si>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</si>
  <si>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</si>
  <si>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</si>
  <si>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</si>
  <si>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</si>
  <si>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</si>
  <si>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</si>
  <si>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</si>
  <si>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</si>
  <si>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</si>
  <si>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</si>
  <si>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</si>
  <si>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</si>
  <si>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</si>
  <si>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</si>
  <si>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</si>
  <si>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</si>
  <si>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</si>
  <si>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</si>
  <si>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</si>
  <si>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</si>
  <si>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</si>
  <si>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</si>
  <si>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</si>
  <si>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</si>
  <si>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</si>
  <si>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</si>
  <si>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</si>
  <si>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</si>
  <si>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</si>
  <si>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</si>
  <si>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</si>
  <si>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</si>
  <si>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</si>
  <si>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</si>
  <si>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</si>
  <si>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</si>
  <si>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</si>
  <si>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</si>
  <si>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</si>
  <si>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</si>
  <si>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</si>
  <si>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</si>
  <si>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</si>
  <si>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</si>
  <si>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</si>
  <si>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</si>
  <si>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</si>
  <si>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</si>
  <si>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</si>
  <si>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</si>
  <si>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</si>
  <si>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</si>
  <si>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</si>
  <si>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</si>
  <si>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</si>
  <si>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</si>
  <si>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</si>
  <si>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</si>
  <si>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</si>
  <si>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</si>
  <si>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</si>
  <si>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</si>
  <si>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</si>
  <si>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</si>
  <si>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</si>
  <si>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</si>
  <si>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</si>
  <si>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</si>
  <si>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</si>
  <si>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</si>
  <si>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</si>
  <si>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</si>
  <si>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</si>
  <si>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</si>
  <si>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</si>
  <si>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</si>
  <si>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</si>
  <si>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</si>
  <si>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</si>
  <si>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</si>
  <si>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</si>
  <si>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</si>
  <si>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</si>
  <si>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</si>
  <si>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</si>
  <si>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</si>
  <si>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</si>
  <si>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</si>
  <si>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</si>
  <si>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</si>
  <si>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</si>
  <si>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</si>
  <si>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</si>
  <si>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</si>
  <si>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</si>
  <si>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</si>
  <si>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</si>
  <si>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</si>
  <si>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</si>
  <si>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</si>
  <si>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</si>
  <si>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</si>
  <si>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</si>
  <si>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</si>
  <si>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</si>
  <si>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</si>
  <si>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</si>
  <si>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</si>
  <si>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</si>
  <si>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</si>
  <si>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</si>
  <si>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</si>
  <si>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</si>
  <si>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</si>
  <si>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</si>
  <si>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</si>
  <si>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</si>
  <si>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</si>
  <si>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</si>
  <si>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</si>
  <si>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</si>
  <si>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</si>
  <si>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</si>
  <si>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</si>
  <si>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</si>
  <si>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</si>
  <si>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</si>
  <si>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</si>
  <si>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</si>
  <si>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</si>
  <si>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</si>
  <si>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</si>
  <si>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</si>
  <si>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</si>
  <si>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</si>
  <si>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</si>
  <si>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</si>
  <si>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</si>
  <si>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</si>
  <si>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</si>
  <si>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</si>
  <si>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</si>
  <si>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</si>
  <si>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</si>
  <si>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</si>
  <si>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</si>
  <si>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</si>
  <si>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</si>
  <si>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</si>
  <si>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</si>
  <si>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</si>
  <si>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</si>
  <si>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</si>
  <si>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</si>
  <si>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</si>
  <si>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</si>
  <si>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</si>
  <si>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</si>
  <si>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</si>
  <si>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</si>
  <si>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</si>
  <si>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</si>
  <si>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</si>
  <si>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</si>
  <si>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</si>
  <si>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</si>
  <si>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</si>
  <si>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</si>
  <si>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</si>
  <si>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</si>
  <si>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</si>
  <si>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</si>
  <si>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</si>
  <si>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</si>
  <si>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</si>
  <si>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</si>
  <si>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</si>
  <si>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</si>
  <si>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</si>
  <si>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</si>
  <si>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</si>
  <si>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</si>
  <si>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</si>
  <si>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</si>
  <si>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</si>
  <si>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</si>
  <si>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</si>
  <si>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</si>
  <si>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</si>
  <si>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</si>
  <si>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</si>
  <si>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</si>
  <si>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</si>
  <si>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</si>
  <si>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</si>
  <si>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</si>
  <si>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</si>
  <si>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</si>
  <si>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</si>
  <si>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</si>
  <si>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</si>
  <si>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</si>
  <si>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</si>
  <si>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</si>
  <si>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</si>
  <si>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</si>
  <si>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</si>
  <si>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</si>
  <si>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</si>
  <si>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</si>
  <si>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</si>
  <si>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</si>
  <si>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</si>
  <si>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</si>
  <si>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</si>
  <si>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</si>
  <si>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</si>
  <si>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</si>
  <si>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</si>
  <si>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</si>
  <si>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</si>
  <si>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</si>
  <si>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</si>
  <si>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</si>
  <si>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</si>
  <si>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</si>
  <si>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</si>
  <si>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</si>
  <si>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</si>
  <si>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</si>
  <si>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</si>
  <si>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</si>
  <si>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</si>
  <si>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</si>
  <si>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</si>
  <si>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</si>
  <si>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</si>
  <si>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</si>
  <si>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</si>
  <si>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</si>
  <si>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</si>
  <si>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</si>
  <si>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</si>
  <si>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</si>
  <si>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</si>
  <si>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</si>
  <si>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</si>
  <si>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</si>
  <si>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</si>
  <si>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</si>
  <si>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</si>
  <si>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</si>
  <si>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</si>
  <si>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</si>
  <si>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</si>
  <si>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</si>
  <si>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</si>
  <si>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</si>
  <si>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</si>
  <si>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</si>
  <si>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</si>
  <si>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</si>
  <si>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</si>
  <si>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</si>
  <si>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</si>
  <si>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</si>
  <si>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</si>
  <si>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</si>
  <si>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</si>
  <si>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</si>
  <si>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</si>
  <si>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</si>
  <si>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</si>
  <si>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</si>
  <si>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</si>
  <si>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</si>
  <si>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</si>
  <si>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</si>
  <si>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</si>
  <si>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</si>
  <si>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</si>
  <si>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</si>
  <si>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</si>
  <si>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</si>
  <si>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</si>
  <si>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</si>
  <si>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</si>
  <si>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</si>
  <si>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</si>
  <si>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</si>
  <si>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</si>
  <si>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</si>
  <si>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</si>
  <si>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</si>
  <si>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</si>
  <si>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</si>
  <si>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</si>
  <si>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</si>
  <si>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</si>
  <si>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</si>
  <si>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</si>
  <si>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</si>
  <si>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</si>
  <si>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</si>
  <si>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</si>
  <si>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</si>
  <si>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</si>
  <si>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</si>
  <si>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</si>
  <si>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</si>
  <si>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</si>
  <si>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</si>
  <si>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</si>
  <si>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</si>
  <si>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</si>
  <si>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</si>
  <si>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</si>
  <si>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</si>
  <si>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</si>
  <si>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</si>
  <si>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</si>
  <si>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</si>
  <si>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</si>
  <si>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</si>
  <si>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</si>
  <si>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</si>
  <si>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</si>
  <si>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</si>
  <si>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</si>
  <si>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</si>
  <si>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</si>
  <si>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</si>
  <si>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</si>
  <si>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</si>
  <si>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</si>
  <si>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</si>
  <si>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</si>
  <si>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</si>
  <si>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</si>
  <si>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</si>
  <si>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</si>
  <si>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</si>
  <si>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</si>
  <si>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</si>
  <si>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</si>
  <si>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</si>
  <si>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</si>
  <si>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</si>
  <si>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</si>
  <si>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</si>
  <si>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</si>
  <si>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</si>
  <si>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</si>
  <si>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</si>
  <si>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</si>
  <si>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</si>
  <si>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</si>
  <si>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</si>
  <si>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</si>
  <si>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</si>
  <si>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</si>
  <si>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</si>
  <si>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</si>
  <si>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</si>
  <si>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</si>
  <si>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</si>
  <si>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</si>
  <si>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</si>
  <si>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</si>
  <si>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</si>
  <si>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</si>
  <si>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</si>
  <si>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</si>
  <si>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</si>
  <si>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</si>
  <si>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</si>
  <si>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</si>
  <si>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</si>
  <si>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</si>
  <si>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</si>
  <si>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</si>
  <si>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</si>
  <si>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</si>
  <si>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</si>
  <si>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</si>
  <si>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</si>
  <si>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</si>
  <si>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</si>
  <si>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</si>
  <si>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</si>
  <si>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</si>
  <si>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</si>
  <si>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</si>
  <si>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</si>
  <si>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</si>
  <si>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</si>
  <si>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</si>
  <si>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</si>
  <si>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</si>
  <si>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</si>
  <si>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</si>
  <si>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</si>
  <si>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</si>
  <si>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</si>
  <si>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</si>
  <si>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</si>
  <si>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</si>
  <si>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</si>
  <si>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</si>
  <si>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</si>
  <si>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</si>
  <si>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</si>
  <si>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</si>
  <si>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</si>
  <si>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</si>
  <si>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</si>
  <si>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</si>
  <si>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</si>
  <si>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</si>
  <si>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</si>
  <si>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</si>
  <si>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</si>
  <si>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</si>
  <si>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</si>
  <si>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</si>
  <si>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</si>
  <si>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</si>
  <si>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</si>
  <si>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</si>
  <si>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</si>
  <si>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</si>
  <si>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</si>
  <si>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</si>
  <si>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</si>
  <si>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</si>
  <si>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</si>
  <si>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</si>
  <si>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</si>
  <si>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</si>
  <si>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</si>
  <si>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</si>
  <si>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</si>
  <si>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</si>
  <si>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</si>
  <si>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</si>
  <si>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</si>
  <si>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</si>
  <si>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</si>
  <si>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</si>
  <si>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</si>
  <si>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</si>
  <si>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</si>
  <si>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</si>
  <si>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</si>
  <si>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</si>
  <si>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</si>
  <si>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</si>
  <si>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</si>
  <si>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</si>
  <si>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</si>
  <si>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</si>
  <si>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</si>
  <si>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</si>
  <si>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</si>
  <si>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</si>
  <si>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</si>
  <si>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</si>
  <si>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</si>
  <si>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</si>
  <si>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</si>
  <si>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</si>
  <si>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</si>
  <si>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</si>
  <si>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</si>
  <si>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</si>
  <si>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</si>
  <si>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</si>
  <si>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</si>
  <si>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</si>
  <si>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</si>
  <si>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</si>
  <si>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</si>
  <si>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</si>
  <si>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</si>
  <si>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</si>
  <si>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</si>
  <si>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</si>
  <si>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</si>
  <si>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</si>
  <si>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</si>
  <si>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</si>
  <si>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</si>
  <si>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</si>
  <si>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</si>
  <si>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</si>
  <si>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</si>
  <si>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</si>
  <si>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</si>
  <si>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</si>
  <si>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</si>
  <si>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</si>
  <si>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</si>
  <si>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</si>
  <si>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</si>
  <si>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</si>
  <si>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</si>
  <si>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</si>
  <si>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</si>
  <si>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</si>
  <si>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</si>
  <si>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</si>
  <si>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</si>
  <si>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</si>
  <si>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</si>
  <si>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</si>
  <si>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</si>
  <si>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</si>
  <si>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</si>
  <si>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</si>
  <si>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</si>
  <si>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</si>
  <si>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</si>
  <si>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</si>
  <si>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</si>
  <si>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</si>
  <si>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</si>
  <si>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</si>
  <si>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</si>
  <si>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</si>
  <si>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</si>
  <si>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</si>
  <si>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</si>
  <si>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</si>
  <si>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</si>
  <si>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</si>
  <si>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</si>
  <si>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</si>
  <si>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</si>
  <si>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</si>
  <si>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</si>
  <si>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</si>
  <si>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</si>
  <si>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</si>
  <si>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</si>
  <si>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</si>
  <si>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</si>
  <si>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</si>
  <si>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</si>
  <si>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</si>
  <si>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</si>
  <si>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</si>
  <si>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</si>
  <si>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</si>
  <si>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</si>
  <si>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</si>
  <si>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</si>
  <si>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</si>
  <si>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</si>
  <si>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</si>
  <si>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</si>
  <si>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</si>
  <si>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</si>
  <si>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</si>
  <si>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</si>
  <si>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</si>
  <si>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</si>
  <si>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</si>
  <si>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</si>
  <si>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</si>
  <si>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</si>
  <si>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</si>
  <si>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</si>
  <si>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</si>
  <si>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</si>
  <si>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</si>
  <si>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</si>
  <si>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</si>
  <si>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</si>
  <si>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</si>
  <si>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</si>
  <si>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</si>
  <si>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</si>
  <si>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</si>
  <si>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</si>
  <si>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</si>
  <si>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</si>
  <si>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</si>
  <si>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</si>
  <si>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</si>
  <si>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</si>
  <si>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</si>
  <si>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</si>
  <si>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</si>
  <si>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</si>
  <si>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</si>
  <si>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</si>
  <si>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</si>
  <si>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</si>
  <si>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</si>
  <si>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</si>
  <si>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</si>
  <si>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</si>
  <si>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</si>
  <si>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</si>
  <si>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</si>
  <si>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</si>
  <si>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</si>
  <si>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</si>
  <si>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</si>
  <si>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</si>
  <si>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</si>
  <si>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</si>
  <si>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</si>
  <si>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</si>
  <si>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</si>
  <si>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</si>
  <si>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</si>
  <si>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</si>
  <si>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</si>
  <si>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</si>
  <si>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</si>
  <si>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</si>
  <si>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</si>
  <si>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</si>
  <si>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</si>
  <si>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</si>
  <si>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</si>
  <si>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</si>
  <si>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</si>
  <si>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</si>
  <si>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</si>
  <si>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</si>
  <si>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</si>
  <si>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</si>
  <si>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</si>
  <si>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</si>
  <si>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</si>
  <si>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</si>
  <si>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</si>
  <si>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</si>
  <si>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</si>
  <si>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</si>
  <si>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</si>
  <si>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</si>
  <si>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</si>
  <si>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</si>
  <si>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</si>
  <si>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</si>
  <si>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</si>
  <si>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</si>
  <si>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</si>
  <si>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</si>
  <si>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</si>
  <si>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</si>
  <si>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</si>
  <si>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</si>
  <si>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</si>
  <si>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</si>
  <si>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</si>
  <si>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</si>
  <si>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</si>
  <si>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</si>
  <si>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</si>
  <si>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</si>
  <si>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</si>
  <si>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</si>
  <si>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</si>
  <si>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</si>
  <si>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</si>
  <si>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</si>
  <si>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</si>
  <si>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</si>
  <si>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</si>
  <si>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</si>
  <si>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</si>
  <si>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</si>
  <si>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</si>
  <si>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</si>
  <si>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</si>
  <si>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</si>
  <si>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</si>
  <si>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</si>
  <si>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</si>
  <si>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</si>
  <si>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</si>
  <si>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</si>
  <si>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</si>
  <si>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</si>
  <si>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</si>
  <si>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</si>
  <si>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</si>
  <si>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</si>
  <si>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</si>
  <si>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</si>
  <si>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</si>
  <si>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</si>
  <si>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</si>
  <si>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</si>
  <si>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</si>
  <si>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</si>
  <si>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</si>
  <si>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</si>
  <si>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</si>
  <si>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</si>
  <si>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</si>
  <si>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</si>
  <si>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</si>
  <si>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</si>
  <si>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</si>
  <si>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</si>
  <si>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</si>
  <si>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</si>
  <si>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</si>
  <si>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</si>
  <si>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</si>
  <si>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</si>
  <si>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</si>
  <si>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</si>
  <si>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</si>
  <si>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</si>
  <si>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</si>
  <si>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</si>
  <si>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</si>
  <si>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</si>
  <si>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</si>
  <si>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</si>
  <si>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</si>
  <si>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</si>
  <si>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</si>
  <si>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</si>
  <si>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</si>
  <si>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</si>
  <si>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</si>
  <si>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</si>
  <si>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</si>
  <si>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</si>
  <si>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</si>
  <si>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</si>
  <si>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</si>
  <si>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</si>
  <si>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</si>
  <si>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</si>
  <si>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</si>
  <si>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</si>
  <si>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</si>
  <si>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</si>
  <si>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</si>
  <si>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</si>
  <si>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</si>
  <si>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</si>
  <si>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</si>
  <si>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</si>
  <si>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</si>
  <si>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</si>
  <si>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</si>
  <si>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</si>
  <si>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</si>
  <si>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</si>
  <si>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</si>
  <si>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</si>
  <si>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</si>
  <si>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</si>
  <si>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</si>
  <si>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</si>
  <si>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</si>
  <si>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</si>
  <si>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</si>
  <si>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</si>
  <si>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</si>
  <si>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</si>
  <si>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</si>
  <si>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</si>
  <si>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</si>
  <si>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</si>
  <si>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</si>
  <si>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</si>
  <si>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</si>
  <si>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</si>
  <si>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</si>
  <si>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</si>
  <si>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</si>
  <si>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</si>
  <si>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</si>
  <si>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</si>
  <si>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</si>
  <si>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</si>
  <si>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</si>
  <si>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</si>
  <si>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</si>
  <si>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</si>
  <si>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</si>
  <si>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</si>
  <si>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</si>
  <si>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</si>
  <si>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</si>
  <si>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</si>
  <si>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</si>
  <si>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</si>
  <si>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</si>
  <si>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</si>
  <si>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</si>
  <si>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</si>
  <si>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</si>
  <si>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</si>
  <si>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</si>
  <si>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</si>
  <si>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</si>
  <si>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</si>
  <si>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</si>
  <si>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</si>
  <si>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</si>
  <si>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</si>
  <si>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</si>
  <si>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</si>
  <si>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</si>
  <si>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</si>
  <si>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</si>
  <si>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</si>
  <si>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</si>
  <si>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</si>
  <si>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</si>
  <si>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</si>
  <si>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</si>
  <si>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</si>
  <si>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</si>
  <si>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</si>
  <si>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</si>
  <si>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</si>
  <si>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</si>
  <si>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</si>
  <si>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</si>
  <si>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</si>
  <si>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</si>
  <si>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</si>
  <si>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</si>
  <si>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</si>
  <si>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</si>
  <si>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</si>
  <si>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</si>
  <si>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</si>
  <si>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</si>
  <si>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</si>
  <si>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</si>
  <si>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</si>
  <si>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</si>
  <si>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</si>
  <si>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</si>
  <si>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</si>
  <si>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</si>
  <si>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</si>
  <si>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</si>
  <si>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</si>
  <si>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</si>
  <si>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</si>
  <si>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</si>
  <si>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</si>
  <si>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</si>
  <si>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</si>
  <si>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</si>
  <si>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</si>
  <si>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</si>
  <si>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</si>
  <si>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</si>
  <si>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</si>
  <si>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</si>
  <si>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</si>
  <si>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</si>
  <si>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</si>
  <si>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</si>
  <si>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</si>
  <si>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</si>
  <si>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</si>
  <si>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</si>
  <si>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</si>
  <si>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</si>
  <si>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</si>
  <si>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</si>
  <si>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</si>
  <si>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</si>
  <si>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</si>
  <si>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</si>
  <si>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</si>
  <si>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</si>
  <si>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</si>
  <si>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</si>
  <si>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</si>
  <si>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</si>
  <si>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</si>
  <si>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</si>
  <si>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</si>
  <si>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</si>
  <si>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</si>
  <si>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</si>
  <si>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</si>
  <si>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</si>
  <si>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</si>
  <si>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</si>
  <si>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</si>
  <si>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</si>
  <si>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</si>
  <si>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</si>
  <si>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</si>
  <si>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</si>
  <si>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</si>
  <si>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</si>
  <si>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</si>
  <si>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</si>
  <si>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</si>
  <si>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</si>
  <si>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</si>
  <si>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</si>
  <si>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</si>
  <si>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</si>
  <si>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</si>
  <si>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</si>
  <si>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</si>
  <si>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</si>
  <si>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</si>
  <si>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</si>
  <si>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</si>
  <si>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</si>
  <si>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</si>
  <si>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</si>
  <si>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</si>
  <si>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</si>
  <si>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</si>
  <si>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</si>
  <si>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</si>
  <si>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</si>
  <si>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</si>
  <si>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</si>
  <si>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</si>
  <si>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</si>
  <si>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</si>
  <si>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</si>
  <si>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</si>
  <si>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</si>
  <si>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</si>
  <si>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</si>
  <si>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</si>
  <si>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</si>
  <si>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</si>
  <si>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</si>
  <si>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</si>
  <si>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</si>
  <si>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</si>
  <si>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</si>
  <si>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</si>
  <si>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</si>
  <si>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</si>
  <si>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</si>
  <si>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</si>
  <si>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</si>
  <si>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</si>
  <si>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</si>
  <si>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</si>
  <si>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</si>
  <si>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</si>
  <si>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</si>
  <si>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</si>
  <si>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</si>
  <si>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</si>
  <si>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</si>
  <si>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</si>
  <si>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</si>
  <si>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</si>
  <si>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</si>
  <si>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</si>
  <si>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</si>
  <si>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</si>
  <si>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</si>
  <si>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</si>
  <si>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</si>
  <si>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</si>
  <si>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</si>
  <si>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</si>
  <si>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</si>
  <si>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</si>
  <si>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</si>
  <si>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</si>
  <si>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</si>
  <si>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</si>
  <si>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</si>
  <si>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</si>
  <si>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</si>
  <si>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</si>
  <si>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</si>
  <si>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</si>
  <si>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</si>
  <si>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</si>
  <si>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</si>
  <si>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</si>
  <si>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</si>
  <si>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</si>
  <si>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</si>
  <si>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</si>
  <si>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</si>
  <si>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</si>
  <si>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</si>
  <si>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</si>
  <si>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</si>
  <si>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</si>
  <si>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</si>
  <si>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</si>
  <si>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</si>
  <si>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</si>
  <si>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</si>
  <si>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</si>
  <si>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</si>
  <si>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</si>
  <si>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</si>
  <si>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</si>
  <si>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</si>
  <si>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</si>
  <si>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</si>
  <si>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</si>
  <si>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</si>
  <si>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</si>
  <si>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</si>
  <si>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</si>
  <si>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</si>
  <si>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</si>
  <si>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</si>
  <si>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</si>
  <si>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</si>
  <si>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</si>
  <si>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</si>
  <si>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</si>
  <si>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</si>
  <si>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</si>
  <si>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</si>
  <si>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</si>
  <si>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</si>
  <si>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</si>
  <si>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</si>
  <si>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</si>
  <si>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</si>
  <si>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</si>
  <si>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</si>
  <si>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</si>
  <si>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</si>
  <si>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</si>
  <si>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</si>
  <si>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</si>
  <si>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</si>
  <si>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</si>
  <si>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</si>
  <si>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</si>
  <si>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</si>
  <si>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</si>
  <si>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</si>
  <si>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</si>
  <si>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</si>
  <si>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</si>
  <si>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</si>
  <si>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</si>
  <si>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</si>
  <si>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</si>
  <si>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</si>
  <si>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</si>
  <si>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</si>
  <si>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</si>
  <si>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</si>
  <si>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</si>
  <si>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</si>
  <si>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</si>
  <si>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</si>
  <si>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</si>
  <si>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</si>
  <si>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</si>
  <si>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</si>
  <si>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</si>
  <si>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</si>
  <si>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</si>
  <si>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</si>
  <si>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</si>
  <si>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</si>
  <si>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</si>
  <si>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</si>
  <si>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</si>
  <si>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</si>
  <si>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</si>
  <si>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</si>
  <si>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</si>
  <si>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</si>
  <si>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</si>
  <si>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</si>
  <si>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</si>
  <si>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</si>
  <si>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</si>
  <si>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</si>
  <si>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</si>
  <si>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</si>
  <si>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</si>
  <si>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</si>
  <si>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</si>
  <si>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</si>
  <si>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</si>
  <si>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</si>
  <si>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</si>
  <si>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</si>
  <si>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</si>
  <si>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</si>
  <si>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</si>
  <si>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</si>
  <si>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</si>
  <si>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</si>
  <si>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</si>
  <si>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</si>
  <si>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</si>
  <si>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</si>
  <si>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</si>
  <si>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</si>
  <si>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</si>
  <si>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</si>
  <si>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</si>
  <si>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</si>
  <si>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</si>
  <si>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</si>
  <si>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</si>
  <si>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</si>
  <si>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</si>
  <si>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</si>
  <si>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</si>
  <si>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</si>
  <si>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</si>
  <si>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</si>
  <si>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</si>
  <si>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</si>
  <si>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</si>
  <si>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</si>
  <si>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</si>
  <si>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</si>
  <si>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</si>
  <si>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</si>
  <si>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</si>
  <si>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</si>
  <si>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</si>
  <si>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</si>
  <si>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</si>
  <si>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</si>
  <si>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</si>
  <si>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</si>
  <si>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</si>
  <si>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</si>
  <si>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</si>
  <si>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</si>
  <si>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</si>
  <si>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</si>
  <si>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</si>
  <si>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</si>
  <si>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</si>
  <si>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</si>
  <si>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</si>
  <si>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</si>
  <si>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</si>
  <si>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</si>
  <si>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</si>
  <si>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</si>
  <si>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</si>
  <si>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</si>
  <si>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</si>
  <si>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</si>
  <si>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</si>
  <si>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</si>
  <si>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</si>
  <si>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</si>
  <si>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</si>
  <si>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</si>
  <si>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</si>
  <si>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</si>
  <si>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</si>
  <si>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</si>
  <si>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</si>
  <si>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</si>
  <si>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</si>
  <si>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</si>
  <si>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</si>
  <si>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</si>
  <si>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</si>
  <si>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</si>
  <si>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</si>
  <si>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</si>
  <si>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</si>
  <si>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</si>
  <si>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</si>
  <si>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</si>
  <si>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</si>
  <si>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</si>
  <si>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</si>
  <si>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</si>
  <si>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</si>
  <si>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</si>
  <si>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</si>
  <si>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</si>
  <si>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</si>
  <si>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</si>
  <si>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</si>
  <si>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</si>
  <si>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</si>
  <si>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</si>
  <si>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</si>
  <si>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</si>
  <si>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</si>
  <si>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</si>
  <si>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</si>
  <si>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</si>
  <si>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</si>
  <si>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</si>
  <si>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</si>
  <si>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</si>
  <si>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</si>
  <si>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</si>
  <si>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</si>
  <si>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</si>
  <si>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</si>
  <si>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</si>
  <si>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</si>
  <si>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</si>
  <si>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</si>
  <si>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</si>
  <si>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</si>
  <si>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</si>
  <si>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</si>
  <si>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</si>
  <si>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</si>
  <si>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</si>
  <si>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</si>
  <si>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</si>
  <si>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</si>
  <si>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</si>
  <si>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</si>
  <si>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</si>
  <si>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</si>
  <si>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</si>
  <si>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</si>
  <si>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</si>
  <si>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</si>
  <si>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</si>
  <si>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</si>
  <si>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</si>
  <si>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</si>
  <si>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</si>
  <si>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</si>
  <si>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</si>
  <si>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</si>
  <si>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</si>
  <si>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</si>
  <si>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</si>
  <si>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</si>
  <si>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</si>
  <si>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</si>
  <si>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</si>
  <si>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</si>
  <si>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</si>
  <si>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</si>
  <si>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</si>
  <si>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</si>
  <si>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</si>
  <si>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</si>
  <si>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</si>
  <si>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</si>
  <si>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</si>
  <si>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</si>
  <si>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</si>
  <si>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</si>
  <si>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</si>
  <si>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</si>
  <si>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</si>
  <si>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</si>
  <si>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</si>
  <si>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</si>
  <si>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</si>
  <si>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</si>
  <si>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</si>
  <si>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</si>
  <si>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</si>
  <si>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</si>
  <si>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</si>
  <si>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</si>
  <si>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</si>
  <si>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</si>
  <si>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</si>
  <si>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</si>
  <si>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</si>
  <si>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</si>
  <si>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</si>
  <si>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</si>
  <si>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</si>
  <si>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</si>
  <si>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</si>
  <si>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</si>
  <si>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</si>
  <si>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</si>
  <si>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</si>
  <si>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</si>
  <si>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</si>
  <si>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</si>
  <si>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</si>
  <si>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</si>
  <si>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</si>
  <si>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</si>
  <si>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</si>
  <si>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</si>
  <si>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</si>
  <si>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</si>
  <si>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</si>
  <si>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</si>
  <si>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</si>
  <si>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</si>
  <si>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</si>
  <si>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</si>
  <si>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</si>
  <si>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</si>
  <si>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</si>
  <si>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</si>
  <si>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</si>
  <si>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</si>
  <si>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</si>
  <si>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</si>
  <si>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</si>
  <si>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</si>
  <si>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</si>
  <si>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</si>
  <si>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</si>
  <si>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</si>
  <si>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</si>
  <si>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</si>
  <si>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</si>
  <si>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</si>
  <si>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</si>
  <si>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</si>
  <si>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</si>
  <si>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</si>
  <si>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</si>
  <si>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</si>
  <si>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</si>
  <si>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</si>
  <si>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</si>
  <si>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</si>
  <si>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</si>
  <si>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</si>
  <si>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</si>
  <si>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</si>
  <si>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</si>
  <si>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</si>
  <si>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</si>
  <si>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</si>
  <si>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</si>
  <si>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</si>
  <si>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</si>
  <si>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</si>
  <si>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</si>
  <si>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</si>
  <si>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</si>
  <si>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</si>
  <si>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</si>
  <si>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</si>
  <si>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</si>
  <si>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</si>
  <si>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</si>
  <si>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</si>
  <si>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</si>
  <si>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</si>
  <si>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</si>
  <si>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</si>
  <si>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</si>
  <si>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</si>
  <si>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</si>
  <si>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</si>
  <si>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</si>
  <si>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</si>
  <si>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</si>
  <si>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</si>
  <si>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</si>
  <si>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</si>
  <si>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</si>
  <si>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</si>
  <si>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</si>
  <si>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</si>
  <si>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</si>
  <si>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</si>
  <si>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</si>
  <si>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</si>
  <si>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</si>
  <si>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</si>
  <si>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</si>
  <si>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</si>
  <si>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</si>
  <si>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</si>
  <si>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</si>
  <si>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</si>
  <si>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</si>
  <si>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</si>
  <si>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</si>
  <si>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</si>
  <si>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</si>
  <si>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</si>
  <si>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</si>
  <si>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</si>
  <si>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</si>
  <si>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</si>
  <si>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</si>
  <si>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</si>
  <si>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</si>
  <si>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</si>
  <si>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</si>
  <si>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</si>
  <si>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</si>
  <si>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</si>
  <si>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</si>
  <si>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</si>
  <si>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</si>
  <si>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</si>
  <si>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</si>
  <si>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</si>
  <si>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</si>
  <si>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</si>
  <si>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</si>
  <si>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</si>
  <si>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</si>
  <si>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</si>
  <si>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</si>
  <si>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</si>
  <si>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</si>
  <si>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</si>
  <si>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</si>
  <si>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</si>
  <si>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</si>
  <si>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</si>
  <si>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</si>
  <si>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</si>
  <si>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</si>
  <si>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</si>
  <si>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</si>
  <si>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</si>
  <si>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</si>
  <si>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</si>
  <si>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</si>
  <si>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</si>
  <si>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</si>
  <si>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</si>
  <si>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</si>
  <si>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</si>
  <si>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</si>
  <si>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</si>
  <si>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</si>
  <si>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</si>
  <si>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</si>
  <si>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</si>
  <si>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</si>
  <si>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</si>
  <si>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</si>
  <si>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</si>
  <si>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</si>
  <si>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</si>
  <si>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</si>
  <si>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</si>
  <si>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</si>
  <si>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</si>
  <si>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</si>
  <si>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</si>
  <si>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</si>
  <si>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</si>
  <si>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</si>
  <si>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</si>
  <si>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</si>
  <si>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</si>
  <si>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</si>
  <si>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</si>
  <si>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</si>
  <si>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</si>
  <si>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</si>
  <si>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</si>
  <si>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</si>
  <si>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</si>
  <si>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</si>
  <si>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</si>
  <si>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</si>
  <si>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</si>
  <si>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</si>
  <si>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</si>
  <si>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</si>
  <si>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</si>
  <si>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</si>
  <si>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</si>
  <si>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</si>
  <si>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</si>
  <si>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</si>
  <si>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</si>
  <si>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</si>
  <si>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</si>
  <si>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</si>
  <si>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</si>
  <si>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</si>
  <si>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</si>
  <si>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</si>
  <si>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</si>
  <si>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</si>
  <si>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</si>
  <si>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</si>
  <si>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</si>
  <si>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</si>
  <si>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</si>
  <si>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</si>
  <si>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</si>
  <si>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</si>
  <si>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</si>
  <si>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</si>
  <si>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</si>
  <si>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</si>
  <si>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</si>
  <si>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</si>
  <si>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</si>
  <si>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</si>
  <si>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</si>
  <si>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</si>
  <si>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</si>
  <si>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</si>
  <si>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</si>
  <si>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</si>
  <si>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</si>
  <si>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</si>
  <si>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</si>
  <si>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</si>
  <si>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</si>
  <si>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</si>
  <si>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</si>
  <si>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</si>
  <si>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</si>
  <si>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</si>
  <si>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</si>
  <si>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</si>
  <si>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</si>
  <si>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</si>
  <si>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</si>
  <si>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</si>
  <si>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</si>
  <si>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</si>
  <si>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</si>
  <si>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</si>
  <si>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</si>
  <si>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</si>
  <si>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</si>
  <si>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</si>
  <si>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</si>
  <si>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</si>
  <si>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</si>
  <si>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</si>
  <si>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</si>
  <si>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</si>
  <si>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</si>
  <si>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</si>
  <si>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</si>
  <si>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</si>
  <si>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</si>
  <si>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</si>
  <si>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</si>
  <si>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</si>
  <si>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</si>
  <si>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</si>
  <si>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</si>
  <si>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</si>
  <si>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</si>
  <si>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</si>
  <si>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</si>
  <si>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</si>
  <si>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</si>
  <si>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</si>
  <si>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</si>
  <si>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</si>
  <si>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</si>
  <si>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</si>
  <si>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</si>
  <si>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</si>
  <si>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</si>
  <si>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</si>
  <si>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</si>
  <si>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</si>
  <si>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</si>
  <si>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</si>
  <si>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</si>
  <si>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</si>
  <si>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</si>
  <si>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</si>
  <si>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</si>
  <si>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</si>
  <si>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</si>
  <si>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</si>
  <si>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</si>
  <si>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</si>
  <si>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</si>
  <si>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</si>
  <si>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</si>
  <si>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</si>
  <si>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</si>
  <si>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</si>
  <si>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</si>
  <si>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</si>
  <si>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</si>
  <si>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</si>
  <si>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</si>
  <si>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</si>
  <si>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</si>
  <si>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</si>
  <si>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</si>
  <si>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</si>
  <si>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</si>
  <si>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</si>
  <si>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</si>
  <si>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</si>
  <si>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</si>
  <si>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</si>
  <si>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</si>
  <si>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</si>
  <si>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</si>
  <si>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</si>
  <si>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</si>
  <si>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</si>
  <si>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</si>
  <si>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</si>
  <si>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</si>
  <si>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</si>
  <si>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</si>
  <si>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</si>
  <si>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</si>
  <si>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</si>
  <si>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</si>
  <si>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</si>
  <si>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</si>
  <si>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</si>
  <si>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</si>
  <si>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</si>
  <si>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</si>
  <si>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</si>
  <si>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</si>
  <si>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</si>
  <si>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</si>
  <si>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</si>
  <si>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</si>
  <si>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</si>
  <si>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</si>
  <si>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</si>
  <si>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</si>
  <si>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</si>
  <si>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</si>
  <si>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</si>
  <si>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</si>
  <si>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</si>
  <si>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</si>
  <si>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</si>
  <si>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</si>
  <si>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</si>
  <si>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</si>
  <si>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</si>
  <si>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</si>
  <si>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</si>
  <si>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</si>
  <si>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</si>
  <si>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</si>
  <si>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</si>
  <si>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</si>
  <si>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</si>
  <si>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</si>
  <si>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</si>
  <si>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</si>
  <si>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</si>
  <si>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</si>
  <si>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</si>
  <si>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</si>
  <si>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</si>
  <si>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</si>
  <si>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</si>
  <si>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</si>
  <si>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</si>
  <si>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</si>
  <si>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</si>
  <si>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</si>
  <si>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</si>
  <si>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</si>
  <si>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</si>
  <si>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</si>
  <si>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</si>
  <si>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</si>
  <si>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</si>
  <si>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</si>
  <si>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</si>
  <si>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</si>
  <si>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</si>
  <si>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</si>
  <si>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</si>
  <si>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</si>
  <si>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</si>
  <si>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</si>
  <si>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</si>
  <si>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</si>
  <si>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</si>
  <si>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</si>
  <si>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</si>
  <si>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</si>
  <si>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</si>
  <si>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</si>
  <si>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</si>
  <si>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</si>
  <si>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</si>
  <si>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</si>
  <si>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</si>
  <si>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</si>
  <si>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</si>
  <si>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</si>
  <si>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</si>
  <si>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</si>
  <si>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</si>
  <si>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</si>
  <si>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</si>
  <si>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</si>
  <si>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</si>
  <si>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</si>
  <si>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</si>
  <si>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</si>
  <si>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</si>
  <si>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</si>
  <si>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</si>
  <si>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</si>
  <si>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</si>
  <si>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</si>
  <si>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</si>
  <si>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</si>
  <si>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</si>
  <si>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</si>
  <si>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</si>
  <si>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</si>
  <si>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</si>
  <si>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</si>
  <si>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</si>
  <si>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</si>
  <si>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</si>
  <si>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</si>
  <si>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</si>
  <si>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</si>
  <si>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</si>
  <si>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</si>
  <si>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</si>
  <si>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</si>
  <si>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</si>
  <si>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</si>
  <si>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</si>
  <si>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</si>
  <si>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</si>
  <si>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</si>
  <si>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</si>
  <si>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</si>
  <si>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</si>
  <si>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</si>
  <si>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</si>
  <si>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</si>
  <si>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</si>
  <si>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</si>
  <si>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</si>
  <si>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</si>
  <si>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</si>
  <si>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</si>
  <si>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</si>
  <si>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</si>
  <si>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</si>
  <si>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</si>
  <si>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</si>
  <si>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</si>
  <si>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</si>
  <si>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</si>
  <si>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</si>
  <si>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2025-07-09</t>
  </si>
  <si>
    <t>미르오토(대구)_250709_102645.xlsx</t>
  </si>
  <si>
    <t>엠모터스(상주)</t>
  </si>
  <si>
    <t>농협 3520106511413</t>
    <phoneticPr fontId="2" type="noConversion"/>
  </si>
  <si>
    <t>0BH300012A_x000D_
Warranty 1 Mon</t>
    <phoneticPr fontId="2" type="noConversion"/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</si>
  <si>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</si>
  <si>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</si>
  <si>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</si>
  <si>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</si>
  <si>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</si>
  <si>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</si>
  <si>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</si>
  <si>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</si>
  <si>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</si>
  <si>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</si>
  <si>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한국오토(노원)_250709_170515.xlsx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</si>
</sst>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2480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2480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2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122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2706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2724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2743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2768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2784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2788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2788</v>
      </c>
    </row>
    <row r="106" spans="1:6">
      <c r="A106">
        <v>105</v>
      </c>
      <c r="B106" s="13">
        <v>45833</v>
      </c>
      <c r="C106" t="s">
        <v>2803</v>
      </c>
      <c r="D106" t="s">
        <v>2804</v>
      </c>
      <c r="E106">
        <v>24800</v>
      </c>
      <c r="F106" t="s">
        <v>2805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2846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2891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2976</v>
      </c>
    </row>
    <row r="120" spans="1:6">
      <c r="A120">
        <v>119</v>
      </c>
      <c r="B120" s="13">
        <v>45847</v>
      </c>
      <c r="C120" t="s">
        <v>2146</v>
      </c>
      <c r="D120" t="s">
        <v>1859</v>
      </c>
      <c r="E120">
        <v>2000</v>
      </c>
      <c r="F120" t="s">
        <v>1817</v>
      </c>
    </row>
    <row r="121" spans="1:6">
      <c r="A121">
        <v>120</v>
      </c>
      <c r="B121" s="13">
        <v>45847</v>
      </c>
      <c r="C121" t="s">
        <v>2146</v>
      </c>
      <c r="D121" t="s">
        <v>1859</v>
      </c>
      <c r="E121">
        <v>6000</v>
      </c>
      <c r="F121" t="s">
        <v>2995</v>
      </c>
    </row>
    <row r="122" spans="1:6">
      <c r="A122">
        <v>121</v>
      </c>
      <c r="B122" s="13">
        <v>45847</v>
      </c>
      <c r="C122" t="s">
        <v>1565</v>
      </c>
      <c r="D122" t="s">
        <v>1859</v>
      </c>
      <c r="E122">
        <v>8000</v>
      </c>
      <c r="F122" t="s">
        <v>1817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2996</v>
      </c>
      <c r="D2" s="306"/>
      <c r="E2" s="306"/>
      <c r="F2" s="306"/>
      <c r="G2" s="307"/>
      <c r="H2" s="305" t="s">
        <v>83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45847</v>
      </c>
      <c r="U2" s="311"/>
    </row>
    <row r="3" spans="1:21" ht="24.95" customHeight="1">
      <c r="A3" s="378" t="s">
        <v>1203</v>
      </c>
      <c r="B3" s="37" t="s">
        <v>65</v>
      </c>
      <c r="C3" s="381" t="s">
        <v>1075</v>
      </c>
      <c r="D3" s="382"/>
      <c r="E3" s="382"/>
      <c r="F3" s="382"/>
      <c r="G3" s="382"/>
      <c r="H3" s="382"/>
      <c r="I3" s="382"/>
      <c r="J3" s="383"/>
      <c r="K3" s="384" t="s">
        <v>1204</v>
      </c>
      <c r="L3" s="37" t="s">
        <v>65</v>
      </c>
      <c r="M3" s="387" t="s">
        <v>971</v>
      </c>
      <c r="N3" s="388"/>
      <c r="O3" s="388"/>
      <c r="P3" s="388"/>
      <c r="Q3" s="388"/>
      <c r="R3" s="388"/>
      <c r="S3" s="388"/>
      <c r="T3" s="388"/>
      <c r="U3" s="389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393" t="s">
        <v>79</v>
      </c>
      <c r="U4" s="396"/>
    </row>
    <row r="5" spans="1:21" ht="24.95" customHeight="1">
      <c r="A5" s="379"/>
      <c r="B5" s="38" t="s">
        <v>10</v>
      </c>
      <c r="C5" s="393" t="s">
        <v>1077</v>
      </c>
      <c r="D5" s="394"/>
      <c r="E5" s="394"/>
      <c r="F5" s="394"/>
      <c r="G5" s="394"/>
      <c r="H5" s="394"/>
      <c r="I5" s="394"/>
      <c r="J5" s="395"/>
      <c r="K5" s="385"/>
      <c r="L5" s="38" t="s">
        <v>10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24.95" customHeight="1">
      <c r="A6" s="380"/>
      <c r="B6" s="38" t="s">
        <v>81</v>
      </c>
      <c r="C6" s="393" t="s">
        <v>1076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37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49</v>
      </c>
      <c r="G7" s="313"/>
      <c r="H7" s="313"/>
      <c r="I7" s="375"/>
      <c r="J7" s="376" t="s">
        <v>47</v>
      </c>
      <c r="K7" s="313"/>
      <c r="L7" s="313"/>
      <c r="M7" s="313"/>
      <c r="N7" s="375"/>
      <c r="O7" s="313" t="s">
        <v>55</v>
      </c>
      <c r="P7" s="375"/>
      <c r="Q7" s="376" t="s">
        <v>75</v>
      </c>
      <c r="R7" s="313"/>
      <c r="S7" s="375"/>
      <c r="T7" s="376" t="s">
        <v>74</v>
      </c>
      <c r="U7" s="377"/>
    </row>
    <row r="8" spans="1:21" ht="15.6" customHeight="1">
      <c r="A8" s="419" t="s">
        <v>1704</v>
      </c>
      <c r="B8" s="420"/>
      <c r="C8" s="420"/>
      <c r="D8" s="420"/>
      <c r="E8" s="421"/>
      <c r="F8" s="422" t="s">
        <v>1258</v>
      </c>
      <c r="G8" s="420"/>
      <c r="H8" s="420"/>
      <c r="I8" s="421"/>
      <c r="J8" s="428">
        <v>1500000</v>
      </c>
      <c r="K8" s="428"/>
      <c r="L8" s="428"/>
      <c r="M8" s="428"/>
      <c r="N8" s="428"/>
      <c r="O8" s="429">
        <v>1</v>
      </c>
      <c r="P8" s="429"/>
      <c r="Q8" s="423">
        <v>150000</v>
      </c>
      <c r="R8" s="424"/>
      <c r="S8" s="425"/>
      <c r="T8" s="426">
        <v>1650000</v>
      </c>
      <c r="U8" s="427"/>
    </row>
    <row r="9" spans="1:21" ht="15.6" customHeight="1">
      <c r="A9" s="408"/>
      <c r="B9" s="409"/>
      <c r="C9" s="409"/>
      <c r="D9" s="409"/>
      <c r="E9" s="410"/>
      <c r="F9" s="411"/>
      <c r="G9" s="409"/>
      <c r="H9" s="409"/>
      <c r="I9" s="410"/>
      <c r="J9" s="417"/>
      <c r="K9" s="417"/>
      <c r="L9" s="417"/>
      <c r="M9" s="417"/>
      <c r="N9" s="417"/>
      <c r="O9" s="418"/>
      <c r="P9" s="418"/>
      <c r="Q9" s="412"/>
      <c r="R9" s="413"/>
      <c r="S9" s="414"/>
      <c r="T9" s="415"/>
      <c r="U9" s="416"/>
    </row>
    <row r="10" spans="1:21" ht="15.6" customHeight="1">
      <c r="A10" s="408"/>
      <c r="B10" s="409"/>
      <c r="C10" s="409"/>
      <c r="D10" s="409"/>
      <c r="E10" s="410"/>
      <c r="F10" s="411"/>
      <c r="G10" s="409"/>
      <c r="H10" s="409"/>
      <c r="I10" s="410"/>
      <c r="J10" s="417"/>
      <c r="K10" s="417"/>
      <c r="L10" s="417"/>
      <c r="M10" s="417"/>
      <c r="N10" s="417"/>
      <c r="O10" s="418"/>
      <c r="P10" s="418"/>
      <c r="Q10" s="412"/>
      <c r="R10" s="413"/>
      <c r="S10" s="414"/>
      <c r="T10" s="415"/>
      <c r="U10" s="416"/>
    </row>
    <row r="11" spans="1:21" ht="15.6" customHeight="1">
      <c r="A11" s="408"/>
      <c r="B11" s="409"/>
      <c r="C11" s="409"/>
      <c r="D11" s="409"/>
      <c r="E11" s="410"/>
      <c r="F11" s="411"/>
      <c r="G11" s="409"/>
      <c r="H11" s="409"/>
      <c r="I11" s="410"/>
      <c r="J11" s="417"/>
      <c r="K11" s="417"/>
      <c r="L11" s="417"/>
      <c r="M11" s="417"/>
      <c r="N11" s="417"/>
      <c r="O11" s="418"/>
      <c r="P11" s="418"/>
      <c r="Q11" s="412"/>
      <c r="R11" s="413"/>
      <c r="S11" s="414"/>
      <c r="T11" s="415"/>
      <c r="U11" s="416"/>
    </row>
    <row r="12" spans="1:21" ht="15.6" customHeight="1">
      <c r="A12" s="408"/>
      <c r="B12" s="409"/>
      <c r="C12" s="409"/>
      <c r="D12" s="409"/>
      <c r="E12" s="410"/>
      <c r="F12" s="411"/>
      <c r="G12" s="409"/>
      <c r="H12" s="409"/>
      <c r="I12" s="410"/>
      <c r="J12" s="417"/>
      <c r="K12" s="417"/>
      <c r="L12" s="417"/>
      <c r="M12" s="417"/>
      <c r="N12" s="417"/>
      <c r="O12" s="418"/>
      <c r="P12" s="418"/>
      <c r="Q12" s="412"/>
      <c r="R12" s="413"/>
      <c r="S12" s="414"/>
      <c r="T12" s="415"/>
      <c r="U12" s="416"/>
    </row>
    <row r="13" spans="1:21" ht="15.6" customHeight="1">
      <c r="A13" s="408"/>
      <c r="B13" s="409"/>
      <c r="C13" s="409"/>
      <c r="D13" s="409"/>
      <c r="E13" s="410"/>
      <c r="F13" s="411"/>
      <c r="G13" s="409"/>
      <c r="H13" s="409"/>
      <c r="I13" s="410"/>
      <c r="J13" s="417"/>
      <c r="K13" s="417"/>
      <c r="L13" s="417"/>
      <c r="M13" s="417"/>
      <c r="N13" s="417"/>
      <c r="O13" s="418"/>
      <c r="P13" s="418"/>
      <c r="Q13" s="412"/>
      <c r="R13" s="413"/>
      <c r="S13" s="414"/>
      <c r="T13" s="415"/>
      <c r="U13" s="416"/>
    </row>
    <row r="14" spans="1:21" ht="15.6" customHeight="1">
      <c r="A14" s="408"/>
      <c r="B14" s="409"/>
      <c r="C14" s="409"/>
      <c r="D14" s="409"/>
      <c r="E14" s="410"/>
      <c r="F14" s="411"/>
      <c r="G14" s="409"/>
      <c r="H14" s="409"/>
      <c r="I14" s="410"/>
      <c r="J14" s="417"/>
      <c r="K14" s="417"/>
      <c r="L14" s="417"/>
      <c r="M14" s="417"/>
      <c r="N14" s="417"/>
      <c r="O14" s="418"/>
      <c r="P14" s="418"/>
      <c r="Q14" s="412"/>
      <c r="R14" s="413"/>
      <c r="S14" s="414"/>
      <c r="T14" s="415"/>
      <c r="U14" s="416"/>
    </row>
    <row r="15" spans="1:21" ht="15.6" customHeight="1" thickBot="1">
      <c r="A15" s="397"/>
      <c r="B15" s="398"/>
      <c r="C15" s="398"/>
      <c r="D15" s="398"/>
      <c r="E15" s="399"/>
      <c r="F15" s="400"/>
      <c r="G15" s="398"/>
      <c r="H15" s="398"/>
      <c r="I15" s="399"/>
      <c r="J15" s="406"/>
      <c r="K15" s="406"/>
      <c r="L15" s="406"/>
      <c r="M15" s="406"/>
      <c r="N15" s="406"/>
      <c r="O15" s="407"/>
      <c r="P15" s="407"/>
      <c r="Q15" s="401"/>
      <c r="R15" s="402"/>
      <c r="S15" s="403"/>
      <c r="T15" s="404"/>
      <c r="U15" s="405"/>
    </row>
    <row r="16" spans="1:21" ht="15" customHeight="1" thickTop="1">
      <c r="A16" s="328" t="s">
        <v>2416</v>
      </c>
      <c r="B16" s="329"/>
      <c r="C16" s="329"/>
      <c r="D16" s="329"/>
      <c r="E16" s="330"/>
      <c r="F16" s="337" t="s">
        <v>2997</v>
      </c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40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2"/>
    </row>
    <row r="18" spans="1:21" ht="15" customHeight="1">
      <c r="A18" s="331"/>
      <c r="B18" s="332"/>
      <c r="C18" s="332"/>
      <c r="D18" s="332"/>
      <c r="E18" s="333"/>
      <c r="F18" s="340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2"/>
    </row>
    <row r="19" spans="1:21" ht="15" customHeight="1">
      <c r="A19" s="334"/>
      <c r="B19" s="335"/>
      <c r="C19" s="335"/>
      <c r="D19" s="335"/>
      <c r="E19" s="336"/>
      <c r="F19" s="343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5"/>
    </row>
    <row r="20" spans="1:21" ht="20.100000000000001" customHeight="1">
      <c r="A20" s="312" t="s">
        <v>87</v>
      </c>
      <c r="B20" s="313"/>
      <c r="C20" s="313"/>
      <c r="D20" s="313"/>
      <c r="E20" s="313"/>
      <c r="F20" s="314">
        <v>1650000</v>
      </c>
      <c r="G20" s="314"/>
      <c r="H20" s="314"/>
      <c r="I20" s="315"/>
      <c r="J20" s="351">
        <f>SUM(J8:N19)</f>
        <v>1500000</v>
      </c>
      <c r="K20" s="352"/>
      <c r="L20" s="352"/>
      <c r="M20" s="352"/>
      <c r="N20" s="353"/>
      <c r="O20" s="316">
        <f>SUM(O8:P19)</f>
        <v>1</v>
      </c>
      <c r="P20" s="316"/>
      <c r="Q20" s="354">
        <f>SUM(Q8:S19)</f>
        <v>150000</v>
      </c>
      <c r="R20" s="314"/>
      <c r="S20" s="315"/>
      <c r="T20" s="314">
        <f>SUM(T8:U15)</f>
        <v>1650000</v>
      </c>
      <c r="U20" s="355"/>
    </row>
    <row r="21" spans="1:21" ht="20.100000000000001" customHeight="1" thickBot="1">
      <c r="A21" s="317" t="s">
        <v>97</v>
      </c>
      <c r="B21" s="318"/>
      <c r="C21" s="318"/>
      <c r="D21" s="318"/>
      <c r="E21" s="318"/>
      <c r="F21" s="319">
        <f>F20+T20+Q20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18"/>
      <c r="Q21" s="322" t="str">
        <f>C3</f>
        <v>한국오토(노원)</v>
      </c>
      <c r="R21" s="322"/>
      <c r="S21" s="322"/>
      <c r="T21" s="322"/>
      <c r="U21" s="374"/>
    </row>
    <row r="22" spans="1:21" ht="20.100000000000001" customHeight="1">
      <c r="A22" s="301" t="s">
        <v>3008</v>
      </c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</row>
    <row r="23" spans="1:21" ht="20.100000000000001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323"/>
      <c r="B24" s="324"/>
      <c r="C24" s="324"/>
      <c r="D24" s="324"/>
      <c r="E24" s="324"/>
      <c r="F24" s="324"/>
      <c r="G24" s="32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25" t="s">
        <v>1235</v>
      </c>
      <c r="R24" s="325"/>
      <c r="S24" s="326">
        <f>S1</f>
        <v>0</v>
      </c>
      <c r="T24" s="326"/>
      <c r="U24" s="327"/>
    </row>
    <row r="25" spans="1:21">
      <c r="A25" s="303" t="s">
        <v>71</v>
      </c>
      <c r="B25" s="304"/>
      <c r="C25" s="305" t="str">
        <f>C2</f>
        <v>농협 3520106511413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45847</v>
      </c>
      <c r="U25" s="311"/>
    </row>
    <row r="26" spans="1:21" ht="24.95" customHeight="1">
      <c r="A26" s="378" t="s">
        <v>1203</v>
      </c>
      <c r="B26" s="37" t="s">
        <v>65</v>
      </c>
      <c r="C26" s="381" t="str">
        <f>C3</f>
        <v>한국오토(노원)</v>
      </c>
      <c r="D26" s="382"/>
      <c r="E26" s="382"/>
      <c r="F26" s="382"/>
      <c r="G26" s="382"/>
      <c r="H26" s="382"/>
      <c r="I26" s="382"/>
      <c r="J26" s="383"/>
      <c r="K26" s="384" t="s">
        <v>1204</v>
      </c>
      <c r="L26" s="37" t="s">
        <v>65</v>
      </c>
      <c r="M26" s="387" t="s">
        <v>971</v>
      </c>
      <c r="N26" s="388"/>
      <c r="O26" s="388"/>
      <c r="P26" s="388"/>
      <c r="Q26" s="388"/>
      <c r="R26" s="388"/>
      <c r="S26" s="388"/>
      <c r="T26" s="388"/>
      <c r="U26" s="389"/>
    </row>
    <row r="27" spans="1:21" ht="24.95" customHeight="1">
      <c r="A27" s="379"/>
      <c r="B27" s="37" t="s">
        <v>67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85"/>
      <c r="L27" s="37" t="s">
        <v>67</v>
      </c>
      <c r="M27" s="393" t="s">
        <v>969</v>
      </c>
      <c r="N27" s="394"/>
      <c r="O27" s="394"/>
      <c r="P27" s="394"/>
      <c r="Q27" s="394"/>
      <c r="R27" s="395"/>
      <c r="S27" s="38" t="s">
        <v>68</v>
      </c>
      <c r="T27" s="393" t="s">
        <v>79</v>
      </c>
      <c r="U27" s="396"/>
    </row>
    <row r="28" spans="1:21" ht="24.95" customHeight="1">
      <c r="A28" s="379"/>
      <c r="B28" s="38" t="s">
        <v>10</v>
      </c>
      <c r="C28" s="393" t="str">
        <f>C5</f>
        <v>서울 노원구 공릉로 62길 15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">
        <v>80</v>
      </c>
      <c r="N28" s="394"/>
      <c r="O28" s="394"/>
      <c r="P28" s="394"/>
      <c r="Q28" s="394"/>
      <c r="R28" s="394"/>
      <c r="S28" s="394"/>
      <c r="T28" s="394"/>
      <c r="U28" s="396"/>
    </row>
    <row r="29" spans="1:21" ht="24.95" customHeight="1">
      <c r="A29" s="380"/>
      <c r="B29" s="38" t="s">
        <v>81</v>
      </c>
      <c r="C29" s="393" t="str">
        <f>C6</f>
        <v>010-3717-1041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">
        <v>72</v>
      </c>
      <c r="N29" s="394"/>
      <c r="O29" s="394"/>
      <c r="P29" s="394"/>
      <c r="Q29" s="394"/>
      <c r="R29" s="395"/>
      <c r="S29" s="38" t="s">
        <v>26</v>
      </c>
      <c r="T29" s="393" t="str">
        <f>T6</f>
        <v>경동(택배)</v>
      </c>
      <c r="U29" s="396"/>
    </row>
    <row r="30" spans="1:21" ht="15.6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47</v>
      </c>
      <c r="K30" s="313"/>
      <c r="L30" s="313"/>
      <c r="M30" s="313"/>
      <c r="N30" s="375"/>
      <c r="O30" s="313" t="s">
        <v>55</v>
      </c>
      <c r="P30" s="375"/>
      <c r="Q30" s="376" t="s">
        <v>75</v>
      </c>
      <c r="R30" s="313"/>
      <c r="S30" s="375"/>
      <c r="T30" s="376" t="s">
        <v>74</v>
      </c>
      <c r="U30" s="377"/>
    </row>
    <row r="31" spans="1:21" ht="15.6" customHeight="1">
      <c r="A31" s="368" t="str">
        <f>A8</f>
        <v>OBH_TCU</v>
      </c>
      <c r="B31" s="369"/>
      <c r="C31" s="369"/>
      <c r="D31" s="369"/>
      <c r="E31" s="369"/>
      <c r="F31" s="369" t="str">
        <f>F8</f>
        <v>0BH927711C</v>
      </c>
      <c r="G31" s="369"/>
      <c r="H31" s="369"/>
      <c r="I31" s="369"/>
      <c r="J31" s="373">
        <f>J8</f>
        <v>1500000</v>
      </c>
      <c r="K31" s="373"/>
      <c r="L31" s="373"/>
      <c r="M31" s="373"/>
      <c r="N31" s="373"/>
      <c r="O31" s="373">
        <f>O8</f>
        <v>1</v>
      </c>
      <c r="P31" s="373"/>
      <c r="Q31" s="370">
        <f>Q8</f>
        <v>150000</v>
      </c>
      <c r="R31" s="370"/>
      <c r="S31" s="370"/>
      <c r="T31" s="371">
        <f>T8</f>
        <v>1650000</v>
      </c>
      <c r="U31" s="372"/>
    </row>
    <row r="32" spans="1:21" ht="15.6" customHeight="1">
      <c r="A32" s="361">
        <f t="shared" ref="A32:A38" si="0">A9</f>
        <v>0</v>
      </c>
      <c r="B32" s="362"/>
      <c r="C32" s="362"/>
      <c r="D32" s="362"/>
      <c r="E32" s="362"/>
      <c r="F32" s="362">
        <f t="shared" ref="F32:F38" si="1">F9</f>
        <v>0</v>
      </c>
      <c r="G32" s="362"/>
      <c r="H32" s="362"/>
      <c r="I32" s="362"/>
      <c r="J32" s="366">
        <f t="shared" ref="J32:J38" si="2">J9</f>
        <v>0</v>
      </c>
      <c r="K32" s="366"/>
      <c r="L32" s="366"/>
      <c r="M32" s="366"/>
      <c r="N32" s="366"/>
      <c r="O32" s="366">
        <f t="shared" ref="O32:O38" si="3">O9</f>
        <v>0</v>
      </c>
      <c r="P32" s="366"/>
      <c r="Q32" s="363">
        <f t="shared" ref="Q32:Q38" si="4">Q9</f>
        <v>0</v>
      </c>
      <c r="R32" s="363"/>
      <c r="S32" s="363"/>
      <c r="T32" s="364">
        <f t="shared" ref="T32:T38" si="5">T9</f>
        <v>0</v>
      </c>
      <c r="U32" s="365"/>
    </row>
    <row r="33" spans="1:21" ht="15.6" customHeight="1">
      <c r="A33" s="361">
        <f t="shared" si="0"/>
        <v>0</v>
      </c>
      <c r="B33" s="362"/>
      <c r="C33" s="362"/>
      <c r="D33" s="362"/>
      <c r="E33" s="362"/>
      <c r="F33" s="362">
        <f t="shared" si="1"/>
        <v>0</v>
      </c>
      <c r="G33" s="362"/>
      <c r="H33" s="362"/>
      <c r="I33" s="362"/>
      <c r="J33" s="366">
        <f t="shared" si="2"/>
        <v>0</v>
      </c>
      <c r="K33" s="366"/>
      <c r="L33" s="366"/>
      <c r="M33" s="366"/>
      <c r="N33" s="366"/>
      <c r="O33" s="366">
        <f t="shared" si="3"/>
        <v>0</v>
      </c>
      <c r="P33" s="366"/>
      <c r="Q33" s="363">
        <f t="shared" si="4"/>
        <v>0</v>
      </c>
      <c r="R33" s="363"/>
      <c r="S33" s="363"/>
      <c r="T33" s="364">
        <f t="shared" si="5"/>
        <v>0</v>
      </c>
      <c r="U33" s="365"/>
    </row>
    <row r="34" spans="1:21" ht="15.6" customHeight="1">
      <c r="A34" s="361">
        <f t="shared" si="0"/>
        <v>0</v>
      </c>
      <c r="B34" s="362"/>
      <c r="C34" s="362"/>
      <c r="D34" s="362"/>
      <c r="E34" s="362"/>
      <c r="F34" s="362">
        <f t="shared" si="1"/>
        <v>0</v>
      </c>
      <c r="G34" s="362"/>
      <c r="H34" s="362"/>
      <c r="I34" s="362"/>
      <c r="J34" s="366">
        <f t="shared" si="2"/>
        <v>0</v>
      </c>
      <c r="K34" s="366"/>
      <c r="L34" s="366"/>
      <c r="M34" s="366"/>
      <c r="N34" s="366"/>
      <c r="O34" s="366">
        <f t="shared" si="3"/>
        <v>0</v>
      </c>
      <c r="P34" s="366"/>
      <c r="Q34" s="363">
        <f t="shared" si="4"/>
        <v>0</v>
      </c>
      <c r="R34" s="363"/>
      <c r="S34" s="363"/>
      <c r="T34" s="364">
        <f t="shared" si="5"/>
        <v>0</v>
      </c>
      <c r="U34" s="365"/>
    </row>
    <row r="35" spans="1:21" ht="15.6" customHeight="1">
      <c r="A35" s="361">
        <f t="shared" si="0"/>
        <v>0</v>
      </c>
      <c r="B35" s="362"/>
      <c r="C35" s="362"/>
      <c r="D35" s="362"/>
      <c r="E35" s="362"/>
      <c r="F35" s="362">
        <f t="shared" si="1"/>
        <v>0</v>
      </c>
      <c r="G35" s="362"/>
      <c r="H35" s="362"/>
      <c r="I35" s="362"/>
      <c r="J35" s="366">
        <f t="shared" si="2"/>
        <v>0</v>
      </c>
      <c r="K35" s="366"/>
      <c r="L35" s="366"/>
      <c r="M35" s="366"/>
      <c r="N35" s="366"/>
      <c r="O35" s="366">
        <f t="shared" si="3"/>
        <v>0</v>
      </c>
      <c r="P35" s="366"/>
      <c r="Q35" s="363">
        <f t="shared" si="4"/>
        <v>0</v>
      </c>
      <c r="R35" s="363"/>
      <c r="S35" s="363"/>
      <c r="T35" s="364">
        <f t="shared" si="5"/>
        <v>0</v>
      </c>
      <c r="U35" s="365"/>
    </row>
    <row r="36" spans="1:21" ht="15.6" customHeight="1">
      <c r="A36" s="361">
        <f t="shared" si="0"/>
        <v>0</v>
      </c>
      <c r="B36" s="362"/>
      <c r="C36" s="362"/>
      <c r="D36" s="362"/>
      <c r="E36" s="362"/>
      <c r="F36" s="362">
        <f t="shared" si="1"/>
        <v>0</v>
      </c>
      <c r="G36" s="362"/>
      <c r="H36" s="362"/>
      <c r="I36" s="362"/>
      <c r="J36" s="366">
        <f t="shared" si="2"/>
        <v>0</v>
      </c>
      <c r="K36" s="366"/>
      <c r="L36" s="366"/>
      <c r="M36" s="366"/>
      <c r="N36" s="366"/>
      <c r="O36" s="366">
        <f t="shared" si="3"/>
        <v>0</v>
      </c>
      <c r="P36" s="366"/>
      <c r="Q36" s="363">
        <f t="shared" si="4"/>
        <v>0</v>
      </c>
      <c r="R36" s="363"/>
      <c r="S36" s="363"/>
      <c r="T36" s="364">
        <f t="shared" si="5"/>
        <v>0</v>
      </c>
      <c r="U36" s="365"/>
    </row>
    <row r="37" spans="1:21" ht="15.6" customHeight="1">
      <c r="A37" s="361">
        <f t="shared" si="0"/>
        <v>0</v>
      </c>
      <c r="B37" s="362"/>
      <c r="C37" s="362"/>
      <c r="D37" s="362"/>
      <c r="E37" s="362"/>
      <c r="F37" s="362">
        <f t="shared" si="1"/>
        <v>0</v>
      </c>
      <c r="G37" s="362"/>
      <c r="H37" s="362"/>
      <c r="I37" s="362"/>
      <c r="J37" s="366">
        <f t="shared" si="2"/>
        <v>0</v>
      </c>
      <c r="K37" s="366"/>
      <c r="L37" s="366"/>
      <c r="M37" s="366"/>
      <c r="N37" s="366"/>
      <c r="O37" s="366">
        <f t="shared" si="3"/>
        <v>0</v>
      </c>
      <c r="P37" s="366"/>
      <c r="Q37" s="363">
        <f t="shared" si="4"/>
        <v>0</v>
      </c>
      <c r="R37" s="363"/>
      <c r="S37" s="363"/>
      <c r="T37" s="364">
        <f t="shared" si="5"/>
        <v>0</v>
      </c>
      <c r="U37" s="365"/>
    </row>
    <row r="38" spans="1:21" ht="15.6" customHeight="1" thickBot="1">
      <c r="A38" s="356">
        <f t="shared" si="0"/>
        <v>0</v>
      </c>
      <c r="B38" s="357"/>
      <c r="C38" s="357"/>
      <c r="D38" s="357"/>
      <c r="E38" s="357"/>
      <c r="F38" s="357">
        <f t="shared" si="1"/>
        <v>0</v>
      </c>
      <c r="G38" s="357"/>
      <c r="H38" s="357"/>
      <c r="I38" s="357"/>
      <c r="J38" s="367">
        <f t="shared" si="2"/>
        <v>0</v>
      </c>
      <c r="K38" s="367"/>
      <c r="L38" s="367"/>
      <c r="M38" s="367"/>
      <c r="N38" s="367"/>
      <c r="O38" s="367">
        <f t="shared" si="3"/>
        <v>0</v>
      </c>
      <c r="P38" s="367"/>
      <c r="Q38" s="358">
        <f t="shared" si="4"/>
        <v>0</v>
      </c>
      <c r="R38" s="358"/>
      <c r="S38" s="358"/>
      <c r="T38" s="359">
        <f t="shared" si="5"/>
        <v>0</v>
      </c>
      <c r="U38" s="360"/>
    </row>
    <row r="39" spans="1:21" ht="15" customHeight="1" thickTop="1">
      <c r="A39" s="328" t="s">
        <v>2416</v>
      </c>
      <c r="B39" s="329"/>
      <c r="C39" s="329"/>
      <c r="D39" s="329"/>
      <c r="E39" s="330"/>
      <c r="F39" s="337" t="str">
        <f>F16</f>
        <v>0BH300012A_x000D_
Warranty 1 Mon</v>
      </c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</row>
    <row r="40" spans="1:21" ht="15" customHeight="1">
      <c r="A40" s="331"/>
      <c r="B40" s="332"/>
      <c r="C40" s="332"/>
      <c r="D40" s="332"/>
      <c r="E40" s="333"/>
      <c r="F40" s="340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2"/>
    </row>
    <row r="41" spans="1:21" ht="15" customHeight="1">
      <c r="A41" s="331"/>
      <c r="B41" s="332"/>
      <c r="C41" s="332"/>
      <c r="D41" s="332"/>
      <c r="E41" s="333"/>
      <c r="F41" s="340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2"/>
    </row>
    <row r="42" spans="1:21" ht="15" customHeight="1">
      <c r="A42" s="334"/>
      <c r="B42" s="335"/>
      <c r="C42" s="335"/>
      <c r="D42" s="335"/>
      <c r="E42" s="336"/>
      <c r="F42" s="343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344"/>
      <c r="S42" s="344"/>
      <c r="T42" s="344"/>
      <c r="U42" s="345"/>
    </row>
    <row r="43" spans="1:21" ht="20.100000000000001" customHeight="1">
      <c r="A43" s="312" t="s">
        <v>87</v>
      </c>
      <c r="B43" s="313"/>
      <c r="C43" s="313"/>
      <c r="D43" s="313"/>
      <c r="E43" s="313"/>
      <c r="F43" s="314">
        <f>F20</f>
        <v>1650000</v>
      </c>
      <c r="G43" s="314"/>
      <c r="H43" s="314"/>
      <c r="I43" s="315"/>
      <c r="J43" s="351">
        <f>J20</f>
        <v>1500000</v>
      </c>
      <c r="K43" s="352"/>
      <c r="L43" s="352"/>
      <c r="M43" s="352"/>
      <c r="N43" s="353"/>
      <c r="O43" s="316">
        <f>O20</f>
        <v>1</v>
      </c>
      <c r="P43" s="316"/>
      <c r="Q43" s="354">
        <f>Q20</f>
        <v>150000</v>
      </c>
      <c r="R43" s="314"/>
      <c r="S43" s="314"/>
      <c r="T43" s="314">
        <f>T20</f>
        <v>1650000</v>
      </c>
      <c r="U43" s="355"/>
    </row>
    <row r="44" spans="1:21" ht="20.100000000000001" customHeight="1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46" t="str">
        <f>T27</f>
        <v>장효주</v>
      </c>
      <c r="M44" s="346"/>
      <c r="N44" s="346"/>
      <c r="O44" s="321" t="s">
        <v>70</v>
      </c>
      <c r="P44" s="347"/>
      <c r="Q44" s="348" t="str">
        <f>Q21</f>
        <v>한국오토(노원)</v>
      </c>
      <c r="R44" s="349"/>
      <c r="S44" s="349"/>
      <c r="T44" s="349"/>
      <c r="U44" s="35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2421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2993</v>
      </c>
      <c r="C2" s="47" t="s">
        <v>2524</v>
      </c>
      <c r="D2" t="s">
        <v>1258</v>
      </c>
      <c r="E2" t="s">
        <v>2113</v>
      </c>
      <c r="F2" t="s">
        <v>1258</v>
      </c>
      <c r="G2">
        <v>1500000</v>
      </c>
      <c r="H2">
        <v>1</v>
      </c>
      <c r="I2" s="238">
        <v>150000</v>
      </c>
      <c r="J2" s="238">
        <v>1650000</v>
      </c>
      <c r="K2" s="289"/>
    </row>
    <row r="3" spans="1:11">
      <c r="I3" s="238"/>
      <c r="J3" s="238"/>
    </row>
    <row r="4" spans="1:11">
      <c r="I4" s="238"/>
      <c r="J4" s="238"/>
    </row>
    <row r="5" spans="1:11">
      <c r="I5" s="238"/>
      <c r="J5" s="238"/>
    </row>
    <row r="6" spans="1:11">
      <c r="I6" s="238"/>
      <c r="J6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2414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2411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2412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92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M1" sqref="M1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894</v>
      </c>
    </row>
    <row r="2" spans="1:15">
      <c r="A2" s="287">
        <v>1</v>
      </c>
      <c r="B2" s="277">
        <v>45723</v>
      </c>
      <c r="C2" s="276" t="s">
        <v>2232</v>
      </c>
      <c r="D2" s="278">
        <v>2821402</v>
      </c>
      <c r="E2" s="276" t="s">
        <v>2858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2652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2654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2654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2654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2654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2654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2654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2654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2182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2186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2186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2186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2186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2306</v>
      </c>
      <c r="E344" s="284" t="s">
        <v>2307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2201</v>
      </c>
      <c r="E351" s="284" t="s">
        <v>2050</v>
      </c>
      <c r="F351" s="284" t="s">
        <v>2201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2199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2440</v>
      </c>
      <c r="E353" s="284" t="s">
        <v>2441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2440</v>
      </c>
      <c r="D354" s="278" t="s">
        <v>2442</v>
      </c>
      <c r="E354" s="284" t="s">
        <v>2443</v>
      </c>
      <c r="F354" s="284" t="s">
        <v>2442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2405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2405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2182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2218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2219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2221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2225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2229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2225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2182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2182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2255</v>
      </c>
      <c r="D375" s="278" t="s">
        <v>2256</v>
      </c>
      <c r="E375" s="284" t="s">
        <v>2257</v>
      </c>
      <c r="F375" s="284" t="s">
        <v>2256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2238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2242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2245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2248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2238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2251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2253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2258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2265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2654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2281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2274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2275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2192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2284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2311</v>
      </c>
      <c r="E402" s="284" t="s">
        <v>2309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2274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2275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2313</v>
      </c>
      <c r="E405" s="284" t="s">
        <v>2276</v>
      </c>
      <c r="F405" s="284" t="s">
        <v>2313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2186</v>
      </c>
      <c r="D407" s="278" t="s">
        <v>2313</v>
      </c>
      <c r="E407" s="284" t="s">
        <v>2276</v>
      </c>
      <c r="F407" s="284" t="s">
        <v>2313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2284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2282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2286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2324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2326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2340</v>
      </c>
      <c r="D418" s="278">
        <v>1087298388</v>
      </c>
      <c r="E418" s="284" t="s">
        <v>2341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2351</v>
      </c>
      <c r="D419" s="278" t="s">
        <v>2352</v>
      </c>
      <c r="E419" s="284" t="s">
        <v>2353</v>
      </c>
      <c r="F419" s="284" t="s">
        <v>2352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2274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2275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2277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2337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2342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2343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2280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2449</v>
      </c>
      <c r="D433" s="278" t="s">
        <v>2450</v>
      </c>
      <c r="E433" s="284" t="s">
        <v>2451</v>
      </c>
      <c r="F433" s="284" t="s">
        <v>2450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2280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2186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2335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2354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2356</v>
      </c>
      <c r="D439" s="278" t="s">
        <v>1254</v>
      </c>
      <c r="E439" s="284" t="s">
        <v>2272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2297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2275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2298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2359</v>
      </c>
      <c r="D443" s="278" t="s">
        <v>1239</v>
      </c>
      <c r="E443" s="284" t="s">
        <v>2274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2359</v>
      </c>
      <c r="D444" s="278" t="s">
        <v>1879</v>
      </c>
      <c r="E444" s="284" t="s">
        <v>2275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2274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2275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2359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2356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2365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2558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2654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2654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2284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2278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2286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2388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2390</v>
      </c>
      <c r="D469" s="278" t="s">
        <v>1236</v>
      </c>
      <c r="E469" s="284" t="s">
        <v>2292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2390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2281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2284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2285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2405</v>
      </c>
      <c r="D479" s="278" t="s">
        <v>1822</v>
      </c>
      <c r="E479" s="284" t="s">
        <v>2398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2405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2282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2272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2405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2415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2241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2417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2419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2418</v>
      </c>
      <c r="E502" s="284" t="s">
        <v>2292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2418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2420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2374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2420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2398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2654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2457</v>
      </c>
      <c r="E514" s="284" t="s">
        <v>2458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2589</v>
      </c>
      <c r="E516" s="284" t="s">
        <v>2427</v>
      </c>
      <c r="F516" s="284" t="s">
        <v>2426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2192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2192</v>
      </c>
      <c r="E518" s="284" t="s">
        <v>2437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2205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2444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2272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2455</v>
      </c>
      <c r="E525" s="284" t="s">
        <v>2456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2432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2467</v>
      </c>
      <c r="E532" s="284" t="s">
        <v>2468</v>
      </c>
      <c r="F532" s="284" t="s">
        <v>2469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2390</v>
      </c>
      <c r="E534" s="284" t="s">
        <v>2281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2390</v>
      </c>
      <c r="E535" s="284" t="s">
        <v>2284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2390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2356</v>
      </c>
      <c r="E542" s="284" t="s">
        <v>2291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2500</v>
      </c>
      <c r="E544" s="284" t="s">
        <v>2501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2473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2488</v>
      </c>
      <c r="E546" s="284" t="s">
        <v>2484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2291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2492</v>
      </c>
      <c r="E550" s="284" t="s">
        <v>2497</v>
      </c>
      <c r="F550" s="284" t="s">
        <v>2498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2499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2491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2503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2281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2284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2282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2286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2285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2510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2285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2288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2511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2519</v>
      </c>
      <c r="E570" s="284" t="s">
        <v>2518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2281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2543</v>
      </c>
      <c r="E572" s="284" t="s">
        <v>2544</v>
      </c>
      <c r="F572" s="284" t="s">
        <v>2545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2550</v>
      </c>
      <c r="E573" s="284" t="s">
        <v>2551</v>
      </c>
      <c r="F573" s="284" t="s">
        <v>2552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2550</v>
      </c>
      <c r="E574" s="284" t="s">
        <v>2553</v>
      </c>
      <c r="F574" s="284" t="s">
        <v>2554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2527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2528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2532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2291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2291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2281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2282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2555</v>
      </c>
      <c r="E583" s="284" t="s">
        <v>2556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2537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2539</v>
      </c>
      <c r="F585" s="284" t="s">
        <v>2538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2541</v>
      </c>
      <c r="F586" s="284" t="s">
        <v>2540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2286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2524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2546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2547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2548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2549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2356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2439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2192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2475</v>
      </c>
      <c r="E599" s="284" t="s">
        <v>2574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2284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2282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2882</v>
      </c>
      <c r="E602" s="284" t="s">
        <v>2883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2578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2195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2300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2581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2418</v>
      </c>
      <c r="E608" s="284" t="s">
        <v>2585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2588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2591</v>
      </c>
      <c r="D612" s="278" t="s">
        <v>1254</v>
      </c>
      <c r="E612" s="284" t="s">
        <v>2592</v>
      </c>
      <c r="F612" s="284" t="s">
        <v>2593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2603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2594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2475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2594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2418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2611</v>
      </c>
      <c r="E624" s="284" t="s">
        <v>2274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2611</v>
      </c>
      <c r="E625" s="284" t="s">
        <v>2275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2291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2603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2241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2614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2285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2286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2272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2280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2624</v>
      </c>
      <c r="E637" s="284" t="s">
        <v>2274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2624</v>
      </c>
      <c r="E638" s="284" t="s">
        <v>2275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2843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2628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2398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2624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2614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2219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2641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2855</v>
      </c>
      <c r="E653" s="284" t="s">
        <v>2857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2686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2688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2689</v>
      </c>
      <c r="E665" s="284" t="s">
        <v>2272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2689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2855</v>
      </c>
      <c r="E668" s="284" t="s">
        <v>2856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2699</v>
      </c>
      <c r="F669" s="284" t="s">
        <v>2698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2334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2952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2292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2292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2390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2390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2429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2300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2689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2689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2274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2275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2272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2801</v>
      </c>
      <c r="E688" s="284" t="s">
        <v>2802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2524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2720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2204</v>
      </c>
      <c r="F692" s="284" t="s">
        <v>2715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2722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2746</v>
      </c>
      <c r="E696" s="284" t="s">
        <v>2747</v>
      </c>
      <c r="F696" s="284" t="s">
        <v>2748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2746</v>
      </c>
      <c r="E697" s="284" t="s">
        <v>2749</v>
      </c>
      <c r="F697" s="284" t="s">
        <v>2750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2524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2819</v>
      </c>
      <c r="E702" s="284" t="s">
        <v>2820</v>
      </c>
      <c r="F702" s="284" t="s">
        <v>2821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2819</v>
      </c>
      <c r="E703" s="284" t="s">
        <v>2822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2735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2735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2744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2744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2730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2826</v>
      </c>
      <c r="E716" s="284" t="s">
        <v>2827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2754</v>
      </c>
      <c r="F717" s="284" t="s">
        <v>2753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2735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2756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2756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2763</v>
      </c>
      <c r="E722" s="284" t="s">
        <v>2762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2797</v>
      </c>
      <c r="E723" s="284" t="s">
        <v>2798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2765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2769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2274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2275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2823</v>
      </c>
      <c r="E729" s="284" t="s">
        <v>2820</v>
      </c>
      <c r="F729" s="284" t="s">
        <v>2821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2823</v>
      </c>
      <c r="E730" s="284" t="s">
        <v>2824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2772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2280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2275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2274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2275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2795</v>
      </c>
      <c r="E738" s="284" t="s">
        <v>2796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2784</v>
      </c>
      <c r="E739" s="284" t="s">
        <v>2398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2784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2772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2814</v>
      </c>
      <c r="E745" s="284" t="s">
        <v>2815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2808</v>
      </c>
      <c r="E746" s="284" t="s">
        <v>2809</v>
      </c>
      <c r="F746" s="284" t="s">
        <v>2810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2811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2274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2275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2817</v>
      </c>
      <c r="E752" s="284" t="s">
        <v>2818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2825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2630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2603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2388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2297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2275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2835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2274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2275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2852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2291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2390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2763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2879</v>
      </c>
      <c r="E773" s="284" t="s">
        <v>2880</v>
      </c>
      <c r="F773" s="284" t="s">
        <v>2881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2869</v>
      </c>
      <c r="F774" s="284" t="s">
        <v>2868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2875</v>
      </c>
      <c r="E775" s="284" t="s">
        <v>2876</v>
      </c>
      <c r="F775" s="284" t="s">
        <v>2877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2274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2275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2282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2274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2275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2272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2860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2390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2885</v>
      </c>
      <c r="E789" s="284" t="s">
        <v>2886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2884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2888</v>
      </c>
      <c r="E792" s="284" t="s">
        <v>2887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2893</v>
      </c>
      <c r="E796" s="284" t="s">
        <v>2895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2896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2897</v>
      </c>
      <c r="E799" s="284" t="s">
        <v>2444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2903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2897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2906</v>
      </c>
      <c r="E804" s="284" t="s">
        <v>2398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2908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2908</v>
      </c>
      <c r="E806" s="284" t="s">
        <v>2913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2274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2275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2276</v>
      </c>
      <c r="F811" s="284" t="s">
        <v>2313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2277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2192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2274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2275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2888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2929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2834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2359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2936</v>
      </c>
      <c r="E820" s="284" t="s">
        <v>2937</v>
      </c>
      <c r="F820" s="284" t="s">
        <v>2938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2929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2359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2939</v>
      </c>
      <c r="E824" s="284" t="s">
        <v>2940</v>
      </c>
      <c r="F824" s="284" t="s">
        <v>2941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2939</v>
      </c>
      <c r="E825" s="284" t="s">
        <v>2942</v>
      </c>
      <c r="F825" s="284" t="s">
        <v>2943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2946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2896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2949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2906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  <row r="838" spans="1:12">
      <c r="A838" s="61">
        <v>840</v>
      </c>
      <c r="B838" s="277">
        <v>45843</v>
      </c>
      <c r="C838" s="284" t="s">
        <v>1587</v>
      </c>
      <c r="E838" s="284" t="s">
        <v>1241</v>
      </c>
      <c r="F838" s="284" t="s">
        <v>1822</v>
      </c>
      <c r="G838" s="279">
        <v>1200000</v>
      </c>
      <c r="H838" s="284">
        <v>1</v>
      </c>
      <c r="K838" s="279">
        <v>1200000</v>
      </c>
    </row>
    <row r="839" spans="1:12">
      <c r="A839" s="61">
        <v>841</v>
      </c>
      <c r="B839" s="277">
        <v>45843</v>
      </c>
      <c r="C839" s="284" t="s">
        <v>1587</v>
      </c>
      <c r="E839" s="284" t="s">
        <v>1542</v>
      </c>
      <c r="F839" s="284" t="s">
        <v>2834</v>
      </c>
      <c r="G839" s="279">
        <v>350000</v>
      </c>
      <c r="H839" s="284">
        <v>1</v>
      </c>
      <c r="K839" s="279">
        <v>350000</v>
      </c>
    </row>
    <row r="840" spans="1:12">
      <c r="A840" s="61">
        <v>842</v>
      </c>
      <c r="B840" s="277">
        <v>45845</v>
      </c>
      <c r="C840" s="284" t="s">
        <v>1030</v>
      </c>
      <c r="E840" s="284" t="s">
        <v>1161</v>
      </c>
      <c r="L840" s="279">
        <v>-5582500</v>
      </c>
    </row>
    <row r="841" spans="1:12">
      <c r="A841" s="61">
        <v>843</v>
      </c>
      <c r="B841" s="277">
        <v>45845</v>
      </c>
      <c r="C841" s="284" t="s">
        <v>1490</v>
      </c>
      <c r="E841" s="284" t="s">
        <v>1551</v>
      </c>
      <c r="G841" s="279">
        <v>1200000</v>
      </c>
      <c r="H841" s="284">
        <v>1</v>
      </c>
      <c r="K841" s="279">
        <v>1200000</v>
      </c>
    </row>
    <row r="842" spans="1:12">
      <c r="A842" s="61">
        <v>844</v>
      </c>
      <c r="B842" s="277">
        <v>45845</v>
      </c>
      <c r="C842" s="284" t="s">
        <v>1490</v>
      </c>
      <c r="E842" s="284" t="s">
        <v>1552</v>
      </c>
      <c r="G842" s="279">
        <v>100000</v>
      </c>
      <c r="H842" s="284">
        <v>1</v>
      </c>
      <c r="K842" s="279">
        <v>100000</v>
      </c>
    </row>
    <row r="843" spans="1:12">
      <c r="A843" s="61">
        <v>845</v>
      </c>
      <c r="B843" s="277">
        <v>45845</v>
      </c>
      <c r="C843" s="284" t="s">
        <v>1525</v>
      </c>
      <c r="E843" s="284" t="s">
        <v>2532</v>
      </c>
      <c r="F843" s="284" t="s">
        <v>2914</v>
      </c>
      <c r="G843" s="279">
        <v>1100000</v>
      </c>
      <c r="H843" s="284">
        <v>1</v>
      </c>
      <c r="K843" s="279">
        <v>1100000</v>
      </c>
    </row>
    <row r="844" spans="1:12">
      <c r="A844" s="61">
        <v>846</v>
      </c>
      <c r="B844" s="277">
        <v>45845</v>
      </c>
      <c r="C844" s="284" t="s">
        <v>2963</v>
      </c>
      <c r="E844" s="284" t="s">
        <v>2274</v>
      </c>
      <c r="F844" s="284" t="s">
        <v>1239</v>
      </c>
      <c r="G844" s="279">
        <v>1500000</v>
      </c>
      <c r="H844" s="284">
        <v>1</v>
      </c>
      <c r="K844" s="279">
        <v>1500000</v>
      </c>
    </row>
    <row r="845" spans="1:12">
      <c r="A845" s="61">
        <v>847</v>
      </c>
      <c r="B845" s="277">
        <v>45845</v>
      </c>
      <c r="C845" s="284" t="s">
        <v>2963</v>
      </c>
      <c r="E845" s="284" t="s">
        <v>2275</v>
      </c>
      <c r="F845" s="284" t="s">
        <v>1879</v>
      </c>
      <c r="G845" s="279">
        <v>50000</v>
      </c>
      <c r="H845" s="284">
        <v>1</v>
      </c>
      <c r="K845" s="279">
        <v>50000</v>
      </c>
    </row>
    <row r="846" spans="1:12">
      <c r="A846" s="61">
        <v>848</v>
      </c>
      <c r="B846" s="277">
        <v>45845</v>
      </c>
      <c r="C846" s="284" t="s">
        <v>2730</v>
      </c>
      <c r="E846" s="284" t="s">
        <v>2274</v>
      </c>
      <c r="F846" s="284" t="s">
        <v>1239</v>
      </c>
      <c r="G846" s="279">
        <v>1500000</v>
      </c>
      <c r="H846" s="284">
        <v>1</v>
      </c>
      <c r="K846" s="279">
        <v>1500000</v>
      </c>
    </row>
    <row r="847" spans="1:12">
      <c r="A847" s="61">
        <v>849</v>
      </c>
      <c r="B847" s="277">
        <v>45845</v>
      </c>
      <c r="C847" s="284" t="s">
        <v>2730</v>
      </c>
      <c r="E847" s="284" t="s">
        <v>2275</v>
      </c>
      <c r="F847" s="284" t="s">
        <v>1879</v>
      </c>
      <c r="G847" s="279">
        <v>50000</v>
      </c>
      <c r="H847" s="284">
        <v>1</v>
      </c>
      <c r="K847" s="279">
        <v>50000</v>
      </c>
    </row>
    <row r="848" spans="1:12">
      <c r="A848" s="61">
        <v>850</v>
      </c>
      <c r="B848" s="277">
        <v>45845</v>
      </c>
      <c r="C848" s="284" t="s">
        <v>2957</v>
      </c>
      <c r="E848" s="284" t="s">
        <v>2274</v>
      </c>
      <c r="F848" s="284" t="s">
        <v>1239</v>
      </c>
      <c r="G848" s="279">
        <v>1500000</v>
      </c>
      <c r="H848" s="284">
        <v>1</v>
      </c>
      <c r="K848" s="279">
        <v>1500000</v>
      </c>
    </row>
    <row r="849" spans="1:12">
      <c r="A849" s="61">
        <v>851</v>
      </c>
      <c r="B849" s="277">
        <v>45845</v>
      </c>
      <c r="C849" s="284" t="s">
        <v>2957</v>
      </c>
      <c r="E849" s="284" t="s">
        <v>2275</v>
      </c>
      <c r="F849" s="284" t="s">
        <v>1879</v>
      </c>
      <c r="G849" s="279">
        <v>50000</v>
      </c>
      <c r="H849" s="284">
        <v>1</v>
      </c>
      <c r="K849" s="279">
        <v>50000</v>
      </c>
    </row>
    <row r="850" spans="1:12">
      <c r="A850" s="61">
        <v>852</v>
      </c>
      <c r="B850" s="277">
        <v>45845</v>
      </c>
      <c r="C850" s="284" t="s">
        <v>1183</v>
      </c>
      <c r="E850" s="284" t="s">
        <v>2514</v>
      </c>
      <c r="F850" s="284" t="s">
        <v>2513</v>
      </c>
      <c r="G850" s="279">
        <v>900000</v>
      </c>
      <c r="H850" s="284">
        <v>1</v>
      </c>
      <c r="K850" s="279">
        <v>900000</v>
      </c>
    </row>
    <row r="851" spans="1:12">
      <c r="A851" s="61">
        <v>853</v>
      </c>
      <c r="B851" s="277">
        <v>45845</v>
      </c>
      <c r="C851" s="284" t="s">
        <v>1183</v>
      </c>
      <c r="E851" s="284" t="s">
        <v>2527</v>
      </c>
      <c r="G851" s="279">
        <v>50000</v>
      </c>
      <c r="H851" s="284">
        <v>1</v>
      </c>
      <c r="K851" s="279">
        <v>50000</v>
      </c>
    </row>
    <row r="852" spans="1:12">
      <c r="A852" s="61">
        <v>854</v>
      </c>
      <c r="B852" s="277">
        <v>45845</v>
      </c>
      <c r="C852" s="284" t="s">
        <v>1955</v>
      </c>
      <c r="E852" s="284" t="s">
        <v>2280</v>
      </c>
      <c r="F852" s="284" t="s">
        <v>1238</v>
      </c>
      <c r="G852" s="279">
        <v>900000</v>
      </c>
      <c r="H852" s="284">
        <v>1</v>
      </c>
      <c r="K852" s="279">
        <v>900000</v>
      </c>
    </row>
    <row r="853" spans="1:12">
      <c r="A853" s="61">
        <v>855</v>
      </c>
      <c r="B853" s="277">
        <v>45845</v>
      </c>
      <c r="C853" s="284" t="s">
        <v>1490</v>
      </c>
      <c r="E853" s="284" t="s">
        <v>2281</v>
      </c>
      <c r="F853" s="284" t="s">
        <v>1245</v>
      </c>
      <c r="G853" s="279">
        <v>510000</v>
      </c>
      <c r="H853" s="284">
        <v>1</v>
      </c>
      <c r="K853" s="279">
        <v>510000</v>
      </c>
    </row>
    <row r="854" spans="1:12">
      <c r="A854" s="61">
        <v>856</v>
      </c>
      <c r="B854" s="277">
        <v>45845</v>
      </c>
      <c r="C854" s="284" t="s">
        <v>1490</v>
      </c>
      <c r="E854" s="284" t="s">
        <v>2284</v>
      </c>
      <c r="F854" s="284">
        <v>50229</v>
      </c>
      <c r="G854" s="279">
        <v>70000</v>
      </c>
      <c r="H854" s="284">
        <v>2</v>
      </c>
      <c r="K854" s="279">
        <v>140000</v>
      </c>
    </row>
    <row r="855" spans="1:12">
      <c r="A855" s="61">
        <v>857</v>
      </c>
      <c r="B855" s="277">
        <v>45845</v>
      </c>
      <c r="C855" s="284" t="s">
        <v>1790</v>
      </c>
      <c r="E855" s="284" t="s">
        <v>2973</v>
      </c>
      <c r="F855" s="284">
        <v>1094302044</v>
      </c>
      <c r="G855" s="279">
        <v>200000</v>
      </c>
      <c r="H855" s="284">
        <v>1</v>
      </c>
      <c r="K855" s="279">
        <v>200000</v>
      </c>
    </row>
    <row r="856" spans="1:12">
      <c r="A856" s="61">
        <v>858</v>
      </c>
      <c r="B856" s="277">
        <v>45845</v>
      </c>
      <c r="C856" s="284" t="s">
        <v>2957</v>
      </c>
      <c r="E856" s="284" t="s">
        <v>1161</v>
      </c>
      <c r="L856" s="279">
        <v>-1550000</v>
      </c>
    </row>
    <row r="857" spans="1:12">
      <c r="A857" s="61">
        <v>859</v>
      </c>
      <c r="B857" s="277">
        <v>45845</v>
      </c>
      <c r="C857" s="284" t="s">
        <v>2963</v>
      </c>
      <c r="E857" s="284" t="s">
        <v>1161</v>
      </c>
      <c r="L857" s="279">
        <v>-1550000</v>
      </c>
    </row>
    <row r="858" spans="1:12">
      <c r="A858" s="61">
        <v>860</v>
      </c>
      <c r="B858" s="277">
        <v>45845</v>
      </c>
      <c r="C858" s="284" t="s">
        <v>1955</v>
      </c>
      <c r="E858" s="284" t="s">
        <v>1161</v>
      </c>
      <c r="L858" s="279">
        <v>-900000</v>
      </c>
    </row>
    <row r="859" spans="1:12">
      <c r="A859" s="61">
        <v>861</v>
      </c>
      <c r="B859" s="277">
        <v>45845</v>
      </c>
      <c r="C859" s="284" t="s">
        <v>1790</v>
      </c>
      <c r="E859" s="284" t="s">
        <v>2975</v>
      </c>
      <c r="L859" s="279">
        <v>-1870000</v>
      </c>
    </row>
    <row r="860" spans="1:12">
      <c r="A860" s="61">
        <v>862</v>
      </c>
      <c r="B860" s="277">
        <v>45846</v>
      </c>
      <c r="C860" s="284" t="s">
        <v>1629</v>
      </c>
      <c r="E860" s="284" t="s">
        <v>1161</v>
      </c>
      <c r="L860" s="279">
        <v>-1375000</v>
      </c>
    </row>
    <row r="861" spans="1:12">
      <c r="A861" s="61">
        <v>863</v>
      </c>
      <c r="B861" s="277">
        <v>45846</v>
      </c>
      <c r="C861" s="284" t="s">
        <v>1445</v>
      </c>
      <c r="E861" s="284" t="s">
        <v>1813</v>
      </c>
      <c r="G861" s="279">
        <v>450000</v>
      </c>
      <c r="H861" s="284">
        <v>1</v>
      </c>
      <c r="K861" s="279">
        <v>450000</v>
      </c>
    </row>
    <row r="862" spans="1:12">
      <c r="A862" s="61">
        <v>864</v>
      </c>
      <c r="B862" s="277">
        <v>45846</v>
      </c>
      <c r="C862" s="284" t="s">
        <v>1445</v>
      </c>
      <c r="E862" s="284" t="s">
        <v>2281</v>
      </c>
      <c r="F862" s="284" t="s">
        <v>1245</v>
      </c>
      <c r="G862" s="279">
        <v>490000</v>
      </c>
      <c r="H862" s="284">
        <v>1</v>
      </c>
      <c r="K862" s="279">
        <v>490000</v>
      </c>
    </row>
    <row r="863" spans="1:12">
      <c r="A863" s="61">
        <v>865</v>
      </c>
      <c r="B863" s="277">
        <v>45846</v>
      </c>
      <c r="C863" s="284" t="s">
        <v>1445</v>
      </c>
      <c r="E863" s="284" t="s">
        <v>2282</v>
      </c>
      <c r="F863" s="284" t="s">
        <v>1303</v>
      </c>
      <c r="G863" s="279">
        <v>130000</v>
      </c>
      <c r="H863" s="284">
        <v>1</v>
      </c>
      <c r="K863" s="279">
        <v>130000</v>
      </c>
    </row>
    <row r="864" spans="1:12">
      <c r="A864" s="61">
        <v>866</v>
      </c>
      <c r="B864" s="277">
        <v>45846</v>
      </c>
      <c r="C864" s="284" t="s">
        <v>1445</v>
      </c>
      <c r="E864" s="284" t="s">
        <v>2286</v>
      </c>
      <c r="F864" s="284" t="s">
        <v>1901</v>
      </c>
      <c r="G864" s="279">
        <v>10000</v>
      </c>
      <c r="H864" s="284">
        <v>1</v>
      </c>
      <c r="K864" s="279">
        <v>10000</v>
      </c>
    </row>
    <row r="865" spans="1:11">
      <c r="A865" s="61">
        <v>867</v>
      </c>
      <c r="B865" s="277">
        <v>45846</v>
      </c>
      <c r="C865" s="284" t="s">
        <v>1445</v>
      </c>
      <c r="E865" s="284" t="s">
        <v>2285</v>
      </c>
      <c r="F865" s="284" t="s">
        <v>1871</v>
      </c>
      <c r="G865" s="279">
        <v>30000</v>
      </c>
      <c r="H865" s="284">
        <v>1</v>
      </c>
      <c r="K865" s="279">
        <v>30000</v>
      </c>
    </row>
    <row r="866" spans="1:11">
      <c r="A866" s="61">
        <v>868</v>
      </c>
      <c r="B866" s="277">
        <v>45846</v>
      </c>
      <c r="C866" s="284" t="s">
        <v>2963</v>
      </c>
      <c r="E866" s="284" t="s">
        <v>2979</v>
      </c>
      <c r="F866" s="284" t="s">
        <v>2978</v>
      </c>
      <c r="G866" s="279">
        <v>400000</v>
      </c>
      <c r="H866" s="284">
        <v>1</v>
      </c>
      <c r="K866" s="279">
        <v>400000</v>
      </c>
    </row>
    <row r="867" spans="1:11">
      <c r="A867" s="61">
        <v>869</v>
      </c>
      <c r="B867" s="277">
        <v>45846</v>
      </c>
      <c r="C867" s="284" t="s">
        <v>2963</v>
      </c>
      <c r="E867" s="284" t="s">
        <v>2277</v>
      </c>
      <c r="F867" s="284" t="s">
        <v>1788</v>
      </c>
      <c r="G867" s="279">
        <v>70000</v>
      </c>
      <c r="H867" s="284">
        <v>1</v>
      </c>
      <c r="K867" s="279">
        <v>70000</v>
      </c>
    </row>
    <row r="868" spans="1:11">
      <c r="A868" s="61">
        <v>870</v>
      </c>
      <c r="B868" s="277">
        <v>45846</v>
      </c>
      <c r="C868" s="284" t="s">
        <v>1587</v>
      </c>
      <c r="E868" s="284" t="s">
        <v>1241</v>
      </c>
      <c r="F868" s="284" t="s">
        <v>1822</v>
      </c>
      <c r="G868" s="279">
        <v>1200000</v>
      </c>
      <c r="H868" s="284">
        <v>1</v>
      </c>
      <c r="K868" s="279">
        <v>1200000</v>
      </c>
    </row>
    <row r="869" spans="1:11">
      <c r="A869" s="61">
        <v>871</v>
      </c>
      <c r="B869" s="277">
        <v>45846</v>
      </c>
      <c r="C869" s="284" t="s">
        <v>1587</v>
      </c>
      <c r="E869" s="284" t="s">
        <v>1542</v>
      </c>
      <c r="F869" s="284" t="s">
        <v>2834</v>
      </c>
      <c r="G869" s="279">
        <v>350000</v>
      </c>
      <c r="H869" s="284">
        <v>1</v>
      </c>
      <c r="K869" s="279">
        <v>350000</v>
      </c>
    </row>
    <row r="870" spans="1:11">
      <c r="A870" s="61">
        <v>872</v>
      </c>
      <c r="B870" s="277">
        <v>45846</v>
      </c>
      <c r="C870" s="284" t="s">
        <v>1885</v>
      </c>
      <c r="E870" s="284" t="s">
        <v>1837</v>
      </c>
      <c r="F870" s="284" t="s">
        <v>1839</v>
      </c>
      <c r="G870" s="279">
        <v>65000</v>
      </c>
      <c r="H870" s="284">
        <v>1</v>
      </c>
      <c r="K870" s="279">
        <v>65000</v>
      </c>
    </row>
    <row r="871" spans="1:11">
      <c r="A871" s="61">
        <v>873</v>
      </c>
      <c r="B871" s="277">
        <v>45846</v>
      </c>
      <c r="C871" s="284" t="s">
        <v>1885</v>
      </c>
      <c r="E871" s="284" t="s">
        <v>1837</v>
      </c>
      <c r="F871" s="284" t="s">
        <v>1836</v>
      </c>
      <c r="G871" s="279">
        <v>25000</v>
      </c>
      <c r="H871" s="284">
        <v>1</v>
      </c>
      <c r="K871" s="279">
        <v>25000</v>
      </c>
    </row>
    <row r="872" spans="1:11">
      <c r="A872" s="61">
        <v>874</v>
      </c>
      <c r="B872" s="277">
        <v>45846</v>
      </c>
      <c r="C872" s="284" t="s">
        <v>2983</v>
      </c>
      <c r="E872" s="284" t="s">
        <v>1805</v>
      </c>
      <c r="F872" s="284">
        <v>2850701</v>
      </c>
      <c r="G872" s="279">
        <v>450000</v>
      </c>
      <c r="H872" s="284">
        <v>1</v>
      </c>
      <c r="K872" s="279">
        <v>450000</v>
      </c>
    </row>
    <row r="873" spans="1:11">
      <c r="A873" s="61">
        <v>875</v>
      </c>
      <c r="B873" s="277">
        <v>45846</v>
      </c>
      <c r="C873" s="284" t="s">
        <v>1027</v>
      </c>
      <c r="E873" s="284" t="s">
        <v>2988</v>
      </c>
      <c r="F873" s="284">
        <v>28120504</v>
      </c>
      <c r="G873" s="279">
        <v>1000000</v>
      </c>
      <c r="H873" s="284">
        <v>1</v>
      </c>
      <c r="J873" s="280">
        <v>100000</v>
      </c>
      <c r="K873" s="279">
        <v>1100000</v>
      </c>
    </row>
    <row r="874" spans="1:11">
      <c r="A874" s="61">
        <v>876</v>
      </c>
      <c r="B874" s="277">
        <v>45846</v>
      </c>
      <c r="C874" s="284" t="s">
        <v>1635</v>
      </c>
      <c r="E874" s="284" t="s">
        <v>1241</v>
      </c>
      <c r="F874" s="284" t="s">
        <v>1822</v>
      </c>
      <c r="G874" s="279">
        <v>1200000</v>
      </c>
      <c r="H874" s="284">
        <v>1</v>
      </c>
      <c r="J874" s="280">
        <v>120000</v>
      </c>
      <c r="K874" s="279">
        <v>1320000</v>
      </c>
    </row>
    <row r="875" spans="1:11">
      <c r="A875" s="61">
        <v>877</v>
      </c>
      <c r="B875" s="277">
        <v>45846</v>
      </c>
      <c r="C875" s="284" t="s">
        <v>1626</v>
      </c>
      <c r="E875" s="284" t="s">
        <v>2280</v>
      </c>
      <c r="F875" s="284" t="s">
        <v>1238</v>
      </c>
      <c r="G875" s="279">
        <v>1400000</v>
      </c>
      <c r="H875" s="284">
        <v>1</v>
      </c>
      <c r="J875" s="280">
        <v>140000</v>
      </c>
      <c r="K875" s="279">
        <v>1540000</v>
      </c>
    </row>
    <row r="876" spans="1:11">
      <c r="A876" s="61">
        <v>878</v>
      </c>
      <c r="B876" s="277">
        <v>45846</v>
      </c>
      <c r="C876" s="284" t="s">
        <v>1626</v>
      </c>
      <c r="E876" s="284" t="s">
        <v>2284</v>
      </c>
      <c r="F876" s="284">
        <v>50229</v>
      </c>
      <c r="G876" s="279">
        <v>70000</v>
      </c>
      <c r="H876" s="284">
        <v>1</v>
      </c>
      <c r="J876" s="280">
        <v>7000</v>
      </c>
      <c r="K876" s="279">
        <v>77000</v>
      </c>
    </row>
    <row r="877" spans="1:11">
      <c r="A877" s="61">
        <v>879</v>
      </c>
      <c r="B877" s="277">
        <v>45846</v>
      </c>
      <c r="C877" s="284" t="s">
        <v>1626</v>
      </c>
      <c r="E877" s="284" t="s">
        <v>2285</v>
      </c>
      <c r="F877" s="284" t="s">
        <v>1871</v>
      </c>
      <c r="G877" s="279">
        <v>32000</v>
      </c>
      <c r="H877" s="284">
        <v>1</v>
      </c>
      <c r="J877" s="280">
        <v>3200</v>
      </c>
      <c r="K877" s="279">
        <v>35200</v>
      </c>
    </row>
    <row r="878" spans="1:11">
      <c r="A878" s="61">
        <v>880</v>
      </c>
      <c r="B878" s="277">
        <v>45846</v>
      </c>
      <c r="C878" s="284" t="s">
        <v>1626</v>
      </c>
      <c r="E878" s="284" t="s">
        <v>1565</v>
      </c>
      <c r="G878" s="279">
        <v>20000</v>
      </c>
      <c r="H878" s="284">
        <v>1</v>
      </c>
      <c r="J878" s="280">
        <v>2000</v>
      </c>
      <c r="K878" s="279">
        <v>22000</v>
      </c>
    </row>
    <row r="879" spans="1:11">
      <c r="A879" s="61">
        <v>881</v>
      </c>
      <c r="B879" s="277">
        <v>45846</v>
      </c>
      <c r="C879" s="284" t="s">
        <v>1626</v>
      </c>
      <c r="E879" s="284" t="s">
        <v>2281</v>
      </c>
      <c r="F879" s="284" t="s">
        <v>1245</v>
      </c>
      <c r="G879" s="279">
        <v>517273</v>
      </c>
      <c r="H879" s="284">
        <v>1</v>
      </c>
      <c r="J879" s="280">
        <v>51727</v>
      </c>
      <c r="K879" s="279">
        <v>569000</v>
      </c>
    </row>
    <row r="880" spans="1:11">
      <c r="A880" s="61">
        <v>882</v>
      </c>
      <c r="B880" s="277">
        <v>45846</v>
      </c>
      <c r="C880" s="284" t="s">
        <v>1183</v>
      </c>
      <c r="E880" s="284" t="s">
        <v>1241</v>
      </c>
      <c r="F880" s="284" t="s">
        <v>1822</v>
      </c>
      <c r="G880" s="279">
        <v>1200000</v>
      </c>
      <c r="H880" s="284">
        <v>1</v>
      </c>
      <c r="K880" s="279">
        <v>1200000</v>
      </c>
    </row>
    <row r="881" spans="1:12">
      <c r="A881" s="61">
        <v>883</v>
      </c>
      <c r="B881" s="277">
        <v>45846</v>
      </c>
      <c r="C881" s="284" t="s">
        <v>2730</v>
      </c>
      <c r="E881" s="284" t="s">
        <v>1161</v>
      </c>
      <c r="L881" s="279">
        <v>-1550000</v>
      </c>
    </row>
    <row r="882" spans="1:12">
      <c r="A882" s="61">
        <v>884</v>
      </c>
      <c r="B882" s="277">
        <v>45846</v>
      </c>
      <c r="C882" s="284" t="s">
        <v>2963</v>
      </c>
      <c r="E882" s="284" t="s">
        <v>1161</v>
      </c>
      <c r="L882" s="279">
        <v>-470000</v>
      </c>
    </row>
    <row r="883" spans="1:12">
      <c r="A883" s="61">
        <v>885</v>
      </c>
      <c r="B883" s="277">
        <v>45847</v>
      </c>
      <c r="C883" s="284" t="s">
        <v>1445</v>
      </c>
      <c r="E883" s="284" t="s">
        <v>1813</v>
      </c>
      <c r="G883" s="279">
        <v>650000</v>
      </c>
      <c r="H883" s="284">
        <v>1</v>
      </c>
      <c r="K883" s="279">
        <v>650000</v>
      </c>
    </row>
    <row r="884" spans="1:12">
      <c r="A884" s="61">
        <v>886</v>
      </c>
      <c r="B884" s="277">
        <v>45847</v>
      </c>
      <c r="C884" s="284" t="s">
        <v>2524</v>
      </c>
      <c r="E884" s="284" t="s">
        <v>2113</v>
      </c>
      <c r="F884" s="284" t="s">
        <v>1258</v>
      </c>
      <c r="G884" s="279">
        <v>1500000</v>
      </c>
      <c r="H884" s="284">
        <v>1</v>
      </c>
      <c r="J884" s="280">
        <v>150000</v>
      </c>
      <c r="K884" s="279">
        <v>1650000</v>
      </c>
    </row>
    <row r="885" spans="1:12">
      <c r="A885" s="61">
        <v>887</v>
      </c>
      <c r="B885" s="277">
        <v>45847</v>
      </c>
      <c r="C885" s="284" t="s">
        <v>2356</v>
      </c>
      <c r="E885" s="284" t="s">
        <v>2277</v>
      </c>
      <c r="F885" s="284" t="s">
        <v>1788</v>
      </c>
      <c r="G885" s="279">
        <v>70000</v>
      </c>
      <c r="H885" s="284">
        <v>1</v>
      </c>
      <c r="K885" s="279">
        <v>70000</v>
      </c>
    </row>
    <row r="886" spans="1:12">
      <c r="A886" s="61">
        <v>888</v>
      </c>
      <c r="B886" s="277">
        <v>45847</v>
      </c>
      <c r="C886" s="284" t="s">
        <v>1490</v>
      </c>
      <c r="E886" s="284" t="s">
        <v>2274</v>
      </c>
      <c r="F886" s="284" t="s">
        <v>1239</v>
      </c>
      <c r="G886" s="279">
        <v>1500000</v>
      </c>
      <c r="H886" s="284">
        <v>1</v>
      </c>
      <c r="K886" s="279">
        <v>1500000</v>
      </c>
    </row>
    <row r="887" spans="1:12">
      <c r="A887" s="61">
        <v>889</v>
      </c>
      <c r="B887" s="277">
        <v>45847</v>
      </c>
      <c r="C887" s="284" t="s">
        <v>1490</v>
      </c>
      <c r="E887" s="284" t="s">
        <v>2275</v>
      </c>
      <c r="F887" s="284" t="s">
        <v>1879</v>
      </c>
      <c r="G887" s="279">
        <v>50000</v>
      </c>
      <c r="H887" s="284">
        <v>1</v>
      </c>
      <c r="K887" s="279">
        <v>50000</v>
      </c>
    </row>
    <row r="888" spans="1:12">
      <c r="A888" s="61">
        <v>890</v>
      </c>
      <c r="B888" s="277">
        <v>45847</v>
      </c>
      <c r="C888" s="284" t="s">
        <v>1790</v>
      </c>
      <c r="E888" s="284" t="s">
        <v>2429</v>
      </c>
      <c r="F888" s="284">
        <v>28120411</v>
      </c>
      <c r="G888" s="279">
        <v>1200000</v>
      </c>
      <c r="H888" s="284">
        <v>1</v>
      </c>
      <c r="K888" s="279">
        <v>1200000</v>
      </c>
    </row>
    <row r="889" spans="1:12">
      <c r="A889" s="61">
        <v>891</v>
      </c>
      <c r="B889" s="277">
        <v>45847</v>
      </c>
      <c r="C889" s="284" t="s">
        <v>1817</v>
      </c>
      <c r="E889" s="284" t="s">
        <v>2398</v>
      </c>
      <c r="G889" s="279">
        <v>650000</v>
      </c>
      <c r="H889" s="284">
        <v>2</v>
      </c>
      <c r="J889" s="280">
        <v>130000</v>
      </c>
      <c r="K889" s="279">
        <v>1430000</v>
      </c>
    </row>
    <row r="890" spans="1:12">
      <c r="A890" s="61">
        <v>892</v>
      </c>
      <c r="B890" s="277">
        <v>45847</v>
      </c>
      <c r="C890" s="284" t="s">
        <v>1817</v>
      </c>
      <c r="E890" s="284" t="s">
        <v>1565</v>
      </c>
      <c r="G890" s="279">
        <v>20000</v>
      </c>
      <c r="H890" s="284">
        <v>1</v>
      </c>
      <c r="J890" s="280">
        <v>2000</v>
      </c>
      <c r="K890" s="279">
        <v>22000</v>
      </c>
    </row>
    <row r="891" spans="1:12">
      <c r="A891" s="61">
        <v>893</v>
      </c>
      <c r="B891" s="277">
        <v>45847</v>
      </c>
      <c r="C891" s="284" t="s">
        <v>2356</v>
      </c>
      <c r="E891" s="284" t="s">
        <v>1161</v>
      </c>
      <c r="L891" s="279">
        <v>-70000</v>
      </c>
    </row>
    <row r="892" spans="1:12">
      <c r="A892" s="61">
        <v>893</v>
      </c>
      <c r="B892" s="277">
        <v>45847</v>
      </c>
      <c r="C892" s="284" t="s">
        <v>2983</v>
      </c>
      <c r="E892" s="284" t="s">
        <v>1161</v>
      </c>
      <c r="L892" s="279">
        <v>-450000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45847</v>
      </c>
      <c r="B3" s="247" t="s">
        <v>1162</v>
      </c>
      <c r="C3" s="248">
        <f>SUMIF($B:$B,A3,I:I)</f>
        <v>6572000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47792200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47792200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2888</v>
      </c>
      <c r="D11" s="124" t="s">
        <v>2887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2894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2896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2897</v>
      </c>
      <c r="D18" s="124" t="s">
        <v>2444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2922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2897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2906</v>
      </c>
      <c r="D23" s="124" t="s">
        <v>2398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2908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2908</v>
      </c>
      <c r="D25" s="124" t="s">
        <v>2913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2274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2275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2276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2277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2192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2274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2275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2888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2929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2359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2929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2359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2946</v>
      </c>
      <c r="D43" s="124" t="s">
        <v>2274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2946</v>
      </c>
      <c r="D44" s="124" t="s">
        <v>2275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2946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2896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2949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2906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835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836</v>
      </c>
      <c r="B56" s="102">
        <v>45842</v>
      </c>
      <c r="C56" s="91" t="s">
        <v>1790</v>
      </c>
      <c r="D56" s="125" t="s">
        <v>1161</v>
      </c>
      <c r="J56" s="88">
        <v>-10000000</v>
      </c>
    </row>
    <row r="57" spans="1:14" ht="18" customHeight="1">
      <c r="A57" s="90">
        <v>840</v>
      </c>
      <c r="B57" s="102">
        <v>45843</v>
      </c>
      <c r="C57" s="91" t="s">
        <v>1587</v>
      </c>
      <c r="D57" s="125" t="s">
        <v>1241</v>
      </c>
      <c r="F57" s="132">
        <v>1200000</v>
      </c>
      <c r="G57" s="93">
        <v>1</v>
      </c>
      <c r="I57" s="88">
        <v>1200000</v>
      </c>
    </row>
    <row r="58" spans="1:14" ht="18" customHeight="1">
      <c r="A58" s="90">
        <v>841</v>
      </c>
      <c r="B58" s="102">
        <v>45843</v>
      </c>
      <c r="C58" s="91" t="s">
        <v>1587</v>
      </c>
      <c r="D58" s="125" t="s">
        <v>1542</v>
      </c>
      <c r="F58" s="132">
        <v>350000</v>
      </c>
      <c r="G58" s="93">
        <v>1</v>
      </c>
      <c r="I58" s="88">
        <v>350000</v>
      </c>
    </row>
    <row r="59" spans="1:14" ht="18" customHeight="1">
      <c r="A59" s="90">
        <v>842</v>
      </c>
      <c r="B59" s="102">
        <v>45845</v>
      </c>
      <c r="C59" s="91" t="s">
        <v>1030</v>
      </c>
      <c r="D59" s="125" t="s">
        <v>1161</v>
      </c>
      <c r="J59" s="88">
        <v>-5582500</v>
      </c>
    </row>
    <row r="60" spans="1:14" ht="18" customHeight="1">
      <c r="A60" s="90">
        <v>843</v>
      </c>
      <c r="B60" s="102">
        <v>45845</v>
      </c>
      <c r="C60" s="91" t="s">
        <v>1490</v>
      </c>
      <c r="D60" s="125" t="s">
        <v>1551</v>
      </c>
      <c r="F60" s="132">
        <v>1200000</v>
      </c>
      <c r="G60" s="93">
        <v>1</v>
      </c>
      <c r="I60" s="88">
        <v>1200000</v>
      </c>
    </row>
    <row r="61" spans="1:14" ht="18" customHeight="1">
      <c r="A61" s="90">
        <v>844</v>
      </c>
      <c r="B61" s="102">
        <v>45845</v>
      </c>
      <c r="C61" s="91" t="s">
        <v>1490</v>
      </c>
      <c r="D61" s="125" t="s">
        <v>1552</v>
      </c>
      <c r="F61" s="132">
        <v>100000</v>
      </c>
      <c r="G61" s="93">
        <v>1</v>
      </c>
      <c r="I61" s="88">
        <v>100000</v>
      </c>
    </row>
    <row r="62" spans="1:14" ht="18" customHeight="1">
      <c r="A62" s="90">
        <v>845</v>
      </c>
      <c r="B62" s="102">
        <v>45845</v>
      </c>
      <c r="C62" s="91" t="s">
        <v>1525</v>
      </c>
      <c r="D62" s="125" t="s">
        <v>2532</v>
      </c>
      <c r="F62" s="132">
        <v>1100000</v>
      </c>
      <c r="G62" s="93">
        <v>1</v>
      </c>
      <c r="I62" s="88">
        <v>1100000</v>
      </c>
    </row>
    <row r="63" spans="1:14" ht="18" customHeight="1">
      <c r="A63" s="90">
        <v>846</v>
      </c>
      <c r="B63" s="102">
        <v>45845</v>
      </c>
      <c r="C63" s="91" t="s">
        <v>2963</v>
      </c>
      <c r="D63" s="125" t="s">
        <v>2274</v>
      </c>
      <c r="F63" s="132">
        <v>1500000</v>
      </c>
      <c r="G63" s="93">
        <v>1</v>
      </c>
      <c r="I63" s="88">
        <v>1500000</v>
      </c>
    </row>
    <row r="64" spans="1:14" ht="18" customHeight="1">
      <c r="A64" s="90">
        <v>847</v>
      </c>
      <c r="B64" s="102">
        <v>45845</v>
      </c>
      <c r="C64" s="91" t="s">
        <v>2963</v>
      </c>
      <c r="D64" s="125" t="s">
        <v>2275</v>
      </c>
      <c r="F64" s="132">
        <v>50000</v>
      </c>
      <c r="G64" s="93">
        <v>1</v>
      </c>
      <c r="I64" s="88">
        <v>50000</v>
      </c>
    </row>
    <row r="65" spans="1:10" ht="18" customHeight="1">
      <c r="A65" s="90">
        <v>848</v>
      </c>
      <c r="B65" s="102">
        <v>45845</v>
      </c>
      <c r="C65" s="91" t="s">
        <v>2730</v>
      </c>
      <c r="D65" s="125" t="s">
        <v>2274</v>
      </c>
      <c r="F65" s="132">
        <v>1500000</v>
      </c>
      <c r="G65" s="93">
        <v>1</v>
      </c>
      <c r="I65" s="88">
        <v>1500000</v>
      </c>
    </row>
    <row r="66" spans="1:10" ht="18" customHeight="1">
      <c r="A66" s="90">
        <v>849</v>
      </c>
      <c r="B66" s="102">
        <v>45845</v>
      </c>
      <c r="C66" s="91" t="s">
        <v>2730</v>
      </c>
      <c r="D66" s="125" t="s">
        <v>2275</v>
      </c>
      <c r="F66" s="132">
        <v>50000</v>
      </c>
      <c r="G66" s="93">
        <v>1</v>
      </c>
      <c r="I66" s="88">
        <v>50000</v>
      </c>
    </row>
    <row r="67" spans="1:10" ht="18" customHeight="1">
      <c r="A67" s="90">
        <v>850</v>
      </c>
      <c r="B67" s="102">
        <v>45845</v>
      </c>
      <c r="C67" s="91" t="s">
        <v>2957</v>
      </c>
      <c r="D67" s="125" t="s">
        <v>2274</v>
      </c>
      <c r="F67" s="132">
        <v>1500000</v>
      </c>
      <c r="G67" s="93">
        <v>1</v>
      </c>
      <c r="I67" s="88">
        <v>1500000</v>
      </c>
    </row>
    <row r="68" spans="1:10" ht="18" customHeight="1">
      <c r="A68" s="90">
        <v>851</v>
      </c>
      <c r="B68" s="102">
        <v>45845</v>
      </c>
      <c r="C68" s="91" t="s">
        <v>2957</v>
      </c>
      <c r="D68" s="125" t="s">
        <v>2275</v>
      </c>
      <c r="F68" s="132">
        <v>50000</v>
      </c>
      <c r="G68" s="93">
        <v>1</v>
      </c>
      <c r="I68" s="88">
        <v>50000</v>
      </c>
    </row>
    <row r="69" spans="1:10" ht="18" customHeight="1">
      <c r="A69" s="90">
        <v>852</v>
      </c>
      <c r="B69" s="102">
        <v>45845</v>
      </c>
      <c r="C69" s="91" t="s">
        <v>1183</v>
      </c>
      <c r="D69" s="125" t="s">
        <v>2514</v>
      </c>
      <c r="F69" s="132">
        <v>900000</v>
      </c>
      <c r="G69" s="93">
        <v>1</v>
      </c>
      <c r="I69" s="88">
        <v>900000</v>
      </c>
    </row>
    <row r="70" spans="1:10" ht="18" customHeight="1">
      <c r="A70" s="90">
        <v>853</v>
      </c>
      <c r="B70" s="102">
        <v>45845</v>
      </c>
      <c r="C70" s="91" t="s">
        <v>1183</v>
      </c>
      <c r="D70" s="125" t="s">
        <v>2527</v>
      </c>
      <c r="F70" s="132">
        <v>50000</v>
      </c>
      <c r="G70" s="93">
        <v>1</v>
      </c>
      <c r="I70" s="88">
        <v>50000</v>
      </c>
    </row>
    <row r="71" spans="1:10" ht="18" customHeight="1">
      <c r="A71" s="90">
        <v>854</v>
      </c>
      <c r="B71" s="102">
        <v>45845</v>
      </c>
      <c r="C71" s="91" t="s">
        <v>1955</v>
      </c>
      <c r="D71" s="125" t="s">
        <v>2280</v>
      </c>
      <c r="F71" s="132">
        <v>900000</v>
      </c>
      <c r="G71" s="93">
        <v>1</v>
      </c>
      <c r="I71" s="88">
        <v>900000</v>
      </c>
    </row>
    <row r="72" spans="1:10" ht="18" customHeight="1">
      <c r="A72" s="90">
        <v>855</v>
      </c>
      <c r="B72" s="102">
        <v>45845</v>
      </c>
      <c r="C72" s="91" t="s">
        <v>1490</v>
      </c>
      <c r="D72" s="125" t="s">
        <v>2281</v>
      </c>
      <c r="F72" s="132">
        <v>510000</v>
      </c>
      <c r="G72" s="93">
        <v>1</v>
      </c>
      <c r="I72" s="88">
        <v>510000</v>
      </c>
    </row>
    <row r="73" spans="1:10" ht="18" customHeight="1">
      <c r="A73" s="90">
        <v>856</v>
      </c>
      <c r="B73" s="102">
        <v>45845</v>
      </c>
      <c r="C73" s="91" t="s">
        <v>1490</v>
      </c>
      <c r="D73" s="125" t="s">
        <v>2284</v>
      </c>
      <c r="F73" s="132">
        <v>70000</v>
      </c>
      <c r="G73" s="93">
        <v>2</v>
      </c>
      <c r="I73" s="88">
        <v>140000</v>
      </c>
    </row>
    <row r="74" spans="1:10" ht="18" customHeight="1">
      <c r="A74" s="90">
        <v>857</v>
      </c>
      <c r="B74" s="102">
        <v>45845</v>
      </c>
      <c r="C74" s="91" t="s">
        <v>1790</v>
      </c>
      <c r="D74" s="125" t="s">
        <v>2973</v>
      </c>
      <c r="F74" s="132">
        <v>200000</v>
      </c>
      <c r="G74" s="93">
        <v>1</v>
      </c>
      <c r="I74" s="88">
        <v>200000</v>
      </c>
    </row>
    <row r="75" spans="1:10" ht="18" customHeight="1">
      <c r="A75" s="90">
        <v>858</v>
      </c>
      <c r="B75" s="102">
        <v>45845</v>
      </c>
      <c r="C75" s="91" t="s">
        <v>2957</v>
      </c>
      <c r="D75" s="125" t="s">
        <v>1161</v>
      </c>
      <c r="J75" s="88">
        <v>-1550000</v>
      </c>
    </row>
    <row r="76" spans="1:10" ht="18" customHeight="1">
      <c r="A76" s="90">
        <v>859</v>
      </c>
      <c r="B76" s="102">
        <v>45845</v>
      </c>
      <c r="C76" s="91" t="s">
        <v>2963</v>
      </c>
      <c r="D76" s="125" t="s">
        <v>1161</v>
      </c>
      <c r="J76" s="88">
        <v>-1550000</v>
      </c>
    </row>
    <row r="77" spans="1:10" ht="18" customHeight="1">
      <c r="A77" s="90">
        <v>860</v>
      </c>
      <c r="B77" s="102">
        <v>45845</v>
      </c>
      <c r="C77" s="91" t="s">
        <v>1955</v>
      </c>
      <c r="D77" s="125" t="s">
        <v>1161</v>
      </c>
      <c r="J77" s="88">
        <v>-900000</v>
      </c>
    </row>
    <row r="78" spans="1:10" ht="18" customHeight="1">
      <c r="A78" s="90">
        <v>861</v>
      </c>
      <c r="B78" s="102">
        <v>45845</v>
      </c>
      <c r="C78" s="91" t="s">
        <v>1790</v>
      </c>
      <c r="D78" s="125" t="s">
        <v>2975</v>
      </c>
      <c r="J78" s="88">
        <v>-1870000</v>
      </c>
    </row>
    <row r="79" spans="1:10" ht="18" customHeight="1">
      <c r="A79" s="90">
        <v>862</v>
      </c>
      <c r="B79" s="102">
        <v>45846</v>
      </c>
      <c r="C79" s="91" t="s">
        <v>1629</v>
      </c>
      <c r="D79" s="125" t="s">
        <v>1161</v>
      </c>
      <c r="J79" s="88">
        <v>-1375000</v>
      </c>
    </row>
    <row r="80" spans="1:10" ht="18" customHeight="1">
      <c r="A80" s="90">
        <v>863</v>
      </c>
      <c r="B80" s="102">
        <v>45846</v>
      </c>
      <c r="C80" s="91" t="s">
        <v>1445</v>
      </c>
      <c r="D80" s="125" t="s">
        <v>1813</v>
      </c>
      <c r="F80" s="132">
        <v>450000</v>
      </c>
      <c r="G80" s="93">
        <v>1</v>
      </c>
      <c r="I80" s="88">
        <v>450000</v>
      </c>
    </row>
    <row r="81" spans="1:12" ht="18" customHeight="1">
      <c r="A81" s="90">
        <v>864</v>
      </c>
      <c r="B81" s="102">
        <v>45846</v>
      </c>
      <c r="C81" s="91" t="s">
        <v>1445</v>
      </c>
      <c r="D81" s="125" t="s">
        <v>2281</v>
      </c>
      <c r="F81" s="132">
        <v>490000</v>
      </c>
      <c r="G81" s="93">
        <v>1</v>
      </c>
      <c r="I81" s="88">
        <v>490000</v>
      </c>
    </row>
    <row r="82" spans="1:12" ht="18" customHeight="1">
      <c r="A82" s="90">
        <v>865</v>
      </c>
      <c r="B82" s="102">
        <v>45846</v>
      </c>
      <c r="C82" s="91" t="s">
        <v>1445</v>
      </c>
      <c r="D82" s="125" t="s">
        <v>2282</v>
      </c>
      <c r="F82" s="132">
        <v>130000</v>
      </c>
      <c r="G82" s="93">
        <v>1</v>
      </c>
      <c r="I82" s="88">
        <v>130000</v>
      </c>
    </row>
    <row r="83" spans="1:12" ht="18" customHeight="1">
      <c r="A83" s="90">
        <v>866</v>
      </c>
      <c r="B83" s="102">
        <v>45846</v>
      </c>
      <c r="C83" s="91" t="s">
        <v>1445</v>
      </c>
      <c r="D83" s="125" t="s">
        <v>2286</v>
      </c>
      <c r="F83" s="132">
        <v>10000</v>
      </c>
      <c r="G83" s="93">
        <v>1</v>
      </c>
      <c r="I83" s="88">
        <v>10000</v>
      </c>
    </row>
    <row r="84" spans="1:12" ht="18" customHeight="1">
      <c r="A84" s="90">
        <v>867</v>
      </c>
      <c r="B84" s="102">
        <v>45846</v>
      </c>
      <c r="C84" s="91" t="s">
        <v>1445</v>
      </c>
      <c r="D84" s="125" t="s">
        <v>2285</v>
      </c>
      <c r="F84" s="132">
        <v>30000</v>
      </c>
      <c r="G84" s="93">
        <v>1</v>
      </c>
      <c r="I84" s="88">
        <v>30000</v>
      </c>
    </row>
    <row r="85" spans="1:12" ht="18" customHeight="1">
      <c r="A85" s="90">
        <v>868</v>
      </c>
      <c r="B85" s="102">
        <v>45846</v>
      </c>
      <c r="C85" s="91" t="s">
        <v>2963</v>
      </c>
      <c r="D85" s="125" t="s">
        <v>2979</v>
      </c>
      <c r="F85" s="132">
        <v>400000</v>
      </c>
      <c r="G85" s="93">
        <v>1</v>
      </c>
      <c r="I85" s="88">
        <v>400000</v>
      </c>
    </row>
    <row r="86" spans="1:12" ht="18" customHeight="1">
      <c r="A86" s="90">
        <v>869</v>
      </c>
      <c r="B86" s="102">
        <v>45846</v>
      </c>
      <c r="C86" s="91" t="s">
        <v>2963</v>
      </c>
      <c r="D86" s="125" t="s">
        <v>2277</v>
      </c>
      <c r="F86" s="88">
        <v>70000</v>
      </c>
      <c r="G86" s="93">
        <v>1</v>
      </c>
      <c r="I86" s="88">
        <v>70000</v>
      </c>
    </row>
    <row r="87" spans="1:12" ht="18" customHeight="1">
      <c r="A87" s="90">
        <v>870</v>
      </c>
      <c r="B87" s="102">
        <v>45846</v>
      </c>
      <c r="C87" s="91" t="s">
        <v>1587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871</v>
      </c>
      <c r="B88" s="102">
        <v>45846</v>
      </c>
      <c r="C88" s="91" t="s">
        <v>1587</v>
      </c>
      <c r="D88" s="125" t="s">
        <v>1542</v>
      </c>
      <c r="F88" s="88">
        <v>350000</v>
      </c>
      <c r="G88" s="93">
        <v>1</v>
      </c>
      <c r="I88" s="88">
        <v>350000</v>
      </c>
    </row>
    <row r="89" spans="1:12" ht="18" customHeight="1">
      <c r="A89" s="90">
        <v>872</v>
      </c>
      <c r="B89" s="102">
        <v>45846</v>
      </c>
      <c r="C89" s="91" t="s">
        <v>1885</v>
      </c>
      <c r="D89" s="125" t="s">
        <v>1837</v>
      </c>
      <c r="F89" s="132">
        <v>65000</v>
      </c>
      <c r="G89" s="93">
        <v>1</v>
      </c>
      <c r="I89" s="88">
        <v>65000</v>
      </c>
    </row>
    <row r="90" spans="1:12" ht="18" customHeight="1">
      <c r="A90" s="90">
        <v>873</v>
      </c>
      <c r="B90" s="102">
        <v>45846</v>
      </c>
      <c r="C90" s="91" t="s">
        <v>1885</v>
      </c>
      <c r="D90" s="125" t="s">
        <v>1837</v>
      </c>
      <c r="F90" s="88">
        <v>25000</v>
      </c>
      <c r="G90" s="93">
        <v>1</v>
      </c>
      <c r="I90" s="88">
        <v>25000</v>
      </c>
    </row>
    <row r="91" spans="1:12" ht="18" customHeight="1">
      <c r="A91" s="90">
        <v>874</v>
      </c>
      <c r="B91" s="102">
        <v>45846</v>
      </c>
      <c r="C91" s="91" t="s">
        <v>2983</v>
      </c>
      <c r="D91" s="125" t="s">
        <v>1805</v>
      </c>
      <c r="F91" s="132">
        <v>450000</v>
      </c>
      <c r="G91" s="93">
        <v>1</v>
      </c>
      <c r="I91" s="88">
        <v>450000</v>
      </c>
    </row>
    <row r="92" spans="1:12" ht="18" customHeight="1">
      <c r="A92" s="90">
        <v>875</v>
      </c>
      <c r="B92" s="102">
        <v>45846</v>
      </c>
      <c r="C92" s="91" t="s">
        <v>1027</v>
      </c>
      <c r="D92" s="125" t="s">
        <v>2988</v>
      </c>
      <c r="F92" s="88">
        <v>1000000</v>
      </c>
      <c r="G92" s="132">
        <v>1</v>
      </c>
      <c r="H92" s="138">
        <v>100000</v>
      </c>
      <c r="I92" s="88">
        <v>1100000</v>
      </c>
      <c r="L92" s="132"/>
    </row>
    <row r="93" spans="1:12" ht="18" customHeight="1">
      <c r="A93" s="90">
        <v>876</v>
      </c>
      <c r="B93" s="102">
        <v>45846</v>
      </c>
      <c r="C93" s="91" t="s">
        <v>1635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877</v>
      </c>
      <c r="B94" s="102">
        <v>45846</v>
      </c>
      <c r="C94" s="91" t="s">
        <v>1626</v>
      </c>
      <c r="D94" s="125" t="s">
        <v>2280</v>
      </c>
      <c r="F94" s="88">
        <v>1400000</v>
      </c>
      <c r="G94" s="132">
        <v>1</v>
      </c>
      <c r="H94" s="138">
        <v>140000</v>
      </c>
      <c r="I94" s="88">
        <v>1540000</v>
      </c>
      <c r="L94" s="132"/>
    </row>
    <row r="95" spans="1:12" ht="18" customHeight="1">
      <c r="A95" s="90">
        <v>878</v>
      </c>
      <c r="B95" s="102">
        <v>45846</v>
      </c>
      <c r="C95" s="91" t="s">
        <v>1626</v>
      </c>
      <c r="D95" s="125" t="s">
        <v>2284</v>
      </c>
      <c r="F95" s="88">
        <v>70000</v>
      </c>
      <c r="G95" s="132">
        <v>1</v>
      </c>
      <c r="H95" s="138">
        <v>7000</v>
      </c>
      <c r="I95" s="88">
        <v>77000</v>
      </c>
      <c r="L95" s="132"/>
    </row>
    <row r="96" spans="1:12" ht="18" customHeight="1">
      <c r="A96" s="90">
        <v>879</v>
      </c>
      <c r="B96" s="102">
        <v>45846</v>
      </c>
      <c r="C96" s="91" t="s">
        <v>1626</v>
      </c>
      <c r="D96" s="125" t="s">
        <v>2285</v>
      </c>
      <c r="F96" s="88">
        <v>32000</v>
      </c>
      <c r="G96" s="132">
        <v>1</v>
      </c>
      <c r="H96" s="138">
        <v>3200</v>
      </c>
      <c r="I96" s="88">
        <v>35200</v>
      </c>
      <c r="L96" s="132"/>
    </row>
    <row r="97" spans="1:13" ht="18" customHeight="1">
      <c r="A97" s="90">
        <v>880</v>
      </c>
      <c r="B97" s="102">
        <v>45846</v>
      </c>
      <c r="C97" s="91" t="s">
        <v>1626</v>
      </c>
      <c r="D97" s="125" t="s">
        <v>1565</v>
      </c>
      <c r="F97" s="88">
        <v>20000</v>
      </c>
      <c r="G97" s="132">
        <v>1</v>
      </c>
      <c r="H97" s="138">
        <v>2000</v>
      </c>
      <c r="I97" s="88">
        <v>22000</v>
      </c>
      <c r="L97" s="132"/>
    </row>
    <row r="98" spans="1:13" ht="18" customHeight="1">
      <c r="A98" s="90">
        <v>881</v>
      </c>
      <c r="B98" s="102">
        <v>45846</v>
      </c>
      <c r="C98" s="91" t="s">
        <v>1626</v>
      </c>
      <c r="D98" s="125" t="s">
        <v>2281</v>
      </c>
      <c r="F98" s="88">
        <v>517273</v>
      </c>
      <c r="G98" s="132">
        <v>1</v>
      </c>
      <c r="H98" s="138">
        <v>51727</v>
      </c>
      <c r="I98" s="88">
        <v>569000</v>
      </c>
      <c r="L98" s="132"/>
    </row>
    <row r="99" spans="1:13" ht="18" customHeight="1">
      <c r="A99" s="90">
        <v>882</v>
      </c>
      <c r="B99" s="102">
        <v>45846</v>
      </c>
      <c r="C99" s="91" t="s">
        <v>1183</v>
      </c>
      <c r="D99" s="125" t="s">
        <v>1241</v>
      </c>
      <c r="F99" s="88">
        <v>1200000</v>
      </c>
      <c r="G99" s="132">
        <v>1</v>
      </c>
      <c r="I99" s="88">
        <v>1200000</v>
      </c>
      <c r="L99" s="132"/>
    </row>
    <row r="100" spans="1:13" ht="18" customHeight="1">
      <c r="A100" s="90">
        <v>883</v>
      </c>
      <c r="B100" s="102">
        <v>45846</v>
      </c>
      <c r="C100" s="91" t="s">
        <v>2730</v>
      </c>
      <c r="D100" s="125" t="s">
        <v>1161</v>
      </c>
      <c r="F100" s="88"/>
      <c r="G100" s="132"/>
      <c r="J100" s="88">
        <v>-1550000</v>
      </c>
      <c r="L100" s="132"/>
    </row>
    <row r="101" spans="1:13" ht="18" customHeight="1">
      <c r="A101" s="90">
        <v>884</v>
      </c>
      <c r="B101" s="102">
        <v>45846</v>
      </c>
      <c r="C101" s="91" t="s">
        <v>2963</v>
      </c>
      <c r="D101" s="125" t="s">
        <v>1161</v>
      </c>
      <c r="F101" s="88"/>
      <c r="G101" s="132"/>
      <c r="J101" s="88">
        <v>-470000</v>
      </c>
      <c r="L101" s="132"/>
    </row>
    <row r="102" spans="1:13" ht="18" customHeight="1">
      <c r="A102" s="90">
        <v>885</v>
      </c>
      <c r="B102" s="102">
        <v>45847</v>
      </c>
      <c r="C102" s="91" t="s">
        <v>1445</v>
      </c>
      <c r="D102" s="125" t="s">
        <v>1813</v>
      </c>
      <c r="F102" s="88">
        <v>650000</v>
      </c>
      <c r="G102" s="132">
        <v>1</v>
      </c>
      <c r="I102" s="88">
        <v>650000</v>
      </c>
      <c r="L102" s="132"/>
    </row>
    <row r="103" spans="1:13" ht="18" customHeight="1">
      <c r="A103" s="90">
        <v>886</v>
      </c>
      <c r="B103" s="102">
        <v>45847</v>
      </c>
      <c r="C103" s="91" t="s">
        <v>2524</v>
      </c>
      <c r="D103" s="125" t="s">
        <v>2113</v>
      </c>
      <c r="F103" s="88">
        <v>1500000</v>
      </c>
      <c r="G103" s="132">
        <v>1</v>
      </c>
      <c r="H103" s="138">
        <v>150000</v>
      </c>
      <c r="I103" s="88">
        <v>1650000</v>
      </c>
      <c r="L103" s="132"/>
    </row>
    <row r="104" spans="1:13" ht="18" customHeight="1">
      <c r="A104" s="90">
        <v>887</v>
      </c>
      <c r="B104" s="102">
        <v>45847</v>
      </c>
      <c r="C104" s="91" t="s">
        <v>2356</v>
      </c>
      <c r="D104" s="125" t="s">
        <v>2277</v>
      </c>
      <c r="F104" s="88">
        <v>70000</v>
      </c>
      <c r="G104" s="132">
        <v>1</v>
      </c>
      <c r="I104" s="88">
        <v>70000</v>
      </c>
      <c r="L104" s="132"/>
    </row>
    <row r="105" spans="1:13" ht="18" customHeight="1">
      <c r="A105" s="90">
        <v>888</v>
      </c>
      <c r="B105" s="102">
        <v>45847</v>
      </c>
      <c r="C105" s="91" t="s">
        <v>1490</v>
      </c>
      <c r="D105" s="125" t="s">
        <v>2274</v>
      </c>
      <c r="F105" s="88">
        <v>1500000</v>
      </c>
      <c r="G105" s="132">
        <v>1</v>
      </c>
      <c r="I105" s="88">
        <v>1500000</v>
      </c>
      <c r="L105" s="132"/>
    </row>
    <row r="106" spans="1:13" ht="18" customHeight="1">
      <c r="A106" s="90">
        <v>889</v>
      </c>
      <c r="B106" s="102">
        <v>45847</v>
      </c>
      <c r="C106" s="91" t="s">
        <v>1490</v>
      </c>
      <c r="D106" s="125" t="s">
        <v>2275</v>
      </c>
      <c r="F106" s="88">
        <v>50000</v>
      </c>
      <c r="G106" s="132">
        <v>1</v>
      </c>
      <c r="I106" s="88">
        <v>50000</v>
      </c>
      <c r="L106" s="132"/>
    </row>
    <row r="107" spans="1:13" ht="18" customHeight="1">
      <c r="A107" s="90">
        <v>890</v>
      </c>
      <c r="B107" s="102">
        <v>45847</v>
      </c>
      <c r="C107" s="91" t="s">
        <v>1790</v>
      </c>
      <c r="D107" s="125" t="s">
        <v>2429</v>
      </c>
      <c r="F107" s="88">
        <v>1200000</v>
      </c>
      <c r="G107" s="132">
        <v>1</v>
      </c>
      <c r="I107" s="88">
        <v>1200000</v>
      </c>
      <c r="L107" s="132"/>
    </row>
    <row r="108" spans="1:13" ht="18" customHeight="1">
      <c r="A108" s="90">
        <v>891</v>
      </c>
      <c r="B108" s="102">
        <v>45847</v>
      </c>
      <c r="C108" s="91" t="s">
        <v>1817</v>
      </c>
      <c r="D108" s="125" t="s">
        <v>2398</v>
      </c>
      <c r="F108" s="88">
        <v>650000</v>
      </c>
      <c r="G108" s="132">
        <v>2</v>
      </c>
      <c r="H108" s="138">
        <v>130000</v>
      </c>
      <c r="I108" s="88">
        <v>1430000</v>
      </c>
      <c r="L108" s="132"/>
    </row>
    <row r="109" spans="1:13" ht="18" customHeight="1">
      <c r="A109" s="90">
        <v>892</v>
      </c>
      <c r="B109" s="102">
        <v>45847</v>
      </c>
      <c r="C109" s="91" t="s">
        <v>1817</v>
      </c>
      <c r="D109" s="125" t="s">
        <v>1565</v>
      </c>
      <c r="F109" s="88">
        <v>20000</v>
      </c>
      <c r="G109" s="132">
        <v>1</v>
      </c>
      <c r="H109" s="138">
        <v>2000</v>
      </c>
      <c r="I109" s="88">
        <v>22000</v>
      </c>
      <c r="L109" s="132"/>
    </row>
    <row r="110" spans="1:13" ht="18" customHeight="1">
      <c r="A110" s="90">
        <v>893</v>
      </c>
      <c r="B110" s="102">
        <v>45847</v>
      </c>
      <c r="C110" s="91" t="s">
        <v>2356</v>
      </c>
      <c r="D110" s="125" t="s">
        <v>1161</v>
      </c>
      <c r="F110" s="88"/>
      <c r="G110" s="132"/>
      <c r="J110" s="88">
        <v>-70000</v>
      </c>
      <c r="L110" s="132"/>
    </row>
    <row r="111" spans="1:13" ht="18" customHeight="1">
      <c r="F111" s="88"/>
      <c r="G111" s="132"/>
      <c r="L111" s="132"/>
      <c r="M111" s="88"/>
    </row>
    <row r="112" spans="1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2421</v>
      </c>
      <c r="C1" s="447" t="s">
        <v>2655</v>
      </c>
      <c r="D1" s="444" t="s">
        <v>2684</v>
      </c>
      <c r="E1" s="444" t="s">
        <v>40</v>
      </c>
      <c r="F1" s="444" t="s">
        <v>2864</v>
      </c>
      <c r="G1" s="444"/>
      <c r="H1" s="444" t="s">
        <v>2865</v>
      </c>
      <c r="I1" s="444"/>
      <c r="J1" s="444" t="s">
        <v>2866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2656</v>
      </c>
      <c r="G2" s="298" t="s">
        <v>2657</v>
      </c>
      <c r="H2" s="298" t="s">
        <v>2658</v>
      </c>
      <c r="I2" s="298" t="s">
        <v>2659</v>
      </c>
      <c r="J2" s="298" t="s">
        <v>2658</v>
      </c>
      <c r="K2" s="298" t="s">
        <v>2659</v>
      </c>
      <c r="L2" s="298"/>
    </row>
    <row r="3" spans="1:15" ht="18" customHeight="1">
      <c r="A3" s="288">
        <v>1</v>
      </c>
      <c r="B3" s="293">
        <v>45659</v>
      </c>
      <c r="C3" s="294" t="s">
        <v>2660</v>
      </c>
      <c r="D3" s="294" t="s">
        <v>2661</v>
      </c>
      <c r="E3" s="294" t="s">
        <v>2662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2663</v>
      </c>
      <c r="D4" s="264" t="s">
        <v>2664</v>
      </c>
      <c r="E4" s="264" t="s">
        <v>2662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2660</v>
      </c>
      <c r="D5" s="264" t="s">
        <v>2661</v>
      </c>
      <c r="E5" s="264" t="s">
        <v>2662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2660</v>
      </c>
      <c r="D6" s="264" t="s">
        <v>2661</v>
      </c>
      <c r="E6" s="264" t="s">
        <v>2662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2660</v>
      </c>
      <c r="D7" s="264" t="s">
        <v>2661</v>
      </c>
      <c r="E7" s="264" t="s">
        <v>2665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2666</v>
      </c>
      <c r="D8" s="264" t="s">
        <v>2667</v>
      </c>
      <c r="E8" s="264" t="s">
        <v>2662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2668</v>
      </c>
      <c r="D9" s="264" t="s">
        <v>2669</v>
      </c>
      <c r="E9" s="264" t="s">
        <v>2662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2670</v>
      </c>
      <c r="D10" s="264" t="s">
        <v>2661</v>
      </c>
      <c r="E10" s="264" t="s">
        <v>2665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2671</v>
      </c>
      <c r="D11" s="264" t="s">
        <v>2661</v>
      </c>
      <c r="E11" s="264" t="s">
        <v>2665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2660</v>
      </c>
      <c r="D12" s="264" t="s">
        <v>2661</v>
      </c>
      <c r="E12" s="264" t="s">
        <v>2662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2660</v>
      </c>
      <c r="D13" s="264" t="s">
        <v>2661</v>
      </c>
      <c r="E13" s="264" t="s">
        <v>2662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2663</v>
      </c>
      <c r="D14" s="264" t="s">
        <v>2664</v>
      </c>
      <c r="E14" s="264" t="s">
        <v>2665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2660</v>
      </c>
      <c r="D15" s="264" t="s">
        <v>2661</v>
      </c>
      <c r="E15" s="264" t="s">
        <v>2665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2672</v>
      </c>
      <c r="D16" s="264" t="s">
        <v>2673</v>
      </c>
      <c r="E16" s="264" t="s">
        <v>2665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2660</v>
      </c>
      <c r="D17" s="264" t="s">
        <v>2661</v>
      </c>
      <c r="E17" s="264" t="s">
        <v>2665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2671</v>
      </c>
      <c r="D18" s="264" t="s">
        <v>2661</v>
      </c>
      <c r="E18" s="264" t="s">
        <v>2662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2674</v>
      </c>
      <c r="D19" s="264" t="s">
        <v>2675</v>
      </c>
      <c r="E19" s="264" t="s">
        <v>2665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2670</v>
      </c>
      <c r="D20" s="264" t="s">
        <v>2661</v>
      </c>
      <c r="E20" s="264" t="s">
        <v>2665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2676</v>
      </c>
      <c r="D21" s="264" t="s">
        <v>2673</v>
      </c>
      <c r="E21" s="264" t="s">
        <v>2665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2677</v>
      </c>
      <c r="D22" s="264" t="s">
        <v>2678</v>
      </c>
      <c r="E22" s="264" t="s">
        <v>2665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2679</v>
      </c>
      <c r="D23" s="264" t="s">
        <v>2680</v>
      </c>
      <c r="E23" s="264" t="s">
        <v>2665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2663</v>
      </c>
      <c r="D24" s="264" t="s">
        <v>2664</v>
      </c>
      <c r="E24" s="264" t="s">
        <v>2665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2660</v>
      </c>
      <c r="D25" s="264" t="s">
        <v>2661</v>
      </c>
      <c r="E25" s="264" t="s">
        <v>2665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2660</v>
      </c>
      <c r="D26" s="264" t="s">
        <v>2681</v>
      </c>
      <c r="E26" s="264" t="s">
        <v>2665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2682</v>
      </c>
      <c r="D27" s="264" t="s">
        <v>2661</v>
      </c>
      <c r="E27" s="264" t="s">
        <v>2665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2660</v>
      </c>
      <c r="D28" s="264" t="s">
        <v>2661</v>
      </c>
      <c r="E28" s="264" t="s">
        <v>2665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2660</v>
      </c>
      <c r="D29" s="264" t="s">
        <v>2661</v>
      </c>
      <c r="E29" s="264" t="s">
        <v>2665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2670</v>
      </c>
      <c r="D30" s="264" t="s">
        <v>2661</v>
      </c>
      <c r="E30" s="264" t="s">
        <v>2665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2674</v>
      </c>
      <c r="D31" s="264" t="s">
        <v>2675</v>
      </c>
      <c r="E31" s="264" t="s">
        <v>2665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2672</v>
      </c>
      <c r="D32" s="264" t="s">
        <v>2673</v>
      </c>
      <c r="E32" s="264" t="s">
        <v>2665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2671</v>
      </c>
      <c r="D33" s="264" t="s">
        <v>2661</v>
      </c>
      <c r="E33" s="264" t="s">
        <v>2665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2676</v>
      </c>
      <c r="D34" s="264" t="s">
        <v>2673</v>
      </c>
      <c r="E34" s="264" t="s">
        <v>2665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2663</v>
      </c>
      <c r="D35" s="264" t="s">
        <v>2664</v>
      </c>
      <c r="E35" s="264" t="s">
        <v>2665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2660</v>
      </c>
      <c r="D36" s="264" t="s">
        <v>2661</v>
      </c>
      <c r="E36" s="264" t="s">
        <v>2665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2663</v>
      </c>
      <c r="D37" s="264" t="s">
        <v>2664</v>
      </c>
      <c r="E37" s="264" t="s">
        <v>2665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2679</v>
      </c>
      <c r="D38" s="264" t="s">
        <v>2680</v>
      </c>
      <c r="E38" s="264" t="s">
        <v>2665</v>
      </c>
      <c r="F38" s="265">
        <v>1</v>
      </c>
      <c r="G38" s="265">
        <f>L38/F38/1.1</f>
        <v>12727272.727272727</v>
      </c>
      <c r="H38" s="266">
        <f>F38*G38</f>
        <v>12727272.727272727</v>
      </c>
      <c r="I38" s="266">
        <f>H38*10%</f>
        <v>1272727.2727272727</v>
      </c>
      <c r="J38" s="266">
        <f>IF(E38="매출",F38*G38,0)</f>
        <v>0</v>
      </c>
      <c r="K38" s="266">
        <f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2660</v>
      </c>
      <c r="D39" s="264" t="s">
        <v>2661</v>
      </c>
      <c r="E39" s="264" t="s">
        <v>2665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2663</v>
      </c>
      <c r="D40" s="264" t="s">
        <v>2664</v>
      </c>
      <c r="E40" s="264" t="s">
        <v>2665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 t="shared" ref="K40:K51" si="5"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2677</v>
      </c>
      <c r="D41" s="264" t="s">
        <v>2678</v>
      </c>
      <c r="E41" s="264" t="s">
        <v>2665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 t="shared" si="5"/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2679</v>
      </c>
      <c r="D42" s="264" t="s">
        <v>2680</v>
      </c>
      <c r="E42" s="264" t="s">
        <v>2665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si="5"/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2660</v>
      </c>
      <c r="D43" s="264" t="s">
        <v>2661</v>
      </c>
      <c r="E43" s="264" t="s">
        <v>2665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 t="shared" si="5"/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2670</v>
      </c>
      <c r="D44" s="264" t="s">
        <v>2661</v>
      </c>
      <c r="E44" s="264" t="s">
        <v>2665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 t="shared" si="5"/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2676</v>
      </c>
      <c r="D45" s="264" t="s">
        <v>2673</v>
      </c>
      <c r="E45" s="264" t="s">
        <v>2665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si="5"/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2671</v>
      </c>
      <c r="D46" s="264" t="s">
        <v>2661</v>
      </c>
      <c r="E46" s="264" t="s">
        <v>2665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5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2672</v>
      </c>
      <c r="D47" s="264" t="s">
        <v>2673</v>
      </c>
      <c r="E47" s="264" t="s">
        <v>2665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5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2665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si="5"/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2665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5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2665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5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2665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5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2665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2665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2665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2665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2665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2665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2665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2665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2665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2665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2665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2665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2665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2665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2665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2665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2665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2665</v>
      </c>
      <c r="F69" s="265">
        <v>1</v>
      </c>
      <c r="G69" s="265">
        <f t="shared" ref="G69:G132" si="6">L69/F69/1.1</f>
        <v>0</v>
      </c>
      <c r="H69" s="266">
        <f t="shared" ref="H69:H132" si="7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2665</v>
      </c>
      <c r="F70" s="265">
        <v>1</v>
      </c>
      <c r="G70" s="265">
        <f t="shared" si="6"/>
        <v>0</v>
      </c>
      <c r="H70" s="266">
        <f t="shared" si="7"/>
        <v>0</v>
      </c>
      <c r="I70" s="266">
        <f t="shared" ref="I70:I133" si="8">H70*10%</f>
        <v>0</v>
      </c>
      <c r="J70" s="266">
        <f t="shared" ref="J70:J133" si="9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2665</v>
      </c>
      <c r="F71" s="265">
        <v>1</v>
      </c>
      <c r="G71" s="265">
        <f t="shared" si="6"/>
        <v>0</v>
      </c>
      <c r="H71" s="266">
        <f t="shared" si="7"/>
        <v>0</v>
      </c>
      <c r="I71" s="266">
        <f t="shared" si="8"/>
        <v>0</v>
      </c>
      <c r="J71" s="266">
        <f t="shared" si="9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2665</v>
      </c>
      <c r="F72" s="265">
        <v>1</v>
      </c>
      <c r="G72" s="265">
        <f t="shared" si="6"/>
        <v>0</v>
      </c>
      <c r="H72" s="266">
        <f t="shared" si="7"/>
        <v>0</v>
      </c>
      <c r="I72" s="266">
        <f t="shared" si="8"/>
        <v>0</v>
      </c>
      <c r="J72" s="266">
        <f t="shared" si="9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2665</v>
      </c>
      <c r="F73" s="265">
        <v>1</v>
      </c>
      <c r="G73" s="265">
        <f t="shared" si="6"/>
        <v>0</v>
      </c>
      <c r="H73" s="266">
        <f t="shared" si="7"/>
        <v>0</v>
      </c>
      <c r="I73" s="266">
        <f t="shared" si="8"/>
        <v>0</v>
      </c>
      <c r="J73" s="266">
        <f t="shared" si="9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2665</v>
      </c>
      <c r="F74" s="265">
        <v>1</v>
      </c>
      <c r="G74" s="265">
        <f t="shared" si="6"/>
        <v>0</v>
      </c>
      <c r="H74" s="266">
        <f t="shared" si="7"/>
        <v>0</v>
      </c>
      <c r="I74" s="266">
        <f t="shared" si="8"/>
        <v>0</v>
      </c>
      <c r="J74" s="266">
        <f t="shared" si="9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2665</v>
      </c>
      <c r="F75" s="265">
        <v>1</v>
      </c>
      <c r="G75" s="265">
        <f t="shared" si="6"/>
        <v>0</v>
      </c>
      <c r="H75" s="266">
        <f t="shared" si="7"/>
        <v>0</v>
      </c>
      <c r="I75" s="266">
        <f t="shared" si="8"/>
        <v>0</v>
      </c>
      <c r="J75" s="266">
        <f t="shared" si="9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2665</v>
      </c>
      <c r="F76" s="265">
        <v>1</v>
      </c>
      <c r="G76" s="265">
        <f t="shared" si="6"/>
        <v>0</v>
      </c>
      <c r="H76" s="266">
        <f t="shared" si="7"/>
        <v>0</v>
      </c>
      <c r="I76" s="266">
        <f t="shared" si="8"/>
        <v>0</v>
      </c>
      <c r="J76" s="266">
        <f t="shared" si="9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2665</v>
      </c>
      <c r="F77" s="265">
        <v>1</v>
      </c>
      <c r="G77" s="265">
        <f t="shared" si="6"/>
        <v>0</v>
      </c>
      <c r="H77" s="266">
        <f t="shared" si="7"/>
        <v>0</v>
      </c>
      <c r="I77" s="266">
        <f t="shared" si="8"/>
        <v>0</v>
      </c>
      <c r="J77" s="266">
        <f t="shared" si="9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2665</v>
      </c>
      <c r="F78" s="265">
        <v>1</v>
      </c>
      <c r="G78" s="265">
        <f t="shared" si="6"/>
        <v>0</v>
      </c>
      <c r="H78" s="266">
        <f t="shared" si="7"/>
        <v>0</v>
      </c>
      <c r="I78" s="266">
        <f t="shared" si="8"/>
        <v>0</v>
      </c>
      <c r="J78" s="266">
        <f t="shared" si="9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2665</v>
      </c>
      <c r="F79" s="265">
        <v>1</v>
      </c>
      <c r="G79" s="265">
        <f t="shared" si="6"/>
        <v>0</v>
      </c>
      <c r="H79" s="266">
        <f t="shared" si="7"/>
        <v>0</v>
      </c>
      <c r="I79" s="266">
        <f t="shared" si="8"/>
        <v>0</v>
      </c>
      <c r="J79" s="266">
        <f t="shared" si="9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2665</v>
      </c>
      <c r="F80" s="265">
        <v>1</v>
      </c>
      <c r="G80" s="265">
        <f t="shared" si="6"/>
        <v>0</v>
      </c>
      <c r="H80" s="266">
        <f t="shared" si="7"/>
        <v>0</v>
      </c>
      <c r="I80" s="266">
        <f t="shared" si="8"/>
        <v>0</v>
      </c>
      <c r="J80" s="266">
        <f t="shared" si="9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2665</v>
      </c>
      <c r="F81" s="265">
        <v>1</v>
      </c>
      <c r="G81" s="265">
        <f t="shared" si="6"/>
        <v>0</v>
      </c>
      <c r="H81" s="266">
        <f t="shared" si="7"/>
        <v>0</v>
      </c>
      <c r="I81" s="266">
        <f t="shared" si="8"/>
        <v>0</v>
      </c>
      <c r="J81" s="266">
        <f t="shared" si="9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2665</v>
      </c>
      <c r="F82" s="265">
        <v>1</v>
      </c>
      <c r="G82" s="265">
        <f t="shared" si="6"/>
        <v>0</v>
      </c>
      <c r="H82" s="266">
        <f t="shared" si="7"/>
        <v>0</v>
      </c>
      <c r="I82" s="266">
        <f t="shared" si="8"/>
        <v>0</v>
      </c>
      <c r="J82" s="266">
        <f t="shared" si="9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2665</v>
      </c>
      <c r="F83" s="265">
        <v>1</v>
      </c>
      <c r="G83" s="265">
        <f t="shared" si="6"/>
        <v>0</v>
      </c>
      <c r="H83" s="266">
        <f t="shared" si="7"/>
        <v>0</v>
      </c>
      <c r="I83" s="266">
        <f t="shared" si="8"/>
        <v>0</v>
      </c>
      <c r="J83" s="266">
        <f t="shared" si="9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2665</v>
      </c>
      <c r="F84" s="265">
        <v>1</v>
      </c>
      <c r="G84" s="265">
        <f t="shared" si="6"/>
        <v>0</v>
      </c>
      <c r="H84" s="266">
        <f t="shared" si="7"/>
        <v>0</v>
      </c>
      <c r="I84" s="266">
        <f t="shared" si="8"/>
        <v>0</v>
      </c>
      <c r="J84" s="266">
        <f t="shared" si="9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2665</v>
      </c>
      <c r="F85" s="265">
        <v>1</v>
      </c>
      <c r="G85" s="265">
        <f t="shared" si="6"/>
        <v>0</v>
      </c>
      <c r="H85" s="266">
        <f t="shared" si="7"/>
        <v>0</v>
      </c>
      <c r="I85" s="266">
        <f t="shared" si="8"/>
        <v>0</v>
      </c>
      <c r="J85" s="266">
        <f t="shared" si="9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2665</v>
      </c>
      <c r="F86" s="265">
        <v>1</v>
      </c>
      <c r="G86" s="265">
        <f t="shared" si="6"/>
        <v>0</v>
      </c>
      <c r="H86" s="266">
        <f t="shared" si="7"/>
        <v>0</v>
      </c>
      <c r="I86" s="266">
        <f t="shared" si="8"/>
        <v>0</v>
      </c>
      <c r="J86" s="266">
        <f t="shared" si="9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2665</v>
      </c>
      <c r="F87" s="265">
        <v>1</v>
      </c>
      <c r="G87" s="265">
        <f t="shared" si="6"/>
        <v>0</v>
      </c>
      <c r="H87" s="266">
        <f t="shared" si="7"/>
        <v>0</v>
      </c>
      <c r="I87" s="266">
        <f t="shared" si="8"/>
        <v>0</v>
      </c>
      <c r="J87" s="266">
        <f t="shared" si="9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2665</v>
      </c>
      <c r="F88" s="265">
        <v>1</v>
      </c>
      <c r="G88" s="265">
        <f t="shared" si="6"/>
        <v>0</v>
      </c>
      <c r="H88" s="266">
        <f t="shared" si="7"/>
        <v>0</v>
      </c>
      <c r="I88" s="266">
        <f t="shared" si="8"/>
        <v>0</v>
      </c>
      <c r="J88" s="266">
        <f t="shared" si="9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2665</v>
      </c>
      <c r="F89" s="265">
        <v>1</v>
      </c>
      <c r="G89" s="265">
        <f t="shared" si="6"/>
        <v>0</v>
      </c>
      <c r="H89" s="266">
        <f t="shared" si="7"/>
        <v>0</v>
      </c>
      <c r="I89" s="266">
        <f t="shared" si="8"/>
        <v>0</v>
      </c>
      <c r="J89" s="266">
        <f t="shared" si="9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2662</v>
      </c>
      <c r="F90" s="265">
        <v>1</v>
      </c>
      <c r="G90" s="265">
        <f t="shared" si="6"/>
        <v>0</v>
      </c>
      <c r="H90" s="266">
        <f t="shared" si="7"/>
        <v>0</v>
      </c>
      <c r="I90" s="266">
        <f t="shared" si="8"/>
        <v>0</v>
      </c>
      <c r="J90" s="266">
        <f t="shared" si="9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2665</v>
      </c>
      <c r="F91" s="265">
        <v>1</v>
      </c>
      <c r="G91" s="265">
        <f t="shared" si="6"/>
        <v>0</v>
      </c>
      <c r="H91" s="266">
        <f t="shared" si="7"/>
        <v>0</v>
      </c>
      <c r="I91" s="266">
        <f t="shared" si="8"/>
        <v>0</v>
      </c>
      <c r="J91" s="266">
        <f t="shared" si="9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2665</v>
      </c>
      <c r="F92" s="265">
        <v>1</v>
      </c>
      <c r="G92" s="265">
        <f t="shared" si="6"/>
        <v>0</v>
      </c>
      <c r="H92" s="266">
        <f t="shared" si="7"/>
        <v>0</v>
      </c>
      <c r="I92" s="266">
        <f t="shared" si="8"/>
        <v>0</v>
      </c>
      <c r="J92" s="266">
        <f t="shared" si="9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2665</v>
      </c>
      <c r="F93" s="265">
        <v>1</v>
      </c>
      <c r="G93" s="265">
        <f t="shared" si="6"/>
        <v>0</v>
      </c>
      <c r="H93" s="266">
        <f t="shared" si="7"/>
        <v>0</v>
      </c>
      <c r="I93" s="266">
        <f t="shared" si="8"/>
        <v>0</v>
      </c>
      <c r="J93" s="266">
        <f t="shared" si="9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2665</v>
      </c>
      <c r="F94" s="265">
        <v>1</v>
      </c>
      <c r="G94" s="265">
        <f t="shared" si="6"/>
        <v>0</v>
      </c>
      <c r="H94" s="266">
        <f t="shared" si="7"/>
        <v>0</v>
      </c>
      <c r="I94" s="266">
        <f t="shared" si="8"/>
        <v>0</v>
      </c>
      <c r="J94" s="266">
        <f t="shared" si="9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2665</v>
      </c>
      <c r="F95" s="265">
        <v>1</v>
      </c>
      <c r="G95" s="265">
        <f t="shared" si="6"/>
        <v>0</v>
      </c>
      <c r="H95" s="266">
        <f t="shared" si="7"/>
        <v>0</v>
      </c>
      <c r="I95" s="266">
        <f t="shared" si="8"/>
        <v>0</v>
      </c>
      <c r="J95" s="266">
        <f t="shared" si="9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2665</v>
      </c>
      <c r="F96" s="265">
        <v>1</v>
      </c>
      <c r="G96" s="265">
        <f t="shared" si="6"/>
        <v>0</v>
      </c>
      <c r="H96" s="266">
        <f t="shared" si="7"/>
        <v>0</v>
      </c>
      <c r="I96" s="266">
        <f t="shared" si="8"/>
        <v>0</v>
      </c>
      <c r="J96" s="266">
        <f t="shared" si="9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2665</v>
      </c>
      <c r="F97" s="265">
        <v>1</v>
      </c>
      <c r="G97" s="265">
        <f t="shared" si="6"/>
        <v>0</v>
      </c>
      <c r="H97" s="266">
        <f t="shared" si="7"/>
        <v>0</v>
      </c>
      <c r="I97" s="266">
        <f t="shared" si="8"/>
        <v>0</v>
      </c>
      <c r="J97" s="266">
        <f t="shared" si="9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2665</v>
      </c>
      <c r="F98" s="265">
        <v>1</v>
      </c>
      <c r="G98" s="265">
        <f t="shared" si="6"/>
        <v>0</v>
      </c>
      <c r="H98" s="266">
        <f t="shared" si="7"/>
        <v>0</v>
      </c>
      <c r="I98" s="266">
        <f t="shared" si="8"/>
        <v>0</v>
      </c>
      <c r="J98" s="266">
        <f t="shared" si="9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2665</v>
      </c>
      <c r="F99" s="265">
        <v>1</v>
      </c>
      <c r="G99" s="265">
        <f t="shared" si="6"/>
        <v>0</v>
      </c>
      <c r="H99" s="266">
        <f t="shared" si="7"/>
        <v>0</v>
      </c>
      <c r="I99" s="266">
        <f t="shared" si="8"/>
        <v>0</v>
      </c>
      <c r="J99" s="266">
        <f t="shared" si="9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2665</v>
      </c>
      <c r="F100" s="265">
        <v>1</v>
      </c>
      <c r="G100" s="265">
        <f t="shared" si="6"/>
        <v>0</v>
      </c>
      <c r="H100" s="266">
        <f t="shared" si="7"/>
        <v>0</v>
      </c>
      <c r="I100" s="266">
        <f t="shared" si="8"/>
        <v>0</v>
      </c>
      <c r="J100" s="266">
        <f t="shared" si="9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2665</v>
      </c>
      <c r="F101" s="265">
        <v>1</v>
      </c>
      <c r="G101" s="265">
        <f t="shared" si="6"/>
        <v>0</v>
      </c>
      <c r="H101" s="266">
        <f t="shared" si="7"/>
        <v>0</v>
      </c>
      <c r="I101" s="266">
        <f t="shared" si="8"/>
        <v>0</v>
      </c>
      <c r="J101" s="266">
        <f t="shared" si="9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2665</v>
      </c>
      <c r="F102" s="265">
        <v>1</v>
      </c>
      <c r="G102" s="265">
        <f t="shared" si="6"/>
        <v>0</v>
      </c>
      <c r="H102" s="266">
        <f t="shared" si="7"/>
        <v>0</v>
      </c>
      <c r="I102" s="266">
        <f t="shared" si="8"/>
        <v>0</v>
      </c>
      <c r="J102" s="266">
        <f t="shared" si="9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2665</v>
      </c>
      <c r="F103" s="265">
        <v>1</v>
      </c>
      <c r="G103" s="265">
        <f t="shared" si="6"/>
        <v>0</v>
      </c>
      <c r="H103" s="266">
        <f t="shared" si="7"/>
        <v>0</v>
      </c>
      <c r="I103" s="266">
        <f t="shared" si="8"/>
        <v>0</v>
      </c>
      <c r="J103" s="266">
        <f t="shared" si="9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2665</v>
      </c>
      <c r="F104" s="265">
        <v>1</v>
      </c>
      <c r="G104" s="265">
        <f t="shared" si="6"/>
        <v>0</v>
      </c>
      <c r="H104" s="266">
        <f t="shared" si="7"/>
        <v>0</v>
      </c>
      <c r="I104" s="266">
        <f t="shared" si="8"/>
        <v>0</v>
      </c>
      <c r="J104" s="266">
        <f t="shared" si="9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2665</v>
      </c>
      <c r="F105" s="265">
        <v>1</v>
      </c>
      <c r="G105" s="265">
        <f t="shared" si="6"/>
        <v>0</v>
      </c>
      <c r="H105" s="266">
        <f t="shared" si="7"/>
        <v>0</v>
      </c>
      <c r="I105" s="266">
        <f t="shared" si="8"/>
        <v>0</v>
      </c>
      <c r="J105" s="266">
        <f t="shared" si="9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2665</v>
      </c>
      <c r="F106" s="265">
        <v>1</v>
      </c>
      <c r="G106" s="265">
        <f t="shared" si="6"/>
        <v>0</v>
      </c>
      <c r="H106" s="266">
        <f t="shared" si="7"/>
        <v>0</v>
      </c>
      <c r="I106" s="266">
        <f t="shared" si="8"/>
        <v>0</v>
      </c>
      <c r="J106" s="266">
        <f t="shared" si="9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2665</v>
      </c>
      <c r="F107" s="265">
        <v>1</v>
      </c>
      <c r="G107" s="265">
        <f t="shared" si="6"/>
        <v>0</v>
      </c>
      <c r="H107" s="266">
        <f t="shared" si="7"/>
        <v>0</v>
      </c>
      <c r="I107" s="266">
        <f t="shared" si="8"/>
        <v>0</v>
      </c>
      <c r="J107" s="266">
        <f t="shared" si="9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2665</v>
      </c>
      <c r="F108" s="265">
        <v>1</v>
      </c>
      <c r="G108" s="265">
        <f t="shared" si="6"/>
        <v>0</v>
      </c>
      <c r="H108" s="266">
        <f t="shared" si="7"/>
        <v>0</v>
      </c>
      <c r="I108" s="266">
        <f t="shared" si="8"/>
        <v>0</v>
      </c>
      <c r="J108" s="266">
        <f t="shared" si="9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2665</v>
      </c>
      <c r="F109" s="265">
        <v>1</v>
      </c>
      <c r="G109" s="265">
        <f t="shared" si="6"/>
        <v>0</v>
      </c>
      <c r="H109" s="266">
        <f t="shared" si="7"/>
        <v>0</v>
      </c>
      <c r="I109" s="266">
        <f t="shared" si="8"/>
        <v>0</v>
      </c>
      <c r="J109" s="266">
        <f t="shared" si="9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2665</v>
      </c>
      <c r="F110" s="265">
        <v>1</v>
      </c>
      <c r="G110" s="265">
        <f t="shared" si="6"/>
        <v>0</v>
      </c>
      <c r="H110" s="266">
        <f t="shared" si="7"/>
        <v>0</v>
      </c>
      <c r="I110" s="266">
        <f t="shared" si="8"/>
        <v>0</v>
      </c>
      <c r="J110" s="266">
        <f t="shared" si="9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2665</v>
      </c>
      <c r="F111" s="265">
        <v>1</v>
      </c>
      <c r="G111" s="265">
        <f t="shared" si="6"/>
        <v>0</v>
      </c>
      <c r="H111" s="266">
        <f t="shared" si="7"/>
        <v>0</v>
      </c>
      <c r="I111" s="266">
        <f t="shared" si="8"/>
        <v>0</v>
      </c>
      <c r="J111" s="266">
        <f t="shared" si="9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2665</v>
      </c>
      <c r="F112" s="265">
        <v>1</v>
      </c>
      <c r="G112" s="265">
        <f t="shared" si="6"/>
        <v>0</v>
      </c>
      <c r="H112" s="266">
        <f t="shared" si="7"/>
        <v>0</v>
      </c>
      <c r="I112" s="266">
        <f t="shared" si="8"/>
        <v>0</v>
      </c>
      <c r="J112" s="266">
        <f t="shared" si="9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2665</v>
      </c>
      <c r="F113" s="265">
        <v>1</v>
      </c>
      <c r="G113" s="265">
        <f t="shared" si="6"/>
        <v>0</v>
      </c>
      <c r="H113" s="266">
        <f t="shared" si="7"/>
        <v>0</v>
      </c>
      <c r="I113" s="266">
        <f t="shared" si="8"/>
        <v>0</v>
      </c>
      <c r="J113" s="266">
        <f t="shared" si="9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2665</v>
      </c>
      <c r="F114" s="265">
        <v>1</v>
      </c>
      <c r="G114" s="265">
        <f t="shared" si="6"/>
        <v>0</v>
      </c>
      <c r="H114" s="266">
        <f t="shared" si="7"/>
        <v>0</v>
      </c>
      <c r="I114" s="266">
        <f t="shared" si="8"/>
        <v>0</v>
      </c>
      <c r="J114" s="266">
        <f t="shared" si="9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2665</v>
      </c>
      <c r="F115" s="265">
        <v>1</v>
      </c>
      <c r="G115" s="265">
        <f t="shared" si="6"/>
        <v>0</v>
      </c>
      <c r="H115" s="266">
        <f t="shared" si="7"/>
        <v>0</v>
      </c>
      <c r="I115" s="266">
        <f t="shared" si="8"/>
        <v>0</v>
      </c>
      <c r="J115" s="266">
        <f t="shared" si="9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2665</v>
      </c>
      <c r="F116" s="265">
        <v>1</v>
      </c>
      <c r="G116" s="265">
        <f t="shared" si="6"/>
        <v>0</v>
      </c>
      <c r="H116" s="266">
        <f t="shared" si="7"/>
        <v>0</v>
      </c>
      <c r="I116" s="266">
        <f t="shared" si="8"/>
        <v>0</v>
      </c>
      <c r="J116" s="266">
        <f t="shared" si="9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2665</v>
      </c>
      <c r="F117" s="265">
        <v>1</v>
      </c>
      <c r="G117" s="265">
        <f t="shared" si="6"/>
        <v>0</v>
      </c>
      <c r="H117" s="266">
        <f t="shared" si="7"/>
        <v>0</v>
      </c>
      <c r="I117" s="266">
        <f t="shared" si="8"/>
        <v>0</v>
      </c>
      <c r="J117" s="266">
        <f t="shared" si="9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2665</v>
      </c>
      <c r="F118" s="265">
        <v>1</v>
      </c>
      <c r="G118" s="265">
        <f t="shared" si="6"/>
        <v>0</v>
      </c>
      <c r="H118" s="266">
        <f t="shared" si="7"/>
        <v>0</v>
      </c>
      <c r="I118" s="266">
        <f t="shared" si="8"/>
        <v>0</v>
      </c>
      <c r="J118" s="266">
        <f t="shared" si="9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2665</v>
      </c>
      <c r="F119" s="265">
        <v>1</v>
      </c>
      <c r="G119" s="265">
        <f t="shared" si="6"/>
        <v>0</v>
      </c>
      <c r="H119" s="266">
        <f t="shared" si="7"/>
        <v>0</v>
      </c>
      <c r="I119" s="266">
        <f t="shared" si="8"/>
        <v>0</v>
      </c>
      <c r="J119" s="266">
        <f t="shared" si="9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2665</v>
      </c>
      <c r="F120" s="265">
        <v>1</v>
      </c>
      <c r="G120" s="265">
        <f t="shared" si="6"/>
        <v>0</v>
      </c>
      <c r="H120" s="266">
        <f t="shared" si="7"/>
        <v>0</v>
      </c>
      <c r="I120" s="266">
        <f t="shared" si="8"/>
        <v>0</v>
      </c>
      <c r="J120" s="266">
        <f t="shared" si="9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2665</v>
      </c>
      <c r="F121" s="265">
        <v>1</v>
      </c>
      <c r="G121" s="265">
        <f t="shared" si="6"/>
        <v>0</v>
      </c>
      <c r="H121" s="266">
        <f t="shared" si="7"/>
        <v>0</v>
      </c>
      <c r="I121" s="266">
        <f t="shared" si="8"/>
        <v>0</v>
      </c>
      <c r="J121" s="266">
        <f t="shared" si="9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2665</v>
      </c>
      <c r="F122" s="265">
        <v>1</v>
      </c>
      <c r="G122" s="265">
        <f t="shared" si="6"/>
        <v>0</v>
      </c>
      <c r="H122" s="266">
        <f t="shared" si="7"/>
        <v>0</v>
      </c>
      <c r="I122" s="266">
        <f t="shared" si="8"/>
        <v>0</v>
      </c>
      <c r="J122" s="266">
        <f t="shared" si="9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2665</v>
      </c>
      <c r="F123" s="265">
        <v>1</v>
      </c>
      <c r="G123" s="265">
        <f t="shared" si="6"/>
        <v>0</v>
      </c>
      <c r="H123" s="266">
        <f t="shared" si="7"/>
        <v>0</v>
      </c>
      <c r="I123" s="266">
        <f t="shared" si="8"/>
        <v>0</v>
      </c>
      <c r="J123" s="266">
        <f t="shared" si="9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2665</v>
      </c>
      <c r="F124" s="265">
        <v>1</v>
      </c>
      <c r="G124" s="265">
        <f t="shared" si="6"/>
        <v>0</v>
      </c>
      <c r="H124" s="266">
        <f t="shared" si="7"/>
        <v>0</v>
      </c>
      <c r="I124" s="266">
        <f t="shared" si="8"/>
        <v>0</v>
      </c>
      <c r="J124" s="266">
        <f t="shared" si="9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2665</v>
      </c>
      <c r="F125" s="265">
        <v>1</v>
      </c>
      <c r="G125" s="265">
        <f t="shared" si="6"/>
        <v>0</v>
      </c>
      <c r="H125" s="266">
        <f t="shared" si="7"/>
        <v>0</v>
      </c>
      <c r="I125" s="266">
        <f t="shared" si="8"/>
        <v>0</v>
      </c>
      <c r="J125" s="266">
        <f t="shared" si="9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2665</v>
      </c>
      <c r="F126" s="265">
        <v>1</v>
      </c>
      <c r="G126" s="265">
        <f t="shared" si="6"/>
        <v>0</v>
      </c>
      <c r="H126" s="266">
        <f t="shared" si="7"/>
        <v>0</v>
      </c>
      <c r="I126" s="266">
        <f t="shared" si="8"/>
        <v>0</v>
      </c>
      <c r="J126" s="266">
        <f t="shared" si="9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2665</v>
      </c>
      <c r="F127" s="265">
        <v>1</v>
      </c>
      <c r="G127" s="265">
        <f t="shared" si="6"/>
        <v>0</v>
      </c>
      <c r="H127" s="266">
        <f t="shared" si="7"/>
        <v>0</v>
      </c>
      <c r="I127" s="266">
        <f t="shared" si="8"/>
        <v>0</v>
      </c>
      <c r="J127" s="266">
        <f t="shared" si="9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2665</v>
      </c>
      <c r="F128" s="265">
        <v>1</v>
      </c>
      <c r="G128" s="265">
        <f t="shared" si="6"/>
        <v>0</v>
      </c>
      <c r="H128" s="266">
        <f t="shared" si="7"/>
        <v>0</v>
      </c>
      <c r="I128" s="266">
        <f t="shared" si="8"/>
        <v>0</v>
      </c>
      <c r="J128" s="266">
        <f t="shared" si="9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2665</v>
      </c>
      <c r="F129" s="265">
        <v>1</v>
      </c>
      <c r="G129" s="265">
        <f t="shared" si="6"/>
        <v>0</v>
      </c>
      <c r="H129" s="266">
        <f t="shared" si="7"/>
        <v>0</v>
      </c>
      <c r="I129" s="266">
        <f t="shared" si="8"/>
        <v>0</v>
      </c>
      <c r="J129" s="266">
        <f t="shared" si="9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2665</v>
      </c>
      <c r="F130" s="265">
        <v>1</v>
      </c>
      <c r="G130" s="265">
        <f t="shared" si="6"/>
        <v>0</v>
      </c>
      <c r="H130" s="266">
        <f t="shared" si="7"/>
        <v>0</v>
      </c>
      <c r="I130" s="266">
        <f t="shared" si="8"/>
        <v>0</v>
      </c>
      <c r="J130" s="266">
        <f t="shared" si="9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2665</v>
      </c>
      <c r="F131" s="265">
        <v>1</v>
      </c>
      <c r="G131" s="265">
        <f t="shared" si="6"/>
        <v>0</v>
      </c>
      <c r="H131" s="266">
        <f t="shared" si="7"/>
        <v>0</v>
      </c>
      <c r="I131" s="266">
        <f t="shared" si="8"/>
        <v>0</v>
      </c>
      <c r="J131" s="266">
        <f t="shared" si="9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2665</v>
      </c>
      <c r="F132" s="265">
        <v>1</v>
      </c>
      <c r="G132" s="265">
        <f t="shared" si="6"/>
        <v>0</v>
      </c>
      <c r="H132" s="266">
        <f t="shared" si="7"/>
        <v>0</v>
      </c>
      <c r="I132" s="266">
        <f t="shared" si="8"/>
        <v>0</v>
      </c>
      <c r="J132" s="266">
        <f t="shared" si="9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2665</v>
      </c>
      <c r="F133" s="265">
        <v>1</v>
      </c>
      <c r="G133" s="265">
        <f t="shared" ref="G133:G149" si="10">L133/F133/1.1</f>
        <v>0</v>
      </c>
      <c r="H133" s="266">
        <f t="shared" ref="H133:H149" si="11">F133*G133</f>
        <v>0</v>
      </c>
      <c r="I133" s="266">
        <f t="shared" si="8"/>
        <v>0</v>
      </c>
      <c r="J133" s="266">
        <f t="shared" si="9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2665</v>
      </c>
      <c r="F134" s="265">
        <v>1</v>
      </c>
      <c r="G134" s="265">
        <f t="shared" si="10"/>
        <v>0</v>
      </c>
      <c r="H134" s="266">
        <f t="shared" si="11"/>
        <v>0</v>
      </c>
      <c r="I134" s="266">
        <f t="shared" ref="I134:I149" si="12">H134*10%</f>
        <v>0</v>
      </c>
      <c r="J134" s="266">
        <f t="shared" ref="J134:J149" si="13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2665</v>
      </c>
      <c r="F135" s="265">
        <v>1</v>
      </c>
      <c r="G135" s="265">
        <f t="shared" si="10"/>
        <v>0</v>
      </c>
      <c r="H135" s="266">
        <f t="shared" si="11"/>
        <v>0</v>
      </c>
      <c r="I135" s="266">
        <f t="shared" si="12"/>
        <v>0</v>
      </c>
      <c r="J135" s="266">
        <f t="shared" si="13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0"/>
        <v>#DIV/0!</v>
      </c>
      <c r="H136" s="266" t="e">
        <f t="shared" si="11"/>
        <v>#DIV/0!</v>
      </c>
      <c r="I136" s="266" t="e">
        <f t="shared" si="12"/>
        <v>#DIV/0!</v>
      </c>
      <c r="J136" s="266">
        <f t="shared" si="13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0"/>
        <v>#DIV/0!</v>
      </c>
      <c r="H137" s="266" t="e">
        <f t="shared" si="11"/>
        <v>#DIV/0!</v>
      </c>
      <c r="I137" s="266" t="e">
        <f t="shared" si="12"/>
        <v>#DIV/0!</v>
      </c>
      <c r="J137" s="266">
        <f t="shared" si="13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0"/>
        <v>#DIV/0!</v>
      </c>
      <c r="H138" s="266" t="e">
        <f t="shared" si="11"/>
        <v>#DIV/0!</v>
      </c>
      <c r="I138" s="266" t="e">
        <f t="shared" si="12"/>
        <v>#DIV/0!</v>
      </c>
      <c r="J138" s="266">
        <f t="shared" si="13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0"/>
        <v>#DIV/0!</v>
      </c>
      <c r="H139" s="266" t="e">
        <f t="shared" si="11"/>
        <v>#DIV/0!</v>
      </c>
      <c r="I139" s="266" t="e">
        <f t="shared" si="12"/>
        <v>#DIV/0!</v>
      </c>
      <c r="J139" s="266">
        <f t="shared" si="13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0"/>
        <v>#DIV/0!</v>
      </c>
      <c r="H140" s="266" t="e">
        <f t="shared" si="11"/>
        <v>#DIV/0!</v>
      </c>
      <c r="I140" s="266" t="e">
        <f t="shared" si="12"/>
        <v>#DIV/0!</v>
      </c>
      <c r="J140" s="266">
        <f t="shared" si="13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0"/>
        <v>#DIV/0!</v>
      </c>
      <c r="H141" s="266" t="e">
        <f t="shared" si="11"/>
        <v>#DIV/0!</v>
      </c>
      <c r="I141" s="266" t="e">
        <f t="shared" si="12"/>
        <v>#DIV/0!</v>
      </c>
      <c r="J141" s="266">
        <f t="shared" si="13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0"/>
        <v>#DIV/0!</v>
      </c>
      <c r="H142" s="266" t="e">
        <f t="shared" si="11"/>
        <v>#DIV/0!</v>
      </c>
      <c r="I142" s="266" t="e">
        <f t="shared" si="12"/>
        <v>#DIV/0!</v>
      </c>
      <c r="J142" s="266">
        <f t="shared" si="13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0"/>
        <v>#DIV/0!</v>
      </c>
      <c r="H143" s="266" t="e">
        <f t="shared" si="11"/>
        <v>#DIV/0!</v>
      </c>
      <c r="I143" s="266" t="e">
        <f t="shared" si="12"/>
        <v>#DIV/0!</v>
      </c>
      <c r="J143" s="266">
        <f t="shared" si="13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0"/>
        <v>#DIV/0!</v>
      </c>
      <c r="H144" s="266" t="e">
        <f t="shared" si="11"/>
        <v>#DIV/0!</v>
      </c>
      <c r="I144" s="266" t="e">
        <f t="shared" si="12"/>
        <v>#DIV/0!</v>
      </c>
      <c r="J144" s="266">
        <f t="shared" si="13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0"/>
        <v>#DIV/0!</v>
      </c>
      <c r="H145" s="266" t="e">
        <f t="shared" si="11"/>
        <v>#DIV/0!</v>
      </c>
      <c r="I145" s="266" t="e">
        <f t="shared" si="12"/>
        <v>#DIV/0!</v>
      </c>
      <c r="J145" s="266">
        <f t="shared" si="13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0"/>
        <v>#DIV/0!</v>
      </c>
      <c r="H146" s="266" t="e">
        <f t="shared" si="11"/>
        <v>#DIV/0!</v>
      </c>
      <c r="I146" s="266" t="e">
        <f t="shared" si="12"/>
        <v>#DIV/0!</v>
      </c>
      <c r="J146" s="266">
        <f t="shared" si="13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0"/>
        <v>#DIV/0!</v>
      </c>
      <c r="H147" s="266" t="e">
        <f t="shared" si="11"/>
        <v>#DIV/0!</v>
      </c>
      <c r="I147" s="266" t="e">
        <f t="shared" si="12"/>
        <v>#DIV/0!</v>
      </c>
      <c r="J147" s="266">
        <f t="shared" si="13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0"/>
        <v>#DIV/0!</v>
      </c>
      <c r="H148" s="266" t="e">
        <f t="shared" si="11"/>
        <v>#DIV/0!</v>
      </c>
      <c r="I148" s="266" t="e">
        <f t="shared" si="12"/>
        <v>#DIV/0!</v>
      </c>
      <c r="J148" s="266">
        <f t="shared" si="13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0"/>
        <v>#DIV/0!</v>
      </c>
      <c r="H149" s="266" t="e">
        <f t="shared" si="11"/>
        <v>#DIV/0!</v>
      </c>
      <c r="I149" s="266" t="e">
        <f t="shared" si="12"/>
        <v>#DIV/0!</v>
      </c>
      <c r="J149" s="266">
        <f t="shared" si="13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2683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2650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2651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2684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2685</v>
      </c>
      <c r="K8" s="84" t="s">
        <v>1676</v>
      </c>
      <c r="L8" s="84" t="s">
        <v>2685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2319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45804</v>
      </c>
      <c r="U2" s="311"/>
    </row>
    <row r="3" spans="1:21" ht="24" customHeight="1">
      <c r="A3" s="378" t="s">
        <v>1203</v>
      </c>
      <c r="B3" s="37" t="s">
        <v>65</v>
      </c>
      <c r="C3" s="500" t="s">
        <v>1587</v>
      </c>
      <c r="D3" s="501"/>
      <c r="E3" s="501"/>
      <c r="F3" s="501"/>
      <c r="G3" s="501"/>
      <c r="H3" s="501"/>
      <c r="I3" s="501"/>
      <c r="J3" s="502"/>
      <c r="K3" s="384" t="s">
        <v>1204</v>
      </c>
      <c r="L3" s="37" t="s">
        <v>65</v>
      </c>
      <c r="M3" s="486" t="s">
        <v>971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466" t="s">
        <v>79</v>
      </c>
      <c r="U4" s="467"/>
    </row>
    <row r="5" spans="1:21" ht="15.75" customHeight="1">
      <c r="A5" s="379"/>
      <c r="B5" s="38" t="s">
        <v>66</v>
      </c>
      <c r="C5" s="393" t="s">
        <v>1116</v>
      </c>
      <c r="D5" s="394"/>
      <c r="E5" s="394"/>
      <c r="F5" s="394"/>
      <c r="G5" s="394"/>
      <c r="H5" s="394"/>
      <c r="I5" s="394"/>
      <c r="J5" s="395"/>
      <c r="K5" s="385"/>
      <c r="L5" s="38" t="s">
        <v>66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15.75" customHeight="1">
      <c r="A6" s="380"/>
      <c r="B6" s="38" t="s">
        <v>81</v>
      </c>
      <c r="C6" s="393" t="s">
        <v>1115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981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84</v>
      </c>
      <c r="G7" s="313"/>
      <c r="H7" s="313"/>
      <c r="I7" s="375"/>
      <c r="J7" s="376" t="s">
        <v>73</v>
      </c>
      <c r="K7" s="375"/>
      <c r="L7" s="376" t="s">
        <v>47</v>
      </c>
      <c r="M7" s="313"/>
      <c r="N7" s="313"/>
      <c r="O7" s="313"/>
      <c r="P7" s="375"/>
      <c r="Q7" s="376" t="s">
        <v>74</v>
      </c>
      <c r="R7" s="313"/>
      <c r="S7" s="375"/>
      <c r="T7" s="376" t="s">
        <v>75</v>
      </c>
      <c r="U7" s="377"/>
    </row>
    <row r="8" spans="1:21" ht="15" customHeight="1">
      <c r="A8" s="503" t="s">
        <v>1167</v>
      </c>
      <c r="B8" s="504"/>
      <c r="C8" s="504"/>
      <c r="D8" s="504"/>
      <c r="E8" s="505"/>
      <c r="F8" s="506"/>
      <c r="G8" s="504"/>
      <c r="H8" s="504"/>
      <c r="I8" s="505"/>
      <c r="J8" s="422">
        <v>1</v>
      </c>
      <c r="K8" s="421"/>
      <c r="L8" s="507">
        <v>1000000</v>
      </c>
      <c r="M8" s="508"/>
      <c r="N8" s="508"/>
      <c r="O8" s="508"/>
      <c r="P8" s="509"/>
      <c r="Q8" s="507">
        <v>1000000</v>
      </c>
      <c r="R8" s="508"/>
      <c r="S8" s="509"/>
      <c r="T8" s="426"/>
      <c r="U8" s="427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411"/>
      <c r="K9" s="410"/>
      <c r="L9" s="490"/>
      <c r="M9" s="491"/>
      <c r="N9" s="491"/>
      <c r="O9" s="491"/>
      <c r="P9" s="492"/>
      <c r="Q9" s="490"/>
      <c r="R9" s="491"/>
      <c r="S9" s="492"/>
      <c r="T9" s="415"/>
      <c r="U9" s="416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411"/>
      <c r="K10" s="410"/>
      <c r="L10" s="490"/>
      <c r="M10" s="491"/>
      <c r="N10" s="491"/>
      <c r="O10" s="491"/>
      <c r="P10" s="492"/>
      <c r="Q10" s="490"/>
      <c r="R10" s="491"/>
      <c r="S10" s="492"/>
      <c r="T10" s="415"/>
      <c r="U10" s="416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411"/>
      <c r="K11" s="410"/>
      <c r="L11" s="490"/>
      <c r="M11" s="491"/>
      <c r="N11" s="491"/>
      <c r="O11" s="491"/>
      <c r="P11" s="492"/>
      <c r="Q11" s="490"/>
      <c r="R11" s="491"/>
      <c r="S11" s="492"/>
      <c r="T11" s="415"/>
      <c r="U11" s="416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411"/>
      <c r="K12" s="410"/>
      <c r="L12" s="490"/>
      <c r="M12" s="491"/>
      <c r="N12" s="491"/>
      <c r="O12" s="491"/>
      <c r="P12" s="492"/>
      <c r="Q12" s="490"/>
      <c r="R12" s="491"/>
      <c r="S12" s="492"/>
      <c r="T12" s="415"/>
      <c r="U12" s="416"/>
    </row>
    <row r="13" spans="1:21" ht="15" customHeight="1">
      <c r="A13" s="493"/>
      <c r="B13" s="494"/>
      <c r="C13" s="494"/>
      <c r="D13" s="494"/>
      <c r="E13" s="495"/>
      <c r="F13" s="497"/>
      <c r="G13" s="498"/>
      <c r="H13" s="498"/>
      <c r="I13" s="499"/>
      <c r="J13" s="411"/>
      <c r="K13" s="410"/>
      <c r="L13" s="490"/>
      <c r="M13" s="491"/>
      <c r="N13" s="491"/>
      <c r="O13" s="491"/>
      <c r="P13" s="492"/>
      <c r="Q13" s="490"/>
      <c r="R13" s="491"/>
      <c r="S13" s="492"/>
      <c r="T13" s="415"/>
      <c r="U13" s="416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411"/>
      <c r="K14" s="410"/>
      <c r="L14" s="490"/>
      <c r="M14" s="491"/>
      <c r="N14" s="491"/>
      <c r="O14" s="491"/>
      <c r="P14" s="492"/>
      <c r="Q14" s="490"/>
      <c r="R14" s="491"/>
      <c r="S14" s="492"/>
      <c r="T14" s="415"/>
      <c r="U14" s="416"/>
    </row>
    <row r="15" spans="1:21" ht="15" customHeight="1">
      <c r="A15" s="408"/>
      <c r="B15" s="409"/>
      <c r="C15" s="409"/>
      <c r="D15" s="409"/>
      <c r="E15" s="410"/>
      <c r="F15" s="411"/>
      <c r="G15" s="409"/>
      <c r="H15" s="409"/>
      <c r="I15" s="410"/>
      <c r="J15" s="411"/>
      <c r="K15" s="410"/>
      <c r="L15" s="480"/>
      <c r="M15" s="481"/>
      <c r="N15" s="481"/>
      <c r="O15" s="481"/>
      <c r="P15" s="482"/>
      <c r="Q15" s="480"/>
      <c r="R15" s="481"/>
      <c r="S15" s="482"/>
      <c r="T15" s="415"/>
      <c r="U15" s="416"/>
    </row>
    <row r="16" spans="1:21" ht="15" customHeight="1">
      <c r="A16" s="408"/>
      <c r="B16" s="409"/>
      <c r="C16" s="409"/>
      <c r="D16" s="409"/>
      <c r="E16" s="410"/>
      <c r="F16" s="411"/>
      <c r="G16" s="409"/>
      <c r="H16" s="409"/>
      <c r="I16" s="410"/>
      <c r="J16" s="411"/>
      <c r="K16" s="410"/>
      <c r="L16" s="480"/>
      <c r="M16" s="481"/>
      <c r="N16" s="481"/>
      <c r="O16" s="481"/>
      <c r="P16" s="482"/>
      <c r="Q16" s="480"/>
      <c r="R16" s="481"/>
      <c r="S16" s="482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1"/>
      <c r="G17" s="409"/>
      <c r="H17" s="409"/>
      <c r="I17" s="410"/>
      <c r="J17" s="411"/>
      <c r="K17" s="410"/>
      <c r="L17" s="480"/>
      <c r="M17" s="481"/>
      <c r="N17" s="481"/>
      <c r="O17" s="481"/>
      <c r="P17" s="482"/>
      <c r="Q17" s="480"/>
      <c r="R17" s="481"/>
      <c r="S17" s="482"/>
      <c r="T17" s="415"/>
      <c r="U17" s="416"/>
    </row>
    <row r="18" spans="1:21" ht="15" customHeight="1">
      <c r="A18" s="408"/>
      <c r="B18" s="409"/>
      <c r="C18" s="409"/>
      <c r="D18" s="409"/>
      <c r="E18" s="410"/>
      <c r="F18" s="411"/>
      <c r="G18" s="409"/>
      <c r="H18" s="409"/>
      <c r="I18" s="410"/>
      <c r="J18" s="411"/>
      <c r="K18" s="410"/>
      <c r="L18" s="480"/>
      <c r="M18" s="481"/>
      <c r="N18" s="481"/>
      <c r="O18" s="481"/>
      <c r="P18" s="482"/>
      <c r="Q18" s="480"/>
      <c r="R18" s="481"/>
      <c r="S18" s="482"/>
      <c r="T18" s="415"/>
      <c r="U18" s="416"/>
    </row>
    <row r="19" spans="1:21" ht="15" customHeight="1">
      <c r="A19" s="451"/>
      <c r="B19" s="452"/>
      <c r="C19" s="452"/>
      <c r="D19" s="452"/>
      <c r="E19" s="453"/>
      <c r="F19" s="454"/>
      <c r="G19" s="452"/>
      <c r="H19" s="452"/>
      <c r="I19" s="453"/>
      <c r="J19" s="454"/>
      <c r="K19" s="453"/>
      <c r="L19" s="468"/>
      <c r="M19" s="469"/>
      <c r="N19" s="469"/>
      <c r="O19" s="469"/>
      <c r="P19" s="470"/>
      <c r="Q19" s="468"/>
      <c r="R19" s="469"/>
      <c r="S19" s="470"/>
      <c r="T19" s="471"/>
      <c r="U19" s="472"/>
    </row>
    <row r="20" spans="1:21">
      <c r="A20" s="312" t="s">
        <v>87</v>
      </c>
      <c r="B20" s="313"/>
      <c r="C20" s="313"/>
      <c r="D20" s="313"/>
      <c r="E20" s="313"/>
      <c r="F20" s="314">
        <v>2450000</v>
      </c>
      <c r="G20" s="314"/>
      <c r="H20" s="314"/>
      <c r="I20" s="315"/>
      <c r="J20" s="459">
        <f>SUM(J8:K19)</f>
        <v>1</v>
      </c>
      <c r="K20" s="459"/>
      <c r="L20" s="513" t="s">
        <v>966</v>
      </c>
      <c r="M20" s="514"/>
      <c r="N20" s="514"/>
      <c r="O20" s="514"/>
      <c r="P20" s="515"/>
      <c r="Q20" s="354">
        <f>SUM(Q8:S19)</f>
        <v>1000000</v>
      </c>
      <c r="R20" s="314"/>
      <c r="S20" s="314"/>
      <c r="T20" s="314"/>
      <c r="U20" s="355"/>
    </row>
    <row r="21" spans="1:21" ht="17.25" thickBot="1">
      <c r="A21" s="317" t="s">
        <v>97</v>
      </c>
      <c r="B21" s="318"/>
      <c r="C21" s="318"/>
      <c r="D21" s="318"/>
      <c r="E21" s="318"/>
      <c r="F21" s="319">
        <f>F20+Q20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47"/>
      <c r="Q21" s="460" t="str">
        <f>C3</f>
        <v>제이오토(대구)</v>
      </c>
      <c r="R21" s="461"/>
      <c r="S21" s="461"/>
      <c r="T21" s="461"/>
      <c r="U21" s="462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463" t="s">
        <v>77</v>
      </c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64"/>
      <c r="O24" s="464"/>
      <c r="P24" s="464"/>
      <c r="Q24" s="464"/>
      <c r="R24" s="464"/>
      <c r="S24" s="464"/>
      <c r="T24" s="464"/>
      <c r="U24" s="465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83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78" t="s">
        <v>1203</v>
      </c>
      <c r="B26" s="37" t="s">
        <v>65</v>
      </c>
      <c r="C26" s="483" t="str">
        <f>C3</f>
        <v>제이오토(대구)</v>
      </c>
      <c r="D26" s="484"/>
      <c r="E26" s="484"/>
      <c r="F26" s="484"/>
      <c r="G26" s="484"/>
      <c r="H26" s="484"/>
      <c r="I26" s="484"/>
      <c r="J26" s="485"/>
      <c r="K26" s="384" t="s">
        <v>1204</v>
      </c>
      <c r="L26" s="37" t="s">
        <v>65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79"/>
      <c r="B27" s="37" t="s">
        <v>67</v>
      </c>
      <c r="C27" s="510">
        <f>C4</f>
        <v>0</v>
      </c>
      <c r="D27" s="511"/>
      <c r="E27" s="511"/>
      <c r="F27" s="511"/>
      <c r="G27" s="511"/>
      <c r="H27" s="511"/>
      <c r="I27" s="511"/>
      <c r="J27" s="512"/>
      <c r="K27" s="385"/>
      <c r="L27" s="37" t="s">
        <v>67</v>
      </c>
      <c r="M27" s="393" t="str">
        <f>M4</f>
        <v>259-12-01768</v>
      </c>
      <c r="N27" s="394"/>
      <c r="O27" s="394"/>
      <c r="P27" s="394"/>
      <c r="Q27" s="394"/>
      <c r="R27" s="395"/>
      <c r="S27" s="38" t="s">
        <v>68</v>
      </c>
      <c r="T27" s="466" t="str">
        <f>T4</f>
        <v>장효주</v>
      </c>
      <c r="U27" s="467"/>
    </row>
    <row r="28" spans="1:21" ht="15.7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tr">
        <f>M5</f>
        <v>대구 달서구 용산로 28(본리동)</v>
      </c>
      <c r="N28" s="394"/>
      <c r="O28" s="394"/>
      <c r="P28" s="394"/>
      <c r="Q28" s="394"/>
      <c r="R28" s="394"/>
      <c r="S28" s="394"/>
      <c r="T28" s="394"/>
      <c r="U28" s="396"/>
    </row>
    <row r="29" spans="1:21" ht="15.7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tr">
        <f>M6</f>
        <v>010-5168-3542</v>
      </c>
      <c r="N29" s="394"/>
      <c r="O29" s="394"/>
      <c r="P29" s="394"/>
      <c r="Q29" s="394"/>
      <c r="R29" s="395"/>
      <c r="S29" s="38" t="s">
        <v>26</v>
      </c>
      <c r="T29" s="393"/>
      <c r="U29" s="396"/>
    </row>
    <row r="30" spans="1:21" ht="15.75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73</v>
      </c>
      <c r="K30" s="375"/>
      <c r="L30" s="376" t="s">
        <v>47</v>
      </c>
      <c r="M30" s="313"/>
      <c r="N30" s="313"/>
      <c r="O30" s="313"/>
      <c r="P30" s="375"/>
      <c r="Q30" s="376" t="s">
        <v>74</v>
      </c>
      <c r="R30" s="313"/>
      <c r="S30" s="375"/>
      <c r="T30" s="376" t="s">
        <v>75</v>
      </c>
      <c r="U30" s="377"/>
    </row>
    <row r="31" spans="1:21" ht="15" customHeight="1">
      <c r="A31" s="477" t="str">
        <f>A8</f>
        <v>8HP70 VALBEBODY</v>
      </c>
      <c r="B31" s="478"/>
      <c r="C31" s="478"/>
      <c r="D31" s="478"/>
      <c r="E31" s="478"/>
      <c r="F31" s="478">
        <f>F8</f>
        <v>0</v>
      </c>
      <c r="G31" s="478"/>
      <c r="H31" s="478"/>
      <c r="I31" s="478"/>
      <c r="J31" s="478">
        <f>J8</f>
        <v>1</v>
      </c>
      <c r="K31" s="478"/>
      <c r="L31" s="479">
        <f>L8</f>
        <v>1000000</v>
      </c>
      <c r="M31" s="479"/>
      <c r="N31" s="479"/>
      <c r="O31" s="479"/>
      <c r="P31" s="479"/>
      <c r="Q31" s="479">
        <f>Q8</f>
        <v>1000000</v>
      </c>
      <c r="R31" s="479"/>
      <c r="S31" s="479"/>
      <c r="T31" s="478">
        <f>T8</f>
        <v>0</v>
      </c>
      <c r="U31" s="489"/>
    </row>
    <row r="32" spans="1:21" ht="15" customHeight="1">
      <c r="A32" s="458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55">
        <f t="shared" ref="T32:T42" si="5">T9</f>
        <v>0</v>
      </c>
      <c r="U32" s="456"/>
    </row>
    <row r="33" spans="1:21" ht="15" customHeight="1">
      <c r="A33" s="458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55">
        <f t="shared" si="5"/>
        <v>0</v>
      </c>
      <c r="U33" s="456"/>
    </row>
    <row r="34" spans="1:21" ht="15" customHeight="1">
      <c r="A34" s="458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55">
        <f t="shared" si="5"/>
        <v>0</v>
      </c>
      <c r="U34" s="456"/>
    </row>
    <row r="35" spans="1:21" ht="15" customHeight="1">
      <c r="A35" s="458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55">
        <f t="shared" si="5"/>
        <v>0</v>
      </c>
      <c r="U35" s="456"/>
    </row>
    <row r="36" spans="1:21" ht="15" customHeight="1">
      <c r="A36" s="458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55">
        <f t="shared" si="5"/>
        <v>0</v>
      </c>
      <c r="U36" s="456"/>
    </row>
    <row r="37" spans="1:21" ht="15" customHeight="1">
      <c r="A37" s="458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55">
        <f t="shared" si="5"/>
        <v>0</v>
      </c>
      <c r="U37" s="456"/>
    </row>
    <row r="38" spans="1:21" ht="15" customHeight="1">
      <c r="A38" s="458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55">
        <f t="shared" si="5"/>
        <v>0</v>
      </c>
      <c r="U38" s="456"/>
    </row>
    <row r="39" spans="1:21" ht="15" customHeight="1">
      <c r="A39" s="458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55">
        <f t="shared" si="5"/>
        <v>0</v>
      </c>
      <c r="U39" s="456"/>
    </row>
    <row r="40" spans="1:21" ht="15" customHeight="1">
      <c r="A40" s="458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55">
        <f t="shared" si="5"/>
        <v>0</v>
      </c>
      <c r="U40" s="456"/>
    </row>
    <row r="41" spans="1:21" ht="15" customHeight="1">
      <c r="A41" s="458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55">
        <f t="shared" si="5"/>
        <v>0</v>
      </c>
      <c r="U41" s="456"/>
    </row>
    <row r="42" spans="1:21" ht="15" customHeight="1">
      <c r="A42" s="473">
        <f t="shared" si="0"/>
        <v>0</v>
      </c>
      <c r="B42" s="474"/>
      <c r="C42" s="474"/>
      <c r="D42" s="474"/>
      <c r="E42" s="474"/>
      <c r="F42" s="474">
        <f t="shared" si="1"/>
        <v>0</v>
      </c>
      <c r="G42" s="474"/>
      <c r="H42" s="474"/>
      <c r="I42" s="474"/>
      <c r="J42" s="474">
        <f t="shared" si="2"/>
        <v>0</v>
      </c>
      <c r="K42" s="474"/>
      <c r="L42" s="475">
        <f t="shared" si="3"/>
        <v>0</v>
      </c>
      <c r="M42" s="475"/>
      <c r="N42" s="475"/>
      <c r="O42" s="475"/>
      <c r="P42" s="475"/>
      <c r="Q42" s="475">
        <f t="shared" si="4"/>
        <v>0</v>
      </c>
      <c r="R42" s="475"/>
      <c r="S42" s="475"/>
      <c r="T42" s="474">
        <f t="shared" si="5"/>
        <v>0</v>
      </c>
      <c r="U42" s="476"/>
    </row>
    <row r="43" spans="1:21">
      <c r="A43" s="312" t="s">
        <v>87</v>
      </c>
      <c r="B43" s="313"/>
      <c r="C43" s="313"/>
      <c r="D43" s="313"/>
      <c r="E43" s="313"/>
      <c r="F43" s="314">
        <f>F20</f>
        <v>2450000</v>
      </c>
      <c r="G43" s="314"/>
      <c r="H43" s="314"/>
      <c r="I43" s="315"/>
      <c r="J43" s="459">
        <f>J20</f>
        <v>1</v>
      </c>
      <c r="K43" s="459"/>
      <c r="L43" s="513" t="s">
        <v>966</v>
      </c>
      <c r="M43" s="514"/>
      <c r="N43" s="514"/>
      <c r="O43" s="514"/>
      <c r="P43" s="515"/>
      <c r="Q43" s="516">
        <f>Q20</f>
        <v>1000000</v>
      </c>
      <c r="R43" s="517"/>
      <c r="S43" s="517"/>
      <c r="T43" s="517"/>
      <c r="U43" s="518"/>
    </row>
    <row r="44" spans="1:21" ht="17.25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22" t="str">
        <f>L21</f>
        <v>장효주</v>
      </c>
      <c r="M44" s="322"/>
      <c r="N44" s="322"/>
      <c r="O44" s="321" t="s">
        <v>70</v>
      </c>
      <c r="P44" s="347"/>
      <c r="Q44" s="460" t="str">
        <f>Q21</f>
        <v>제이오토(대구)</v>
      </c>
      <c r="R44" s="461"/>
      <c r="S44" s="461"/>
      <c r="T44" s="461"/>
      <c r="U44" s="46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06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531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2700</v>
      </c>
    </row>
    <row r="400" spans="1:4">
      <c r="A400">
        <v>424</v>
      </c>
      <c r="B400" s="13">
        <v>45826</v>
      </c>
      <c r="C400" t="s">
        <v>2603</v>
      </c>
      <c r="D400" t="s">
        <v>2701</v>
      </c>
    </row>
    <row r="401" spans="1:4">
      <c r="A401">
        <v>425</v>
      </c>
      <c r="B401" s="13">
        <v>45826</v>
      </c>
      <c r="C401" t="s">
        <v>2063</v>
      </c>
      <c r="D401" t="s">
        <v>2702</v>
      </c>
    </row>
    <row r="402" spans="1:4">
      <c r="A402">
        <v>426</v>
      </c>
      <c r="B402" s="13">
        <v>45826</v>
      </c>
      <c r="C402" t="s">
        <v>2390</v>
      </c>
      <c r="D402" t="s">
        <v>2703</v>
      </c>
    </row>
    <row r="403" spans="1:4">
      <c r="A403">
        <v>427</v>
      </c>
      <c r="B403" s="13">
        <v>45826</v>
      </c>
      <c r="C403" t="s">
        <v>1790</v>
      </c>
      <c r="D403" t="s">
        <v>2704</v>
      </c>
    </row>
    <row r="404" spans="1:4">
      <c r="A404">
        <v>428</v>
      </c>
      <c r="B404" s="13">
        <v>45826</v>
      </c>
      <c r="C404" t="s">
        <v>1445</v>
      </c>
      <c r="D404" t="s">
        <v>2705</v>
      </c>
    </row>
    <row r="405" spans="1:4">
      <c r="A405">
        <v>429</v>
      </c>
      <c r="B405" s="13">
        <v>45827</v>
      </c>
      <c r="C405" t="s">
        <v>2063</v>
      </c>
      <c r="D405" t="s">
        <v>2707</v>
      </c>
    </row>
    <row r="406" spans="1:4">
      <c r="A406">
        <v>430</v>
      </c>
      <c r="B406" s="13">
        <v>45827</v>
      </c>
      <c r="C406" t="s">
        <v>1495</v>
      </c>
      <c r="D406" t="s">
        <v>2708</v>
      </c>
    </row>
    <row r="407" spans="1:4">
      <c r="A407">
        <v>431</v>
      </c>
      <c r="B407" s="13">
        <v>45827</v>
      </c>
      <c r="C407" t="s">
        <v>2689</v>
      </c>
      <c r="D407" t="s">
        <v>2713</v>
      </c>
    </row>
    <row r="408" spans="1:4">
      <c r="A408">
        <v>432</v>
      </c>
      <c r="B408" s="13">
        <v>45827</v>
      </c>
      <c r="C408" t="s">
        <v>1445</v>
      </c>
      <c r="D408" t="s">
        <v>2716</v>
      </c>
    </row>
    <row r="409" spans="1:4">
      <c r="A409">
        <v>433</v>
      </c>
      <c r="B409" s="13">
        <v>45827</v>
      </c>
      <c r="C409" t="s">
        <v>1490</v>
      </c>
      <c r="D409" t="s">
        <v>2717</v>
      </c>
    </row>
    <row r="410" spans="1:4">
      <c r="A410">
        <v>434</v>
      </c>
      <c r="B410" s="13">
        <v>45827</v>
      </c>
      <c r="C410" t="s">
        <v>1790</v>
      </c>
      <c r="D410" t="s">
        <v>2718</v>
      </c>
    </row>
    <row r="411" spans="1:4">
      <c r="A411">
        <v>435</v>
      </c>
      <c r="B411" s="13">
        <v>45827</v>
      </c>
      <c r="C411" t="s">
        <v>2524</v>
      </c>
      <c r="D411" t="s">
        <v>2719</v>
      </c>
    </row>
    <row r="412" spans="1:4">
      <c r="A412">
        <v>436</v>
      </c>
      <c r="B412" s="13">
        <v>45827</v>
      </c>
      <c r="C412" t="s">
        <v>1626</v>
      </c>
      <c r="D412" t="s">
        <v>2721</v>
      </c>
    </row>
    <row r="413" spans="1:4">
      <c r="A413">
        <v>437</v>
      </c>
      <c r="B413" s="13">
        <v>45827</v>
      </c>
      <c r="C413" t="s">
        <v>1626</v>
      </c>
      <c r="D413" t="s">
        <v>2723</v>
      </c>
    </row>
    <row r="414" spans="1:4">
      <c r="A414">
        <v>438</v>
      </c>
      <c r="B414" s="13">
        <v>45828</v>
      </c>
      <c r="C414" t="s">
        <v>2730</v>
      </c>
      <c r="D414" t="s">
        <v>2731</v>
      </c>
    </row>
    <row r="415" spans="1:4">
      <c r="A415">
        <v>439</v>
      </c>
      <c r="B415" s="13">
        <v>45828</v>
      </c>
      <c r="C415" t="s">
        <v>1629</v>
      </c>
      <c r="D415" t="s">
        <v>2732</v>
      </c>
    </row>
    <row r="416" spans="1:4">
      <c r="A416">
        <v>440</v>
      </c>
      <c r="B416" s="13">
        <v>45828</v>
      </c>
      <c r="C416" t="s">
        <v>1027</v>
      </c>
      <c r="D416" t="s">
        <v>2733</v>
      </c>
    </row>
    <row r="417" spans="1:4">
      <c r="A417">
        <v>441</v>
      </c>
      <c r="B417" s="13">
        <v>45828</v>
      </c>
      <c r="C417" t="s">
        <v>1587</v>
      </c>
      <c r="D417" t="s">
        <v>2734</v>
      </c>
    </row>
    <row r="418" spans="1:4">
      <c r="A418">
        <v>442</v>
      </c>
      <c r="B418" s="13">
        <v>45828</v>
      </c>
      <c r="C418" t="s">
        <v>2735</v>
      </c>
      <c r="D418" t="s">
        <v>2736</v>
      </c>
    </row>
    <row r="419" spans="1:4">
      <c r="A419">
        <v>443</v>
      </c>
      <c r="B419" s="13">
        <v>45828</v>
      </c>
      <c r="C419" t="s">
        <v>1629</v>
      </c>
      <c r="D419" t="s">
        <v>2737</v>
      </c>
    </row>
    <row r="420" spans="1:4">
      <c r="A420">
        <v>444</v>
      </c>
      <c r="B420" s="13">
        <v>45828</v>
      </c>
      <c r="C420" t="s">
        <v>2744</v>
      </c>
      <c r="D420" t="s">
        <v>2745</v>
      </c>
    </row>
    <row r="421" spans="1:4">
      <c r="A421">
        <v>445</v>
      </c>
      <c r="B421" s="13">
        <v>45829</v>
      </c>
      <c r="C421" t="s">
        <v>1635</v>
      </c>
      <c r="D421" t="s">
        <v>2751</v>
      </c>
    </row>
    <row r="422" spans="1:4">
      <c r="A422">
        <v>446</v>
      </c>
      <c r="B422" s="13">
        <v>45829</v>
      </c>
      <c r="C422" t="s">
        <v>2630</v>
      </c>
      <c r="D422" t="s">
        <v>2752</v>
      </c>
    </row>
    <row r="423" spans="1:4">
      <c r="A423">
        <v>447</v>
      </c>
      <c r="B423" s="13">
        <v>45829</v>
      </c>
      <c r="C423" t="s">
        <v>1790</v>
      </c>
      <c r="D423" t="s">
        <v>2755</v>
      </c>
    </row>
    <row r="424" spans="1:4">
      <c r="A424">
        <v>448</v>
      </c>
      <c r="B424" s="13">
        <v>45831</v>
      </c>
      <c r="C424" t="s">
        <v>2756</v>
      </c>
      <c r="D424" t="s">
        <v>2757</v>
      </c>
    </row>
    <row r="425" spans="1:4">
      <c r="A425">
        <v>449</v>
      </c>
      <c r="B425" s="13">
        <v>45831</v>
      </c>
      <c r="C425" t="s">
        <v>2763</v>
      </c>
      <c r="D425" t="s">
        <v>2764</v>
      </c>
    </row>
    <row r="426" spans="1:4">
      <c r="A426">
        <v>450</v>
      </c>
      <c r="B426" s="13">
        <v>45832</v>
      </c>
      <c r="C426" t="s">
        <v>1183</v>
      </c>
      <c r="D426" t="s">
        <v>2770</v>
      </c>
    </row>
    <row r="427" spans="1:4">
      <c r="A427">
        <v>451</v>
      </c>
      <c r="B427" s="13">
        <v>45832</v>
      </c>
      <c r="C427" t="s">
        <v>1629</v>
      </c>
      <c r="D427" t="s">
        <v>2771</v>
      </c>
    </row>
    <row r="428" spans="1:4">
      <c r="A428">
        <v>452</v>
      </c>
      <c r="B428" s="13">
        <v>45832</v>
      </c>
      <c r="C428" t="s">
        <v>2603</v>
      </c>
      <c r="D428" t="s">
        <v>2779</v>
      </c>
    </row>
    <row r="429" spans="1:4">
      <c r="A429">
        <v>453</v>
      </c>
      <c r="B429" s="13">
        <v>45832</v>
      </c>
      <c r="C429" t="s">
        <v>2772</v>
      </c>
      <c r="D429" t="s">
        <v>2780</v>
      </c>
    </row>
    <row r="430" spans="1:4">
      <c r="A430">
        <v>454</v>
      </c>
      <c r="B430" s="13">
        <v>45832</v>
      </c>
      <c r="C430" t="s">
        <v>1790</v>
      </c>
      <c r="D430" t="s">
        <v>2781</v>
      </c>
    </row>
    <row r="431" spans="1:4">
      <c r="A431">
        <v>455</v>
      </c>
      <c r="B431" s="13">
        <v>45832</v>
      </c>
      <c r="C431" t="s">
        <v>1587</v>
      </c>
      <c r="D431" t="s">
        <v>2782</v>
      </c>
    </row>
    <row r="432" spans="1:4">
      <c r="A432">
        <v>456</v>
      </c>
      <c r="B432" s="13">
        <v>45833</v>
      </c>
      <c r="C432" t="s">
        <v>1060</v>
      </c>
      <c r="D432" t="s">
        <v>2789</v>
      </c>
    </row>
    <row r="433" spans="1:4">
      <c r="A433">
        <v>457</v>
      </c>
      <c r="B433" s="13">
        <v>45833</v>
      </c>
      <c r="C433" t="s">
        <v>987</v>
      </c>
      <c r="D433" t="s">
        <v>2790</v>
      </c>
    </row>
    <row r="434" spans="1:4">
      <c r="A434">
        <v>458</v>
      </c>
      <c r="B434" s="13">
        <v>45833</v>
      </c>
      <c r="C434" t="s">
        <v>1979</v>
      </c>
      <c r="D434" t="s">
        <v>2791</v>
      </c>
    </row>
    <row r="435" spans="1:4">
      <c r="A435">
        <v>459</v>
      </c>
      <c r="B435" s="13">
        <v>45833</v>
      </c>
      <c r="C435" t="s">
        <v>1647</v>
      </c>
      <c r="D435" t="s">
        <v>2793</v>
      </c>
    </row>
    <row r="436" spans="1:4">
      <c r="A436">
        <v>460</v>
      </c>
      <c r="B436" s="13">
        <v>45833</v>
      </c>
      <c r="C436" t="s">
        <v>2784</v>
      </c>
      <c r="D436" t="s">
        <v>2794</v>
      </c>
    </row>
    <row r="437" spans="1:4">
      <c r="A437">
        <v>461</v>
      </c>
      <c r="B437" s="13">
        <v>45833</v>
      </c>
      <c r="C437" t="s">
        <v>1069</v>
      </c>
      <c r="D437" t="s">
        <v>2799</v>
      </c>
    </row>
    <row r="438" spans="1:4">
      <c r="A438">
        <v>462</v>
      </c>
      <c r="B438" s="13">
        <v>45833</v>
      </c>
      <c r="C438" t="s">
        <v>1635</v>
      </c>
      <c r="D438" t="s">
        <v>2800</v>
      </c>
    </row>
    <row r="439" spans="1:4">
      <c r="A439">
        <v>463</v>
      </c>
      <c r="B439" s="13">
        <v>45833</v>
      </c>
      <c r="C439" t="s">
        <v>1525</v>
      </c>
      <c r="D439" t="s">
        <v>2806</v>
      </c>
    </row>
    <row r="440" spans="1:4">
      <c r="A440">
        <v>464</v>
      </c>
      <c r="B440" s="13">
        <v>45834</v>
      </c>
      <c r="C440" t="s">
        <v>1515</v>
      </c>
      <c r="D440" t="s">
        <v>2807</v>
      </c>
    </row>
    <row r="441" spans="1:4">
      <c r="A441">
        <v>465</v>
      </c>
      <c r="B441" s="13">
        <v>45834</v>
      </c>
      <c r="C441" t="s">
        <v>1790</v>
      </c>
      <c r="D441" t="s">
        <v>2812</v>
      </c>
    </row>
    <row r="442" spans="1:4">
      <c r="A442">
        <v>466</v>
      </c>
      <c r="B442" s="13">
        <v>45834</v>
      </c>
      <c r="C442" t="s">
        <v>1445</v>
      </c>
      <c r="D442" t="s">
        <v>2813</v>
      </c>
    </row>
    <row r="443" spans="1:4">
      <c r="A443">
        <v>467</v>
      </c>
      <c r="B443" s="13">
        <v>45834</v>
      </c>
      <c r="C443" t="s">
        <v>1445</v>
      </c>
      <c r="D443" t="s">
        <v>2816</v>
      </c>
    </row>
    <row r="444" spans="1:4">
      <c r="A444">
        <v>468</v>
      </c>
      <c r="B444" s="13">
        <v>45834</v>
      </c>
      <c r="C444" t="s">
        <v>1445</v>
      </c>
      <c r="D444" t="s">
        <v>2833</v>
      </c>
    </row>
    <row r="445" spans="1:4">
      <c r="A445">
        <v>469</v>
      </c>
      <c r="B445" s="13">
        <v>45834</v>
      </c>
      <c r="C445" t="s">
        <v>1069</v>
      </c>
      <c r="D445" t="s">
        <v>2836</v>
      </c>
    </row>
    <row r="446" spans="1:4">
      <c r="A446">
        <v>470</v>
      </c>
      <c r="B446" s="13">
        <v>45835</v>
      </c>
      <c r="C446" t="s">
        <v>1424</v>
      </c>
      <c r="D446" t="s">
        <v>2847</v>
      </c>
    </row>
    <row r="447" spans="1:4">
      <c r="A447">
        <v>471</v>
      </c>
      <c r="B447" s="13">
        <v>45835</v>
      </c>
      <c r="C447" t="s">
        <v>1513</v>
      </c>
      <c r="D447" t="s">
        <v>2848</v>
      </c>
    </row>
    <row r="448" spans="1:4">
      <c r="A448">
        <v>472</v>
      </c>
      <c r="B448" s="13">
        <v>45835</v>
      </c>
      <c r="C448" t="s">
        <v>1069</v>
      </c>
      <c r="D448" t="s">
        <v>2850</v>
      </c>
    </row>
    <row r="449" spans="1:4">
      <c r="A449">
        <v>473</v>
      </c>
      <c r="B449" s="13">
        <v>45835</v>
      </c>
      <c r="C449" t="s">
        <v>1626</v>
      </c>
      <c r="D449" t="s">
        <v>2851</v>
      </c>
    </row>
    <row r="450" spans="1:4">
      <c r="A450">
        <v>474</v>
      </c>
      <c r="B450" s="13">
        <v>45835</v>
      </c>
      <c r="C450" t="s">
        <v>1790</v>
      </c>
      <c r="D450" t="s">
        <v>2853</v>
      </c>
    </row>
    <row r="451" spans="1:4">
      <c r="A451">
        <v>475</v>
      </c>
      <c r="B451" s="13">
        <v>45835</v>
      </c>
      <c r="C451" t="s">
        <v>1519</v>
      </c>
      <c r="D451" t="s">
        <v>2854</v>
      </c>
    </row>
    <row r="452" spans="1:4">
      <c r="A452">
        <v>476</v>
      </c>
      <c r="B452" s="13">
        <v>45838</v>
      </c>
      <c r="C452" t="s">
        <v>2390</v>
      </c>
      <c r="D452" t="s">
        <v>2859</v>
      </c>
    </row>
    <row r="453" spans="1:4">
      <c r="A453">
        <v>477</v>
      </c>
      <c r="B453" s="13">
        <v>45838</v>
      </c>
      <c r="C453" t="s">
        <v>1790</v>
      </c>
      <c r="D453" t="s">
        <v>2867</v>
      </c>
    </row>
    <row r="454" spans="1:4">
      <c r="A454">
        <v>478</v>
      </c>
      <c r="B454" s="13">
        <v>45838</v>
      </c>
      <c r="C454" t="s">
        <v>1105</v>
      </c>
      <c r="D454" t="s">
        <v>2870</v>
      </c>
    </row>
    <row r="455" spans="1:4">
      <c r="A455">
        <v>479</v>
      </c>
      <c r="B455" s="13">
        <v>45838</v>
      </c>
      <c r="C455" t="s">
        <v>2860</v>
      </c>
      <c r="D455" t="s">
        <v>2871</v>
      </c>
    </row>
    <row r="456" spans="1:4">
      <c r="A456">
        <v>480</v>
      </c>
      <c r="B456" s="13">
        <v>45838</v>
      </c>
      <c r="C456" t="s">
        <v>1490</v>
      </c>
      <c r="D456" t="s">
        <v>2872</v>
      </c>
    </row>
    <row r="457" spans="1:4">
      <c r="A457">
        <v>481</v>
      </c>
      <c r="B457" s="13">
        <v>45838</v>
      </c>
      <c r="C457" t="s">
        <v>1790</v>
      </c>
      <c r="D457" t="s">
        <v>2873</v>
      </c>
    </row>
    <row r="458" spans="1:4">
      <c r="A458">
        <v>482</v>
      </c>
      <c r="B458" s="13">
        <v>45838</v>
      </c>
      <c r="C458" t="s">
        <v>2066</v>
      </c>
      <c r="D458" t="s">
        <v>2874</v>
      </c>
    </row>
    <row r="459" spans="1:4">
      <c r="A459">
        <v>483</v>
      </c>
      <c r="B459" s="13">
        <v>45838</v>
      </c>
      <c r="C459" t="s">
        <v>1513</v>
      </c>
      <c r="D459" t="s">
        <v>2878</v>
      </c>
    </row>
    <row r="460" spans="1:4">
      <c r="A460">
        <v>484</v>
      </c>
      <c r="B460" s="13">
        <v>45839</v>
      </c>
      <c r="C460" t="s">
        <v>2888</v>
      </c>
      <c r="D460" t="s">
        <v>2889</v>
      </c>
    </row>
    <row r="461" spans="1:4">
      <c r="A461">
        <v>485</v>
      </c>
      <c r="B461" s="13">
        <v>45839</v>
      </c>
      <c r="C461" t="s">
        <v>1525</v>
      </c>
      <c r="D461" t="s">
        <v>2890</v>
      </c>
    </row>
    <row r="462" spans="1:4">
      <c r="A462">
        <v>486</v>
      </c>
      <c r="B462" s="13">
        <v>45839</v>
      </c>
      <c r="C462" t="s">
        <v>1629</v>
      </c>
      <c r="D462" t="s">
        <v>2892</v>
      </c>
    </row>
    <row r="463" spans="1:4">
      <c r="A463">
        <v>487</v>
      </c>
      <c r="B463" s="13">
        <v>45839</v>
      </c>
      <c r="C463" t="s">
        <v>2897</v>
      </c>
      <c r="D463" t="s">
        <v>2900</v>
      </c>
    </row>
    <row r="464" spans="1:4">
      <c r="A464">
        <v>488</v>
      </c>
      <c r="B464" s="13">
        <v>45839</v>
      </c>
      <c r="C464" t="s">
        <v>1490</v>
      </c>
      <c r="D464" t="s">
        <v>2901</v>
      </c>
    </row>
    <row r="465" spans="1:4">
      <c r="A465">
        <v>489</v>
      </c>
      <c r="B465" s="13">
        <v>45840</v>
      </c>
      <c r="C465" t="s">
        <v>2906</v>
      </c>
      <c r="D465" t="s">
        <v>2907</v>
      </c>
    </row>
    <row r="466" spans="1:4">
      <c r="A466">
        <v>490</v>
      </c>
      <c r="B466" s="13">
        <v>45840</v>
      </c>
      <c r="C466" t="s">
        <v>2908</v>
      </c>
      <c r="D466" t="s">
        <v>2912</v>
      </c>
    </row>
    <row r="467" spans="1:4">
      <c r="A467">
        <v>491</v>
      </c>
      <c r="B467" s="13">
        <v>45840</v>
      </c>
      <c r="C467" t="s">
        <v>1629</v>
      </c>
      <c r="D467" t="s">
        <v>2919</v>
      </c>
    </row>
    <row r="468" spans="1:4">
      <c r="A468">
        <v>492</v>
      </c>
      <c r="B468" s="13">
        <v>45840</v>
      </c>
      <c r="C468" t="s">
        <v>2046</v>
      </c>
      <c r="D468" t="s">
        <v>2920</v>
      </c>
    </row>
    <row r="469" spans="1:4">
      <c r="A469">
        <v>493</v>
      </c>
      <c r="B469" s="13">
        <v>45840</v>
      </c>
      <c r="C469" t="s">
        <v>2192</v>
      </c>
      <c r="D469" t="s">
        <v>2921</v>
      </c>
    </row>
    <row r="470" spans="1:4">
      <c r="A470">
        <v>494</v>
      </c>
      <c r="B470" s="13">
        <v>45841</v>
      </c>
      <c r="C470" t="s">
        <v>1060</v>
      </c>
      <c r="D470" t="s">
        <v>2923</v>
      </c>
    </row>
    <row r="471" spans="1:4">
      <c r="A471">
        <v>495</v>
      </c>
      <c r="B471" s="13">
        <v>45841</v>
      </c>
      <c r="C471" t="s">
        <v>2929</v>
      </c>
      <c r="D471" t="s">
        <v>2932</v>
      </c>
    </row>
    <row r="472" spans="1:4">
      <c r="A472">
        <v>496</v>
      </c>
      <c r="B472" s="13">
        <v>45841</v>
      </c>
      <c r="C472" t="s">
        <v>1885</v>
      </c>
      <c r="D472" t="s">
        <v>2933</v>
      </c>
    </row>
    <row r="473" spans="1:4">
      <c r="A473">
        <v>497</v>
      </c>
      <c r="B473" s="13">
        <v>45841</v>
      </c>
      <c r="C473" t="s">
        <v>2359</v>
      </c>
      <c r="D473" t="s">
        <v>2934</v>
      </c>
    </row>
    <row r="474" spans="1:4">
      <c r="A474">
        <v>498</v>
      </c>
      <c r="B474" s="13">
        <v>45841</v>
      </c>
      <c r="C474" t="s">
        <v>1629</v>
      </c>
      <c r="D474" t="s">
        <v>2935</v>
      </c>
    </row>
    <row r="475" spans="1:4">
      <c r="A475">
        <v>499</v>
      </c>
      <c r="B475" s="13">
        <v>45842</v>
      </c>
      <c r="C475" t="s">
        <v>1647</v>
      </c>
      <c r="D475" t="s">
        <v>2947</v>
      </c>
    </row>
    <row r="476" spans="1:4">
      <c r="A476">
        <v>500</v>
      </c>
      <c r="B476" s="13">
        <v>45842</v>
      </c>
      <c r="C476" t="s">
        <v>1629</v>
      </c>
      <c r="D476" t="s">
        <v>2948</v>
      </c>
    </row>
    <row r="477" spans="1:4">
      <c r="A477">
        <v>501</v>
      </c>
      <c r="B477" s="13">
        <v>45842</v>
      </c>
      <c r="C477" t="s">
        <v>1513</v>
      </c>
      <c r="D477" t="s">
        <v>2950</v>
      </c>
    </row>
    <row r="478" spans="1:4">
      <c r="A478">
        <v>502</v>
      </c>
      <c r="B478" s="13">
        <v>45842</v>
      </c>
      <c r="C478" t="s">
        <v>1183</v>
      </c>
      <c r="D478" t="s">
        <v>2951</v>
      </c>
    </row>
    <row r="479" spans="1:4">
      <c r="A479">
        <v>503</v>
      </c>
      <c r="B479" s="13">
        <v>45843</v>
      </c>
      <c r="C479" t="s">
        <v>1587</v>
      </c>
      <c r="D479" t="s">
        <v>2953</v>
      </c>
    </row>
    <row r="480" spans="1:4">
      <c r="A480">
        <v>504</v>
      </c>
      <c r="B480" s="13">
        <v>45845</v>
      </c>
      <c r="C480" t="s">
        <v>1587</v>
      </c>
      <c r="D480" t="s">
        <v>2954</v>
      </c>
    </row>
    <row r="481" spans="1:4">
      <c r="A481">
        <v>505</v>
      </c>
      <c r="B481" s="13">
        <v>45845</v>
      </c>
      <c r="C481" t="s">
        <v>1490</v>
      </c>
      <c r="D481" t="s">
        <v>2955</v>
      </c>
    </row>
    <row r="482" spans="1:4">
      <c r="A482">
        <v>506</v>
      </c>
      <c r="B482" s="13">
        <v>45845</v>
      </c>
      <c r="C482" t="s">
        <v>1525</v>
      </c>
      <c r="D482" t="s">
        <v>2956</v>
      </c>
    </row>
    <row r="483" spans="1:4">
      <c r="A483">
        <v>507</v>
      </c>
      <c r="B483" s="13">
        <v>45845</v>
      </c>
      <c r="C483" t="s">
        <v>2963</v>
      </c>
      <c r="D483" t="s">
        <v>2967</v>
      </c>
    </row>
    <row r="484" spans="1:4">
      <c r="A484">
        <v>508</v>
      </c>
      <c r="B484" s="13">
        <v>45845</v>
      </c>
      <c r="C484" t="s">
        <v>2730</v>
      </c>
      <c r="D484" t="s">
        <v>2968</v>
      </c>
    </row>
    <row r="485" spans="1:4">
      <c r="A485">
        <v>509</v>
      </c>
      <c r="B485" s="13">
        <v>45845</v>
      </c>
      <c r="C485" t="s">
        <v>2957</v>
      </c>
      <c r="D485" t="s">
        <v>2969</v>
      </c>
    </row>
    <row r="486" spans="1:4">
      <c r="A486">
        <v>510</v>
      </c>
      <c r="B486" s="13">
        <v>45845</v>
      </c>
      <c r="C486" t="s">
        <v>1183</v>
      </c>
      <c r="D486" t="s">
        <v>2970</v>
      </c>
    </row>
    <row r="487" spans="1:4">
      <c r="A487">
        <v>511</v>
      </c>
      <c r="B487" s="13">
        <v>45845</v>
      </c>
      <c r="C487" t="s">
        <v>1955</v>
      </c>
      <c r="D487" t="s">
        <v>2971</v>
      </c>
    </row>
    <row r="488" spans="1:4">
      <c r="A488">
        <v>512</v>
      </c>
      <c r="B488" s="13">
        <v>45845</v>
      </c>
      <c r="C488" t="s">
        <v>1490</v>
      </c>
      <c r="D488" t="s">
        <v>2972</v>
      </c>
    </row>
    <row r="489" spans="1:4">
      <c r="A489">
        <v>513</v>
      </c>
      <c r="B489" s="13">
        <v>45845</v>
      </c>
      <c r="C489" t="s">
        <v>1790</v>
      </c>
      <c r="D489" t="s">
        <v>2974</v>
      </c>
    </row>
    <row r="490" spans="1:4">
      <c r="A490">
        <v>514</v>
      </c>
      <c r="B490" s="13">
        <v>45846</v>
      </c>
      <c r="C490" t="s">
        <v>1445</v>
      </c>
      <c r="D490" t="s">
        <v>2977</v>
      </c>
    </row>
    <row r="491" spans="1:4">
      <c r="A491">
        <v>515</v>
      </c>
      <c r="B491" s="13">
        <v>45846</v>
      </c>
      <c r="C491" t="s">
        <v>2963</v>
      </c>
      <c r="D491" t="s">
        <v>2980</v>
      </c>
    </row>
    <row r="492" spans="1:4">
      <c r="A492">
        <v>516</v>
      </c>
      <c r="B492" s="13">
        <v>45846</v>
      </c>
      <c r="C492" t="s">
        <v>1587</v>
      </c>
      <c r="D492" t="s">
        <v>2981</v>
      </c>
    </row>
    <row r="493" spans="1:4">
      <c r="A493">
        <v>517</v>
      </c>
      <c r="B493" s="13">
        <v>45846</v>
      </c>
      <c r="C493" t="s">
        <v>1885</v>
      </c>
      <c r="D493" t="s">
        <v>2982</v>
      </c>
    </row>
    <row r="494" spans="1:4">
      <c r="A494">
        <v>518</v>
      </c>
      <c r="B494" s="13">
        <v>45846</v>
      </c>
      <c r="C494" t="s">
        <v>2983</v>
      </c>
      <c r="D494" t="s">
        <v>2987</v>
      </c>
    </row>
    <row r="495" spans="1:4">
      <c r="A495">
        <v>519</v>
      </c>
      <c r="B495" s="13">
        <v>45846</v>
      </c>
      <c r="C495" t="s">
        <v>1027</v>
      </c>
      <c r="D495" t="s">
        <v>2989</v>
      </c>
    </row>
    <row r="496" spans="1:4">
      <c r="A496">
        <v>520</v>
      </c>
      <c r="B496" s="13">
        <v>45846</v>
      </c>
      <c r="C496" t="s">
        <v>1635</v>
      </c>
      <c r="D496" t="s">
        <v>2990</v>
      </c>
    </row>
    <row r="497" spans="1:4">
      <c r="A497">
        <v>521</v>
      </c>
      <c r="B497" s="13">
        <v>45846</v>
      </c>
      <c r="C497" t="s">
        <v>1626</v>
      </c>
      <c r="D497" t="s">
        <v>2991</v>
      </c>
    </row>
    <row r="498" spans="1:4">
      <c r="A498">
        <v>522</v>
      </c>
      <c r="B498" s="13">
        <v>45846</v>
      </c>
      <c r="C498" t="s">
        <v>1183</v>
      </c>
      <c r="D498" t="s">
        <v>2992</v>
      </c>
    </row>
    <row r="499" spans="1:4">
      <c r="A499">
        <v>523</v>
      </c>
      <c r="B499" s="13">
        <v>45847</v>
      </c>
      <c r="C499" t="s">
        <v>1445</v>
      </c>
      <c r="D499" t="s">
        <v>2994</v>
      </c>
    </row>
    <row r="500" spans="1:4">
      <c r="A500">
        <v>524</v>
      </c>
      <c r="B500" s="13">
        <v>45847</v>
      </c>
      <c r="C500" t="s">
        <v>2524</v>
      </c>
      <c r="D500" t="s">
        <v>2998</v>
      </c>
    </row>
    <row r="501" spans="1:4">
      <c r="A501">
        <v>525</v>
      </c>
      <c r="B501" s="13">
        <v>45847</v>
      </c>
      <c r="C501" t="s">
        <v>2356</v>
      </c>
      <c r="D501" t="s">
        <v>3002</v>
      </c>
    </row>
    <row r="502" spans="1:4">
      <c r="A502">
        <v>526</v>
      </c>
      <c r="B502" s="13">
        <v>45847</v>
      </c>
      <c r="C502" t="s">
        <v>1490</v>
      </c>
      <c r="D502" t="s">
        <v>3003</v>
      </c>
    </row>
    <row r="503" spans="1:4">
      <c r="A503">
        <v>527</v>
      </c>
      <c r="B503" s="13">
        <v>45847</v>
      </c>
      <c r="C503" t="s">
        <v>1790</v>
      </c>
      <c r="D503" t="s">
        <v>3004</v>
      </c>
    </row>
    <row r="504" spans="1:4">
      <c r="A504">
        <v>528</v>
      </c>
      <c r="B504" s="13">
        <v>45847</v>
      </c>
      <c r="C504" t="s">
        <v>1445</v>
      </c>
      <c r="D504" t="s">
        <v>3005</v>
      </c>
    </row>
    <row r="505" spans="1:4">
      <c r="A505">
        <v>529</v>
      </c>
      <c r="B505" s="13">
        <v>45847</v>
      </c>
      <c r="C505" t="s">
        <v>1817</v>
      </c>
      <c r="D505" t="s">
        <v>3006</v>
      </c>
    </row>
    <row r="506" spans="1:4">
      <c r="A506">
        <v>530</v>
      </c>
      <c r="B506" s="13">
        <v>45847</v>
      </c>
      <c r="C506" t="s">
        <v>2524</v>
      </c>
      <c r="D506" t="s">
        <v>3007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2" sqref="J2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156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2243199.5999999996</v>
      </c>
      <c r="J2" s="206"/>
    </row>
    <row r="3" spans="1:12">
      <c r="A3">
        <v>2</v>
      </c>
      <c r="B3" t="s">
        <v>2725</v>
      </c>
      <c r="C3" t="s">
        <v>2726</v>
      </c>
      <c r="F3" t="s">
        <v>2727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2728</v>
      </c>
      <c r="F6" t="s">
        <v>2729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6">
        <f>SUMIF(주문_리스트!C:C,거래처!B14,주문_리스트!K:K)+SUMIF(주문_리스트!C:C,거래처!B14,주문_리스트!L:L)-1280000</f>
        <v>90000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14556000.199999999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5987000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1760000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2785</v>
      </c>
      <c r="F44" t="s">
        <v>2786</v>
      </c>
      <c r="G44" t="s">
        <v>970</v>
      </c>
      <c r="H44" t="s">
        <v>2787</v>
      </c>
      <c r="I44" s="20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6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2766</v>
      </c>
      <c r="G54" t="s">
        <v>36</v>
      </c>
      <c r="H54" t="s">
        <v>2767</v>
      </c>
      <c r="I54" s="206">
        <f>SUMIF(주문_리스트!C:C,거래처!B54,주문_리스트!K:K)+SUMIF(주문_리스트!C:C,거래처!B54,주문_리스트!L:L)-4015000</f>
        <v>3350000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3338000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2738</v>
      </c>
      <c r="D62" t="s">
        <v>2739</v>
      </c>
      <c r="F62" t="s">
        <v>2740</v>
      </c>
      <c r="G62" t="s">
        <v>2741</v>
      </c>
      <c r="H62" t="s">
        <v>2742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2758</v>
      </c>
      <c r="F65" t="s">
        <v>2759</v>
      </c>
      <c r="G65" t="s">
        <v>2760</v>
      </c>
      <c r="H65" t="s">
        <v>2761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6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3100000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1400000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6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6">
        <f>SUMIF(주문_리스트!C:C,거래처!B94,주문_리스트!K:K)+SUMIF(주문_리스트!C:C,거래처!B94,주문_리스트!L:L)-1320000</f>
        <v>1100000</v>
      </c>
    </row>
    <row r="95" spans="1:9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1452000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6">
        <f>SUMIF(주문_리스트!C:C,거래처!B99,주문_리스트!K:K)+SUMIF(주문_리스트!C:C,거래처!B99,주문_리스트!L:L)</f>
        <v>1650000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1319999.7000000002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2958</v>
      </c>
      <c r="C132" t="s">
        <v>2959</v>
      </c>
      <c r="F132" t="s">
        <v>2960</v>
      </c>
      <c r="G132" t="s">
        <v>2961</v>
      </c>
      <c r="H132" t="s">
        <v>2962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2924</v>
      </c>
      <c r="C138" t="s">
        <v>2925</v>
      </c>
      <c r="F138" t="s">
        <v>2926</v>
      </c>
      <c r="G138" t="s">
        <v>2927</v>
      </c>
      <c r="H138" t="s">
        <v>2928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2831</v>
      </c>
      <c r="C147" t="s">
        <v>2829</v>
      </c>
      <c r="D147" t="s">
        <v>2832</v>
      </c>
      <c r="F147" t="s">
        <v>2830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2773</v>
      </c>
      <c r="C149" t="s">
        <v>2774</v>
      </c>
      <c r="E149" t="s">
        <v>2775</v>
      </c>
      <c r="F149" t="s">
        <v>2776</v>
      </c>
      <c r="G149" t="s">
        <v>2777</v>
      </c>
      <c r="H149" t="s">
        <v>2778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2860</v>
      </c>
      <c r="C150" t="s">
        <v>2861</v>
      </c>
      <c r="F150" t="s">
        <v>2862</v>
      </c>
      <c r="G150" t="s">
        <v>970</v>
      </c>
      <c r="H150" t="s">
        <v>2863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2897</v>
      </c>
      <c r="C151" t="s">
        <v>2898</v>
      </c>
      <c r="F151" t="s">
        <v>2899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2908</v>
      </c>
      <c r="C152" t="s">
        <v>2909</v>
      </c>
      <c r="F152" t="s">
        <v>2910</v>
      </c>
      <c r="G152" t="s">
        <v>970</v>
      </c>
      <c r="H152" t="s">
        <v>2911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2929</v>
      </c>
      <c r="C153" t="s">
        <v>2930</v>
      </c>
      <c r="F153" t="s">
        <v>2931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2939</v>
      </c>
      <c r="C154" t="s">
        <v>2944</v>
      </c>
      <c r="F154" t="s">
        <v>2945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2963</v>
      </c>
      <c r="C155" t="s">
        <v>2964</v>
      </c>
      <c r="F155" t="s">
        <v>2965</v>
      </c>
      <c r="G155" t="s">
        <v>1218</v>
      </c>
      <c r="H155" t="s">
        <v>2966</v>
      </c>
      <c r="I155" s="206">
        <f>SUMIF(주문_리스트!C:C,거래처!B155,주문_리스트!K:K)+SUMIF(주문_리스트!C:C,거래처!B155,주문_리스트!L:L)</f>
        <v>0</v>
      </c>
    </row>
    <row r="156" spans="1:9">
      <c r="A156">
        <v>155</v>
      </c>
      <c r="B156" t="s">
        <v>2983</v>
      </c>
      <c r="C156" t="s">
        <v>2984</v>
      </c>
      <c r="E156" t="s">
        <v>2985</v>
      </c>
      <c r="F156" t="s">
        <v>984</v>
      </c>
      <c r="G156" t="s">
        <v>2986</v>
      </c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44" activePane="bottomRight" state="frozen"/>
      <selection activeCell="N26" sqref="N26"/>
      <selection pane="topRight" activeCell="N26" sqref="N26"/>
      <selection pane="bottomLeft" activeCell="N26" sqref="N26"/>
      <selection pane="bottomRight" activeCell="D158" sqref="D158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2649</v>
      </c>
      <c r="E2" s="202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3</v>
      </c>
      <c r="B3">
        <v>3</v>
      </c>
      <c r="C3" s="202"/>
      <c r="D3" s="202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2"/>
      <c r="D8" s="202" t="s">
        <v>1813</v>
      </c>
      <c r="F8" s="52">
        <v>650000</v>
      </c>
      <c r="H8">
        <f>SUMIF(재고!E:E,제품!D8,재고!H:H)-SUMIF(주문_리스트!E:E,제품!D8,주문_리스트!H:H)</f>
        <v>-18</v>
      </c>
      <c r="I8"/>
    </row>
    <row r="9" spans="1:11">
      <c r="A9">
        <v>9</v>
      </c>
      <c r="B9">
        <v>2</v>
      </c>
      <c r="D9" s="202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2290</v>
      </c>
      <c r="E10" s="202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2652</v>
      </c>
      <c r="E14" s="202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2837</v>
      </c>
      <c r="E16" s="202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2841</v>
      </c>
      <c r="E17" s="202">
        <v>2820403</v>
      </c>
      <c r="F17" s="52">
        <v>1500000</v>
      </c>
      <c r="H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2292</v>
      </c>
      <c r="E23" s="202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2292</v>
      </c>
      <c r="E24" s="202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2280</v>
      </c>
      <c r="E25" s="202" t="s">
        <v>1238</v>
      </c>
      <c r="F25" s="52">
        <v>1400000</v>
      </c>
      <c r="H25">
        <f>SUMIF(재고!E:E,제품!D25,재고!H:H)-SUMIF(주문_리스트!E:E,제품!D25,주문_리스트!H:H)</f>
        <v>-6</v>
      </c>
    </row>
    <row r="26" spans="1:9">
      <c r="A26">
        <v>27</v>
      </c>
      <c r="B26">
        <v>3</v>
      </c>
      <c r="C26" s="203" t="s">
        <v>1239</v>
      </c>
      <c r="D26" s="202" t="s">
        <v>2274</v>
      </c>
      <c r="E26" s="202" t="s">
        <v>1239</v>
      </c>
      <c r="F26" s="52">
        <v>1500000</v>
      </c>
      <c r="H26">
        <f>SUMIF(재고!E:E,제품!D26,재고!H:H)-SUMIF(주문_리스트!E:E,제품!D26,주문_리스트!H:H)</f>
        <v>-25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>
        <f>SUMIF(재고!E:E,제품!D28,재고!H:H)-SUMIF(주문_리스트!E:E,제품!D28,주문_리스트!H:H)</f>
        <v>-47</v>
      </c>
      <c r="I28" s="52">
        <v>5000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2312</v>
      </c>
      <c r="E31" s="202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-13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3" t="s">
        <v>1253</v>
      </c>
      <c r="D33" s="202" t="s">
        <v>2592</v>
      </c>
      <c r="E33" s="202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3" t="s">
        <v>2709</v>
      </c>
      <c r="D34" s="202" t="s">
        <v>2710</v>
      </c>
      <c r="E34" s="202" t="s">
        <v>2709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3" t="s">
        <v>1257</v>
      </c>
      <c r="D35" s="202" t="s">
        <v>2273</v>
      </c>
      <c r="E35" s="202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H36">
        <f>SUMIF(재고!E:E,제품!D36,재고!H:H)-SUMIF(주문_리스트!E:E,제품!D36,주문_리스트!H:H)</f>
        <v>-5</v>
      </c>
    </row>
    <row r="37" spans="1:8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3" t="s">
        <v>1741</v>
      </c>
      <c r="D39" s="202" t="s">
        <v>2282</v>
      </c>
      <c r="E39" s="202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2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44</v>
      </c>
      <c r="B42">
        <v>8</v>
      </c>
      <c r="D42" s="202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2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2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2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2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3" t="s">
        <v>2877</v>
      </c>
      <c r="D47" s="202" t="s">
        <v>2437</v>
      </c>
      <c r="E47" s="202" t="s">
        <v>2877</v>
      </c>
      <c r="F47" s="52">
        <v>350000</v>
      </c>
      <c r="H47">
        <f>SUMIF(재고!E:E,제품!D47,재고!H:H)-SUMIF(주문_리스트!E:E,제품!D47,주문_리스트!H:H)</f>
        <v>-26</v>
      </c>
    </row>
    <row r="48" spans="1:8">
      <c r="A48">
        <v>50</v>
      </c>
      <c r="D48" s="202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52</v>
      </c>
      <c r="D50" s="202" t="s">
        <v>1565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53</v>
      </c>
      <c r="D51" s="202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2914</v>
      </c>
      <c r="D59" s="202" t="s">
        <v>2301</v>
      </c>
      <c r="E59" s="202" t="s">
        <v>2914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2839</v>
      </c>
      <c r="E62" s="202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2652</v>
      </c>
      <c r="E63" s="202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2284</v>
      </c>
      <c r="E67" s="202">
        <v>50228</v>
      </c>
      <c r="F67" s="52">
        <v>110000</v>
      </c>
      <c r="H67">
        <f>SUMIF(재고!E:E,제품!D67,재고!H:H)-SUMIF(주문_리스트!E:E,제품!D67,주문_리스트!H:H)</f>
        <v>-13</v>
      </c>
    </row>
    <row r="68" spans="1:9">
      <c r="A68">
        <v>71</v>
      </c>
      <c r="B68">
        <v>4</v>
      </c>
      <c r="C68" s="203">
        <v>50229</v>
      </c>
      <c r="D68" s="202" t="s">
        <v>2284</v>
      </c>
      <c r="E68" s="202">
        <v>50229</v>
      </c>
      <c r="F68" s="52">
        <v>75000</v>
      </c>
      <c r="H68">
        <f>SUMIF(재고!E:E,제품!D68,재고!H:H)-SUMIF(주문_리스트!E:E,제품!D68,주문_리스트!H:H)</f>
        <v>-13</v>
      </c>
    </row>
    <row r="69" spans="1:9">
      <c r="A69">
        <v>72</v>
      </c>
      <c r="D69" s="202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2711</v>
      </c>
      <c r="D73" s="202" t="s">
        <v>2712</v>
      </c>
      <c r="E73" s="202" t="s">
        <v>2711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2293</v>
      </c>
      <c r="E74" s="202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2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>
        <f>SUMIF(재고!E:E,제품!D80,재고!H:H)-SUMIF(주문_리스트!E:E,제품!D80,주문_리스트!H:H)</f>
        <v>-4</v>
      </c>
      <c r="I80" s="52" t="s">
        <v>1764</v>
      </c>
    </row>
    <row r="81" spans="1:9">
      <c r="A81">
        <v>84</v>
      </c>
      <c r="D81" s="202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3" t="s">
        <v>2916</v>
      </c>
      <c r="D86" s="202" t="s">
        <v>2902</v>
      </c>
      <c r="E86" s="202" t="s">
        <v>2916</v>
      </c>
      <c r="F86" s="52">
        <v>129000</v>
      </c>
      <c r="G86" s="52">
        <v>70000</v>
      </c>
      <c r="H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2320</v>
      </c>
      <c r="E91" s="202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95</v>
      </c>
      <c r="B92">
        <v>3</v>
      </c>
      <c r="C92" s="203" t="s">
        <v>1788</v>
      </c>
      <c r="D92" s="202" t="s">
        <v>2277</v>
      </c>
      <c r="E92" s="202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2285</v>
      </c>
      <c r="E94" s="202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98</v>
      </c>
      <c r="B95">
        <v>3</v>
      </c>
      <c r="C95" s="203" t="s">
        <v>1802</v>
      </c>
      <c r="D95" s="202" t="s">
        <v>2286</v>
      </c>
      <c r="E95" s="202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99</v>
      </c>
      <c r="B96">
        <v>3</v>
      </c>
      <c r="C96" s="203" t="s">
        <v>1857</v>
      </c>
      <c r="D96" s="202" t="s">
        <v>2287</v>
      </c>
      <c r="E96" s="202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102</v>
      </c>
      <c r="B99">
        <v>1</v>
      </c>
      <c r="C99" s="203">
        <v>2810701</v>
      </c>
      <c r="D99" s="202" t="s">
        <v>2626</v>
      </c>
      <c r="E99" s="202">
        <v>2810701</v>
      </c>
      <c r="F99" s="52">
        <v>450000</v>
      </c>
      <c r="G99" s="52">
        <v>250000</v>
      </c>
      <c r="H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3" t="s">
        <v>1825</v>
      </c>
      <c r="D104" s="202" t="s">
        <v>2275</v>
      </c>
      <c r="E104" s="202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-25</v>
      </c>
      <c r="I104" s="52" t="s">
        <v>1827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>
        <f>SUMIF(재고!E:E,제품!D106,재고!H:H)-SUMIF(주문_리스트!E:E,제품!D106,주문_리스트!H:H)</f>
        <v>-47</v>
      </c>
      <c r="I106" s="52" t="s">
        <v>1823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3">
        <v>6172091600</v>
      </c>
      <c r="D108" s="202" t="s">
        <v>2179</v>
      </c>
      <c r="E108" s="202">
        <v>6172091600</v>
      </c>
      <c r="F108" s="52">
        <v>250000</v>
      </c>
      <c r="G108" s="52">
        <v>150000</v>
      </c>
      <c r="H108"/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3">
        <v>1087298388</v>
      </c>
      <c r="D113" s="202" t="s">
        <v>2334</v>
      </c>
      <c r="E113" s="202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2652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C119" s="203">
        <v>501218962</v>
      </c>
      <c r="D119" s="202" t="s">
        <v>3001</v>
      </c>
      <c r="E119" s="202">
        <v>501218962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2652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2288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2840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2838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9">
      <c r="A145">
        <v>148</v>
      </c>
      <c r="B145">
        <v>8</v>
      </c>
      <c r="C145" s="203" t="s">
        <v>1996</v>
      </c>
      <c r="D145" s="202" t="s">
        <v>2233</v>
      </c>
      <c r="E145" s="202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9">
      <c r="A148">
        <v>151</v>
      </c>
      <c r="C148" s="203">
        <v>2830401</v>
      </c>
      <c r="D148" s="202" t="s">
        <v>2307</v>
      </c>
      <c r="E148" s="202">
        <v>2830401</v>
      </c>
      <c r="F148" s="52">
        <v>1100000</v>
      </c>
    </row>
    <row r="149" spans="1:9">
      <c r="A149">
        <v>152</v>
      </c>
      <c r="B149">
        <v>13</v>
      </c>
      <c r="C149" s="203">
        <v>36050661</v>
      </c>
      <c r="D149" s="202" t="s">
        <v>2200</v>
      </c>
      <c r="E149" s="202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3" t="s">
        <v>2715</v>
      </c>
      <c r="D150" s="202" t="s">
        <v>2441</v>
      </c>
      <c r="E150" s="202" t="s">
        <v>2715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9">
      <c r="A152">
        <v>155</v>
      </c>
      <c r="B152">
        <v>2</v>
      </c>
      <c r="D152" s="202" t="s">
        <v>2218</v>
      </c>
      <c r="F152" s="52">
        <v>200000</v>
      </c>
    </row>
    <row r="153" spans="1:9">
      <c r="A153">
        <v>156</v>
      </c>
      <c r="B153">
        <v>2</v>
      </c>
      <c r="D153" s="202" t="s">
        <v>2219</v>
      </c>
      <c r="F153" s="52">
        <v>250000</v>
      </c>
    </row>
    <row r="154" spans="1:9">
      <c r="A154">
        <v>157</v>
      </c>
      <c r="B154">
        <v>2</v>
      </c>
      <c r="C154" s="203">
        <v>2830502</v>
      </c>
      <c r="D154" s="202" t="s">
        <v>2842</v>
      </c>
      <c r="E154" s="202">
        <v>2830502</v>
      </c>
      <c r="F154" s="52">
        <v>1650000</v>
      </c>
    </row>
    <row r="155" spans="1:9">
      <c r="A155">
        <v>158</v>
      </c>
      <c r="B155">
        <v>14</v>
      </c>
      <c r="C155" s="203">
        <v>28120505</v>
      </c>
      <c r="D155" s="202" t="s">
        <v>2648</v>
      </c>
      <c r="E155" s="202">
        <v>28120505</v>
      </c>
      <c r="F155" s="52">
        <v>1550000</v>
      </c>
    </row>
    <row r="156" spans="1:9">
      <c r="A156">
        <v>159</v>
      </c>
      <c r="B156">
        <v>4</v>
      </c>
      <c r="D156" s="202" t="s">
        <v>2249</v>
      </c>
      <c r="F156" s="52">
        <v>990000</v>
      </c>
      <c r="G156" s="52">
        <v>940000</v>
      </c>
      <c r="I156" s="52" t="s">
        <v>2849</v>
      </c>
    </row>
    <row r="157" spans="1:9">
      <c r="A157">
        <v>160</v>
      </c>
      <c r="B157">
        <v>3</v>
      </c>
      <c r="D157" s="202" t="s">
        <v>2251</v>
      </c>
      <c r="F157" s="52">
        <v>1000000</v>
      </c>
    </row>
    <row r="158" spans="1:9">
      <c r="A158">
        <v>161</v>
      </c>
      <c r="B158">
        <v>2</v>
      </c>
      <c r="D158" s="202" t="s">
        <v>2253</v>
      </c>
      <c r="F158" s="52">
        <v>1200000</v>
      </c>
    </row>
    <row r="159" spans="1:9">
      <c r="A159">
        <v>162</v>
      </c>
      <c r="C159" s="203">
        <v>2295001282</v>
      </c>
      <c r="D159" s="202" t="s">
        <v>2652</v>
      </c>
      <c r="E159" s="202">
        <v>2295001282</v>
      </c>
      <c r="F159" s="52">
        <v>422000</v>
      </c>
    </row>
    <row r="160" spans="1:9">
      <c r="A160">
        <v>163</v>
      </c>
      <c r="D160" s="202" t="s">
        <v>2714</v>
      </c>
      <c r="F160" s="52">
        <v>500000</v>
      </c>
      <c r="G160" s="52">
        <v>250000</v>
      </c>
    </row>
    <row r="161" spans="1:9">
      <c r="A161">
        <v>164</v>
      </c>
      <c r="D161" s="202" t="s">
        <v>2326</v>
      </c>
      <c r="F161" s="52">
        <v>150000</v>
      </c>
    </row>
    <row r="162" spans="1:9">
      <c r="A162">
        <v>165</v>
      </c>
      <c r="B162">
        <v>6</v>
      </c>
      <c r="D162" s="202" t="s">
        <v>2337</v>
      </c>
      <c r="F162" s="52">
        <v>800000</v>
      </c>
    </row>
    <row r="163" spans="1:9">
      <c r="A163">
        <v>166</v>
      </c>
      <c r="D163" s="202" t="s">
        <v>2343</v>
      </c>
      <c r="F163" s="52">
        <v>900000</v>
      </c>
    </row>
    <row r="164" spans="1:9">
      <c r="A164">
        <v>167</v>
      </c>
      <c r="D164" s="202" t="s">
        <v>2354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3">
        <v>1068327224</v>
      </c>
      <c r="D165" s="202" t="s">
        <v>2370</v>
      </c>
      <c r="E165" s="202">
        <v>1068327224</v>
      </c>
      <c r="F165" s="52">
        <v>80000</v>
      </c>
      <c r="G165" s="52">
        <v>45000</v>
      </c>
    </row>
    <row r="166" spans="1:9">
      <c r="A166">
        <v>169</v>
      </c>
      <c r="C166" s="203">
        <v>1087327175</v>
      </c>
      <c r="D166" s="202" t="s">
        <v>2368</v>
      </c>
      <c r="E166" s="202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170</v>
      </c>
      <c r="B167">
        <v>3</v>
      </c>
      <c r="C167" s="203" t="s">
        <v>2371</v>
      </c>
      <c r="D167" s="202" t="s">
        <v>2372</v>
      </c>
      <c r="E167" s="202" t="s">
        <v>2371</v>
      </c>
      <c r="F167" s="52">
        <v>350000</v>
      </c>
      <c r="G167" s="52">
        <v>155000</v>
      </c>
    </row>
    <row r="168" spans="1:9">
      <c r="A168">
        <v>171</v>
      </c>
      <c r="C168" s="203" t="s">
        <v>2600</v>
      </c>
      <c r="D168" s="202" t="s">
        <v>2601</v>
      </c>
      <c r="E168" s="202" t="s">
        <v>2600</v>
      </c>
      <c r="F168" s="52">
        <v>450000</v>
      </c>
      <c r="G168" s="52">
        <v>260000</v>
      </c>
    </row>
    <row r="169" spans="1:9">
      <c r="A169">
        <v>172</v>
      </c>
      <c r="C169" s="203">
        <v>4150862090</v>
      </c>
      <c r="D169" s="202" t="s">
        <v>2652</v>
      </c>
      <c r="E169" s="202">
        <v>4150862090</v>
      </c>
      <c r="F169" s="52">
        <v>445000</v>
      </c>
    </row>
    <row r="170" spans="1:9">
      <c r="A170">
        <v>173</v>
      </c>
      <c r="B170">
        <v>3</v>
      </c>
      <c r="D170" s="202" t="s">
        <v>2388</v>
      </c>
      <c r="F170" s="52">
        <v>1600000</v>
      </c>
    </row>
    <row r="171" spans="1:9">
      <c r="A171">
        <v>174</v>
      </c>
      <c r="D171" s="202" t="s">
        <v>2417</v>
      </c>
      <c r="F171" s="52">
        <v>1200000</v>
      </c>
    </row>
    <row r="172" spans="1:9">
      <c r="A172">
        <v>175</v>
      </c>
      <c r="D172" s="202" t="s">
        <v>2398</v>
      </c>
      <c r="F172" s="52">
        <v>650000</v>
      </c>
    </row>
    <row r="173" spans="1:9">
      <c r="A173">
        <v>176</v>
      </c>
      <c r="C173" s="203">
        <v>415089709</v>
      </c>
      <c r="D173" s="202" t="s">
        <v>2652</v>
      </c>
      <c r="E173" s="202">
        <v>415089709</v>
      </c>
      <c r="F173" s="52">
        <v>498000</v>
      </c>
    </row>
    <row r="174" spans="1:9">
      <c r="A174">
        <v>177</v>
      </c>
      <c r="B174">
        <v>1</v>
      </c>
      <c r="C174" s="203" t="s">
        <v>2426</v>
      </c>
      <c r="D174" s="202" t="s">
        <v>2427</v>
      </c>
      <c r="E174" s="202" t="s">
        <v>2426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3">
        <v>28120411</v>
      </c>
      <c r="D175" s="202" t="s">
        <v>2429</v>
      </c>
      <c r="E175" s="202">
        <v>28120411</v>
      </c>
      <c r="F175" s="52">
        <v>1500000</v>
      </c>
    </row>
    <row r="176" spans="1:9">
      <c r="A176">
        <v>179</v>
      </c>
      <c r="B176">
        <v>9</v>
      </c>
      <c r="C176" s="203">
        <v>1087298437</v>
      </c>
      <c r="D176" s="202" t="s">
        <v>2815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2444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2448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2510</v>
      </c>
      <c r="F179" s="52">
        <v>450000</v>
      </c>
    </row>
    <row r="180" spans="1:7">
      <c r="A180">
        <v>183</v>
      </c>
      <c r="D180" s="202" t="s">
        <v>2511</v>
      </c>
      <c r="F180" s="52">
        <v>600000</v>
      </c>
    </row>
    <row r="181" spans="1:7">
      <c r="A181">
        <v>184</v>
      </c>
      <c r="B181">
        <v>1</v>
      </c>
      <c r="C181" s="203" t="s">
        <v>2513</v>
      </c>
      <c r="D181" s="202" t="s">
        <v>2514</v>
      </c>
      <c r="E181" s="202" t="s">
        <v>2513</v>
      </c>
      <c r="F181" s="52">
        <v>850000</v>
      </c>
      <c r="G181" s="52">
        <v>520000</v>
      </c>
    </row>
    <row r="182" spans="1:7">
      <c r="A182">
        <v>185</v>
      </c>
      <c r="D182" s="202" t="s">
        <v>2518</v>
      </c>
      <c r="F182" s="52">
        <v>200000</v>
      </c>
    </row>
    <row r="183" spans="1:7">
      <c r="A183">
        <v>186</v>
      </c>
      <c r="B183">
        <v>1</v>
      </c>
      <c r="C183" s="203" t="s">
        <v>2531</v>
      </c>
      <c r="D183" s="202" t="s">
        <v>2495</v>
      </c>
      <c r="E183" s="202" t="s">
        <v>2531</v>
      </c>
      <c r="F183" s="52">
        <v>770000</v>
      </c>
    </row>
    <row r="184" spans="1:7">
      <c r="A184">
        <v>187</v>
      </c>
      <c r="B184">
        <v>3</v>
      </c>
      <c r="C184" s="203" t="s">
        <v>2538</v>
      </c>
      <c r="D184" s="202" t="s">
        <v>2539</v>
      </c>
      <c r="E184" s="202" t="s">
        <v>2538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2540</v>
      </c>
      <c r="D185" s="202" t="s">
        <v>2541</v>
      </c>
      <c r="E185" s="202" t="s">
        <v>2540</v>
      </c>
      <c r="F185" s="52">
        <v>100000</v>
      </c>
      <c r="G185" s="52">
        <v>69000</v>
      </c>
    </row>
    <row r="186" spans="1:7">
      <c r="A186">
        <v>189</v>
      </c>
      <c r="D186" s="202" t="s">
        <v>2578</v>
      </c>
      <c r="F186" s="52">
        <v>850000</v>
      </c>
    </row>
    <row r="187" spans="1:7">
      <c r="A187">
        <v>190</v>
      </c>
      <c r="B187">
        <v>1</v>
      </c>
      <c r="D187" s="202" t="s">
        <v>2627</v>
      </c>
      <c r="F187" s="52">
        <v>500000</v>
      </c>
    </row>
    <row r="188" spans="1:7">
      <c r="A188">
        <v>191</v>
      </c>
      <c r="C188" s="203">
        <v>2463772400</v>
      </c>
      <c r="D188" s="202" t="s">
        <v>2643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2642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2698</v>
      </c>
      <c r="D190" s="202" t="s">
        <v>2699</v>
      </c>
      <c r="E190" s="202" t="s">
        <v>2698</v>
      </c>
      <c r="F190" s="52">
        <v>1000000</v>
      </c>
    </row>
    <row r="191" spans="1:7">
      <c r="A191">
        <v>194</v>
      </c>
      <c r="B191">
        <v>12</v>
      </c>
      <c r="C191" s="203" t="s">
        <v>2999</v>
      </c>
      <c r="D191" s="202" t="s">
        <v>3000</v>
      </c>
      <c r="E191" s="202" t="s">
        <v>2999</v>
      </c>
      <c r="F191" s="52">
        <v>1600000</v>
      </c>
      <c r="G191" s="52">
        <v>1250000</v>
      </c>
    </row>
    <row r="192" spans="1:7">
      <c r="A192">
        <v>194</v>
      </c>
      <c r="B192">
        <v>12</v>
      </c>
      <c r="C192" s="203" t="s">
        <v>2753</v>
      </c>
      <c r="D192" s="202" t="s">
        <v>2754</v>
      </c>
      <c r="E192" s="202" t="s">
        <v>2753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2" t="s">
        <v>2762</v>
      </c>
      <c r="F193" s="52">
        <v>1100000</v>
      </c>
    </row>
    <row r="194" spans="1:9">
      <c r="A194">
        <v>196</v>
      </c>
      <c r="D194" s="202" t="s">
        <v>2792</v>
      </c>
      <c r="F194" s="52">
        <v>1700000</v>
      </c>
    </row>
    <row r="195" spans="1:9">
      <c r="A195">
        <v>197</v>
      </c>
      <c r="C195" s="203" t="s">
        <v>2844</v>
      </c>
      <c r="D195" s="202" t="s">
        <v>2845</v>
      </c>
      <c r="E195" s="202" t="s">
        <v>2844</v>
      </c>
      <c r="F195" s="52">
        <v>400000</v>
      </c>
    </row>
    <row r="196" spans="1:9">
      <c r="A196">
        <v>198</v>
      </c>
      <c r="C196" s="203" t="s">
        <v>2868</v>
      </c>
      <c r="D196" s="202" t="s">
        <v>2869</v>
      </c>
      <c r="E196" s="202" t="s">
        <v>2868</v>
      </c>
      <c r="F196" s="52">
        <v>1500000</v>
      </c>
    </row>
    <row r="197" spans="1:9">
      <c r="A197">
        <v>199</v>
      </c>
      <c r="B197">
        <v>2</v>
      </c>
      <c r="D197" s="202" t="s">
        <v>2887</v>
      </c>
      <c r="F197" s="52">
        <v>150000</v>
      </c>
    </row>
    <row r="198" spans="1:9">
      <c r="A198">
        <v>200</v>
      </c>
      <c r="B198">
        <v>1</v>
      </c>
      <c r="C198" s="203">
        <v>7252703114</v>
      </c>
      <c r="D198" s="202" t="s">
        <v>2915</v>
      </c>
      <c r="E198" s="202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3">
        <v>1094302044</v>
      </c>
      <c r="D199" s="202" t="s">
        <v>2917</v>
      </c>
      <c r="E199" s="202">
        <v>1094302044</v>
      </c>
      <c r="F199" s="52">
        <v>300000</v>
      </c>
      <c r="G199" s="52">
        <v>150000</v>
      </c>
      <c r="I199" s="52" t="s">
        <v>2918</v>
      </c>
    </row>
    <row r="200" spans="1:9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2828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2783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2515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2516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2517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2025-07-08T09:39:32Z</cp:lastPrinted>
  <dcterms:created xsi:type="dcterms:W3CDTF">2020-10-02T11:51:16Z</dcterms:created>
  <dcterms:modified xsi:type="dcterms:W3CDTF">2025-07-09T08:55:03Z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