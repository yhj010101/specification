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31F859E-B3F9-49AA-8FC5-888B373A19D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제품" sheetId="1" r:id="rId20"/>
    <sheet name="재고" sheetId="5" r:id="rId21"/>
    <sheet name="Sheet3" sheetId="28" state="veryHidden" r:id="rId22"/>
    <sheet name="배송" sheetId="14" state="veryHidden" r:id="rId23"/>
    <sheet name="구분" sheetId="13" state="hidden" r:id="rId24"/>
    <sheet name="제품구분" sheetId="10" state="hidden" r:id="rId25"/>
    <sheet name="단위" sheetId="9" state="veryHidden" r:id="rId26"/>
    <sheet name="프로모션" sheetId="12" state="veryHidden" r:id="rId27"/>
    <sheet name="경동택배" sheetId="20" state="veryHidden" r:id="rId28"/>
    <sheet name="Sheet4" sheetId="29" state="veryHidden" r:id="rId29"/>
    <sheet name="로그인 기록" sheetId="23" state="veryHidden" r:id="rId30"/>
    <sheet name="재고관리" sheetId="6" state="hidden" r:id="rId31"/>
    <sheet name="Sheet6" sheetId="40" r:id="rId32"/>
    <sheet name="Sheet7" sheetId="49" r:id="rId33"/>
    <sheet name="업무일지" sheetId="38" state="hidden" r:id="rId34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0" hidden="1">재고!$A$1:$I$1</definedName>
    <definedName name="_xlnm._FilterDatabase" localSheetId="30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C5" i="33"/>
  <c r="A5" i="33"/>
  <c r="C4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C209" i="56" l="1"/>
  <c r="C16" i="56"/>
  <c r="C20" i="56"/>
  <c r="C32" i="56"/>
  <c r="C44" i="56"/>
  <c r="C56" i="56"/>
  <c r="C68" i="56"/>
  <c r="C82" i="56"/>
  <c r="C113" i="56"/>
  <c r="C149" i="56"/>
  <c r="C167" i="56"/>
  <c r="C185" i="56"/>
  <c r="C203" i="56"/>
  <c r="C221" i="56"/>
  <c r="C14" i="56"/>
  <c r="C26" i="56"/>
  <c r="C38" i="56"/>
  <c r="C50" i="56"/>
  <c r="C62" i="56"/>
  <c r="C74" i="56"/>
  <c r="C95" i="56"/>
  <c r="C131" i="56"/>
  <c r="C15" i="56"/>
  <c r="C21" i="56"/>
  <c r="C27" i="56"/>
  <c r="C33" i="56"/>
  <c r="C39" i="56"/>
  <c r="C45" i="56"/>
  <c r="C51" i="56"/>
  <c r="C57" i="56"/>
  <c r="C63" i="56"/>
  <c r="C69" i="56"/>
  <c r="C75" i="56"/>
  <c r="C83" i="56"/>
  <c r="C98" i="56"/>
  <c r="C116" i="56"/>
  <c r="C134" i="56"/>
  <c r="C152" i="56"/>
  <c r="C170" i="56"/>
  <c r="C188" i="56"/>
  <c r="C206" i="56"/>
  <c r="C224" i="56"/>
  <c r="C22" i="56"/>
  <c r="C28" i="56"/>
  <c r="C34" i="56"/>
  <c r="C40" i="56"/>
  <c r="C46" i="56"/>
  <c r="C52" i="56"/>
  <c r="C58" i="56"/>
  <c r="C64" i="56"/>
  <c r="C70" i="56"/>
  <c r="C76" i="56"/>
  <c r="C85" i="56"/>
  <c r="C101" i="56"/>
  <c r="C119" i="56"/>
  <c r="C137" i="56"/>
  <c r="C155" i="56"/>
  <c r="C173" i="56"/>
  <c r="C191" i="56"/>
  <c r="C103" i="56"/>
  <c r="C97" i="56"/>
  <c r="C100" i="56"/>
  <c r="C94" i="56"/>
  <c r="C91" i="56"/>
  <c r="C88" i="56"/>
  <c r="C93" i="56"/>
  <c r="C87" i="56"/>
  <c r="C81" i="56"/>
  <c r="C96" i="56"/>
  <c r="C90" i="56"/>
  <c r="C84" i="56"/>
  <c r="C78" i="56"/>
  <c r="C17" i="56"/>
  <c r="C23" i="56"/>
  <c r="C29" i="56"/>
  <c r="C35" i="56"/>
  <c r="C41" i="56"/>
  <c r="C47" i="56"/>
  <c r="C53" i="56"/>
  <c r="C59" i="56"/>
  <c r="C65" i="56"/>
  <c r="C71" i="56"/>
  <c r="C77" i="56"/>
  <c r="C86" i="56"/>
  <c r="C104" i="56"/>
  <c r="C122" i="56"/>
  <c r="C140" i="56"/>
  <c r="C158" i="56"/>
  <c r="C176" i="56"/>
  <c r="C194" i="56"/>
  <c r="C212" i="56"/>
  <c r="C13" i="56"/>
  <c r="C18" i="56"/>
  <c r="C24" i="56"/>
  <c r="C30" i="56"/>
  <c r="C36" i="56"/>
  <c r="C42" i="56"/>
  <c r="C48" i="56"/>
  <c r="C54" i="56"/>
  <c r="C60" i="56"/>
  <c r="C66" i="56"/>
  <c r="C72" i="56"/>
  <c r="C79" i="56"/>
  <c r="C89" i="56"/>
  <c r="C107" i="56"/>
  <c r="C125" i="56"/>
  <c r="C143" i="56"/>
  <c r="C161" i="56"/>
  <c r="C179" i="56"/>
  <c r="C197" i="56"/>
  <c r="C215" i="56"/>
  <c r="C19" i="56"/>
  <c r="C25" i="56"/>
  <c r="C31" i="56"/>
  <c r="C37" i="56"/>
  <c r="C43" i="56"/>
  <c r="C49" i="56"/>
  <c r="C55" i="56"/>
  <c r="C61" i="56"/>
  <c r="C67" i="56"/>
  <c r="C73" i="56"/>
  <c r="C80" i="56"/>
  <c r="C92" i="56"/>
  <c r="C110" i="56"/>
  <c r="C128" i="56"/>
  <c r="C146" i="56"/>
  <c r="C164" i="56"/>
  <c r="C182" i="56"/>
  <c r="C200" i="56"/>
  <c r="C218" i="56"/>
  <c r="C4" i="56"/>
  <c r="C7" i="56"/>
  <c r="C10" i="56"/>
  <c r="C99" i="56"/>
  <c r="C105" i="56"/>
  <c r="C111" i="56"/>
  <c r="C117" i="56"/>
  <c r="C123" i="56"/>
  <c r="C129" i="56"/>
  <c r="C135" i="56"/>
  <c r="C138" i="56"/>
  <c r="C144" i="56"/>
  <c r="C147" i="56"/>
  <c r="C150" i="56"/>
  <c r="C153" i="56"/>
  <c r="C156" i="56"/>
  <c r="C159" i="56"/>
  <c r="C162" i="56"/>
  <c r="C165" i="56"/>
  <c r="C168" i="56"/>
  <c r="C171" i="56"/>
  <c r="C174" i="56"/>
  <c r="C177" i="56"/>
  <c r="C180" i="56"/>
  <c r="C183" i="56"/>
  <c r="C186" i="56"/>
  <c r="C189" i="56"/>
  <c r="C192" i="56"/>
  <c r="C195" i="56"/>
  <c r="C198" i="56"/>
  <c r="C201" i="56"/>
  <c r="C204" i="56"/>
  <c r="C207" i="56"/>
  <c r="C210" i="56"/>
  <c r="C213" i="56"/>
  <c r="C216" i="56"/>
  <c r="C219" i="56"/>
  <c r="C222" i="56"/>
  <c r="C102" i="56"/>
  <c r="C108" i="56"/>
  <c r="C114" i="56"/>
  <c r="C120" i="56"/>
  <c r="C126" i="56"/>
  <c r="C132" i="56"/>
  <c r="C141" i="56"/>
  <c r="C2" i="56"/>
  <c r="C5" i="56"/>
  <c r="C8" i="56"/>
  <c r="C11" i="56"/>
  <c r="C106" i="56"/>
  <c r="C112" i="56"/>
  <c r="C118" i="56"/>
  <c r="C124" i="56"/>
  <c r="C130" i="56"/>
  <c r="C136" i="56"/>
  <c r="C139" i="56"/>
  <c r="C142" i="56"/>
  <c r="C145" i="56"/>
  <c r="C148" i="56"/>
  <c r="C151" i="56"/>
  <c r="C154" i="56"/>
  <c r="C157" i="56"/>
  <c r="C160" i="56"/>
  <c r="C163" i="56"/>
  <c r="C166" i="56"/>
  <c r="C169" i="56"/>
  <c r="C172" i="56"/>
  <c r="C175" i="56"/>
  <c r="C178" i="56"/>
  <c r="C181" i="56"/>
  <c r="C184" i="56"/>
  <c r="C187" i="56"/>
  <c r="C190" i="56"/>
  <c r="C193" i="56"/>
  <c r="C196" i="56"/>
  <c r="C199" i="56"/>
  <c r="C202" i="56"/>
  <c r="C205" i="56"/>
  <c r="C208" i="56"/>
  <c r="C211" i="56"/>
  <c r="C214" i="56"/>
  <c r="C217" i="56"/>
  <c r="C220" i="56"/>
  <c r="C223" i="56"/>
  <c r="C109" i="56"/>
  <c r="C115" i="56"/>
  <c r="C121" i="56"/>
  <c r="C127" i="56"/>
  <c r="C133" i="56"/>
  <c r="C3" i="56"/>
  <c r="C6" i="56"/>
  <c r="C9" i="56"/>
  <c r="C12" i="56"/>
  <c r="F21" i="53"/>
  <c r="F44" i="53" s="1"/>
  <c r="D223" i="56" l="1"/>
  <c r="D211" i="56"/>
  <c r="D193" i="56"/>
  <c r="D175" i="56"/>
  <c r="D157" i="56"/>
  <c r="D139" i="56"/>
  <c r="D106" i="56"/>
  <c r="D132" i="56"/>
  <c r="D222" i="56"/>
  <c r="D204" i="56"/>
  <c r="D186" i="56"/>
  <c r="D168" i="56"/>
  <c r="D150" i="56"/>
  <c r="D123" i="56"/>
  <c r="D7" i="56"/>
  <c r="D146" i="56"/>
  <c r="D67" i="56"/>
  <c r="D31" i="56"/>
  <c r="D161" i="56"/>
  <c r="D72" i="56"/>
  <c r="D36" i="56"/>
  <c r="D194" i="56"/>
  <c r="D86" i="56"/>
  <c r="D47" i="56"/>
  <c r="D78" i="56"/>
  <c r="D93" i="56"/>
  <c r="D103" i="56"/>
  <c r="D101" i="56"/>
  <c r="D52" i="56"/>
  <c r="D224" i="56"/>
  <c r="D116" i="56"/>
  <c r="D57" i="56"/>
  <c r="D21" i="56"/>
  <c r="D50" i="56"/>
  <c r="D185" i="56"/>
  <c r="D56" i="56"/>
  <c r="D115" i="56"/>
  <c r="D208" i="56"/>
  <c r="D190" i="56"/>
  <c r="D172" i="56"/>
  <c r="D154" i="56"/>
  <c r="D136" i="56"/>
  <c r="D11" i="56"/>
  <c r="D126" i="56"/>
  <c r="D219" i="56"/>
  <c r="D201" i="56"/>
  <c r="D183" i="56"/>
  <c r="D165" i="56"/>
  <c r="D147" i="56"/>
  <c r="D117" i="56"/>
  <c r="D4" i="56"/>
  <c r="D128" i="56"/>
  <c r="D61" i="56"/>
  <c r="D25" i="56"/>
  <c r="D143" i="56"/>
  <c r="D66" i="56"/>
  <c r="D30" i="56"/>
  <c r="D176" i="56"/>
  <c r="D77" i="56"/>
  <c r="D41" i="56"/>
  <c r="D84" i="56"/>
  <c r="D88" i="56"/>
  <c r="D191" i="56"/>
  <c r="D85" i="56"/>
  <c r="D46" i="56"/>
  <c r="D206" i="56"/>
  <c r="D98" i="56"/>
  <c r="D51" i="56"/>
  <c r="D15" i="56"/>
  <c r="D38" i="56"/>
  <c r="D167" i="56"/>
  <c r="D44" i="56"/>
  <c r="D187" i="56"/>
  <c r="D169" i="56"/>
  <c r="D151" i="56"/>
  <c r="D130" i="56"/>
  <c r="D8" i="56"/>
  <c r="D120" i="56"/>
  <c r="D216" i="56"/>
  <c r="D198" i="56"/>
  <c r="D180" i="56"/>
  <c r="D162" i="56"/>
  <c r="D144" i="56"/>
  <c r="D111" i="56"/>
  <c r="D218" i="56"/>
  <c r="D110" i="56"/>
  <c r="D55" i="56"/>
  <c r="D19" i="56"/>
  <c r="D125" i="56"/>
  <c r="D60" i="56"/>
  <c r="D24" i="56"/>
  <c r="D158" i="56"/>
  <c r="D71" i="56"/>
  <c r="D35" i="56"/>
  <c r="D90" i="56"/>
  <c r="D91" i="56"/>
  <c r="D173" i="56"/>
  <c r="D76" i="56"/>
  <c r="D40" i="56"/>
  <c r="D188" i="56"/>
  <c r="D83" i="56"/>
  <c r="D45" i="56"/>
  <c r="D131" i="56"/>
  <c r="D26" i="56"/>
  <c r="D149" i="56"/>
  <c r="D32" i="56"/>
  <c r="D9" i="56"/>
  <c r="D109" i="56"/>
  <c r="D3" i="56"/>
  <c r="D220" i="56"/>
  <c r="D202" i="56"/>
  <c r="D184" i="56"/>
  <c r="D166" i="56"/>
  <c r="D148" i="56"/>
  <c r="D124" i="56"/>
  <c r="D5" i="56"/>
  <c r="D114" i="56"/>
  <c r="D213" i="56"/>
  <c r="D195" i="56"/>
  <c r="D177" i="56"/>
  <c r="D159" i="56"/>
  <c r="D138" i="56"/>
  <c r="D105" i="56"/>
  <c r="D200" i="56"/>
  <c r="D92" i="56"/>
  <c r="D49" i="56"/>
  <c r="D215" i="56"/>
  <c r="D107" i="56"/>
  <c r="D54" i="56"/>
  <c r="D18" i="56"/>
  <c r="D140" i="56"/>
  <c r="D65" i="56"/>
  <c r="D29" i="56"/>
  <c r="D96" i="56"/>
  <c r="D94" i="56"/>
  <c r="D155" i="56"/>
  <c r="D70" i="56"/>
  <c r="D34" i="56"/>
  <c r="D170" i="56"/>
  <c r="D75" i="56"/>
  <c r="D39" i="56"/>
  <c r="D95" i="56"/>
  <c r="D14" i="56"/>
  <c r="F14" i="56" s="1"/>
  <c r="D113" i="56"/>
  <c r="D20" i="56"/>
  <c r="D205" i="56"/>
  <c r="D133" i="56"/>
  <c r="D127" i="56"/>
  <c r="D217" i="56"/>
  <c r="D199" i="56"/>
  <c r="D181" i="56"/>
  <c r="D163" i="56"/>
  <c r="D145" i="56"/>
  <c r="D118" i="56"/>
  <c r="D2" i="56"/>
  <c r="D108" i="56"/>
  <c r="D210" i="56"/>
  <c r="D192" i="56"/>
  <c r="D174" i="56"/>
  <c r="D156" i="56"/>
  <c r="D135" i="56"/>
  <c r="D99" i="56"/>
  <c r="D182" i="56"/>
  <c r="D80" i="56"/>
  <c r="D43" i="56"/>
  <c r="D197" i="56"/>
  <c r="D89" i="56"/>
  <c r="D48" i="56"/>
  <c r="D13" i="56"/>
  <c r="F13" i="56" s="1"/>
  <c r="D122" i="56"/>
  <c r="D59" i="56"/>
  <c r="D23" i="56"/>
  <c r="D81" i="56"/>
  <c r="D100" i="56"/>
  <c r="D137" i="56"/>
  <c r="D64" i="56"/>
  <c r="D28" i="56"/>
  <c r="D152" i="56"/>
  <c r="D69" i="56"/>
  <c r="D33" i="56"/>
  <c r="D74" i="56"/>
  <c r="D221" i="56"/>
  <c r="D82" i="56"/>
  <c r="D16" i="56"/>
  <c r="D6" i="56"/>
  <c r="D12" i="56"/>
  <c r="F12" i="56" s="1"/>
  <c r="D121" i="56"/>
  <c r="D214" i="56"/>
  <c r="D196" i="56"/>
  <c r="D178" i="56"/>
  <c r="D160" i="56"/>
  <c r="D142" i="56"/>
  <c r="D112" i="56"/>
  <c r="D141" i="56"/>
  <c r="D102" i="56"/>
  <c r="D207" i="56"/>
  <c r="D189" i="56"/>
  <c r="D171" i="56"/>
  <c r="D153" i="56"/>
  <c r="D129" i="56"/>
  <c r="D10" i="56"/>
  <c r="D164" i="56"/>
  <c r="D73" i="56"/>
  <c r="D37" i="56"/>
  <c r="D179" i="56"/>
  <c r="D79" i="56"/>
  <c r="D42" i="56"/>
  <c r="D212" i="56"/>
  <c r="D104" i="56"/>
  <c r="D53" i="56"/>
  <c r="D17" i="56"/>
  <c r="D87" i="56"/>
  <c r="D97" i="56"/>
  <c r="D119" i="56"/>
  <c r="D58" i="56"/>
  <c r="D22" i="56"/>
  <c r="D134" i="56"/>
  <c r="D63" i="56"/>
  <c r="D27" i="56"/>
  <c r="D62" i="56"/>
  <c r="D203" i="56"/>
  <c r="D68" i="56"/>
  <c r="D209" i="56"/>
</calcChain>
</file>

<file path=xl/sharedStrings.xml><?xml version="1.0" encoding="utf-8"?>
<sst xmlns="http://schemas.openxmlformats.org/spreadsheetml/2006/main" count="7337" uniqueCount="3065">
  <si>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</si>
  <si>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</si>
  <si>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</si>
  <si>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</si>
  <si>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</si>
  <si>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</si>
  <si>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</si>
  <si>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</si>
  <si>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</si>
  <si>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</si>
  <si>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</si>
  <si>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</si>
  <si>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</si>
  <si>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</si>
  <si>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</si>
  <si>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</si>
  <si>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</si>
  <si>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</si>
  <si>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</si>
  <si>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</si>
  <si>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</si>
  <si>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</si>
  <si>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</si>
  <si>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</si>
  <si>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</si>
  <si>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</si>
  <si>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</si>
  <si>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</si>
  <si>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</si>
  <si>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</si>
  <si>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</si>
  <si>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</si>
  <si>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</si>
  <si>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</si>
  <si>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</si>
  <si>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</si>
  <si>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</si>
  <si>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</si>
  <si>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</si>
  <si>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</si>
  <si>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</si>
  <si>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</si>
  <si>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</si>
  <si>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</si>
  <si>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</si>
  <si>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</si>
  <si>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</si>
  <si>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</si>
  <si>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</si>
  <si>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</si>
  <si>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</si>
  <si>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</si>
  <si>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</si>
  <si>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</si>
  <si>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</si>
  <si>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</si>
  <si>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</si>
  <si>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</si>
  <si>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</si>
  <si>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</si>
  <si>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</si>
  <si>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</si>
  <si>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</si>
  <si>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</si>
  <si>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</si>
  <si>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</si>
  <si>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</si>
  <si>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</si>
  <si>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</si>
  <si>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</si>
  <si>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</si>
  <si>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</si>
  <si>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</si>
  <si>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</si>
  <si>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</si>
  <si>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</si>
  <si>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</si>
  <si>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</si>
  <si>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</si>
  <si>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</si>
  <si>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</si>
  <si>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</si>
  <si>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</si>
  <si>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</si>
  <si>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</si>
  <si>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</si>
  <si>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</si>
  <si>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</si>
  <si>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</si>
  <si>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</si>
  <si>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</si>
  <si>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</si>
  <si>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</si>
  <si>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</si>
  <si>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</si>
  <si>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</si>
  <si>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</si>
  <si>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</si>
  <si>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</si>
  <si>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</si>
  <si>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</si>
  <si>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</si>
  <si>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</si>
  <si>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</si>
  <si>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</si>
  <si>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</si>
  <si>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</si>
  <si>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</si>
  <si>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</si>
  <si>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</si>
  <si>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</si>
  <si>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</si>
  <si>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</si>
  <si>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</si>
  <si>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</si>
  <si>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</si>
  <si>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</si>
  <si>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</si>
  <si>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</si>
  <si>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</si>
  <si>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</si>
  <si>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</si>
  <si>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</si>
  <si>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</si>
  <si>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</si>
  <si>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</si>
  <si>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</si>
  <si>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</si>
  <si>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</si>
  <si>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</si>
  <si>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</si>
  <si>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</si>
  <si>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</si>
  <si>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</si>
  <si>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</si>
  <si>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</si>
  <si>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</si>
  <si>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</si>
  <si>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</si>
  <si>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</si>
  <si>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</si>
  <si>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</si>
  <si>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</si>
  <si>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</si>
  <si>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</si>
  <si>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</si>
  <si>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</si>
  <si>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</si>
  <si>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</si>
  <si>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</si>
  <si>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</si>
  <si>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</si>
  <si>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</si>
  <si>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</si>
  <si>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</si>
  <si>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</si>
  <si>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</si>
  <si>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</si>
  <si>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</si>
  <si>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</si>
  <si>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</si>
  <si>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</si>
  <si>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</si>
  <si>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</si>
  <si>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</si>
  <si>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</si>
  <si>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</si>
  <si>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</si>
  <si>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</si>
  <si>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</si>
  <si>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</si>
  <si>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</si>
  <si>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</si>
  <si>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</si>
  <si>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</si>
  <si>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</si>
  <si>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</si>
  <si>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</si>
  <si>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</si>
  <si>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</si>
  <si>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</si>
  <si>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</si>
  <si>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</si>
  <si>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</si>
  <si>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</si>
  <si>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</si>
  <si>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</si>
  <si>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</si>
  <si>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</si>
  <si>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</si>
  <si>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</si>
  <si>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</si>
  <si>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</si>
  <si>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</si>
  <si>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</si>
  <si>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</si>
  <si>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</si>
  <si>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</si>
  <si>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</si>
  <si>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</si>
  <si>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</si>
  <si>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</si>
  <si>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</si>
  <si>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</si>
  <si>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</si>
  <si>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</si>
  <si>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</si>
  <si>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</si>
  <si>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</si>
  <si>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</si>
  <si>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</si>
  <si>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</si>
  <si>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</si>
  <si>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</si>
  <si>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</si>
  <si>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</si>
  <si>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</si>
  <si>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</si>
  <si>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</si>
  <si>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</si>
  <si>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</si>
  <si>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</si>
  <si>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</si>
  <si>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</si>
  <si>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</si>
  <si>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</si>
  <si>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</si>
  <si>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</si>
  <si>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</si>
  <si>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</si>
  <si>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</si>
  <si>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</si>
  <si>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</si>
  <si>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</si>
  <si>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</si>
  <si>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</si>
  <si>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</si>
  <si>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</si>
  <si>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</si>
  <si>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</si>
  <si>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</si>
  <si>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</si>
  <si>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</si>
  <si>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</si>
  <si>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</si>
  <si>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</si>
  <si>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</si>
  <si>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</si>
  <si>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</si>
  <si>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</si>
  <si>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</si>
  <si>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</si>
  <si>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</si>
  <si>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</si>
  <si>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</si>
  <si>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</si>
  <si>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</si>
  <si>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</si>
  <si>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</si>
  <si>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</si>
  <si>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</si>
  <si>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</si>
  <si>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</si>
  <si>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</si>
  <si>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</si>
  <si>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</si>
  <si>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</si>
  <si>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</si>
  <si>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</si>
  <si>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</si>
  <si>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</si>
  <si>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</si>
  <si>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</si>
  <si>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</si>
  <si>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</si>
  <si>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</si>
  <si>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</si>
  <si>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</si>
  <si>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</si>
  <si>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</si>
  <si>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</si>
  <si>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</si>
  <si>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</si>
  <si>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</si>
  <si>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</si>
  <si>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</si>
  <si>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</si>
  <si>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</si>
  <si>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</si>
  <si>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</si>
  <si>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</si>
  <si>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</si>
  <si>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</si>
  <si>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</si>
  <si>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</si>
  <si>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</si>
  <si>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</si>
  <si>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</si>
  <si>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</si>
  <si>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</si>
  <si>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</si>
  <si>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</si>
  <si>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</si>
  <si>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</si>
  <si>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</si>
  <si>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</si>
  <si>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</si>
  <si>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</si>
  <si>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</si>
  <si>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</si>
  <si>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</si>
  <si>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</si>
  <si>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</si>
  <si>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</si>
  <si>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</si>
  <si>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</si>
  <si>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</si>
  <si>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</si>
  <si>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</si>
  <si>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</si>
  <si>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</si>
  <si>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</si>
  <si>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</si>
  <si>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</si>
  <si>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</si>
  <si>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</si>
  <si>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</si>
  <si>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</si>
  <si>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</si>
  <si>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</si>
  <si>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</si>
  <si>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</si>
  <si>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</si>
  <si>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</si>
  <si>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</si>
  <si>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</si>
  <si>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</si>
  <si>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</si>
  <si>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</si>
  <si>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</si>
  <si>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</si>
  <si>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</si>
  <si>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</si>
  <si>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</si>
  <si>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</si>
  <si>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</si>
  <si>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</si>
  <si>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</si>
  <si>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</si>
  <si>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</si>
  <si>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</si>
  <si>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</si>
  <si>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</si>
  <si>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</si>
  <si>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</si>
  <si>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</si>
  <si>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</si>
  <si>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</si>
  <si>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</si>
  <si>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</si>
  <si>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</si>
  <si>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</si>
  <si>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</si>
  <si>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</si>
  <si>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</si>
  <si>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</si>
  <si>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</si>
  <si>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</si>
  <si>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</si>
  <si>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</si>
  <si>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</si>
  <si>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</si>
  <si>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</si>
  <si>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</si>
  <si>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</si>
  <si>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</si>
  <si>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</si>
  <si>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</si>
  <si>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</si>
  <si>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</si>
  <si>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</si>
  <si>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</si>
  <si>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</si>
  <si>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</si>
  <si>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</si>
  <si>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</si>
  <si>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</si>
  <si>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</si>
  <si>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</si>
  <si>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</si>
  <si>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</si>
  <si>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</si>
  <si>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</si>
  <si>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</si>
  <si>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</si>
  <si>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</si>
  <si>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</si>
  <si>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</si>
  <si>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</si>
  <si>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</si>
  <si>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</si>
  <si>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</si>
  <si>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</si>
  <si>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</si>
  <si>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</si>
  <si>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</si>
  <si>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</si>
  <si>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</si>
  <si>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</si>
  <si>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</si>
  <si>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</si>
  <si>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</si>
  <si>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</si>
  <si>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</si>
  <si>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</si>
  <si>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</si>
  <si>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</si>
  <si>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</si>
  <si>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</si>
  <si>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</si>
  <si>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</si>
  <si>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</si>
  <si>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</si>
  <si>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</si>
  <si>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</si>
  <si>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</si>
  <si>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</si>
  <si>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</si>
  <si>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</si>
  <si>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</si>
  <si>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</si>
  <si>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</si>
  <si>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</si>
  <si>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</si>
  <si>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</si>
  <si>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</si>
  <si>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</si>
  <si>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</si>
  <si>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</si>
  <si>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</si>
  <si>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</si>
  <si>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</si>
  <si>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</si>
  <si>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</si>
  <si>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</si>
  <si>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</si>
  <si>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</si>
  <si>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</si>
  <si>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</si>
  <si>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</si>
  <si>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</si>
  <si>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</si>
  <si>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</si>
  <si>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</si>
  <si>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</si>
  <si>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</si>
  <si>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</si>
  <si>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</si>
  <si>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</si>
  <si>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</si>
  <si>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</si>
  <si>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</si>
  <si>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</si>
  <si>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</si>
  <si>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</si>
  <si>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</si>
  <si>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</si>
  <si>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</si>
  <si>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</si>
  <si>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</si>
  <si>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</si>
  <si>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</si>
  <si>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</si>
  <si>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</si>
  <si>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</si>
  <si>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</si>
  <si>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</si>
  <si>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</si>
  <si>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</si>
  <si>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</si>
  <si>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</si>
  <si>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</si>
  <si>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</si>
  <si>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</si>
  <si>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</si>
  <si>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</si>
  <si>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</si>
  <si>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</si>
  <si>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</si>
  <si>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</si>
  <si>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</si>
  <si>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</si>
  <si>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</si>
  <si>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</si>
  <si>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</si>
  <si>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</si>
  <si>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</si>
  <si>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</si>
  <si>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</si>
  <si>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</si>
  <si>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</si>
  <si>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</si>
  <si>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</si>
  <si>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</si>
  <si>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</si>
  <si>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</si>
  <si>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</si>
  <si>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</si>
  <si>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</si>
  <si>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</si>
  <si>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</si>
  <si>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</si>
  <si>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</si>
  <si>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</si>
  <si>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</si>
  <si>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</si>
  <si>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</si>
  <si>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</si>
  <si>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</si>
  <si>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</si>
  <si>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</si>
  <si>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</si>
  <si>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</si>
  <si>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</si>
  <si>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</si>
  <si>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</si>
  <si>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</si>
  <si>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</si>
  <si>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</si>
  <si>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</si>
  <si>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</si>
  <si>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</si>
  <si>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</si>
  <si>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</si>
  <si>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</si>
  <si>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</si>
  <si>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</si>
  <si>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</si>
  <si>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</si>
  <si>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</si>
  <si>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</si>
  <si>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</si>
  <si>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</si>
  <si>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</si>
  <si>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</si>
  <si>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</si>
  <si>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</si>
  <si>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</si>
  <si>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</si>
  <si>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</si>
  <si>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</si>
  <si>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</si>
  <si>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</si>
  <si>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</si>
  <si>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</si>
  <si>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</si>
  <si>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</si>
  <si>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</si>
  <si>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</si>
  <si>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</si>
  <si>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</si>
  <si>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</si>
  <si>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</si>
  <si>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</si>
  <si>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</si>
  <si>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</si>
  <si>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</si>
  <si>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</si>
  <si>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</si>
  <si>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</si>
  <si>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</si>
  <si>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</si>
  <si>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</si>
  <si>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</si>
  <si>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</si>
  <si>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</si>
  <si>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</si>
  <si>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</si>
  <si>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</si>
  <si>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</si>
  <si>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</si>
  <si>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</si>
  <si>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</si>
  <si>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</si>
  <si>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</si>
  <si>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</si>
  <si>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</si>
  <si>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</si>
  <si>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</si>
  <si>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</si>
  <si>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</si>
  <si>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</si>
  <si>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</si>
  <si>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</si>
  <si>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</si>
  <si>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</si>
  <si>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</si>
  <si>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</si>
  <si>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</si>
  <si>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</si>
  <si>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</si>
  <si>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</si>
  <si>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</si>
  <si>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</si>
  <si>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</si>
  <si>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</si>
  <si>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</si>
  <si>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</si>
  <si>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</si>
  <si>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</si>
  <si>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</si>
  <si>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</si>
  <si>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</si>
  <si>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</si>
  <si>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</si>
  <si>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</si>
  <si>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</si>
  <si>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</si>
  <si>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</si>
  <si>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</si>
  <si>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</si>
  <si>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</si>
  <si>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</si>
  <si>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</si>
  <si>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</si>
  <si>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</si>
  <si>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</si>
  <si>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</si>
  <si>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</si>
  <si>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</si>
  <si>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</si>
  <si>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</si>
  <si>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</si>
  <si>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</si>
  <si>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</si>
  <si>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</si>
  <si>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</si>
  <si>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</si>
  <si>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</si>
  <si>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</si>
  <si>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</si>
  <si>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</si>
  <si>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</si>
  <si>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</si>
  <si>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</si>
  <si>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</si>
  <si>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</si>
  <si>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</si>
  <si>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</si>
  <si>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</si>
  <si>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</si>
  <si>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</si>
  <si>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</si>
  <si>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</si>
  <si>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</si>
  <si>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</si>
  <si>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</si>
  <si>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</si>
  <si>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</si>
  <si>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</si>
  <si>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</si>
  <si>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</si>
  <si>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</si>
  <si>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</si>
  <si>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</si>
  <si>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</si>
  <si>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</si>
  <si>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</si>
  <si>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</si>
  <si>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</si>
  <si>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</si>
  <si>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</si>
  <si>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</si>
  <si>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</si>
  <si>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</si>
  <si>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</si>
  <si>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</si>
  <si>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</si>
  <si>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</si>
  <si>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</si>
  <si>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</si>
  <si>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</si>
  <si>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</si>
  <si>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</si>
  <si>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</si>
  <si>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</si>
  <si>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</si>
  <si>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</si>
  <si>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</si>
  <si>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</si>
  <si>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</si>
  <si>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</si>
  <si>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</si>
  <si>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</si>
  <si>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</si>
  <si>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</si>
  <si>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</si>
  <si>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</si>
  <si>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</si>
  <si>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</si>
  <si>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</si>
  <si>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</si>
  <si>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</si>
  <si>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</si>
  <si>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</si>
  <si>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</si>
  <si>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</si>
  <si>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</si>
  <si>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</si>
  <si>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</si>
  <si>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</si>
  <si>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</si>
  <si>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</si>
  <si>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</si>
  <si>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</si>
  <si>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</si>
  <si>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</si>
  <si>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</si>
  <si>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</si>
  <si>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</si>
  <si>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</si>
  <si>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</si>
  <si>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</si>
  <si>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</si>
  <si>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</si>
  <si>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</si>
  <si>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</si>
  <si>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</si>
  <si>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</si>
  <si>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</si>
  <si>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</si>
  <si>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</si>
  <si>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</si>
  <si>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</si>
  <si>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</si>
  <si>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</si>
  <si>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</si>
  <si>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</si>
  <si>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</si>
  <si>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</si>
  <si>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</si>
  <si>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</si>
  <si>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</si>
  <si>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</si>
  <si>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</si>
  <si>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</si>
  <si>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</si>
  <si>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</si>
  <si>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</si>
  <si>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</si>
  <si>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</si>
  <si>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</si>
  <si>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</si>
  <si>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</si>
  <si>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</si>
  <si>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</si>
  <si>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</si>
  <si>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</si>
  <si>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</si>
  <si>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</si>
  <si>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</si>
  <si>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</si>
  <si>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</si>
  <si>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</si>
  <si>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</si>
  <si>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</si>
  <si>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</si>
  <si>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</si>
  <si>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</si>
  <si>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</si>
  <si>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</si>
  <si>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</si>
  <si>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</si>
  <si>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</si>
  <si>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</si>
  <si>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</si>
  <si>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</si>
  <si>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</si>
  <si>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</si>
  <si>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</si>
  <si>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</si>
  <si>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</si>
  <si>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</si>
  <si>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</si>
  <si>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</si>
  <si>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</si>
  <si>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</si>
  <si>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</si>
  <si>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</si>
  <si>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</si>
  <si>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</si>
  <si>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</si>
  <si>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</si>
  <si>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</si>
  <si>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</si>
  <si>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</si>
  <si>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</si>
  <si>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</si>
  <si>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</si>
  <si>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</si>
  <si>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</si>
  <si>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</si>
  <si>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</si>
  <si>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</si>
  <si>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</si>
  <si>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</si>
  <si>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</si>
  <si>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</si>
  <si>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</si>
  <si>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</si>
  <si>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</si>
  <si>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</si>
  <si>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</si>
  <si>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</si>
  <si>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</si>
  <si>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</si>
  <si>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</si>
  <si>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</si>
  <si>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</si>
  <si>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</si>
  <si>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</si>
  <si>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</si>
  <si>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</si>
  <si>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</si>
  <si>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</si>
  <si>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</si>
  <si>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</si>
  <si>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</si>
  <si>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</si>
  <si>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</si>
  <si>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</si>
  <si>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</si>
  <si>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</si>
  <si>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</si>
  <si>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</si>
  <si>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</si>
  <si>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</si>
  <si>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</si>
  <si>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</si>
  <si>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</si>
  <si>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</si>
  <si>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</si>
  <si>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</si>
  <si>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</si>
  <si>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</si>
  <si>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</si>
  <si>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</si>
  <si>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</si>
  <si>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</si>
  <si>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</si>
  <si>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</si>
  <si>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</si>
  <si>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</si>
  <si>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</si>
  <si>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</si>
  <si>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</si>
  <si>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</si>
  <si>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</si>
  <si>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</si>
  <si>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</si>
  <si>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</si>
  <si>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</si>
  <si>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</si>
  <si>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</si>
  <si>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</si>
  <si>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</si>
  <si>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</si>
  <si>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</si>
  <si>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</si>
  <si>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</si>
  <si>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</si>
  <si>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</si>
  <si>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</si>
  <si>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</si>
  <si>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</si>
  <si>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</si>
  <si>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</si>
  <si>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</si>
  <si>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</si>
  <si>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</si>
  <si>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</si>
  <si>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</si>
  <si>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</si>
  <si>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</si>
  <si>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</si>
  <si>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</si>
  <si>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</si>
  <si>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</si>
  <si>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</si>
  <si>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</si>
  <si>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</si>
  <si>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</si>
  <si>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</si>
  <si>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</si>
  <si>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</si>
  <si>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</si>
  <si>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</si>
  <si>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</si>
  <si>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</si>
  <si>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</si>
  <si>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</si>
  <si>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</si>
  <si>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</si>
  <si>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</si>
  <si>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</si>
  <si>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</si>
  <si>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</si>
  <si>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</si>
  <si>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</si>
  <si>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</si>
  <si>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</si>
  <si>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</si>
  <si>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</si>
  <si>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</si>
  <si>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</si>
  <si>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</si>
  <si>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</si>
  <si>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</si>
  <si>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</si>
  <si>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</si>
  <si>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</si>
  <si>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</si>
  <si>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</si>
  <si>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</si>
  <si>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</si>
  <si>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</si>
  <si>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</si>
  <si>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</si>
  <si>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</si>
  <si>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</si>
  <si>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</si>
  <si>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</si>
  <si>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</si>
  <si>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</si>
  <si>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</si>
  <si>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</si>
  <si>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</si>
  <si>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</si>
  <si>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</si>
  <si>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</si>
  <si>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</si>
  <si>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</si>
  <si>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</si>
  <si>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</si>
  <si>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</si>
  <si>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</si>
  <si>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</si>
  <si>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</si>
  <si>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</si>
  <si>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</si>
  <si>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</si>
  <si>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</si>
  <si>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</si>
  <si>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</si>
  <si>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</si>
  <si>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</si>
  <si>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</si>
  <si>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</si>
  <si>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</si>
  <si>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</si>
  <si>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</si>
  <si>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</si>
  <si>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</si>
  <si>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</si>
  <si>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</si>
  <si>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</si>
  <si>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</si>
  <si>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</si>
  <si>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</si>
  <si>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</si>
  <si>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</si>
  <si>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</si>
  <si>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</si>
  <si>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</si>
  <si>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</si>
  <si>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</si>
  <si>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</si>
  <si>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</si>
  <si>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</si>
  <si>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</si>
  <si>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</si>
  <si>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</si>
  <si>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</si>
  <si>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</si>
  <si>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</si>
  <si>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</si>
  <si>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</si>
  <si>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</si>
  <si>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</si>
  <si>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</si>
  <si>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</si>
  <si>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</si>
  <si>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</si>
  <si>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</si>
  <si>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</si>
  <si>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</si>
  <si>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</si>
  <si>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</si>
  <si>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</si>
  <si>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</si>
  <si>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</si>
  <si>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</si>
  <si>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</si>
  <si>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</si>
  <si>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</si>
  <si>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</si>
  <si>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</si>
  <si>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</si>
  <si>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</si>
  <si>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</si>
  <si>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</si>
  <si>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</si>
  <si>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</si>
  <si>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</si>
  <si>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</si>
  <si>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</si>
  <si>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</si>
  <si>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</si>
  <si>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</si>
  <si>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</si>
  <si>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</si>
  <si>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</si>
  <si>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</si>
  <si>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</si>
  <si>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</si>
  <si>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</si>
  <si>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</si>
  <si>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</si>
  <si>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</si>
  <si>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</si>
  <si>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</si>
  <si>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</si>
  <si>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</si>
  <si>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</si>
  <si>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</si>
  <si>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</si>
  <si>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</si>
  <si>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</si>
  <si>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</si>
  <si>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</si>
  <si>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</si>
  <si>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</si>
  <si>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</si>
  <si>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</si>
  <si>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</si>
  <si>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</si>
  <si>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</si>
  <si>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</si>
  <si>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</si>
  <si>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</si>
  <si>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</si>
  <si>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</si>
  <si>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</si>
  <si>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</si>
  <si>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</si>
  <si>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</si>
  <si>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</si>
  <si>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</si>
  <si>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</si>
  <si>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</si>
  <si>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</si>
  <si>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</si>
  <si>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</si>
  <si>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</si>
  <si>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</si>
  <si>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</si>
  <si>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</si>
  <si>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</si>
  <si>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</si>
  <si>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</si>
  <si>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</si>
  <si>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</si>
  <si>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</si>
  <si>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</si>
  <si>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</si>
  <si>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</si>
  <si>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</si>
  <si>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</si>
  <si>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</si>
  <si>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</si>
  <si>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</si>
  <si>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</si>
  <si>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</si>
  <si>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</si>
  <si>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</si>
  <si>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</si>
  <si>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</si>
  <si>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</si>
  <si>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</si>
  <si>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</si>
  <si>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</si>
  <si>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</si>
  <si>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</si>
  <si>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</si>
  <si>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</si>
  <si>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</si>
  <si>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</si>
  <si>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</si>
  <si>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</si>
  <si>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</si>
  <si>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</si>
  <si>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</si>
  <si>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</si>
  <si>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</si>
  <si>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</si>
  <si>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</si>
  <si>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</si>
  <si>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</si>
  <si>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</si>
  <si>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</si>
  <si>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</si>
  <si>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</si>
  <si>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</si>
  <si>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</si>
  <si>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</si>
  <si>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</si>
  <si>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</si>
  <si>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</si>
  <si>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</si>
  <si>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</si>
  <si>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</si>
  <si>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</si>
  <si>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</si>
  <si>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</si>
  <si>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</si>
  <si>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</si>
  <si>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</si>
  <si>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</si>
  <si>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</si>
  <si>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</si>
  <si>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</si>
  <si>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</si>
  <si>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</si>
  <si>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</si>
  <si>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</si>
  <si>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</si>
  <si>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</si>
  <si>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</si>
  <si>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</si>
  <si>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</si>
  <si>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</si>
  <si>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</si>
  <si>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</si>
  <si>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</si>
  <si>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</si>
  <si>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</si>
  <si>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</si>
  <si>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</si>
  <si>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</si>
  <si>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</si>
  <si>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</si>
  <si>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</si>
  <si>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</si>
  <si>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</si>
  <si>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</si>
  <si>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</si>
  <si>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</si>
  <si>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</si>
  <si>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</si>
  <si>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</si>
  <si>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</si>
  <si>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</si>
  <si>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</si>
  <si>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</si>
  <si>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</si>
  <si>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</si>
  <si>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</si>
  <si>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</si>
  <si>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</si>
  <si>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</si>
  <si>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</si>
  <si>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</si>
  <si>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</si>
  <si>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</si>
  <si>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</si>
  <si>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</si>
  <si>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</si>
  <si>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</si>
  <si>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</si>
  <si>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</si>
  <si>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</si>
  <si>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</si>
  <si>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</si>
  <si>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</si>
  <si>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</si>
  <si>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</si>
  <si>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</si>
  <si>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</si>
  <si>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</si>
  <si>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</si>
  <si>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</si>
  <si>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</si>
  <si>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</si>
  <si>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</si>
  <si>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</si>
  <si>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</si>
  <si>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</si>
  <si>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</si>
  <si>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</si>
  <si>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</si>
  <si>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</si>
  <si>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</si>
  <si>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</si>
  <si>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</si>
  <si>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</si>
  <si>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</si>
  <si>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</si>
  <si>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</si>
  <si>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</si>
  <si>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</si>
  <si>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</si>
  <si>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</si>
  <si>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</si>
  <si>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</si>
  <si>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</si>
  <si>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</si>
  <si>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</si>
  <si>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</si>
  <si>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</si>
  <si>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</si>
  <si>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</si>
  <si>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</si>
  <si>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</si>
  <si>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</si>
  <si>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</si>
  <si>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</si>
  <si>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</si>
  <si>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</si>
  <si>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</si>
  <si>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</si>
  <si>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</si>
  <si>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</si>
  <si>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</si>
  <si>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</si>
  <si>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</si>
  <si>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</si>
  <si>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</si>
  <si>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</si>
  <si>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</si>
  <si>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</si>
  <si>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</si>
  <si>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</si>
  <si>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</si>
  <si>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</si>
  <si>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</si>
  <si>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</si>
  <si>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</si>
  <si>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</si>
  <si>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</si>
  <si>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</si>
  <si>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</si>
  <si>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</si>
  <si>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</si>
  <si>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</si>
  <si>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</si>
  <si>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</si>
  <si>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</si>
  <si>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</si>
  <si>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</si>
  <si>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</si>
  <si>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</si>
  <si>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</si>
  <si>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</si>
  <si>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</si>
  <si>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</si>
  <si>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</si>
  <si>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</si>
  <si>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</si>
  <si>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</si>
  <si>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</si>
  <si>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</si>
  <si>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</si>
  <si>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</si>
  <si>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</si>
  <si>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</si>
  <si>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</si>
  <si>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</si>
  <si>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</si>
  <si>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</si>
  <si>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</si>
  <si>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</si>
  <si>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</si>
  <si>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</si>
  <si>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</si>
  <si>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</si>
  <si>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</si>
  <si>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</si>
  <si>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</si>
  <si>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</si>
  <si>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</si>
  <si>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</si>
  <si>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</si>
  <si>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</si>
  <si>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</si>
  <si>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</si>
  <si>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</si>
  <si>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</si>
  <si>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</si>
  <si>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</si>
  <si>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</si>
  <si>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</si>
  <si>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</si>
  <si>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</si>
  <si>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</si>
  <si>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</si>
  <si>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</si>
  <si>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</si>
  <si>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</si>
  <si>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</si>
  <si>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</si>
  <si>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</si>
  <si>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</si>
  <si>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</si>
  <si>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</si>
  <si>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</si>
  <si>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</si>
  <si>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</si>
  <si>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</si>
  <si>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</si>
  <si>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</si>
  <si>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</si>
  <si>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</si>
  <si>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</si>
  <si>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</si>
  <si>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</si>
  <si>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</si>
  <si>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</si>
  <si>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</si>
  <si>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</si>
  <si>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</si>
  <si>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</si>
  <si>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</si>
  <si>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</si>
  <si>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</si>
  <si>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</si>
  <si>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</si>
  <si>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</si>
  <si>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</si>
  <si>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</si>
  <si>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</si>
  <si>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</si>
  <si>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</si>
  <si>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</si>
  <si>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</si>
  <si>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</si>
  <si>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</si>
  <si>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</si>
  <si>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</si>
  <si>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</si>
  <si>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</si>
  <si>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</si>
  <si>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</si>
  <si>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</si>
  <si>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</si>
  <si>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</si>
  <si>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</si>
  <si>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</si>
  <si>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</si>
  <si>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</si>
  <si>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</si>
  <si>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</si>
  <si>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</si>
  <si>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</si>
  <si>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</si>
  <si>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</si>
  <si>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</si>
  <si>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</si>
  <si>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</si>
  <si>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</si>
  <si>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</si>
  <si>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</si>
  <si>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</si>
  <si>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</si>
  <si>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</si>
  <si>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</si>
  <si>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</si>
  <si>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</si>
  <si>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</si>
  <si>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</si>
  <si>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</si>
  <si>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</si>
  <si>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</si>
  <si>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</si>
  <si>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</si>
  <si>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</si>
  <si>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</si>
  <si>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</si>
  <si>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</si>
  <si>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</si>
  <si>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</si>
  <si>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</si>
  <si>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</si>
  <si>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</si>
  <si>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</si>
  <si>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</si>
  <si>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</si>
  <si>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</si>
  <si>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</si>
  <si>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</si>
  <si>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</si>
  <si>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</si>
  <si>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</si>
  <si>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</si>
  <si>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</si>
  <si>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</si>
  <si>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</si>
  <si>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</si>
  <si>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</si>
  <si>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</si>
  <si>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</si>
  <si>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</si>
  <si>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</si>
  <si>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</si>
  <si>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</si>
  <si>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</si>
  <si>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</si>
  <si>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</si>
  <si>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</si>
  <si>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</si>
  <si>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</si>
  <si>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</si>
  <si>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</si>
  <si>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</si>
  <si>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</si>
  <si>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</si>
  <si>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</si>
  <si>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</si>
  <si>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</si>
  <si>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</si>
  <si>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</si>
  <si>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</si>
  <si>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</si>
  <si>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</si>
  <si>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</si>
  <si>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</si>
  <si>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</si>
  <si>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</si>
  <si>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</si>
  <si>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</si>
  <si>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</si>
  <si>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</si>
  <si>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</si>
  <si>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</si>
  <si>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</si>
  <si>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</si>
  <si>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</si>
  <si>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</si>
  <si>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</si>
  <si>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</si>
  <si>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</si>
  <si>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</si>
  <si>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</si>
  <si>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</si>
  <si>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</si>
  <si>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</si>
  <si>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</si>
  <si>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</si>
  <si>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</si>
  <si>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</si>
  <si>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</si>
  <si>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</si>
  <si>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</si>
  <si>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</si>
  <si>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</si>
  <si>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</si>
  <si>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</si>
  <si>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</si>
  <si>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</si>
  <si>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</si>
  <si>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</si>
  <si>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</si>
  <si>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</si>
  <si>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</si>
  <si>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</si>
  <si>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</si>
  <si>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</si>
  <si>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</si>
  <si>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</si>
  <si>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</si>
  <si>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</si>
  <si>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</si>
  <si>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</si>
  <si>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</si>
  <si>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</si>
  <si>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</si>
  <si>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</si>
  <si>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</si>
  <si>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</si>
  <si>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</si>
  <si>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</si>
  <si>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</si>
  <si>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</si>
  <si>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</si>
  <si>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</si>
  <si>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</si>
  <si>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</si>
  <si>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</si>
  <si>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</si>
  <si>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</si>
  <si>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</si>
  <si>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</si>
  <si>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</si>
  <si>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</si>
  <si>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</si>
  <si>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</si>
  <si>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</si>
  <si>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</si>
  <si>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</si>
  <si>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</si>
  <si>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</si>
  <si>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</si>
  <si>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</si>
  <si>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</si>
  <si>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</si>
  <si>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</si>
  <si>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</si>
  <si>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</si>
  <si>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</si>
  <si>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</si>
  <si>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</si>
  <si>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</si>
  <si>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</si>
  <si>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</si>
  <si>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</si>
  <si>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</si>
  <si>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</si>
  <si>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</si>
  <si>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</si>
  <si>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</si>
  <si>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</si>
  <si>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</si>
  <si>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</si>
  <si>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</si>
  <si>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</si>
  <si>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</si>
  <si>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</si>
  <si>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</si>
  <si>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</si>
  <si>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</si>
  <si>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</si>
  <si>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</si>
  <si>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</si>
  <si>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</si>
  <si>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</si>
  <si>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</si>
  <si>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</si>
  <si>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</si>
  <si>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</si>
  <si>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</si>
  <si>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</si>
  <si>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</si>
  <si>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</si>
  <si>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</si>
  <si>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</si>
  <si>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</si>
  <si>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</si>
  <si>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</si>
  <si>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</si>
  <si>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</si>
  <si>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</si>
  <si>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</si>
  <si>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</si>
  <si>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</si>
  <si>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</si>
  <si>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</si>
  <si>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</si>
  <si>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</si>
  <si>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</si>
  <si>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</si>
  <si>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</si>
  <si>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</si>
  <si>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</si>
  <si>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</si>
  <si>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</si>
  <si>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</si>
  <si>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</si>
  <si>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</si>
  <si>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</si>
  <si>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</si>
  <si>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</si>
  <si>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</si>
  <si>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</si>
  <si>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</si>
  <si>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</si>
  <si>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</si>
  <si>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</si>
  <si>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</si>
  <si>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</si>
  <si>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</si>
  <si>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</si>
  <si>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</si>
  <si>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</si>
  <si>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</si>
  <si>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</si>
  <si>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</si>
  <si>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</si>
  <si>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</si>
  <si>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</si>
  <si>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</si>
  <si>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</si>
  <si>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</si>
  <si>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</si>
  <si>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</si>
  <si>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</si>
  <si>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</si>
  <si>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</si>
  <si>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</si>
  <si>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</si>
  <si>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</si>
  <si>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</si>
  <si>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</si>
  <si>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</si>
  <si>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</si>
  <si>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</si>
  <si>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</si>
  <si>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</si>
  <si>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</si>
  <si>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</si>
  <si>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</si>
  <si>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</si>
  <si>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</si>
  <si>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</si>
  <si>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</si>
  <si>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</si>
  <si>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</si>
  <si>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</si>
  <si>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</si>
  <si>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</si>
  <si>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</si>
  <si>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</si>
  <si>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</si>
  <si>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</si>
  <si>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</si>
  <si>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</si>
  <si>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</si>
  <si>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</si>
  <si>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</si>
  <si>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</si>
  <si>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</si>
  <si>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</si>
  <si>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</si>
  <si>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</si>
  <si>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</si>
  <si>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</si>
  <si>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</si>
  <si>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</si>
  <si>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</si>
  <si>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</si>
  <si>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</si>
  <si>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</si>
  <si>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</si>
  <si>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</si>
  <si>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</si>
  <si>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</si>
  <si>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</si>
  <si>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</si>
  <si>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</si>
  <si>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</si>
  <si>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</si>
  <si>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</si>
  <si>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</si>
  <si>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</si>
  <si>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</si>
  <si>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</si>
  <si>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</si>
  <si>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</si>
  <si>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</si>
  <si>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</si>
  <si>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</si>
  <si>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</si>
  <si>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</si>
  <si>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</si>
  <si>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</si>
  <si>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</si>
  <si>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</si>
  <si>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</si>
  <si>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</si>
  <si>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</si>
  <si>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</si>
  <si>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</si>
  <si>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</si>
  <si>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</si>
  <si>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</si>
  <si>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</si>
  <si>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</si>
  <si>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</si>
  <si>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</si>
  <si>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</si>
  <si>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</si>
  <si>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</si>
  <si>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</si>
  <si>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</si>
  <si>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</si>
  <si>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</si>
  <si>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</si>
  <si>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</si>
  <si>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</si>
  <si>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</si>
  <si>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</si>
  <si>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</si>
  <si>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</si>
  <si>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</si>
  <si>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</si>
  <si>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</si>
  <si>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</si>
  <si>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</si>
  <si>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</si>
  <si>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</si>
  <si>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</si>
  <si>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</si>
  <si>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</si>
  <si>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</si>
  <si>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</si>
  <si>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</si>
  <si>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</si>
  <si>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</si>
  <si>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</si>
  <si>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</si>
  <si>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</si>
  <si>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</si>
  <si>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</si>
  <si>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</si>
  <si>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</si>
  <si>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</si>
  <si>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</si>
  <si>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</si>
  <si>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</si>
  <si>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</si>
  <si>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</si>
  <si>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</si>
  <si>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</si>
  <si>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</si>
  <si>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</si>
  <si>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</si>
  <si>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</si>
  <si>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</si>
  <si>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</si>
  <si>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</si>
  <si>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</si>
  <si>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</si>
  <si>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</si>
  <si>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</si>
  <si>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</si>
  <si>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</si>
  <si>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</si>
  <si>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</si>
  <si>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</si>
  <si>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</si>
  <si>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</si>
  <si>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</si>
  <si>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</si>
  <si>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</si>
  <si>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</si>
  <si>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</si>
  <si>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</si>
  <si>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</si>
  <si>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</si>
  <si>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</si>
  <si>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</si>
  <si>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</si>
  <si>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</si>
  <si>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</si>
  <si>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</si>
  <si>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</si>
  <si>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</si>
  <si>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</si>
  <si>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</si>
  <si>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</si>
  <si>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</si>
  <si>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</si>
  <si>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</si>
  <si>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</si>
  <si>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</si>
  <si>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</si>
  <si>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</si>
  <si>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</si>
  <si>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</si>
  <si>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</si>
  <si>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</si>
  <si>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</si>
  <si>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</si>
  <si>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</si>
  <si>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</si>
  <si>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</si>
  <si>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</si>
  <si>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</si>
  <si>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</si>
  <si>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</si>
  <si>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</si>
  <si>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</si>
  <si>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</si>
  <si>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</si>
  <si>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</si>
  <si>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</si>
  <si>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</si>
  <si>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</si>
  <si>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</si>
  <si>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</si>
  <si>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</si>
  <si>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</si>
  <si>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</si>
  <si>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</si>
  <si>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</si>
  <si>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</si>
  <si>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</si>
  <si>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</si>
  <si>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</si>
  <si>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</si>
  <si>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</si>
  <si>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</si>
  <si>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</si>
  <si>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</si>
  <si>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</si>
  <si>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</si>
  <si>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</si>
  <si>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</si>
  <si>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</si>
  <si>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</si>
  <si>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</si>
  <si>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</si>
  <si>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</si>
  <si>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</si>
  <si>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</si>
  <si>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</si>
  <si>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</si>
  <si>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</si>
  <si>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</si>
  <si>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</si>
  <si>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</si>
  <si>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</si>
  <si>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</si>
  <si>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</si>
  <si>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</si>
  <si>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</si>
  <si>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</si>
  <si>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</si>
  <si>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</si>
  <si>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</si>
  <si>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</si>
  <si>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</si>
  <si>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</si>
  <si>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</si>
  <si>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</si>
  <si>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</si>
  <si>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</si>
  <si>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</si>
  <si>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</si>
  <si>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</si>
  <si>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</si>
  <si>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</si>
  <si>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</si>
  <si>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</si>
  <si>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</si>
  <si>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</si>
  <si>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</si>
  <si>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</si>
  <si>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</si>
  <si>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</si>
  <si>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</si>
  <si>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</si>
  <si>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</si>
  <si>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</si>
  <si>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</si>
  <si>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</si>
  <si>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</si>
  <si>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</si>
  <si>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</si>
  <si>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</si>
  <si>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</si>
  <si>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</si>
  <si>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</si>
  <si>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</si>
  <si>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</si>
  <si>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</si>
  <si>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</si>
  <si>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</si>
  <si>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</si>
  <si>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</si>
  <si>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</si>
  <si>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</si>
  <si>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</si>
  <si>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</si>
  <si>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</si>
  <si>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</si>
  <si>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</si>
  <si>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</si>
  <si>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</si>
  <si>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</si>
  <si>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</si>
  <si>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</si>
  <si>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</si>
  <si>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</si>
  <si>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</si>
  <si>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</si>
  <si>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</si>
  <si>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</si>
  <si>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</si>
  <si>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</si>
  <si>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</si>
  <si>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</si>
  <si>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</si>
  <si>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</si>
  <si>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</si>
  <si>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</si>
  <si>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</si>
  <si>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</si>
  <si>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</si>
  <si>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</si>
  <si>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</si>
  <si>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</si>
  <si>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</si>
  <si>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</si>
  <si>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</si>
  <si>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</si>
  <si>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</si>
  <si>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</si>
  <si>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</si>
  <si>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</si>
  <si>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</si>
  <si>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</si>
  <si>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</si>
  <si>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</si>
  <si>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</si>
  <si>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</si>
  <si>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</si>
  <si>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</si>
  <si>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</si>
  <si>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</si>
  <si>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</si>
  <si>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</si>
  <si>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</si>
  <si>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</si>
  <si>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</si>
  <si>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</si>
  <si>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</si>
  <si>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</si>
  <si>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</si>
  <si>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</si>
  <si>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</si>
  <si>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</si>
  <si>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</si>
  <si>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</si>
  <si>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</si>
  <si>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</si>
  <si>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</si>
  <si>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</si>
  <si>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</si>
  <si>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</si>
  <si>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</si>
  <si>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</si>
  <si>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</si>
  <si>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</si>
  <si>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</si>
  <si>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</si>
  <si>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</si>
  <si>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</si>
  <si>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</si>
  <si>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</si>
  <si>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</si>
  <si>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</si>
  <si>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</si>
  <si>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</si>
  <si>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</si>
  <si>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</si>
  <si>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</si>
  <si>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</si>
  <si>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</si>
  <si>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</si>
  <si>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</si>
  <si>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</si>
  <si>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</si>
  <si>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</si>
  <si>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</si>
  <si>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</si>
  <si>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</si>
  <si>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</si>
  <si>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</si>
  <si>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</si>
  <si>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</si>
  <si>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</si>
  <si>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</si>
  <si>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</si>
  <si>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</si>
  <si>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</si>
  <si>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</si>
  <si>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</si>
  <si>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</si>
  <si>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</si>
  <si>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</si>
  <si>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</si>
  <si>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</si>
  <si>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</si>
  <si>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</si>
  <si>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</si>
  <si>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</si>
  <si>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</si>
  <si>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</si>
  <si>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</si>
  <si>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</si>
  <si>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</si>
  <si>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</si>
  <si>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</si>
  <si>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</si>
  <si>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</si>
  <si>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</si>
  <si>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</si>
  <si>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</si>
  <si>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</si>
  <si>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</si>
  <si>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</si>
  <si>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</si>
  <si>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</si>
  <si>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</si>
  <si>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</si>
  <si>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</si>
  <si>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</si>
  <si>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</si>
  <si>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</si>
  <si>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</si>
  <si>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</si>
  <si>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</si>
  <si>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</si>
  <si>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</si>
  <si>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</si>
  <si>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</si>
  <si>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</si>
  <si>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</si>
  <si>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</si>
  <si>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</si>
  <si>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</si>
  <si>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</si>
  <si>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</si>
  <si>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</si>
  <si>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</si>
  <si>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</si>
  <si>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</si>
  <si>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</si>
  <si>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</si>
  <si>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</si>
  <si>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</si>
  <si>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</si>
  <si>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</si>
  <si>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</si>
  <si>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</si>
  <si>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</si>
  <si>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</si>
  <si>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</si>
  <si>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</si>
  <si>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</si>
  <si>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</si>
  <si>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</si>
  <si>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</si>
  <si>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</si>
  <si>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</si>
  <si>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</si>
  <si>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</si>
  <si>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</si>
  <si>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</si>
  <si>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</si>
  <si>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</si>
  <si>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</si>
  <si>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</si>
  <si>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</si>
  <si>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</si>
  <si>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</si>
  <si>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</si>
  <si>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</si>
  <si>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</si>
  <si>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</si>
  <si>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</si>
  <si>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</si>
  <si>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</si>
  <si>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</si>
  <si>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</si>
  <si>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</si>
  <si>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</si>
  <si>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</si>
  <si>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</si>
  <si>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</si>
  <si>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</si>
  <si>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</si>
  <si>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</si>
  <si>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</si>
  <si>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</si>
  <si>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</si>
  <si>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</si>
  <si>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</si>
  <si>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</si>
  <si>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</si>
  <si>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</si>
  <si>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</si>
  <si>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</si>
  <si>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</si>
  <si>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</si>
  <si>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</si>
  <si>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</si>
  <si>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</si>
  <si>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</si>
  <si>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</si>
  <si>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</si>
  <si>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</si>
  <si>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</si>
  <si>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</si>
  <si>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</si>
  <si>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</si>
  <si>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</si>
  <si>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</si>
  <si>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</si>
  <si>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</si>
  <si>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</si>
  <si>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</si>
  <si>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</si>
  <si>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</si>
  <si>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</si>
  <si>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</si>
  <si>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</si>
  <si>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</si>
  <si>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</si>
  <si>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</si>
  <si>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</si>
  <si>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</si>
  <si>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</si>
  <si>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</si>
  <si>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</si>
  <si>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</si>
  <si>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</si>
  <si>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</si>
  <si>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</si>
  <si>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</si>
  <si>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</si>
  <si>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</si>
  <si>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</si>
  <si>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</si>
  <si>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</si>
  <si>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</si>
  <si>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</si>
  <si>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</si>
  <si>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</si>
  <si>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</si>
  <si>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</si>
  <si>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</si>
  <si>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</si>
  <si>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</si>
  <si>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</si>
  <si>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</si>
  <si>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</si>
  <si>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</si>
  <si>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</si>
  <si>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</si>
  <si>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</si>
  <si>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</si>
  <si>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</si>
  <si>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</si>
  <si>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</si>
  <si>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</si>
  <si>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</si>
  <si>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</si>
  <si>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</si>
  <si>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</si>
  <si>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</si>
  <si>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</si>
  <si>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</si>
  <si>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</si>
  <si>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</si>
  <si>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</si>
  <si>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</si>
  <si>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</si>
  <si>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</si>
  <si>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</si>
  <si>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</si>
  <si>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</si>
  <si>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</si>
  <si>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</si>
  <si>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</si>
  <si>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</si>
  <si>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</si>
  <si>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</si>
  <si>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</si>
  <si>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</si>
  <si>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</si>
  <si>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</si>
  <si>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</si>
  <si>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</si>
  <si>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</si>
  <si>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</si>
  <si>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</si>
  <si>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</si>
  <si>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</si>
  <si>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</si>
  <si>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</si>
  <si>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</si>
  <si>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</si>
  <si>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</si>
  <si>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</si>
  <si>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</si>
  <si>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</si>
  <si>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</si>
  <si>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</si>
  <si>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</si>
  <si>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</si>
  <si>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</si>
  <si>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</si>
  <si>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</si>
  <si>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</si>
  <si>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</si>
  <si>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</si>
  <si>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</si>
  <si>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</si>
  <si>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</si>
  <si>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</si>
  <si>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</si>
  <si>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</si>
  <si>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</si>
  <si>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</si>
  <si>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</si>
  <si>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</si>
  <si>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</si>
  <si>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</si>
  <si>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</si>
  <si>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</si>
  <si>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</si>
  <si>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</si>
  <si>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</si>
  <si>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</si>
  <si>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</si>
  <si>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</si>
  <si>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</si>
  <si>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</si>
  <si>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</si>
  <si>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</si>
  <si>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</si>
  <si>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</si>
  <si>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</si>
  <si>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</si>
  <si>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</si>
  <si>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</si>
  <si>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</si>
  <si>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</si>
  <si>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</si>
  <si>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</si>
  <si>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</si>
  <si>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</si>
  <si>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</si>
  <si>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</si>
  <si>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</si>
  <si>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</si>
  <si>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</si>
  <si>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</si>
  <si>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</si>
  <si>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</si>
  <si>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</si>
  <si>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</si>
  <si>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</si>
  <si>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</si>
  <si>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</si>
  <si>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</si>
  <si>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</si>
  <si>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</si>
  <si>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</si>
  <si>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</si>
  <si>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</si>
  <si>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</si>
  <si>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</si>
  <si>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</si>
  <si>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</si>
  <si>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</si>
  <si>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</si>
  <si>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</si>
  <si>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</si>
  <si>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</si>
  <si>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</si>
  <si>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</si>
  <si>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</si>
  <si>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</si>
  <si>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</si>
  <si>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</si>
  <si>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</si>
  <si>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</si>
  <si>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</si>
  <si>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</si>
  <si>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</si>
  <si>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</si>
  <si>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</si>
  <si>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</si>
  <si>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</si>
  <si>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</si>
  <si>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</si>
  <si>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</si>
  <si>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</si>
  <si>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</si>
  <si>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</si>
  <si>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</si>
  <si>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</si>
  <si>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</si>
  <si>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</si>
  <si>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</si>
  <si>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</si>
  <si>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</si>
  <si>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</si>
  <si>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</si>
  <si>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</si>
  <si>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</si>
  <si>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</si>
  <si>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</si>
  <si>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</si>
  <si>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</si>
  <si>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</si>
  <si>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</si>
  <si>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</si>
  <si>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</si>
  <si>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</si>
  <si>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</si>
  <si>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</si>
  <si>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</si>
  <si>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</si>
  <si>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</si>
  <si>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</si>
  <si>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</si>
  <si>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</si>
  <si>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</si>
  <si>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</si>
  <si>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</si>
  <si>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</si>
  <si>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</si>
  <si>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</si>
  <si>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</si>
  <si>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</si>
  <si>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</si>
  <si>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</si>
  <si>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</si>
  <si>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</si>
  <si>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</si>
  <si>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</si>
  <si>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</si>
  <si>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</si>
  <si>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</si>
  <si>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</si>
  <si>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</si>
  <si>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</si>
  <si>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</si>
  <si>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</si>
  <si>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</si>
  <si>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</si>
  <si>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</si>
  <si>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</si>
  <si>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</si>
  <si>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</si>
  <si>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</si>
  <si>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</si>
  <si>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</si>
  <si>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</si>
  <si>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</si>
  <si>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</si>
  <si>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</si>
  <si>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</si>
  <si>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</si>
  <si>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</si>
  <si>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</si>
  <si>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</si>
  <si>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</si>
  <si>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</si>
  <si>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</si>
  <si>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</si>
  <si>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</si>
  <si>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</si>
  <si>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</si>
  <si>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</si>
  <si>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</si>
  <si>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</si>
  <si>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</si>
  <si>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</si>
  <si>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</si>
  <si>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</si>
  <si>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</si>
  <si>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</si>
  <si>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</si>
  <si>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</si>
  <si>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</si>
  <si>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</si>
  <si>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</si>
  <si>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</si>
  <si>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</si>
  <si>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</si>
  <si>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</si>
  <si>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</si>
  <si>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</si>
  <si>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</si>
  <si>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</si>
  <si>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</si>
  <si>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</si>
  <si>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</si>
  <si>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</si>
  <si>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</si>
  <si>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</si>
  <si>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</si>
  <si>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</si>
  <si>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</si>
  <si>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</si>
  <si>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</si>
  <si>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</si>
  <si>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</si>
  <si>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</si>
  <si>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</si>
  <si>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</si>
  <si>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</si>
  <si>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</si>
  <si>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</si>
  <si>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</si>
  <si>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</si>
  <si>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</si>
  <si>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</si>
  <si>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</si>
  <si>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</si>
  <si>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</si>
  <si>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</si>
  <si>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</si>
  <si>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</si>
  <si>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</si>
  <si>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</si>
  <si>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</si>
  <si>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</si>
  <si>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</si>
  <si>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</si>
  <si>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</si>
  <si>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</si>
  <si>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</si>
  <si>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</si>
  <si>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</si>
  <si>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</si>
  <si>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</si>
  <si>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</si>
  <si>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</si>
  <si>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</si>
  <si>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</si>
  <si>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</si>
  <si>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</si>
  <si>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</si>
  <si>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</si>
  <si>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</si>
  <si>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</si>
  <si>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</si>
  <si>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</si>
  <si>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</si>
  <si>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</si>
  <si>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</si>
  <si>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</si>
  <si>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</si>
  <si>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</si>
  <si>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</si>
  <si>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</si>
  <si>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</si>
  <si>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</si>
  <si>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</si>
  <si>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</si>
  <si>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</si>
  <si>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</si>
  <si>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</si>
  <si>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</si>
  <si>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</si>
  <si>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</si>
  <si>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</si>
  <si>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</si>
  <si>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</si>
  <si>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</si>
  <si>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</si>
  <si>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</si>
  <si>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</si>
  <si>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</si>
  <si>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</si>
  <si>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</si>
  <si>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</si>
  <si>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</si>
  <si>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</si>
  <si>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</si>
  <si>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</si>
  <si>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</si>
  <si>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</si>
  <si>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</si>
  <si>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</si>
  <si>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</si>
  <si>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</si>
  <si>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</si>
  <si>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</si>
  <si>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</si>
  <si>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</si>
  <si>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</si>
  <si>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</si>
  <si>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</si>
  <si>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</si>
  <si>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</si>
  <si>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</si>
  <si>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</si>
  <si>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</si>
  <si>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</si>
  <si>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</si>
  <si>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</si>
  <si>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</si>
  <si>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</si>
  <si>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</si>
  <si>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</si>
  <si>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</si>
  <si>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</si>
  <si>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</si>
  <si>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</si>
  <si>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</si>
  <si>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</si>
  <si>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</si>
  <si>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</si>
  <si>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</si>
  <si>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</si>
  <si>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</si>
  <si>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</si>
  <si>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</si>
  <si>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</si>
  <si>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</si>
  <si>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</si>
  <si>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</si>
  <si>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</si>
  <si>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</si>
  <si>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</si>
  <si>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</si>
  <si>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</si>
  <si>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</si>
  <si>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</si>
  <si>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</si>
  <si>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</si>
  <si>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</si>
  <si>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</si>
  <si>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</si>
  <si>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</si>
  <si>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</si>
  <si>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</si>
  <si>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</si>
  <si>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</si>
  <si>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</si>
  <si>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</si>
  <si>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</si>
  <si>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</si>
  <si>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</si>
  <si>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</si>
  <si>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</si>
  <si>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</si>
  <si>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</si>
  <si>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</si>
  <si>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</si>
  <si>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</si>
  <si>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</si>
  <si>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</si>
  <si>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</si>
  <si>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</si>
  <si>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</si>
  <si>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</si>
  <si>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</si>
  <si>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</si>
  <si>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</si>
  <si>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</si>
  <si>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</si>
  <si>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</si>
  <si>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</si>
  <si>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</si>
  <si>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</si>
  <si>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</si>
  <si>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</si>
  <si>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</si>
  <si>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</si>
  <si>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</si>
  <si>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</si>
  <si>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</si>
  <si>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</si>
  <si>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</si>
  <si>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</si>
  <si>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</si>
  <si>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</si>
  <si>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</si>
  <si>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</si>
  <si>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</si>
  <si>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</si>
  <si>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</si>
  <si>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</si>
  <si>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</si>
  <si>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</si>
  <si>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</si>
  <si>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</si>
  <si>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</si>
  <si>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</si>
  <si>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</si>
  <si>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</si>
  <si>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</si>
  <si>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</si>
  <si>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</si>
  <si>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</si>
  <si>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</si>
  <si>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</si>
  <si>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</si>
  <si>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</si>
  <si>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</si>
  <si>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</si>
  <si>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</si>
  <si>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</si>
  <si>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</si>
  <si>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</si>
  <si>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</si>
  <si>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</si>
  <si>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</si>
  <si>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</si>
  <si>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</si>
  <si>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</si>
  <si>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</si>
  <si>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</si>
  <si>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</si>
  <si>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</si>
  <si>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</si>
  <si>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</si>
  <si>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</si>
  <si>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</si>
  <si>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</si>
  <si>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</si>
  <si>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</si>
  <si>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</si>
  <si>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</si>
  <si>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</si>
  <si>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</si>
  <si>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</si>
  <si>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</si>
  <si>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</si>
  <si>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</si>
  <si>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</si>
  <si>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</si>
  <si>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</si>
  <si>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</si>
  <si>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</si>
  <si>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</si>
  <si>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</si>
  <si>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</si>
  <si>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</si>
  <si>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</si>
  <si>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</si>
  <si>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</si>
  <si>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</si>
  <si>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</si>
  <si>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</si>
  <si>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</si>
  <si>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</si>
  <si>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</si>
  <si>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</si>
  <si>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</si>
  <si>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</si>
  <si>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</si>
  <si>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</si>
  <si>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</si>
  <si>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</si>
  <si>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</si>
  <si>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</si>
  <si>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</si>
  <si>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</si>
  <si>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</si>
  <si>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</si>
  <si>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</si>
  <si>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</si>
  <si>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</si>
  <si>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</si>
  <si>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</si>
  <si>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</si>
  <si>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</si>
  <si>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</si>
  <si>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</si>
  <si>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</si>
  <si>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</si>
  <si>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</si>
  <si>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</si>
  <si>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</si>
  <si>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</si>
  <si>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</si>
  <si>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</si>
  <si>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</si>
  <si>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</si>
  <si>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</si>
  <si>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</si>
  <si>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</si>
  <si>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</si>
  <si>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</si>
  <si>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</si>
  <si>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</si>
  <si>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</si>
  <si>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</si>
  <si>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</si>
  <si>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</si>
  <si>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</si>
  <si>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</si>
  <si>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</si>
  <si>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</si>
  <si>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</si>
  <si>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</si>
  <si>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</si>
  <si>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</si>
  <si>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</si>
  <si>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</si>
  <si>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</si>
  <si>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</si>
  <si>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</si>
  <si>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</si>
  <si>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</si>
  <si>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</si>
  <si>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</si>
  <si>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</si>
  <si>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</si>
  <si>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</si>
  <si>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</si>
  <si>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</si>
  <si>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</si>
  <si>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</si>
  <si>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</si>
  <si>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</si>
  <si>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</si>
  <si>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</si>
  <si>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</si>
  <si>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</si>
  <si>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</si>
  <si>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</si>
  <si>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</si>
  <si>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</si>
  <si>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</si>
  <si>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</si>
  <si>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</si>
  <si>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</si>
  <si>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</si>
  <si>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</si>
  <si>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</si>
  <si>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</si>
  <si>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</si>
  <si>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</si>
  <si>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</si>
  <si>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</si>
  <si>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</si>
  <si>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</si>
  <si>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</si>
  <si>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</si>
  <si>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</si>
  <si>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</si>
  <si>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</si>
  <si>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</si>
  <si>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</si>
  <si>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</si>
  <si>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</si>
  <si>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</si>
  <si>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</si>
  <si>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</si>
  <si>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</si>
  <si>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</si>
  <si>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</si>
  <si>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</si>
  <si>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</si>
  <si>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</si>
  <si>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</si>
  <si>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</si>
  <si>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</si>
  <si>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</si>
  <si>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</si>
  <si>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</si>
  <si>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</si>
  <si>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</si>
  <si>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</si>
  <si>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</si>
  <si>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</si>
  <si>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</si>
  <si>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</si>
  <si>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</si>
  <si>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</si>
  <si>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</si>
  <si>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</si>
  <si>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</si>
  <si>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</si>
  <si>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</si>
  <si>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</si>
  <si>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</si>
  <si>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</si>
  <si>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</si>
  <si>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</si>
  <si>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</si>
  <si>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</si>
  <si>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</si>
  <si>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</si>
  <si>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</si>
  <si>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</si>
  <si>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</si>
  <si>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</si>
  <si>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</si>
  <si>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</si>
  <si>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</si>
  <si>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</si>
  <si>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</si>
  <si>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</si>
  <si>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</si>
  <si>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</si>
  <si>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</si>
  <si>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</si>
  <si>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</si>
  <si>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</si>
  <si>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</si>
  <si>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</si>
  <si>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</si>
  <si>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</si>
  <si>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</si>
  <si>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</si>
  <si>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</si>
  <si>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</si>
  <si>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</si>
  <si>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</si>
  <si>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</si>
  <si>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</si>
  <si>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</si>
  <si>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</si>
  <si>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</si>
  <si>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</si>
  <si>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</si>
  <si>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</si>
  <si>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</si>
  <si>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</si>
  <si>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</si>
  <si>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</si>
  <si>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</si>
  <si>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</si>
  <si>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</si>
  <si>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</si>
  <si>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</si>
  <si>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</si>
  <si>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</si>
  <si>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</si>
  <si>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</si>
  <si>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</si>
  <si>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</si>
  <si>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</si>
  <si>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</si>
  <si>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</si>
  <si>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</si>
  <si>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</si>
  <si>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</si>
  <si>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</si>
  <si>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</si>
  <si>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</si>
  <si>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</si>
  <si>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</si>
  <si>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</si>
  <si>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</si>
  <si>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</si>
  <si>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</si>
  <si>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</si>
  <si>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</si>
  <si>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</si>
  <si>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</si>
  <si>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</si>
  <si>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</si>
  <si>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</si>
  <si>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</si>
  <si>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</si>
  <si>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</si>
  <si>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</si>
  <si>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</si>
  <si>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</si>
  <si>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</si>
  <si>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</si>
  <si>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</si>
  <si>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</si>
  <si>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</si>
  <si>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</si>
  <si>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</si>
  <si>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</si>
  <si>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</si>
  <si>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</si>
  <si>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</si>
  <si>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</si>
  <si>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</si>
  <si>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</si>
  <si>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</si>
  <si>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</si>
  <si>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</si>
  <si>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</si>
  <si>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</si>
  <si>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</si>
  <si>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</si>
  <si>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</si>
  <si>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</si>
  <si>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</si>
  <si>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</si>
  <si>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</si>
  <si>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</si>
  <si>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</si>
  <si>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</si>
  <si>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</si>
  <si>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</si>
  <si>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</si>
  <si>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</si>
  <si>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</si>
  <si>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</si>
  <si>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</si>
  <si>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</si>
  <si>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</si>
  <si>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</si>
  <si>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</si>
  <si>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</si>
  <si>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</si>
  <si>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</si>
  <si>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</si>
  <si>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</si>
  <si>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</si>
  <si>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</si>
  <si>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</si>
  <si>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</si>
  <si>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</si>
  <si>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</si>
  <si>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</si>
  <si>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</si>
  <si>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</si>
  <si>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</si>
  <si>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</si>
  <si>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</si>
  <si>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</si>
  <si>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</si>
  <si>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</si>
  <si>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</si>
  <si>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</si>
  <si>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</si>
  <si>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</si>
  <si>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</si>
  <si>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</si>
  <si>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</si>
  <si>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</si>
  <si>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</si>
  <si>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</si>
  <si>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</si>
  <si>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</si>
  <si>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</si>
  <si>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</si>
  <si>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</si>
  <si>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</si>
  <si>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</si>
  <si>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</si>
  <si>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</si>
  <si>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</si>
  <si>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</si>
  <si>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</si>
  <si>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</si>
  <si>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</si>
  <si>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</si>
  <si>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</si>
  <si>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</si>
  <si>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</si>
  <si>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</si>
  <si>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</si>
  <si>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</si>
  <si>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</si>
  <si>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</si>
  <si>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</si>
  <si>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</si>
  <si>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</si>
  <si>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</si>
  <si>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</si>
  <si>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</si>
  <si>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</si>
  <si>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</si>
  <si>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</si>
  <si>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</si>
  <si>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</si>
  <si>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</si>
  <si>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</si>
  <si>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</si>
  <si>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</si>
  <si>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</si>
  <si>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</si>
  <si>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</si>
  <si>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</si>
  <si>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</si>
  <si>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</si>
  <si>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</si>
  <si>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</si>
  <si>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</si>
  <si>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</si>
  <si>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</si>
  <si>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</si>
  <si>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</si>
  <si>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</si>
  <si>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</si>
  <si>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</si>
  <si>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</si>
  <si>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</si>
  <si>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</si>
  <si>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</si>
  <si>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</si>
  <si>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</si>
  <si>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</si>
  <si>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</si>
  <si>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</si>
  <si>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</si>
  <si>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</si>
  <si>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</si>
  <si>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</si>
  <si>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</si>
  <si>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</si>
  <si>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</si>
  <si>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</si>
  <si>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</si>
  <si>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</si>
  <si>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</si>
  <si>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</si>
  <si>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</si>
  <si>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</si>
  <si>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</si>
  <si>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</si>
  <si>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</si>
  <si>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</si>
  <si>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</si>
  <si>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</si>
  <si>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</si>
  <si>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</si>
  <si>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</si>
  <si>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</si>
  <si>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</si>
  <si>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</si>
  <si>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</si>
  <si>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</si>
  <si>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</si>
  <si>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</si>
  <si>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</si>
  <si>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</si>
  <si>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</si>
  <si>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</si>
  <si>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</si>
  <si>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</si>
  <si>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</si>
  <si>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</si>
  <si>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</si>
  <si>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</si>
  <si>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</si>
  <si>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</si>
  <si>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</si>
  <si>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</si>
  <si>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</si>
  <si>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</si>
  <si>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</si>
  <si>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</si>
  <si>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</si>
  <si>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</si>
  <si>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</si>
  <si>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</si>
  <si>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</si>
  <si>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</si>
  <si>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2025-07-14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</si>
  <si>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</si>
  <si>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</si>
  <si>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</si>
  <si>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</si>
  <si>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</si>
  <si>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</si>
  <si>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</si>
  <si>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</si>
  <si>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</si>
  <si>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</si>
  <si>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</si>
  <si>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대구광역시 북구 산격동 14-149</t>
    <phoneticPr fontId="2" type="noConversion"/>
  </si>
  <si>
    <t>010-2806-9270</t>
    <phoneticPr fontId="2" type="noConversion"/>
  </si>
  <si>
    <t>WAUZZZ4G8GN115352</t>
    <phoneticPr fontId="2" type="noConversion"/>
  </si>
  <si>
    <t>Programming</t>
  </si>
  <si>
    <t>대륙오토(대구)_250714_161040.xlsx</t>
  </si>
  <si>
    <t>대륙오토(대구)_250714_161040.xlsx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</si>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</sst>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4510000</c:v>
                </c:pt>
                <c:pt idx="1">
                  <c:v>1400000</c:v>
                </c:pt>
                <c:pt idx="2">
                  <c:v>3100000</c:v>
                </c:pt>
                <c:pt idx="3">
                  <c:v>4455000</c:v>
                </c:pt>
                <c:pt idx="4">
                  <c:v>0</c:v>
                </c:pt>
                <c:pt idx="5">
                  <c:v>2340000</c:v>
                </c:pt>
                <c:pt idx="6">
                  <c:v>0</c:v>
                </c:pt>
                <c:pt idx="7">
                  <c:v>5517000</c:v>
                </c:pt>
                <c:pt idx="8">
                  <c:v>3350000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23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36</c:v>
                      </c:pt>
                      <c:pt idx="5">
                        <c:v>12</c:v>
                      </c:pt>
                      <c:pt idx="6">
                        <c:v>36</c:v>
                      </c:pt>
                      <c:pt idx="7">
                        <c:v>1</c:v>
                      </c:pt>
                      <c:pt idx="8">
                        <c:v>5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2473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2473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2473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D86" sqref="D77:D8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1671</v>
      </c>
      <c r="D1" s="190" t="s">
        <v>40</v>
      </c>
      <c r="E1" s="190" t="s">
        <v>1672</v>
      </c>
      <c r="F1" s="190" t="s">
        <v>4</v>
      </c>
      <c r="G1" s="103">
        <v>125</v>
      </c>
    </row>
    <row r="2" spans="1:7">
      <c r="A2">
        <v>1</v>
      </c>
      <c r="B2" s="13">
        <v>45748</v>
      </c>
      <c r="C2" t="s">
        <v>2086</v>
      </c>
      <c r="D2" t="s">
        <v>2080</v>
      </c>
      <c r="E2" s="236">
        <v>21000</v>
      </c>
    </row>
    <row r="3" spans="1:7">
      <c r="A3">
        <v>2</v>
      </c>
      <c r="B3" s="13">
        <v>45747</v>
      </c>
      <c r="C3" t="s">
        <v>2087</v>
      </c>
      <c r="D3" t="s">
        <v>2084</v>
      </c>
      <c r="E3" s="236">
        <v>48210</v>
      </c>
    </row>
    <row r="4" spans="1:7">
      <c r="A4">
        <v>3</v>
      </c>
      <c r="B4" s="13">
        <v>45749</v>
      </c>
      <c r="C4" t="s">
        <v>2083</v>
      </c>
      <c r="D4" t="s">
        <v>2083</v>
      </c>
      <c r="E4" s="236">
        <v>16600</v>
      </c>
      <c r="F4" t="s">
        <v>2088</v>
      </c>
    </row>
    <row r="5" spans="1:7">
      <c r="A5">
        <v>4</v>
      </c>
      <c r="B5" s="13">
        <v>45749</v>
      </c>
      <c r="C5" t="s">
        <v>1685</v>
      </c>
      <c r="D5" t="s">
        <v>2081</v>
      </c>
      <c r="E5">
        <v>19500</v>
      </c>
    </row>
    <row r="6" spans="1:7">
      <c r="A6">
        <v>5</v>
      </c>
      <c r="B6" s="13">
        <v>45749</v>
      </c>
      <c r="C6" t="s">
        <v>2083</v>
      </c>
      <c r="D6" t="s">
        <v>1682</v>
      </c>
      <c r="E6">
        <v>8000</v>
      </c>
      <c r="F6" t="s">
        <v>2089</v>
      </c>
    </row>
    <row r="7" spans="1:7">
      <c r="A7">
        <v>6</v>
      </c>
      <c r="B7" s="13">
        <v>45750</v>
      </c>
      <c r="C7" t="s">
        <v>1685</v>
      </c>
      <c r="D7" t="s">
        <v>2081</v>
      </c>
      <c r="E7">
        <v>22000</v>
      </c>
    </row>
    <row r="8" spans="1:7">
      <c r="A8">
        <v>7</v>
      </c>
      <c r="B8" s="13">
        <v>45751</v>
      </c>
      <c r="C8" t="s">
        <v>1756</v>
      </c>
      <c r="D8" t="s">
        <v>2081</v>
      </c>
      <c r="E8">
        <v>7900</v>
      </c>
    </row>
    <row r="9" spans="1:7">
      <c r="A9">
        <v>8</v>
      </c>
      <c r="B9" s="13">
        <v>45751</v>
      </c>
      <c r="C9" t="s">
        <v>1773</v>
      </c>
      <c r="D9" t="s">
        <v>2081</v>
      </c>
      <c r="E9">
        <v>5400</v>
      </c>
      <c r="F9" t="s">
        <v>1774</v>
      </c>
    </row>
    <row r="10" spans="1:7">
      <c r="A10">
        <v>9</v>
      </c>
      <c r="B10" s="13">
        <v>45754</v>
      </c>
      <c r="C10" t="s">
        <v>1561</v>
      </c>
      <c r="D10" t="s">
        <v>2083</v>
      </c>
      <c r="E10">
        <v>8000</v>
      </c>
      <c r="F10" t="s">
        <v>1816</v>
      </c>
    </row>
    <row r="11" spans="1:7">
      <c r="A11">
        <v>10</v>
      </c>
      <c r="B11" s="13">
        <v>45754</v>
      </c>
      <c r="C11" t="s">
        <v>1685</v>
      </c>
      <c r="D11" t="s">
        <v>2081</v>
      </c>
      <c r="E11">
        <v>11000</v>
      </c>
    </row>
    <row r="12" spans="1:7">
      <c r="A12">
        <v>11</v>
      </c>
      <c r="B12" s="13">
        <v>45754</v>
      </c>
      <c r="C12" t="s">
        <v>1670</v>
      </c>
      <c r="D12" t="s">
        <v>2085</v>
      </c>
      <c r="E12">
        <v>47970</v>
      </c>
    </row>
    <row r="13" spans="1:7">
      <c r="A13">
        <v>12</v>
      </c>
      <c r="B13" s="13">
        <v>45755</v>
      </c>
      <c r="C13" t="s">
        <v>1773</v>
      </c>
      <c r="D13" t="s">
        <v>2081</v>
      </c>
      <c r="E13">
        <v>5400</v>
      </c>
      <c r="F13" t="s">
        <v>1872</v>
      </c>
    </row>
    <row r="14" spans="1:7">
      <c r="A14">
        <v>13</v>
      </c>
      <c r="B14" s="13">
        <v>45756</v>
      </c>
      <c r="C14" t="s">
        <v>1899</v>
      </c>
      <c r="D14" t="s">
        <v>2082</v>
      </c>
      <c r="E14">
        <v>44600</v>
      </c>
    </row>
    <row r="15" spans="1:7">
      <c r="A15">
        <v>14</v>
      </c>
      <c r="B15" s="13">
        <v>45756</v>
      </c>
      <c r="C15" t="s">
        <v>1685</v>
      </c>
      <c r="D15" t="s">
        <v>2081</v>
      </c>
      <c r="E15">
        <v>11000</v>
      </c>
    </row>
    <row r="16" spans="1:7">
      <c r="A16">
        <v>15</v>
      </c>
      <c r="B16" s="13">
        <v>45758</v>
      </c>
      <c r="C16" t="s">
        <v>1756</v>
      </c>
      <c r="D16" t="s">
        <v>2081</v>
      </c>
      <c r="E16">
        <v>7900</v>
      </c>
    </row>
    <row r="17" spans="1:6">
      <c r="A17">
        <v>16</v>
      </c>
      <c r="B17" s="13">
        <v>45762</v>
      </c>
      <c r="C17" t="s">
        <v>1670</v>
      </c>
      <c r="D17" t="s">
        <v>2085</v>
      </c>
      <c r="E17">
        <v>47550</v>
      </c>
    </row>
    <row r="18" spans="1:6">
      <c r="A18">
        <v>17</v>
      </c>
      <c r="B18" s="13">
        <v>45762</v>
      </c>
      <c r="C18" t="s">
        <v>1670</v>
      </c>
      <c r="D18" t="s">
        <v>2085</v>
      </c>
      <c r="E18">
        <v>5000</v>
      </c>
      <c r="F18" t="s">
        <v>1960</v>
      </c>
    </row>
    <row r="19" spans="1:6">
      <c r="A19">
        <v>18</v>
      </c>
      <c r="B19" s="13">
        <v>45762</v>
      </c>
      <c r="C19" t="s">
        <v>1961</v>
      </c>
      <c r="D19" t="s">
        <v>2081</v>
      </c>
      <c r="E19">
        <v>40600</v>
      </c>
    </row>
    <row r="20" spans="1:6">
      <c r="A20">
        <v>19</v>
      </c>
      <c r="B20" s="13">
        <v>45771</v>
      </c>
      <c r="C20" t="s">
        <v>1670</v>
      </c>
      <c r="D20" t="s">
        <v>2085</v>
      </c>
      <c r="E20">
        <v>47550</v>
      </c>
    </row>
    <row r="21" spans="1:6">
      <c r="A21">
        <v>20</v>
      </c>
      <c r="B21" s="13">
        <v>45771</v>
      </c>
      <c r="C21" t="s">
        <v>2050</v>
      </c>
      <c r="D21" t="s">
        <v>2085</v>
      </c>
      <c r="E21">
        <v>5000</v>
      </c>
      <c r="F21" t="s">
        <v>1960</v>
      </c>
    </row>
    <row r="22" spans="1:6">
      <c r="A22">
        <v>21</v>
      </c>
      <c r="B22" s="13">
        <v>45772</v>
      </c>
      <c r="C22" t="s">
        <v>1561</v>
      </c>
      <c r="D22" t="s">
        <v>2083</v>
      </c>
      <c r="E22">
        <v>7000</v>
      </c>
      <c r="F22" t="s">
        <v>2068</v>
      </c>
    </row>
    <row r="23" spans="1:6">
      <c r="A23">
        <v>22</v>
      </c>
      <c r="B23" s="13">
        <v>45775</v>
      </c>
      <c r="C23" t="s">
        <v>2076</v>
      </c>
      <c r="D23" t="s">
        <v>2081</v>
      </c>
      <c r="E23">
        <v>8000</v>
      </c>
    </row>
    <row r="24" spans="1:6">
      <c r="A24">
        <v>23</v>
      </c>
      <c r="B24" s="13">
        <v>45775</v>
      </c>
      <c r="C24" t="s">
        <v>1561</v>
      </c>
      <c r="D24" t="s">
        <v>2083</v>
      </c>
      <c r="E24">
        <v>5000</v>
      </c>
      <c r="F24" t="s">
        <v>1180</v>
      </c>
    </row>
    <row r="25" spans="1:6">
      <c r="A25">
        <v>24</v>
      </c>
      <c r="B25" s="13">
        <v>45778</v>
      </c>
      <c r="C25" t="s">
        <v>2140</v>
      </c>
      <c r="D25" t="s">
        <v>1854</v>
      </c>
      <c r="E25">
        <v>2000</v>
      </c>
      <c r="F25" t="s">
        <v>2141</v>
      </c>
    </row>
    <row r="26" spans="1:6">
      <c r="A26">
        <v>25</v>
      </c>
      <c r="B26" s="13">
        <v>45778</v>
      </c>
      <c r="C26" t="s">
        <v>2140</v>
      </c>
      <c r="D26" t="s">
        <v>1854</v>
      </c>
      <c r="E26">
        <v>2000</v>
      </c>
      <c r="F26" t="s">
        <v>2141</v>
      </c>
    </row>
    <row r="27" spans="1:6">
      <c r="A27">
        <v>26</v>
      </c>
      <c r="B27" s="13">
        <v>45777</v>
      </c>
      <c r="C27" t="s">
        <v>2143</v>
      </c>
      <c r="D27" t="s">
        <v>2080</v>
      </c>
      <c r="E27">
        <v>32000</v>
      </c>
    </row>
    <row r="28" spans="1:6">
      <c r="A28">
        <v>27</v>
      </c>
      <c r="B28" s="13">
        <v>45778</v>
      </c>
      <c r="C28" t="s">
        <v>2076</v>
      </c>
      <c r="D28" t="s">
        <v>2080</v>
      </c>
      <c r="E28" s="236">
        <v>8000</v>
      </c>
    </row>
    <row r="29" spans="1:6">
      <c r="A29">
        <v>28</v>
      </c>
      <c r="B29" s="13">
        <v>45779</v>
      </c>
      <c r="C29" t="s">
        <v>2140</v>
      </c>
      <c r="D29" t="s">
        <v>1854</v>
      </c>
      <c r="E29">
        <v>6000</v>
      </c>
      <c r="F29" t="s">
        <v>2146</v>
      </c>
    </row>
    <row r="30" spans="1:6">
      <c r="A30">
        <v>29</v>
      </c>
      <c r="B30" s="13">
        <v>45779</v>
      </c>
      <c r="C30" t="s">
        <v>2157</v>
      </c>
      <c r="D30" t="s">
        <v>2079</v>
      </c>
      <c r="E30">
        <v>74100</v>
      </c>
      <c r="F30" t="s">
        <v>2158</v>
      </c>
    </row>
    <row r="31" spans="1:6">
      <c r="A31">
        <v>30</v>
      </c>
      <c r="B31" s="13">
        <v>45780</v>
      </c>
      <c r="C31" t="s">
        <v>2155</v>
      </c>
      <c r="D31" t="s">
        <v>2079</v>
      </c>
      <c r="E31">
        <v>7000</v>
      </c>
      <c r="F31" t="s">
        <v>2156</v>
      </c>
    </row>
    <row r="32" spans="1:6">
      <c r="A32">
        <v>31</v>
      </c>
      <c r="B32" s="13">
        <v>45780</v>
      </c>
      <c r="C32" t="s">
        <v>2140</v>
      </c>
      <c r="D32" t="s">
        <v>1854</v>
      </c>
      <c r="E32">
        <v>7000</v>
      </c>
      <c r="F32" t="s">
        <v>1968</v>
      </c>
    </row>
    <row r="33" spans="1:6">
      <c r="A33">
        <v>32</v>
      </c>
      <c r="B33" s="13">
        <v>45784</v>
      </c>
      <c r="C33" t="s">
        <v>1685</v>
      </c>
      <c r="D33" t="s">
        <v>2080</v>
      </c>
      <c r="E33">
        <v>9500</v>
      </c>
    </row>
    <row r="34" spans="1:6">
      <c r="A34">
        <v>33</v>
      </c>
      <c r="B34" s="13">
        <v>45785</v>
      </c>
      <c r="C34" t="s">
        <v>2202</v>
      </c>
      <c r="D34" t="s">
        <v>2080</v>
      </c>
      <c r="E34">
        <v>14000</v>
      </c>
    </row>
    <row r="35" spans="1:6">
      <c r="A35">
        <v>34</v>
      </c>
      <c r="B35" s="13">
        <v>45786</v>
      </c>
      <c r="C35" t="s">
        <v>2202</v>
      </c>
      <c r="D35" t="s">
        <v>2080</v>
      </c>
      <c r="E35">
        <v>14000</v>
      </c>
    </row>
    <row r="36" spans="1:6">
      <c r="A36">
        <v>35</v>
      </c>
      <c r="B36" s="13">
        <v>45789</v>
      </c>
      <c r="C36" t="s">
        <v>2140</v>
      </c>
      <c r="D36" t="s">
        <v>1854</v>
      </c>
      <c r="E36">
        <v>2000</v>
      </c>
      <c r="F36" t="s">
        <v>2204</v>
      </c>
    </row>
    <row r="37" spans="1:6">
      <c r="A37">
        <v>36</v>
      </c>
      <c r="B37" s="13">
        <v>45789</v>
      </c>
      <c r="C37" t="s">
        <v>2140</v>
      </c>
      <c r="D37" t="s">
        <v>1854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2202</v>
      </c>
      <c r="D39" t="s">
        <v>2080</v>
      </c>
      <c r="E39">
        <v>14000</v>
      </c>
    </row>
    <row r="40" spans="1:6">
      <c r="A40">
        <v>39</v>
      </c>
      <c r="B40" s="13">
        <v>45790</v>
      </c>
      <c r="C40" t="s">
        <v>1773</v>
      </c>
      <c r="D40" t="s">
        <v>2080</v>
      </c>
      <c r="E40">
        <v>9600</v>
      </c>
    </row>
    <row r="41" spans="1:6">
      <c r="A41">
        <v>40</v>
      </c>
      <c r="B41" s="13">
        <v>45790</v>
      </c>
      <c r="C41" t="s">
        <v>2257</v>
      </c>
      <c r="D41" t="s">
        <v>2083</v>
      </c>
      <c r="E41">
        <v>7000</v>
      </c>
      <c r="F41" t="s">
        <v>2258</v>
      </c>
    </row>
    <row r="42" spans="1:6">
      <c r="A42">
        <v>41</v>
      </c>
      <c r="B42" s="13">
        <v>45790</v>
      </c>
      <c r="C42" t="s">
        <v>2255</v>
      </c>
      <c r="D42" t="s">
        <v>1854</v>
      </c>
      <c r="E42">
        <v>14000</v>
      </c>
      <c r="F42" t="s">
        <v>2256</v>
      </c>
    </row>
    <row r="43" spans="1:6">
      <c r="A43">
        <v>42</v>
      </c>
      <c r="B43" s="13">
        <v>45791</v>
      </c>
      <c r="C43" t="s">
        <v>2140</v>
      </c>
      <c r="D43" t="s">
        <v>1854</v>
      </c>
      <c r="E43">
        <v>6000</v>
      </c>
      <c r="F43" t="s">
        <v>2259</v>
      </c>
    </row>
    <row r="44" spans="1:6">
      <c r="A44">
        <v>43</v>
      </c>
      <c r="B44" s="13">
        <v>45791</v>
      </c>
      <c r="C44" t="s">
        <v>2140</v>
      </c>
      <c r="D44" t="s">
        <v>1854</v>
      </c>
      <c r="E44">
        <v>6000</v>
      </c>
      <c r="F44" t="s">
        <v>2260</v>
      </c>
    </row>
    <row r="45" spans="1:6">
      <c r="A45">
        <v>44</v>
      </c>
      <c r="B45" s="13">
        <v>45791</v>
      </c>
      <c r="C45" t="s">
        <v>2263</v>
      </c>
      <c r="D45" t="s">
        <v>2084</v>
      </c>
      <c r="E45">
        <v>46590</v>
      </c>
    </row>
    <row r="46" spans="1:6">
      <c r="A46">
        <v>45</v>
      </c>
      <c r="B46" s="13">
        <v>45791</v>
      </c>
      <c r="C46" t="s">
        <v>1561</v>
      </c>
      <c r="D46" t="s">
        <v>1682</v>
      </c>
      <c r="E46">
        <v>7000</v>
      </c>
      <c r="F46" t="s">
        <v>2254</v>
      </c>
    </row>
    <row r="47" spans="1:6">
      <c r="A47">
        <v>46</v>
      </c>
      <c r="B47" s="13">
        <v>45791</v>
      </c>
      <c r="C47" t="s">
        <v>2140</v>
      </c>
      <c r="D47" t="s">
        <v>1854</v>
      </c>
      <c r="E47">
        <v>4100</v>
      </c>
      <c r="F47" t="s">
        <v>2259</v>
      </c>
    </row>
    <row r="48" spans="1:6">
      <c r="A48">
        <v>47</v>
      </c>
      <c r="B48" s="13">
        <v>45792</v>
      </c>
      <c r="C48" t="s">
        <v>2140</v>
      </c>
      <c r="D48" t="s">
        <v>1854</v>
      </c>
      <c r="E48">
        <v>6000</v>
      </c>
      <c r="F48" t="s">
        <v>2296</v>
      </c>
    </row>
    <row r="49" spans="1:6">
      <c r="A49">
        <v>48</v>
      </c>
      <c r="B49" s="13">
        <v>45793</v>
      </c>
      <c r="C49" t="s">
        <v>1773</v>
      </c>
      <c r="D49" t="s">
        <v>2080</v>
      </c>
      <c r="E49">
        <v>5400</v>
      </c>
    </row>
    <row r="50" spans="1:6">
      <c r="A50">
        <v>49</v>
      </c>
      <c r="B50" s="13">
        <v>45794</v>
      </c>
      <c r="C50" t="s">
        <v>2324</v>
      </c>
      <c r="D50" t="s">
        <v>1854</v>
      </c>
      <c r="E50">
        <v>8000</v>
      </c>
      <c r="F50" t="s">
        <v>2325</v>
      </c>
    </row>
    <row r="51" spans="1:6">
      <c r="A51">
        <v>50</v>
      </c>
      <c r="B51" s="13">
        <v>45796</v>
      </c>
      <c r="C51" t="s">
        <v>2076</v>
      </c>
      <c r="D51" t="s">
        <v>2080</v>
      </c>
      <c r="E51">
        <v>8000</v>
      </c>
    </row>
    <row r="52" spans="1:6">
      <c r="A52">
        <v>51</v>
      </c>
      <c r="B52" s="13">
        <v>45796</v>
      </c>
      <c r="C52" t="s">
        <v>2263</v>
      </c>
      <c r="D52" t="s">
        <v>2084</v>
      </c>
      <c r="E52">
        <v>46300</v>
      </c>
    </row>
    <row r="53" spans="1:6">
      <c r="A53">
        <v>52</v>
      </c>
      <c r="B53" s="13">
        <v>45796</v>
      </c>
      <c r="C53" t="s">
        <v>2339</v>
      </c>
      <c r="D53" t="s">
        <v>2080</v>
      </c>
      <c r="E53">
        <v>1800</v>
      </c>
    </row>
    <row r="54" spans="1:6">
      <c r="A54">
        <v>53</v>
      </c>
      <c r="B54" s="13">
        <v>45797</v>
      </c>
      <c r="C54" t="s">
        <v>2076</v>
      </c>
      <c r="D54" t="s">
        <v>2080</v>
      </c>
      <c r="E54" s="236">
        <v>8000</v>
      </c>
    </row>
    <row r="55" spans="1:6">
      <c r="A55">
        <v>54</v>
      </c>
      <c r="B55" s="13">
        <v>45798</v>
      </c>
      <c r="C55" t="s">
        <v>2076</v>
      </c>
      <c r="D55" t="s">
        <v>2080</v>
      </c>
      <c r="E55">
        <v>8000</v>
      </c>
    </row>
    <row r="56" spans="1:6">
      <c r="A56">
        <v>55</v>
      </c>
      <c r="B56" s="13">
        <v>45798</v>
      </c>
      <c r="C56" t="s">
        <v>2140</v>
      </c>
      <c r="D56" t="s">
        <v>1854</v>
      </c>
      <c r="E56">
        <v>6500</v>
      </c>
    </row>
    <row r="57" spans="1:6">
      <c r="A57">
        <v>56</v>
      </c>
      <c r="B57" s="13">
        <v>45799</v>
      </c>
      <c r="C57" t="s">
        <v>2395</v>
      </c>
      <c r="D57" t="s">
        <v>2081</v>
      </c>
      <c r="E57">
        <v>9500</v>
      </c>
    </row>
    <row r="58" spans="1:6">
      <c r="A58">
        <v>57</v>
      </c>
      <c r="B58" s="13">
        <v>45800</v>
      </c>
      <c r="C58" t="s">
        <v>2076</v>
      </c>
      <c r="D58" t="s">
        <v>2080</v>
      </c>
      <c r="E58">
        <v>8000</v>
      </c>
    </row>
    <row r="59" spans="1:6">
      <c r="A59">
        <v>58</v>
      </c>
      <c r="B59" s="13">
        <v>45803</v>
      </c>
      <c r="C59" t="s">
        <v>2396</v>
      </c>
      <c r="D59" t="s">
        <v>2080</v>
      </c>
      <c r="E59">
        <v>7500</v>
      </c>
    </row>
    <row r="60" spans="1:6">
      <c r="A60">
        <v>59</v>
      </c>
      <c r="B60" s="13">
        <v>45804</v>
      </c>
      <c r="C60" t="s">
        <v>1685</v>
      </c>
      <c r="D60" t="s">
        <v>2080</v>
      </c>
      <c r="E60">
        <v>10000</v>
      </c>
    </row>
    <row r="61" spans="1:6">
      <c r="A61">
        <v>60</v>
      </c>
      <c r="B61" s="13">
        <v>45805</v>
      </c>
      <c r="C61" t="s">
        <v>2076</v>
      </c>
      <c r="D61" t="s">
        <v>2080</v>
      </c>
      <c r="E61">
        <v>8000</v>
      </c>
    </row>
    <row r="62" spans="1:6">
      <c r="A62">
        <v>61</v>
      </c>
      <c r="B62" s="13">
        <v>45806</v>
      </c>
      <c r="C62" t="s">
        <v>2140</v>
      </c>
      <c r="D62" t="s">
        <v>1854</v>
      </c>
      <c r="E62">
        <v>11000</v>
      </c>
    </row>
    <row r="63" spans="1:6">
      <c r="A63">
        <v>62</v>
      </c>
      <c r="B63" s="13">
        <v>45806</v>
      </c>
      <c r="C63" t="s">
        <v>2076</v>
      </c>
      <c r="D63" t="s">
        <v>2080</v>
      </c>
      <c r="E63">
        <v>8000</v>
      </c>
    </row>
    <row r="64" spans="1:6">
      <c r="A64">
        <v>63</v>
      </c>
      <c r="B64" s="13">
        <v>45807</v>
      </c>
      <c r="C64" t="s">
        <v>1670</v>
      </c>
      <c r="D64" t="s">
        <v>2084</v>
      </c>
      <c r="E64">
        <v>46950</v>
      </c>
    </row>
    <row r="65" spans="1:6">
      <c r="A65">
        <v>64</v>
      </c>
      <c r="B65" s="13">
        <v>45807</v>
      </c>
      <c r="C65" t="s">
        <v>2423</v>
      </c>
      <c r="D65" t="s">
        <v>1854</v>
      </c>
      <c r="E65">
        <v>6000</v>
      </c>
      <c r="F65" t="s">
        <v>2260</v>
      </c>
    </row>
    <row r="66" spans="1:6">
      <c r="A66">
        <v>65</v>
      </c>
      <c r="B66" s="13">
        <v>45807</v>
      </c>
      <c r="C66" t="s">
        <v>2140</v>
      </c>
      <c r="D66" t="s">
        <v>1854</v>
      </c>
      <c r="E66">
        <v>6000</v>
      </c>
      <c r="F66" t="s">
        <v>2034</v>
      </c>
    </row>
    <row r="67" spans="1:6">
      <c r="A67">
        <v>66</v>
      </c>
      <c r="B67" s="13">
        <v>45812</v>
      </c>
      <c r="C67" t="s">
        <v>2140</v>
      </c>
      <c r="D67" t="s">
        <v>1854</v>
      </c>
      <c r="E67">
        <v>6000</v>
      </c>
    </row>
    <row r="68" spans="1:6">
      <c r="A68">
        <v>67</v>
      </c>
      <c r="B68" s="13">
        <v>45811</v>
      </c>
      <c r="C68" t="s">
        <v>2076</v>
      </c>
      <c r="D68" t="s">
        <v>2080</v>
      </c>
      <c r="E68">
        <v>8000</v>
      </c>
    </row>
    <row r="69" spans="1:6">
      <c r="A69">
        <v>68</v>
      </c>
      <c r="B69" s="13">
        <v>45817</v>
      </c>
      <c r="C69" t="s">
        <v>2140</v>
      </c>
      <c r="D69" t="s">
        <v>1854</v>
      </c>
      <c r="E69">
        <v>6000</v>
      </c>
      <c r="F69" t="s">
        <v>2516</v>
      </c>
    </row>
    <row r="70" spans="1:6">
      <c r="A70">
        <v>69</v>
      </c>
      <c r="B70" s="13">
        <v>45815</v>
      </c>
      <c r="C70" t="s">
        <v>2140</v>
      </c>
      <c r="D70" t="s">
        <v>1854</v>
      </c>
      <c r="E70">
        <v>6000</v>
      </c>
      <c r="F70" t="s">
        <v>2516</v>
      </c>
    </row>
    <row r="71" spans="1:6">
      <c r="A71">
        <v>70</v>
      </c>
      <c r="B71" s="13">
        <v>45813</v>
      </c>
      <c r="C71" t="s">
        <v>2140</v>
      </c>
      <c r="D71" t="s">
        <v>1854</v>
      </c>
      <c r="E71">
        <v>4000</v>
      </c>
      <c r="F71" t="s">
        <v>2260</v>
      </c>
    </row>
    <row r="72" spans="1:6">
      <c r="A72">
        <v>71</v>
      </c>
      <c r="B72" s="13">
        <v>45817</v>
      </c>
      <c r="C72" t="s">
        <v>2140</v>
      </c>
      <c r="D72" t="s">
        <v>1854</v>
      </c>
      <c r="E72">
        <v>4600</v>
      </c>
      <c r="F72" t="s">
        <v>2562</v>
      </c>
    </row>
    <row r="73" spans="1:6">
      <c r="A73">
        <v>72</v>
      </c>
      <c r="B73" s="13">
        <v>45817</v>
      </c>
      <c r="C73" t="s">
        <v>2140</v>
      </c>
      <c r="D73" t="s">
        <v>1854</v>
      </c>
      <c r="E73">
        <v>9600</v>
      </c>
      <c r="F73" t="s">
        <v>2563</v>
      </c>
    </row>
    <row r="74" spans="1:6">
      <c r="A74">
        <v>73</v>
      </c>
      <c r="B74" s="13">
        <v>45818</v>
      </c>
      <c r="C74" t="s">
        <v>2140</v>
      </c>
      <c r="D74" t="s">
        <v>1854</v>
      </c>
      <c r="E74">
        <v>6000</v>
      </c>
      <c r="F74" t="s">
        <v>2564</v>
      </c>
    </row>
    <row r="75" spans="1:6">
      <c r="A75">
        <v>74</v>
      </c>
      <c r="B75" s="13">
        <v>45818</v>
      </c>
      <c r="C75" t="s">
        <v>2339</v>
      </c>
      <c r="D75" t="s">
        <v>2080</v>
      </c>
      <c r="E75">
        <v>2200</v>
      </c>
    </row>
    <row r="76" spans="1:6">
      <c r="A76">
        <v>75</v>
      </c>
      <c r="B76" s="13">
        <v>45818</v>
      </c>
      <c r="C76" t="s">
        <v>2324</v>
      </c>
      <c r="D76" t="s">
        <v>1682</v>
      </c>
      <c r="E76">
        <v>10000</v>
      </c>
      <c r="F76" t="s">
        <v>2565</v>
      </c>
    </row>
    <row r="77" spans="1:6">
      <c r="A77">
        <v>76</v>
      </c>
      <c r="B77" s="13">
        <v>45818</v>
      </c>
      <c r="C77" t="s">
        <v>2140</v>
      </c>
      <c r="D77" t="s">
        <v>1854</v>
      </c>
      <c r="E77" s="236">
        <v>6000</v>
      </c>
      <c r="F77" t="s">
        <v>994</v>
      </c>
    </row>
    <row r="78" spans="1:6">
      <c r="A78">
        <v>77</v>
      </c>
      <c r="B78" s="13">
        <v>45819</v>
      </c>
      <c r="C78" t="s">
        <v>2255</v>
      </c>
      <c r="D78" t="s">
        <v>1854</v>
      </c>
      <c r="E78">
        <v>6000</v>
      </c>
      <c r="F78" t="s">
        <v>2598</v>
      </c>
    </row>
    <row r="79" spans="1:6">
      <c r="A79">
        <v>78</v>
      </c>
      <c r="B79" s="13">
        <v>45820</v>
      </c>
      <c r="C79" t="s">
        <v>2140</v>
      </c>
      <c r="D79" t="s">
        <v>1854</v>
      </c>
      <c r="E79" s="236">
        <v>6000</v>
      </c>
      <c r="F79" t="s">
        <v>1895</v>
      </c>
    </row>
    <row r="80" spans="1:6">
      <c r="A80">
        <v>79</v>
      </c>
      <c r="B80" s="13">
        <v>45820</v>
      </c>
      <c r="C80" t="s">
        <v>2140</v>
      </c>
      <c r="D80" t="s">
        <v>1854</v>
      </c>
      <c r="E80">
        <v>7600</v>
      </c>
      <c r="F80" t="s">
        <v>2517</v>
      </c>
    </row>
    <row r="81" spans="1:6">
      <c r="A81">
        <v>80</v>
      </c>
      <c r="B81" s="13">
        <v>45824</v>
      </c>
      <c r="C81" t="s">
        <v>2263</v>
      </c>
      <c r="D81" t="s">
        <v>2084</v>
      </c>
      <c r="E81">
        <v>47970</v>
      </c>
    </row>
    <row r="82" spans="1:6">
      <c r="A82">
        <v>81</v>
      </c>
      <c r="B82" s="13">
        <v>45824</v>
      </c>
      <c r="C82" t="s">
        <v>2076</v>
      </c>
      <c r="D82" t="s">
        <v>2080</v>
      </c>
      <c r="E82">
        <v>8000</v>
      </c>
    </row>
    <row r="83" spans="1:6">
      <c r="A83">
        <v>82</v>
      </c>
      <c r="B83" s="13">
        <v>45824</v>
      </c>
      <c r="C83" t="s">
        <v>2140</v>
      </c>
      <c r="D83" t="s">
        <v>1854</v>
      </c>
      <c r="E83">
        <v>4600</v>
      </c>
      <c r="F83" t="s">
        <v>2633</v>
      </c>
    </row>
    <row r="84" spans="1:6">
      <c r="A84">
        <v>83</v>
      </c>
      <c r="B84" s="13">
        <v>45825</v>
      </c>
      <c r="C84" t="s">
        <v>1420</v>
      </c>
      <c r="D84" t="s">
        <v>1854</v>
      </c>
      <c r="E84">
        <v>7000</v>
      </c>
      <c r="F84" t="s">
        <v>2640</v>
      </c>
    </row>
    <row r="85" spans="1:6">
      <c r="A85">
        <v>84</v>
      </c>
      <c r="B85" s="13">
        <v>45825</v>
      </c>
      <c r="C85" t="s">
        <v>2324</v>
      </c>
      <c r="D85" t="s">
        <v>1682</v>
      </c>
      <c r="E85">
        <v>9000</v>
      </c>
      <c r="F85" t="s">
        <v>2640</v>
      </c>
    </row>
    <row r="86" spans="1:6">
      <c r="A86">
        <v>85</v>
      </c>
      <c r="B86" s="13">
        <v>45825</v>
      </c>
      <c r="C86" t="s">
        <v>1756</v>
      </c>
      <c r="D86" t="s">
        <v>2080</v>
      </c>
      <c r="E86">
        <v>7000</v>
      </c>
    </row>
    <row r="87" spans="1:6">
      <c r="A87">
        <v>86</v>
      </c>
      <c r="B87" s="13">
        <v>45826</v>
      </c>
      <c r="C87" t="s">
        <v>2140</v>
      </c>
      <c r="D87" t="s">
        <v>1854</v>
      </c>
      <c r="E87">
        <v>2000</v>
      </c>
      <c r="F87" t="s">
        <v>2517</v>
      </c>
    </row>
    <row r="88" spans="1:6">
      <c r="A88">
        <v>87</v>
      </c>
      <c r="B88" s="13">
        <v>45826</v>
      </c>
      <c r="C88" t="s">
        <v>2140</v>
      </c>
      <c r="D88" t="s">
        <v>1854</v>
      </c>
      <c r="E88">
        <v>2000</v>
      </c>
      <c r="F88" t="s">
        <v>2517</v>
      </c>
    </row>
    <row r="89" spans="1:6">
      <c r="A89">
        <v>88</v>
      </c>
      <c r="B89" s="13">
        <v>45826</v>
      </c>
      <c r="C89" t="s">
        <v>2140</v>
      </c>
      <c r="D89" t="s">
        <v>1854</v>
      </c>
      <c r="E89">
        <v>7500</v>
      </c>
      <c r="F89" t="s">
        <v>2689</v>
      </c>
    </row>
    <row r="90" spans="1:6">
      <c r="A90">
        <v>89</v>
      </c>
      <c r="B90" s="13">
        <v>45826</v>
      </c>
      <c r="C90" t="s">
        <v>1685</v>
      </c>
      <c r="D90" t="s">
        <v>2080</v>
      </c>
      <c r="E90">
        <v>9500</v>
      </c>
    </row>
    <row r="91" spans="1:6">
      <c r="A91">
        <v>90</v>
      </c>
      <c r="B91" s="13">
        <v>45827</v>
      </c>
      <c r="C91" t="s">
        <v>2140</v>
      </c>
      <c r="D91" t="s">
        <v>1854</v>
      </c>
      <c r="E91">
        <v>6000</v>
      </c>
      <c r="F91" t="s">
        <v>2564</v>
      </c>
    </row>
    <row r="92" spans="1:6">
      <c r="A92">
        <v>91</v>
      </c>
      <c r="B92" s="13">
        <v>45827</v>
      </c>
      <c r="C92" t="s">
        <v>2140</v>
      </c>
      <c r="D92" t="s">
        <v>1854</v>
      </c>
      <c r="E92">
        <v>2000</v>
      </c>
      <c r="F92" t="s">
        <v>2699</v>
      </c>
    </row>
    <row r="93" spans="1:6">
      <c r="A93">
        <v>92</v>
      </c>
      <c r="B93" s="13">
        <v>45827</v>
      </c>
      <c r="C93" t="s">
        <v>2140</v>
      </c>
      <c r="D93" t="s">
        <v>1854</v>
      </c>
      <c r="E93">
        <v>4600</v>
      </c>
      <c r="F93" t="s">
        <v>2717</v>
      </c>
    </row>
    <row r="94" spans="1:6">
      <c r="A94">
        <v>93</v>
      </c>
      <c r="B94" s="13">
        <v>45828</v>
      </c>
      <c r="C94" t="s">
        <v>2140</v>
      </c>
      <c r="D94" t="s">
        <v>1854</v>
      </c>
      <c r="E94">
        <v>4500</v>
      </c>
      <c r="F94" t="s">
        <v>2735</v>
      </c>
    </row>
    <row r="95" spans="1:6">
      <c r="A95">
        <v>94</v>
      </c>
      <c r="B95" s="13">
        <v>45829</v>
      </c>
      <c r="C95" t="s">
        <v>2263</v>
      </c>
      <c r="D95" t="s">
        <v>2084</v>
      </c>
      <c r="E95">
        <v>48750</v>
      </c>
    </row>
    <row r="96" spans="1:6">
      <c r="A96">
        <v>95</v>
      </c>
      <c r="B96" s="13">
        <v>45829</v>
      </c>
      <c r="C96" t="s">
        <v>2140</v>
      </c>
      <c r="D96" t="s">
        <v>1854</v>
      </c>
      <c r="E96">
        <v>7600</v>
      </c>
      <c r="F96" t="s">
        <v>2623</v>
      </c>
    </row>
    <row r="97" spans="1:6">
      <c r="A97">
        <v>96</v>
      </c>
      <c r="B97" s="13">
        <v>45829</v>
      </c>
      <c r="C97" t="s">
        <v>2140</v>
      </c>
      <c r="D97" t="s">
        <v>1854</v>
      </c>
      <c r="E97">
        <v>6100</v>
      </c>
      <c r="F97" t="s">
        <v>2623</v>
      </c>
    </row>
    <row r="98" spans="1:6">
      <c r="A98">
        <v>97</v>
      </c>
      <c r="B98" s="13">
        <v>45831</v>
      </c>
      <c r="C98" t="s">
        <v>1561</v>
      </c>
      <c r="D98" t="s">
        <v>1682</v>
      </c>
      <c r="E98">
        <v>12000</v>
      </c>
      <c r="F98" t="s">
        <v>1024</v>
      </c>
    </row>
    <row r="99" spans="1:6">
      <c r="A99">
        <v>98</v>
      </c>
      <c r="B99" s="13">
        <v>45832</v>
      </c>
      <c r="C99" t="s">
        <v>2155</v>
      </c>
      <c r="D99" t="s">
        <v>2079</v>
      </c>
      <c r="E99">
        <v>2200</v>
      </c>
      <c r="F99" t="s">
        <v>2760</v>
      </c>
    </row>
    <row r="100" spans="1:6">
      <c r="A100">
        <v>99</v>
      </c>
      <c r="B100" s="13">
        <v>45832</v>
      </c>
      <c r="C100" t="s">
        <v>2140</v>
      </c>
      <c r="D100" t="s">
        <v>1854</v>
      </c>
      <c r="E100">
        <v>7700</v>
      </c>
      <c r="F100" t="s">
        <v>1024</v>
      </c>
    </row>
    <row r="101" spans="1:6">
      <c r="A101">
        <v>100</v>
      </c>
      <c r="B101" s="13">
        <v>45833</v>
      </c>
      <c r="C101" t="s">
        <v>2140</v>
      </c>
      <c r="D101" t="s">
        <v>1854</v>
      </c>
      <c r="E101">
        <v>6600</v>
      </c>
      <c r="F101" t="s">
        <v>1895</v>
      </c>
    </row>
    <row r="102" spans="1:6">
      <c r="A102">
        <v>101</v>
      </c>
      <c r="B102" s="13">
        <v>45833</v>
      </c>
      <c r="C102" t="s">
        <v>2140</v>
      </c>
      <c r="D102" t="s">
        <v>1854</v>
      </c>
      <c r="E102">
        <v>2200</v>
      </c>
      <c r="F102" t="s">
        <v>2776</v>
      </c>
    </row>
    <row r="103" spans="1:6">
      <c r="A103">
        <v>102</v>
      </c>
      <c r="B103" s="13">
        <v>45833</v>
      </c>
      <c r="C103" t="s">
        <v>2140</v>
      </c>
      <c r="D103" t="s">
        <v>1854</v>
      </c>
      <c r="E103">
        <v>2200</v>
      </c>
      <c r="F103" t="s">
        <v>986</v>
      </c>
    </row>
    <row r="104" spans="1:6">
      <c r="A104">
        <v>103</v>
      </c>
      <c r="B104" s="13">
        <v>45833</v>
      </c>
      <c r="C104" t="s">
        <v>2140</v>
      </c>
      <c r="D104" t="s">
        <v>1854</v>
      </c>
      <c r="E104">
        <v>4400</v>
      </c>
      <c r="F104" t="s">
        <v>2780</v>
      </c>
    </row>
    <row r="105" spans="1:6">
      <c r="A105">
        <v>104</v>
      </c>
      <c r="B105" s="13">
        <v>45833</v>
      </c>
      <c r="C105" t="s">
        <v>2140</v>
      </c>
      <c r="D105" t="s">
        <v>1854</v>
      </c>
      <c r="E105">
        <v>4400</v>
      </c>
      <c r="F105" t="s">
        <v>2780</v>
      </c>
    </row>
    <row r="106" spans="1:6">
      <c r="A106">
        <v>105</v>
      </c>
      <c r="B106" s="13">
        <v>45833</v>
      </c>
      <c r="C106" t="s">
        <v>2795</v>
      </c>
      <c r="D106" t="s">
        <v>2796</v>
      </c>
      <c r="E106">
        <v>24800</v>
      </c>
      <c r="F106" t="s">
        <v>2797</v>
      </c>
    </row>
    <row r="107" spans="1:6">
      <c r="A107">
        <v>106</v>
      </c>
      <c r="B107" s="13">
        <v>45833</v>
      </c>
      <c r="C107" t="s">
        <v>1685</v>
      </c>
      <c r="D107" t="s">
        <v>2080</v>
      </c>
      <c r="E107">
        <v>10000</v>
      </c>
    </row>
    <row r="108" spans="1:6">
      <c r="A108">
        <v>107</v>
      </c>
      <c r="B108" s="13">
        <v>45835</v>
      </c>
      <c r="C108" t="s">
        <v>2837</v>
      </c>
      <c r="D108" t="s">
        <v>2080</v>
      </c>
      <c r="E108">
        <v>22000</v>
      </c>
    </row>
    <row r="109" spans="1:6">
      <c r="A109">
        <v>108</v>
      </c>
      <c r="B109" s="13">
        <v>45839</v>
      </c>
      <c r="C109" t="s">
        <v>2140</v>
      </c>
      <c r="D109" t="s">
        <v>1854</v>
      </c>
      <c r="E109">
        <v>2200</v>
      </c>
      <c r="F109" t="s">
        <v>2882</v>
      </c>
    </row>
    <row r="110" spans="1:6">
      <c r="A110">
        <v>109</v>
      </c>
      <c r="B110" s="13">
        <v>45840</v>
      </c>
      <c r="C110" t="s">
        <v>2140</v>
      </c>
      <c r="D110" t="s">
        <v>1854</v>
      </c>
      <c r="E110">
        <v>6600</v>
      </c>
      <c r="F110" t="s">
        <v>2895</v>
      </c>
    </row>
    <row r="111" spans="1:6">
      <c r="A111">
        <v>110</v>
      </c>
      <c r="B111" s="13">
        <v>45840</v>
      </c>
      <c r="C111" t="s">
        <v>2140</v>
      </c>
      <c r="D111" t="s">
        <v>1854</v>
      </c>
      <c r="E111">
        <v>2200</v>
      </c>
      <c r="F111" t="s">
        <v>1066</v>
      </c>
    </row>
    <row r="112" spans="1:6">
      <c r="A112">
        <v>111</v>
      </c>
      <c r="B112" s="13">
        <v>45840</v>
      </c>
      <c r="C112" t="s">
        <v>2140</v>
      </c>
      <c r="D112" t="s">
        <v>1854</v>
      </c>
      <c r="E112">
        <v>7150</v>
      </c>
      <c r="F112" t="s">
        <v>2896</v>
      </c>
    </row>
    <row r="113" spans="1:6">
      <c r="A113">
        <v>112</v>
      </c>
      <c r="B113" s="13">
        <v>45840</v>
      </c>
      <c r="C113" t="s">
        <v>2140</v>
      </c>
      <c r="D113" t="s">
        <v>1854</v>
      </c>
      <c r="E113">
        <v>2200</v>
      </c>
      <c r="F113" t="s">
        <v>1420</v>
      </c>
    </row>
    <row r="114" spans="1:6">
      <c r="A114">
        <v>113</v>
      </c>
      <c r="B114" s="13">
        <v>45842</v>
      </c>
      <c r="C114" t="s">
        <v>2202</v>
      </c>
      <c r="D114" t="s">
        <v>2080</v>
      </c>
      <c r="E114">
        <v>24000</v>
      </c>
    </row>
    <row r="115" spans="1:6">
      <c r="A115">
        <v>114</v>
      </c>
      <c r="B115" s="13">
        <v>45845</v>
      </c>
      <c r="C115" t="s">
        <v>1670</v>
      </c>
      <c r="D115" t="s">
        <v>2084</v>
      </c>
      <c r="E115">
        <v>47800</v>
      </c>
    </row>
    <row r="116" spans="1:6">
      <c r="A116">
        <v>115</v>
      </c>
      <c r="B116" s="13">
        <v>45846</v>
      </c>
      <c r="C116" t="s">
        <v>2140</v>
      </c>
      <c r="D116" t="s">
        <v>1854</v>
      </c>
      <c r="E116">
        <v>6000</v>
      </c>
      <c r="F116" t="s">
        <v>1631</v>
      </c>
    </row>
    <row r="117" spans="1:6">
      <c r="A117">
        <v>116</v>
      </c>
      <c r="B117" s="13">
        <v>45846</v>
      </c>
      <c r="C117" t="s">
        <v>2140</v>
      </c>
      <c r="D117" t="s">
        <v>1854</v>
      </c>
      <c r="E117">
        <v>6500</v>
      </c>
      <c r="F117" t="s">
        <v>1895</v>
      </c>
    </row>
    <row r="118" spans="1:6">
      <c r="A118">
        <v>117</v>
      </c>
      <c r="B118" s="13">
        <v>45846</v>
      </c>
      <c r="C118" t="s">
        <v>2140</v>
      </c>
      <c r="D118" t="s">
        <v>1854</v>
      </c>
      <c r="E118">
        <v>6000</v>
      </c>
      <c r="F118" t="s">
        <v>2564</v>
      </c>
    </row>
    <row r="119" spans="1:6">
      <c r="A119">
        <v>118</v>
      </c>
      <c r="B119" s="13">
        <v>45846</v>
      </c>
      <c r="C119" t="s">
        <v>2140</v>
      </c>
      <c r="D119" t="s">
        <v>1854</v>
      </c>
      <c r="E119">
        <v>2000</v>
      </c>
      <c r="F119" t="s">
        <v>2967</v>
      </c>
    </row>
    <row r="120" spans="1:6">
      <c r="A120">
        <v>119</v>
      </c>
      <c r="B120" s="13">
        <v>45847</v>
      </c>
      <c r="C120" t="s">
        <v>2140</v>
      </c>
      <c r="D120" t="s">
        <v>1854</v>
      </c>
      <c r="E120">
        <v>2000</v>
      </c>
      <c r="F120" t="s">
        <v>1812</v>
      </c>
    </row>
    <row r="121" spans="1:6">
      <c r="A121">
        <v>120</v>
      </c>
      <c r="B121" s="13">
        <v>45847</v>
      </c>
      <c r="C121" t="s">
        <v>2140</v>
      </c>
      <c r="D121" t="s">
        <v>1854</v>
      </c>
      <c r="E121">
        <v>6000</v>
      </c>
      <c r="F121" t="s">
        <v>2985</v>
      </c>
    </row>
    <row r="122" spans="1:6">
      <c r="A122">
        <v>121</v>
      </c>
      <c r="B122" s="13">
        <v>45847</v>
      </c>
      <c r="C122" t="s">
        <v>1561</v>
      </c>
      <c r="D122" t="s">
        <v>1854</v>
      </c>
      <c r="E122">
        <v>8000</v>
      </c>
      <c r="F122" t="s">
        <v>1812</v>
      </c>
    </row>
    <row r="123" spans="1:6">
      <c r="A123">
        <v>122</v>
      </c>
      <c r="B123" s="13">
        <v>45849</v>
      </c>
      <c r="C123" t="s">
        <v>2140</v>
      </c>
      <c r="D123" t="s">
        <v>1854</v>
      </c>
      <c r="E123">
        <v>6000</v>
      </c>
      <c r="F123" t="s">
        <v>1631</v>
      </c>
    </row>
    <row r="124" spans="1:6">
      <c r="A124">
        <v>123</v>
      </c>
      <c r="B124" s="13">
        <v>45852</v>
      </c>
      <c r="C124" t="s">
        <v>1561</v>
      </c>
      <c r="D124" t="s">
        <v>1854</v>
      </c>
      <c r="E124">
        <v>12000</v>
      </c>
      <c r="F124" t="s">
        <v>3042</v>
      </c>
    </row>
    <row r="125" spans="1:6">
      <c r="A125">
        <v>124</v>
      </c>
      <c r="B125" s="13">
        <v>45852</v>
      </c>
      <c r="C125" t="s">
        <v>1756</v>
      </c>
      <c r="D125" t="s">
        <v>2080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8" sqref="X1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8"/>
      <c r="B1" s="299"/>
      <c r="C1" s="299"/>
      <c r="D1" s="299"/>
      <c r="E1" s="299"/>
      <c r="F1" s="299"/>
      <c r="G1" s="299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00" t="s">
        <v>1232</v>
      </c>
      <c r="R1" s="300"/>
      <c r="S1" s="301" t="s">
        <v>3060</v>
      </c>
      <c r="T1" s="301"/>
      <c r="U1" s="302"/>
    </row>
    <row r="2" spans="1:21">
      <c r="A2" s="303" t="s">
        <v>70</v>
      </c>
      <c r="B2" s="304"/>
      <c r="C2" s="305" t="s">
        <v>2313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45852</v>
      </c>
      <c r="U2" s="311"/>
    </row>
    <row r="3" spans="1:21" ht="24.95" customHeight="1">
      <c r="A3" s="321" t="s">
        <v>1200</v>
      </c>
      <c r="B3" s="37" t="s">
        <v>64</v>
      </c>
      <c r="C3" s="324" t="s">
        <v>1330</v>
      </c>
      <c r="D3" s="325"/>
      <c r="E3" s="325"/>
      <c r="F3" s="325"/>
      <c r="G3" s="325"/>
      <c r="H3" s="325"/>
      <c r="I3" s="325"/>
      <c r="J3" s="326"/>
      <c r="K3" s="327" t="s">
        <v>1201</v>
      </c>
      <c r="L3" s="37" t="s">
        <v>64</v>
      </c>
      <c r="M3" s="330" t="s">
        <v>970</v>
      </c>
      <c r="N3" s="331"/>
      <c r="O3" s="331"/>
      <c r="P3" s="331"/>
      <c r="Q3" s="331"/>
      <c r="R3" s="331"/>
      <c r="S3" s="331"/>
      <c r="T3" s="331"/>
      <c r="U3" s="332"/>
    </row>
    <row r="4" spans="1:21" ht="24.95" customHeight="1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312" t="s">
        <v>78</v>
      </c>
      <c r="U4" s="315"/>
    </row>
    <row r="5" spans="1:21" ht="24.95" customHeight="1">
      <c r="A5" s="322"/>
      <c r="B5" s="38" t="s">
        <v>10</v>
      </c>
      <c r="C5" s="312" t="s">
        <v>3058</v>
      </c>
      <c r="D5" s="313"/>
      <c r="E5" s="313"/>
      <c r="F5" s="313"/>
      <c r="G5" s="313"/>
      <c r="H5" s="313"/>
      <c r="I5" s="313"/>
      <c r="J5" s="314"/>
      <c r="K5" s="328"/>
      <c r="L5" s="38" t="s">
        <v>10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24.95" customHeight="1">
      <c r="A6" s="323"/>
      <c r="B6" s="38" t="s">
        <v>80</v>
      </c>
      <c r="C6" s="312" t="s">
        <v>3059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29</v>
      </c>
      <c r="U6" s="315"/>
    </row>
    <row r="7" spans="1:21" ht="15.75" customHeight="1">
      <c r="A7" s="316" t="s">
        <v>75</v>
      </c>
      <c r="B7" s="317"/>
      <c r="C7" s="317"/>
      <c r="D7" s="317"/>
      <c r="E7" s="318"/>
      <c r="F7" s="319" t="s">
        <v>48</v>
      </c>
      <c r="G7" s="317"/>
      <c r="H7" s="317"/>
      <c r="I7" s="318"/>
      <c r="J7" s="319" t="s">
        <v>46</v>
      </c>
      <c r="K7" s="317"/>
      <c r="L7" s="317"/>
      <c r="M7" s="317"/>
      <c r="N7" s="318"/>
      <c r="O7" s="317" t="s">
        <v>54</v>
      </c>
      <c r="P7" s="318"/>
      <c r="Q7" s="319" t="s">
        <v>74</v>
      </c>
      <c r="R7" s="317"/>
      <c r="S7" s="318"/>
      <c r="T7" s="319" t="s">
        <v>73</v>
      </c>
      <c r="U7" s="320"/>
    </row>
    <row r="8" spans="1:21" ht="15.6" customHeight="1">
      <c r="A8" s="345" t="s">
        <v>2347</v>
      </c>
      <c r="B8" s="346"/>
      <c r="C8" s="346"/>
      <c r="D8" s="346"/>
      <c r="E8" s="347"/>
      <c r="F8" s="348" t="s">
        <v>2346</v>
      </c>
      <c r="G8" s="346"/>
      <c r="H8" s="346"/>
      <c r="I8" s="347"/>
      <c r="J8" s="354">
        <v>1500000</v>
      </c>
      <c r="K8" s="354"/>
      <c r="L8" s="354"/>
      <c r="M8" s="354"/>
      <c r="N8" s="354"/>
      <c r="O8" s="355">
        <v>1</v>
      </c>
      <c r="P8" s="355"/>
      <c r="Q8" s="349"/>
      <c r="R8" s="350"/>
      <c r="S8" s="351"/>
      <c r="T8" s="352">
        <v>1500000</v>
      </c>
      <c r="U8" s="353"/>
    </row>
    <row r="9" spans="1:21" ht="15.6" customHeight="1">
      <c r="A9" s="336" t="s">
        <v>2269</v>
      </c>
      <c r="B9" s="337"/>
      <c r="C9" s="337"/>
      <c r="D9" s="337"/>
      <c r="E9" s="338"/>
      <c r="F9" s="339" t="s">
        <v>1874</v>
      </c>
      <c r="G9" s="337"/>
      <c r="H9" s="337"/>
      <c r="I9" s="338"/>
      <c r="J9" s="356">
        <v>50000</v>
      </c>
      <c r="K9" s="356"/>
      <c r="L9" s="356"/>
      <c r="M9" s="356"/>
      <c r="N9" s="356"/>
      <c r="O9" s="357">
        <v>1</v>
      </c>
      <c r="P9" s="357"/>
      <c r="Q9" s="340"/>
      <c r="R9" s="341"/>
      <c r="S9" s="342"/>
      <c r="T9" s="343">
        <v>50000</v>
      </c>
      <c r="U9" s="344"/>
    </row>
    <row r="10" spans="1:21" ht="15.6" customHeight="1">
      <c r="A10" s="336"/>
      <c r="B10" s="337"/>
      <c r="C10" s="337"/>
      <c r="D10" s="337"/>
      <c r="E10" s="338"/>
      <c r="F10" s="339"/>
      <c r="G10" s="337"/>
      <c r="H10" s="337"/>
      <c r="I10" s="338"/>
      <c r="J10" s="356"/>
      <c r="K10" s="356"/>
      <c r="L10" s="356"/>
      <c r="M10" s="356"/>
      <c r="N10" s="356"/>
      <c r="O10" s="357"/>
      <c r="P10" s="357"/>
      <c r="Q10" s="340"/>
      <c r="R10" s="341"/>
      <c r="S10" s="342"/>
      <c r="T10" s="343"/>
      <c r="U10" s="344"/>
    </row>
    <row r="11" spans="1:21" ht="15.6" customHeight="1">
      <c r="A11" s="336"/>
      <c r="B11" s="337"/>
      <c r="C11" s="337"/>
      <c r="D11" s="337"/>
      <c r="E11" s="338"/>
      <c r="F11" s="339"/>
      <c r="G11" s="337"/>
      <c r="H11" s="337"/>
      <c r="I11" s="338"/>
      <c r="J11" s="356"/>
      <c r="K11" s="356"/>
      <c r="L11" s="356"/>
      <c r="M11" s="356"/>
      <c r="N11" s="356"/>
      <c r="O11" s="357"/>
      <c r="P11" s="357"/>
      <c r="Q11" s="340"/>
      <c r="R11" s="341"/>
      <c r="S11" s="342"/>
      <c r="T11" s="343"/>
      <c r="U11" s="344"/>
    </row>
    <row r="12" spans="1:21" ht="15.6" customHeight="1">
      <c r="A12" s="336"/>
      <c r="B12" s="337"/>
      <c r="C12" s="337"/>
      <c r="D12" s="337"/>
      <c r="E12" s="338"/>
      <c r="F12" s="339"/>
      <c r="G12" s="337"/>
      <c r="H12" s="337"/>
      <c r="I12" s="338"/>
      <c r="J12" s="356"/>
      <c r="K12" s="356"/>
      <c r="L12" s="356"/>
      <c r="M12" s="356"/>
      <c r="N12" s="356"/>
      <c r="O12" s="357"/>
      <c r="P12" s="357"/>
      <c r="Q12" s="340"/>
      <c r="R12" s="341"/>
      <c r="S12" s="342"/>
      <c r="T12" s="343"/>
      <c r="U12" s="344"/>
    </row>
    <row r="13" spans="1:21" ht="15.6" customHeight="1">
      <c r="A13" s="336"/>
      <c r="B13" s="337"/>
      <c r="C13" s="337"/>
      <c r="D13" s="337"/>
      <c r="E13" s="338"/>
      <c r="F13" s="339"/>
      <c r="G13" s="337"/>
      <c r="H13" s="337"/>
      <c r="I13" s="338"/>
      <c r="J13" s="356"/>
      <c r="K13" s="356"/>
      <c r="L13" s="356"/>
      <c r="M13" s="356"/>
      <c r="N13" s="356"/>
      <c r="O13" s="357"/>
      <c r="P13" s="357"/>
      <c r="Q13" s="340"/>
      <c r="R13" s="341"/>
      <c r="S13" s="342"/>
      <c r="T13" s="343"/>
      <c r="U13" s="344"/>
    </row>
    <row r="14" spans="1:21" ht="15.6" customHeight="1">
      <c r="A14" s="336"/>
      <c r="B14" s="337"/>
      <c r="C14" s="337"/>
      <c r="D14" s="337"/>
      <c r="E14" s="338"/>
      <c r="F14" s="339"/>
      <c r="G14" s="337"/>
      <c r="H14" s="337"/>
      <c r="I14" s="338"/>
      <c r="J14" s="356"/>
      <c r="K14" s="356"/>
      <c r="L14" s="356"/>
      <c r="M14" s="356"/>
      <c r="N14" s="356"/>
      <c r="O14" s="357"/>
      <c r="P14" s="357"/>
      <c r="Q14" s="340"/>
      <c r="R14" s="341"/>
      <c r="S14" s="342"/>
      <c r="T14" s="343"/>
      <c r="U14" s="344"/>
    </row>
    <row r="15" spans="1:21" ht="15.6" customHeight="1" thickBot="1">
      <c r="A15" s="358"/>
      <c r="B15" s="359"/>
      <c r="C15" s="359"/>
      <c r="D15" s="359"/>
      <c r="E15" s="360"/>
      <c r="F15" s="361"/>
      <c r="G15" s="359"/>
      <c r="H15" s="359"/>
      <c r="I15" s="360"/>
      <c r="J15" s="367"/>
      <c r="K15" s="367"/>
      <c r="L15" s="367"/>
      <c r="M15" s="367"/>
      <c r="N15" s="367"/>
      <c r="O15" s="368"/>
      <c r="P15" s="368"/>
      <c r="Q15" s="362"/>
      <c r="R15" s="363"/>
      <c r="S15" s="364"/>
      <c r="T15" s="365"/>
      <c r="U15" s="366"/>
    </row>
    <row r="16" spans="1:21" ht="15" customHeight="1" thickTop="1">
      <c r="A16" s="369" t="s">
        <v>2409</v>
      </c>
      <c r="B16" s="370"/>
      <c r="C16" s="370"/>
      <c r="D16" s="370"/>
      <c r="E16" s="371"/>
      <c r="F16" s="378" t="s">
        <v>3061</v>
      </c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>
      <c r="A20" s="316" t="s">
        <v>86</v>
      </c>
      <c r="B20" s="317"/>
      <c r="C20" s="317"/>
      <c r="D20" s="317"/>
      <c r="E20" s="317"/>
      <c r="F20" s="393">
        <v>5987000</v>
      </c>
      <c r="G20" s="393"/>
      <c r="H20" s="393"/>
      <c r="I20" s="394"/>
      <c r="J20" s="389">
        <f>SUM(J8:N19)</f>
        <v>1550000</v>
      </c>
      <c r="K20" s="390"/>
      <c r="L20" s="390"/>
      <c r="M20" s="390"/>
      <c r="N20" s="391"/>
      <c r="O20" s="427">
        <f>SUM(O8:P19)</f>
        <v>2</v>
      </c>
      <c r="P20" s="427"/>
      <c r="Q20" s="392">
        <f>SUM(Q8:S19)</f>
        <v>0</v>
      </c>
      <c r="R20" s="393"/>
      <c r="S20" s="394"/>
      <c r="T20" s="393">
        <f>SUM(T8:U15)</f>
        <v>1550000</v>
      </c>
      <c r="U20" s="395"/>
    </row>
    <row r="21" spans="1:21" ht="20.100000000000001" customHeight="1" thickBot="1">
      <c r="A21" s="417" t="s">
        <v>96</v>
      </c>
      <c r="B21" s="418"/>
      <c r="C21" s="418"/>
      <c r="D21" s="418"/>
      <c r="E21" s="418"/>
      <c r="F21" s="419">
        <f>F20+T20+Q20</f>
        <v>7537000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18"/>
      <c r="Q21" s="387" t="str">
        <f>C3</f>
        <v>대륙오토(대구)</v>
      </c>
      <c r="R21" s="387"/>
      <c r="S21" s="387"/>
      <c r="T21" s="387"/>
      <c r="U21" s="388"/>
    </row>
    <row r="22" spans="1:21" ht="20.100000000000001" customHeight="1">
      <c r="A22" s="428" t="s">
        <v>3063</v>
      </c>
      <c r="B22" s="428"/>
      <c r="C22" s="428"/>
      <c r="D22" s="428"/>
      <c r="E22" s="428"/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</row>
    <row r="23" spans="1:21" ht="20.100000000000001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298"/>
      <c r="B24" s="299"/>
      <c r="C24" s="299"/>
      <c r="D24" s="299"/>
      <c r="E24" s="299"/>
      <c r="F24" s="299"/>
      <c r="G24" s="299"/>
      <c r="H24" s="105" t="s">
        <v>76</v>
      </c>
      <c r="I24" s="105"/>
      <c r="J24" s="105"/>
      <c r="K24" s="105"/>
      <c r="L24" s="105"/>
      <c r="M24" s="105"/>
      <c r="N24" s="105"/>
      <c r="O24" s="105"/>
      <c r="P24" s="105"/>
      <c r="Q24" s="300" t="s">
        <v>1232</v>
      </c>
      <c r="R24" s="300"/>
      <c r="S24" s="430" t="str">
        <f>S1</f>
        <v>WAUZZZ4G8GN115352</v>
      </c>
      <c r="T24" s="430"/>
      <c r="U24" s="431"/>
    </row>
    <row r="25" spans="1:21">
      <c r="A25" s="303" t="s">
        <v>70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81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45852</v>
      </c>
      <c r="U25" s="311"/>
    </row>
    <row r="26" spans="1:21" ht="24.95" customHeight="1">
      <c r="A26" s="321" t="s">
        <v>1200</v>
      </c>
      <c r="B26" s="37" t="s">
        <v>64</v>
      </c>
      <c r="C26" s="324" t="str">
        <f>C3</f>
        <v>대륙오토(대구)</v>
      </c>
      <c r="D26" s="325"/>
      <c r="E26" s="325"/>
      <c r="F26" s="325"/>
      <c r="G26" s="325"/>
      <c r="H26" s="325"/>
      <c r="I26" s="325"/>
      <c r="J26" s="326"/>
      <c r="K26" s="327" t="s">
        <v>1201</v>
      </c>
      <c r="L26" s="37" t="s">
        <v>64</v>
      </c>
      <c r="M26" s="330" t="s">
        <v>970</v>
      </c>
      <c r="N26" s="331"/>
      <c r="O26" s="331"/>
      <c r="P26" s="331"/>
      <c r="Q26" s="331"/>
      <c r="R26" s="331"/>
      <c r="S26" s="331"/>
      <c r="T26" s="331"/>
      <c r="U26" s="332"/>
    </row>
    <row r="27" spans="1:21" ht="24.95" customHeight="1">
      <c r="A27" s="322"/>
      <c r="B27" s="37" t="s">
        <v>66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28"/>
      <c r="L27" s="37" t="s">
        <v>66</v>
      </c>
      <c r="M27" s="312" t="s">
        <v>968</v>
      </c>
      <c r="N27" s="313"/>
      <c r="O27" s="313"/>
      <c r="P27" s="313"/>
      <c r="Q27" s="313"/>
      <c r="R27" s="314"/>
      <c r="S27" s="38" t="s">
        <v>67</v>
      </c>
      <c r="T27" s="312" t="s">
        <v>78</v>
      </c>
      <c r="U27" s="315"/>
    </row>
    <row r="28" spans="1:21" ht="24.95" customHeight="1">
      <c r="A28" s="322"/>
      <c r="B28" s="38" t="s">
        <v>10</v>
      </c>
      <c r="C28" s="312" t="str">
        <f>C5</f>
        <v>대구광역시 북구 산격동 14-149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">
        <v>79</v>
      </c>
      <c r="N28" s="313"/>
      <c r="O28" s="313"/>
      <c r="P28" s="313"/>
      <c r="Q28" s="313"/>
      <c r="R28" s="313"/>
      <c r="S28" s="313"/>
      <c r="T28" s="313"/>
      <c r="U28" s="315"/>
    </row>
    <row r="29" spans="1:21" ht="24.95" customHeight="1">
      <c r="A29" s="323"/>
      <c r="B29" s="38" t="s">
        <v>80</v>
      </c>
      <c r="C29" s="312" t="str">
        <f>C6</f>
        <v>010-2806-9270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">
        <v>71</v>
      </c>
      <c r="N29" s="313"/>
      <c r="O29" s="313"/>
      <c r="P29" s="313"/>
      <c r="Q29" s="313"/>
      <c r="R29" s="314"/>
      <c r="S29" s="38" t="s">
        <v>26</v>
      </c>
      <c r="T29" s="312" t="str">
        <f>T6</f>
        <v>대구</v>
      </c>
      <c r="U29" s="315"/>
    </row>
    <row r="30" spans="1:21" ht="15.6" customHeight="1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46</v>
      </c>
      <c r="K30" s="317"/>
      <c r="L30" s="317"/>
      <c r="M30" s="317"/>
      <c r="N30" s="318"/>
      <c r="O30" s="317" t="s">
        <v>54</v>
      </c>
      <c r="P30" s="318"/>
      <c r="Q30" s="319" t="s">
        <v>74</v>
      </c>
      <c r="R30" s="317"/>
      <c r="S30" s="318"/>
      <c r="T30" s="319" t="s">
        <v>73</v>
      </c>
      <c r="U30" s="320"/>
    </row>
    <row r="31" spans="1:21" ht="15.6" customHeight="1">
      <c r="A31" s="404" t="str">
        <f>A8</f>
        <v>0CK_TCU</v>
      </c>
      <c r="B31" s="405"/>
      <c r="C31" s="405"/>
      <c r="D31" s="405"/>
      <c r="E31" s="405"/>
      <c r="F31" s="405" t="str">
        <f>F8</f>
        <v>927156AA</v>
      </c>
      <c r="G31" s="405"/>
      <c r="H31" s="405"/>
      <c r="I31" s="405"/>
      <c r="J31" s="409">
        <f>J8</f>
        <v>1500000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1500000</v>
      </c>
      <c r="U31" s="408"/>
    </row>
    <row r="32" spans="1:21" ht="15.6" customHeight="1">
      <c r="A32" s="399" t="str">
        <f t="shared" ref="A32:A38" si="0">A9</f>
        <v>0CK_Filter</v>
      </c>
      <c r="B32" s="400"/>
      <c r="C32" s="400"/>
      <c r="D32" s="400"/>
      <c r="E32" s="400"/>
      <c r="F32" s="400" t="str">
        <f t="shared" ref="F32:F38" si="1">F9</f>
        <v>0DN325421</v>
      </c>
      <c r="G32" s="400"/>
      <c r="H32" s="400"/>
      <c r="I32" s="400"/>
      <c r="J32" s="410">
        <f t="shared" ref="J32:J38" si="2">J9</f>
        <v>50000</v>
      </c>
      <c r="K32" s="410"/>
      <c r="L32" s="410"/>
      <c r="M32" s="410"/>
      <c r="N32" s="410"/>
      <c r="O32" s="410">
        <f t="shared" ref="O32:O38" si="3">O9</f>
        <v>1</v>
      </c>
      <c r="P32" s="410"/>
      <c r="Q32" s="401">
        <f t="shared" ref="Q32:Q38" si="4">Q9</f>
        <v>0</v>
      </c>
      <c r="R32" s="401"/>
      <c r="S32" s="401"/>
      <c r="T32" s="402">
        <f t="shared" ref="T32:T38" si="5">T9</f>
        <v>50000</v>
      </c>
      <c r="U32" s="403"/>
    </row>
    <row r="33" spans="1:21" ht="15.6" customHeight="1">
      <c r="A33" s="399">
        <f t="shared" si="0"/>
        <v>0</v>
      </c>
      <c r="B33" s="400"/>
      <c r="C33" s="400"/>
      <c r="D33" s="400"/>
      <c r="E33" s="400"/>
      <c r="F33" s="400">
        <f t="shared" si="1"/>
        <v>0</v>
      </c>
      <c r="G33" s="400"/>
      <c r="H33" s="400"/>
      <c r="I33" s="400"/>
      <c r="J33" s="410">
        <f t="shared" si="2"/>
        <v>0</v>
      </c>
      <c r="K33" s="410"/>
      <c r="L33" s="410"/>
      <c r="M33" s="410"/>
      <c r="N33" s="410"/>
      <c r="O33" s="410">
        <f t="shared" si="3"/>
        <v>0</v>
      </c>
      <c r="P33" s="410"/>
      <c r="Q33" s="401">
        <f t="shared" si="4"/>
        <v>0</v>
      </c>
      <c r="R33" s="401"/>
      <c r="S33" s="401"/>
      <c r="T33" s="402">
        <f t="shared" si="5"/>
        <v>0</v>
      </c>
      <c r="U33" s="403"/>
    </row>
    <row r="34" spans="1:21" ht="15.6" customHeight="1">
      <c r="A34" s="399">
        <f t="shared" si="0"/>
        <v>0</v>
      </c>
      <c r="B34" s="400"/>
      <c r="C34" s="400"/>
      <c r="D34" s="400"/>
      <c r="E34" s="400"/>
      <c r="F34" s="400">
        <f t="shared" si="1"/>
        <v>0</v>
      </c>
      <c r="G34" s="400"/>
      <c r="H34" s="400"/>
      <c r="I34" s="400"/>
      <c r="J34" s="410">
        <f t="shared" si="2"/>
        <v>0</v>
      </c>
      <c r="K34" s="410"/>
      <c r="L34" s="410"/>
      <c r="M34" s="410"/>
      <c r="N34" s="410"/>
      <c r="O34" s="410">
        <f t="shared" si="3"/>
        <v>0</v>
      </c>
      <c r="P34" s="410"/>
      <c r="Q34" s="401">
        <f t="shared" si="4"/>
        <v>0</v>
      </c>
      <c r="R34" s="401"/>
      <c r="S34" s="401"/>
      <c r="T34" s="402">
        <f t="shared" si="5"/>
        <v>0</v>
      </c>
      <c r="U34" s="403"/>
    </row>
    <row r="35" spans="1:21" ht="15.6" customHeight="1">
      <c r="A35" s="399">
        <f t="shared" si="0"/>
        <v>0</v>
      </c>
      <c r="B35" s="400"/>
      <c r="C35" s="400"/>
      <c r="D35" s="400"/>
      <c r="E35" s="400"/>
      <c r="F35" s="400">
        <f t="shared" si="1"/>
        <v>0</v>
      </c>
      <c r="G35" s="400"/>
      <c r="H35" s="400"/>
      <c r="I35" s="400"/>
      <c r="J35" s="410">
        <f t="shared" si="2"/>
        <v>0</v>
      </c>
      <c r="K35" s="410"/>
      <c r="L35" s="410"/>
      <c r="M35" s="410"/>
      <c r="N35" s="410"/>
      <c r="O35" s="410">
        <f t="shared" si="3"/>
        <v>0</v>
      </c>
      <c r="P35" s="410"/>
      <c r="Q35" s="401">
        <f t="shared" si="4"/>
        <v>0</v>
      </c>
      <c r="R35" s="401"/>
      <c r="S35" s="401"/>
      <c r="T35" s="402">
        <f t="shared" si="5"/>
        <v>0</v>
      </c>
      <c r="U35" s="403"/>
    </row>
    <row r="36" spans="1:21" ht="15.6" customHeight="1">
      <c r="A36" s="399">
        <f t="shared" si="0"/>
        <v>0</v>
      </c>
      <c r="B36" s="400"/>
      <c r="C36" s="400"/>
      <c r="D36" s="400"/>
      <c r="E36" s="400"/>
      <c r="F36" s="400">
        <f t="shared" si="1"/>
        <v>0</v>
      </c>
      <c r="G36" s="400"/>
      <c r="H36" s="400"/>
      <c r="I36" s="400"/>
      <c r="J36" s="410">
        <f t="shared" si="2"/>
        <v>0</v>
      </c>
      <c r="K36" s="410"/>
      <c r="L36" s="410"/>
      <c r="M36" s="410"/>
      <c r="N36" s="410"/>
      <c r="O36" s="410">
        <f t="shared" si="3"/>
        <v>0</v>
      </c>
      <c r="P36" s="410"/>
      <c r="Q36" s="401">
        <f t="shared" si="4"/>
        <v>0</v>
      </c>
      <c r="R36" s="401"/>
      <c r="S36" s="401"/>
      <c r="T36" s="402">
        <f t="shared" si="5"/>
        <v>0</v>
      </c>
      <c r="U36" s="403"/>
    </row>
    <row r="37" spans="1:21" ht="15.6" customHeight="1">
      <c r="A37" s="399">
        <f t="shared" si="0"/>
        <v>0</v>
      </c>
      <c r="B37" s="400"/>
      <c r="C37" s="400"/>
      <c r="D37" s="400"/>
      <c r="E37" s="400"/>
      <c r="F37" s="400">
        <f t="shared" si="1"/>
        <v>0</v>
      </c>
      <c r="G37" s="400"/>
      <c r="H37" s="400"/>
      <c r="I37" s="400"/>
      <c r="J37" s="410">
        <f t="shared" si="2"/>
        <v>0</v>
      </c>
      <c r="K37" s="410"/>
      <c r="L37" s="410"/>
      <c r="M37" s="410"/>
      <c r="N37" s="410"/>
      <c r="O37" s="410">
        <f t="shared" si="3"/>
        <v>0</v>
      </c>
      <c r="P37" s="410"/>
      <c r="Q37" s="401">
        <f t="shared" si="4"/>
        <v>0</v>
      </c>
      <c r="R37" s="401"/>
      <c r="S37" s="401"/>
      <c r="T37" s="402">
        <f t="shared" si="5"/>
        <v>0</v>
      </c>
      <c r="U37" s="403"/>
    </row>
    <row r="38" spans="1:21" ht="15.6" customHeight="1" thickBot="1">
      <c r="A38" s="411">
        <f t="shared" si="0"/>
        <v>0</v>
      </c>
      <c r="B38" s="412"/>
      <c r="C38" s="412"/>
      <c r="D38" s="412"/>
      <c r="E38" s="412"/>
      <c r="F38" s="412">
        <f t="shared" si="1"/>
        <v>0</v>
      </c>
      <c r="G38" s="412"/>
      <c r="H38" s="412"/>
      <c r="I38" s="412"/>
      <c r="J38" s="416">
        <f t="shared" si="2"/>
        <v>0</v>
      </c>
      <c r="K38" s="416"/>
      <c r="L38" s="416"/>
      <c r="M38" s="416"/>
      <c r="N38" s="416"/>
      <c r="O38" s="416">
        <f t="shared" si="3"/>
        <v>0</v>
      </c>
      <c r="P38" s="416"/>
      <c r="Q38" s="413">
        <f t="shared" si="4"/>
        <v>0</v>
      </c>
      <c r="R38" s="413"/>
      <c r="S38" s="413"/>
      <c r="T38" s="414">
        <f t="shared" si="5"/>
        <v>0</v>
      </c>
      <c r="U38" s="415"/>
    </row>
    <row r="39" spans="1:21" ht="15" customHeight="1" thickTop="1">
      <c r="A39" s="369" t="s">
        <v>2409</v>
      </c>
      <c r="B39" s="370"/>
      <c r="C39" s="370"/>
      <c r="D39" s="370"/>
      <c r="E39" s="371"/>
      <c r="F39" s="378" t="str">
        <f>F16</f>
        <v>Programming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>
      <c r="A43" s="316" t="s">
        <v>86</v>
      </c>
      <c r="B43" s="317"/>
      <c r="C43" s="317"/>
      <c r="D43" s="317"/>
      <c r="E43" s="317"/>
      <c r="F43" s="393">
        <f>F20</f>
        <v>5987000</v>
      </c>
      <c r="G43" s="393"/>
      <c r="H43" s="393"/>
      <c r="I43" s="394"/>
      <c r="J43" s="389">
        <f>J20</f>
        <v>1550000</v>
      </c>
      <c r="K43" s="390"/>
      <c r="L43" s="390"/>
      <c r="M43" s="390"/>
      <c r="N43" s="391"/>
      <c r="O43" s="427">
        <f>O20</f>
        <v>2</v>
      </c>
      <c r="P43" s="427"/>
      <c r="Q43" s="392">
        <f>Q20</f>
        <v>0</v>
      </c>
      <c r="R43" s="393"/>
      <c r="S43" s="393"/>
      <c r="T43" s="393">
        <f>T20</f>
        <v>1550000</v>
      </c>
      <c r="U43" s="395"/>
    </row>
    <row r="44" spans="1:21" ht="20.100000000000001" customHeight="1" thickBot="1">
      <c r="A44" s="417" t="s">
        <v>96</v>
      </c>
      <c r="B44" s="418"/>
      <c r="C44" s="418"/>
      <c r="D44" s="418"/>
      <c r="E44" s="418"/>
      <c r="F44" s="419">
        <f>F21</f>
        <v>7537000</v>
      </c>
      <c r="G44" s="419"/>
      <c r="H44" s="419"/>
      <c r="I44" s="420"/>
      <c r="J44" s="421" t="s">
        <v>971</v>
      </c>
      <c r="K44" s="418"/>
      <c r="L44" s="422" t="str">
        <f>T27</f>
        <v>장효주</v>
      </c>
      <c r="M44" s="422"/>
      <c r="N44" s="422"/>
      <c r="O44" s="421" t="s">
        <v>69</v>
      </c>
      <c r="P44" s="423"/>
      <c r="Q44" s="424" t="str">
        <f>Q21</f>
        <v>대륙오토(대구)</v>
      </c>
      <c r="R44" s="425"/>
      <c r="S44" s="425"/>
      <c r="T44" s="425"/>
      <c r="U44" s="42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2414</v>
      </c>
      <c r="C1" s="238" t="s">
        <v>53</v>
      </c>
      <c r="D1" s="114" t="s">
        <v>1</v>
      </c>
      <c r="E1" s="118" t="s">
        <v>0</v>
      </c>
      <c r="F1" s="119" t="s">
        <v>51</v>
      </c>
      <c r="G1" s="114" t="s">
        <v>46</v>
      </c>
      <c r="H1" s="115" t="s">
        <v>54</v>
      </c>
      <c r="I1" s="115" t="s">
        <v>87</v>
      </c>
      <c r="J1" s="115" t="s">
        <v>63</v>
      </c>
      <c r="K1" s="103">
        <v>3</v>
      </c>
    </row>
    <row r="2" spans="1:11">
      <c r="A2" s="47">
        <v>1</v>
      </c>
      <c r="B2" s="47" t="s">
        <v>3046</v>
      </c>
      <c r="C2" s="47" t="s">
        <v>1486</v>
      </c>
      <c r="D2" t="s">
        <v>1236</v>
      </c>
      <c r="E2" t="s">
        <v>2268</v>
      </c>
      <c r="F2" t="s">
        <v>1236</v>
      </c>
      <c r="G2">
        <v>1500000</v>
      </c>
      <c r="H2">
        <v>1</v>
      </c>
      <c r="I2" s="236"/>
      <c r="J2" s="236">
        <v>1500000</v>
      </c>
    </row>
    <row r="3" spans="1:11">
      <c r="A3" s="47">
        <v>2</v>
      </c>
      <c r="B3" s="47" t="s">
        <v>3046</v>
      </c>
      <c r="C3" s="47" t="s">
        <v>1486</v>
      </c>
      <c r="D3" t="s">
        <v>1874</v>
      </c>
      <c r="E3" t="s">
        <v>2269</v>
      </c>
      <c r="F3" t="s">
        <v>1874</v>
      </c>
      <c r="G3">
        <v>50000</v>
      </c>
      <c r="H3">
        <v>1</v>
      </c>
      <c r="I3" s="236"/>
      <c r="J3" s="236">
        <v>50000</v>
      </c>
    </row>
    <row r="4" spans="1:11">
      <c r="I4" s="236"/>
      <c r="J4" s="236"/>
    </row>
    <row r="5" spans="1:11">
      <c r="I5" s="236"/>
      <c r="J5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2" t="s">
        <v>53</v>
      </c>
      <c r="C4" s="433"/>
      <c r="D4" s="178" t="s">
        <v>57</v>
      </c>
      <c r="E4" s="215"/>
      <c r="F4" s="223"/>
      <c r="H4" s="183"/>
      <c r="I4" s="178" t="s">
        <v>59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966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2055</v>
      </c>
      <c r="B6" s="179" t="s">
        <v>53</v>
      </c>
      <c r="C6" s="180" t="s">
        <v>1374</v>
      </c>
      <c r="D6" s="179" t="s">
        <v>0</v>
      </c>
      <c r="E6" s="217"/>
      <c r="F6" s="223"/>
      <c r="H6" s="173"/>
      <c r="I6" s="187" t="s">
        <v>967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2407</v>
      </c>
      <c r="B7" s="179" t="s">
        <v>33</v>
      </c>
      <c r="C7" s="180"/>
      <c r="D7" s="179" t="s">
        <v>58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2404</v>
      </c>
      <c r="D8" s="179" t="s">
        <v>46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94</v>
      </c>
      <c r="C9" s="181" t="s">
        <v>2405</v>
      </c>
      <c r="D9" s="179" t="s">
        <v>54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1144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1203</v>
      </c>
      <c r="C11" s="181"/>
      <c r="D11" s="179" t="s">
        <v>95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1231</v>
      </c>
      <c r="C12" s="203"/>
      <c r="D12" s="179" t="s">
        <v>63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92</v>
      </c>
      <c r="B15" s="164" t="s">
        <v>89</v>
      </c>
      <c r="C15" s="165" t="s">
        <v>90</v>
      </c>
      <c r="D15" s="165" t="s">
        <v>91</v>
      </c>
      <c r="E15" s="165" t="s">
        <v>963</v>
      </c>
      <c r="F15" s="166" t="s">
        <v>54</v>
      </c>
      <c r="G15" s="166" t="s">
        <v>46</v>
      </c>
      <c r="H15" s="166" t="s">
        <v>1144</v>
      </c>
      <c r="I15" s="166" t="s">
        <v>87</v>
      </c>
      <c r="J15" s="167" t="s">
        <v>88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1164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4" t="s">
        <v>93</v>
      </c>
      <c r="C28" s="435"/>
      <c r="D28" s="435"/>
      <c r="E28" s="436"/>
      <c r="F28" s="435"/>
      <c r="G28" s="435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1600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7"/>
      <c r="G10" s="438"/>
      <c r="H10" s="439"/>
      <c r="I10" s="439"/>
      <c r="J10" s="439"/>
    </row>
    <row r="11" spans="5:11"/>
    <row r="12" spans="5:11" ht="32.25" customHeight="1">
      <c r="F12" s="128"/>
      <c r="G12" s="438" t="s">
        <v>1601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37"/>
  <sheetViews>
    <sheetView workbookViewId="0">
      <pane xSplit="1" ySplit="1" topLeftCell="B887" activePane="bottomRight" state="frozen"/>
      <selection activeCell="N26" sqref="N26"/>
      <selection pane="topRight" activeCell="N26" sqref="N26"/>
      <selection pane="bottomLeft" activeCell="N26" sqref="N26"/>
      <selection pane="bottomRight" activeCell="E916" sqref="E91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85</v>
      </c>
      <c r="C1" s="269" t="s">
        <v>8</v>
      </c>
      <c r="D1" s="271" t="s">
        <v>1</v>
      </c>
      <c r="E1" s="269" t="s">
        <v>0</v>
      </c>
      <c r="F1" s="269" t="s">
        <v>51</v>
      </c>
      <c r="G1" s="272" t="s">
        <v>46</v>
      </c>
      <c r="H1" s="269" t="s">
        <v>54</v>
      </c>
      <c r="I1" s="273" t="s">
        <v>1144</v>
      </c>
      <c r="J1" s="273" t="s">
        <v>1248</v>
      </c>
      <c r="K1" s="272" t="s">
        <v>63</v>
      </c>
      <c r="L1" s="272" t="s">
        <v>1728</v>
      </c>
      <c r="M1" s="104">
        <v>939</v>
      </c>
    </row>
    <row r="2" spans="1:15">
      <c r="A2" s="285">
        <v>1</v>
      </c>
      <c r="B2" s="275">
        <v>45723</v>
      </c>
      <c r="C2" s="274" t="s">
        <v>2226</v>
      </c>
      <c r="D2" s="276">
        <v>2821402</v>
      </c>
      <c r="E2" s="274" t="s">
        <v>2849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1479</v>
      </c>
      <c r="D3" s="276" t="s">
        <v>1402</v>
      </c>
      <c r="E3" s="274" t="s">
        <v>1238</v>
      </c>
      <c r="F3" s="274" t="s">
        <v>1402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1479</v>
      </c>
      <c r="E4" s="274" t="s">
        <v>1178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1433</v>
      </c>
      <c r="E5" s="274" t="s">
        <v>1169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1441</v>
      </c>
      <c r="E6" s="274" t="s">
        <v>1170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1441</v>
      </c>
      <c r="E7" s="274" t="s">
        <v>1171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1441</v>
      </c>
      <c r="E8" s="274" t="s">
        <v>1177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1180</v>
      </c>
      <c r="E9" s="274" t="s">
        <v>1172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1484</v>
      </c>
      <c r="D10" s="276" t="s">
        <v>1402</v>
      </c>
      <c r="E10" s="274" t="s">
        <v>1238</v>
      </c>
      <c r="F10" s="274" t="s">
        <v>1402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1486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1441</v>
      </c>
      <c r="E12" s="274" t="s">
        <v>1173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1486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1486</v>
      </c>
      <c r="D14" s="276" t="s">
        <v>1158</v>
      </c>
      <c r="E14" s="274" t="s">
        <v>1158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1180</v>
      </c>
      <c r="E15" s="274" t="s">
        <v>1182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1180</v>
      </c>
      <c r="D16" s="276">
        <v>2821402</v>
      </c>
      <c r="E16" s="274" t="s">
        <v>1168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1180</v>
      </c>
      <c r="E17" s="274" t="s">
        <v>1176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1491</v>
      </c>
      <c r="E18" s="274" t="s">
        <v>1183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1441</v>
      </c>
      <c r="E19" s="274" t="s">
        <v>1172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1494</v>
      </c>
      <c r="E20" s="274" t="s">
        <v>1184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1496</v>
      </c>
      <c r="D21" s="281"/>
      <c r="E21" s="280" t="s">
        <v>1172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1498</v>
      </c>
      <c r="E22" s="274" t="s">
        <v>1187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1500</v>
      </c>
      <c r="E23" s="274" t="s">
        <v>1163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1441</v>
      </c>
      <c r="D24" s="276" t="s">
        <v>1402</v>
      </c>
      <c r="E24" s="274" t="s">
        <v>1238</v>
      </c>
      <c r="F24" s="274" t="s">
        <v>1402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1441</v>
      </c>
      <c r="E25" s="274" t="s">
        <v>1170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1486</v>
      </c>
      <c r="E26" s="274" t="s">
        <v>1165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1066</v>
      </c>
      <c r="E27" s="274" t="s">
        <v>1164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1102</v>
      </c>
      <c r="E28" s="274" t="s">
        <v>1163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1441</v>
      </c>
      <c r="E29" s="274" t="s">
        <v>1172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1441</v>
      </c>
      <c r="D30" s="276" t="s">
        <v>1251</v>
      </c>
      <c r="E30" s="282" t="s">
        <v>1162</v>
      </c>
      <c r="F30" s="282" t="s">
        <v>1506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1189</v>
      </c>
      <c r="D31" s="276" t="s">
        <v>1402</v>
      </c>
      <c r="E31" s="282" t="s">
        <v>1238</v>
      </c>
      <c r="F31" s="282" t="s">
        <v>1402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1509</v>
      </c>
      <c r="E32" s="282" t="s">
        <v>1196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1509</v>
      </c>
      <c r="E33" s="282" t="s">
        <v>1196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1509</v>
      </c>
      <c r="E34" s="282" t="s">
        <v>1197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1509</v>
      </c>
      <c r="E35" s="282" t="s">
        <v>1198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1511</v>
      </c>
      <c r="D36" s="276" t="s">
        <v>1299</v>
      </c>
      <c r="E36" s="282" t="s">
        <v>1300</v>
      </c>
      <c r="F36" s="282" t="s">
        <v>1299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1511</v>
      </c>
      <c r="E37" s="282" t="s">
        <v>1512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1016</v>
      </c>
      <c r="D38" s="276" t="s">
        <v>1305</v>
      </c>
      <c r="E38" s="282" t="s">
        <v>1306</v>
      </c>
      <c r="F38" s="282" t="s">
        <v>1305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1515</v>
      </c>
      <c r="D39" s="276" t="s">
        <v>1402</v>
      </c>
      <c r="E39" s="282" t="s">
        <v>1238</v>
      </c>
      <c r="F39" s="282" t="s">
        <v>1402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1441</v>
      </c>
      <c r="E40" s="282" t="s">
        <v>1517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1441</v>
      </c>
      <c r="E41" s="282" t="s">
        <v>1518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1207</v>
      </c>
      <c r="E42" s="282" t="s">
        <v>1172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1521</v>
      </c>
      <c r="E43" s="282" t="s">
        <v>1522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1035</v>
      </c>
      <c r="E44" s="282" t="s">
        <v>1524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1180</v>
      </c>
      <c r="E45" s="282" t="s">
        <v>1524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1527</v>
      </c>
      <c r="E46" s="282" t="s">
        <v>1528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1057</v>
      </c>
      <c r="E47" s="282" t="s">
        <v>1532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1511</v>
      </c>
      <c r="E48" s="282" t="s">
        <v>1534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1536</v>
      </c>
      <c r="D49" s="276" t="s">
        <v>1402</v>
      </c>
      <c r="E49" s="282" t="s">
        <v>1537</v>
      </c>
      <c r="F49" s="282" t="s">
        <v>1402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1536</v>
      </c>
      <c r="E50" s="282" t="s">
        <v>1538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1540</v>
      </c>
      <c r="D51" s="276" t="s">
        <v>1402</v>
      </c>
      <c r="E51" s="282" t="s">
        <v>1238</v>
      </c>
      <c r="F51" s="282" t="s">
        <v>1402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1441</v>
      </c>
      <c r="D52" s="276" t="s">
        <v>1255</v>
      </c>
      <c r="E52" s="282" t="s">
        <v>1256</v>
      </c>
      <c r="F52" s="282" t="s">
        <v>1255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1441</v>
      </c>
      <c r="E53" s="282" t="s">
        <v>1543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1066</v>
      </c>
      <c r="E54" s="282" t="s">
        <v>1545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1420</v>
      </c>
      <c r="E55" s="282" t="s">
        <v>1547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1420</v>
      </c>
      <c r="E56" s="282" t="s">
        <v>1548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1486</v>
      </c>
      <c r="E57" s="282" t="s">
        <v>1550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1486</v>
      </c>
      <c r="E58" s="282" t="s">
        <v>1551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1486</v>
      </c>
      <c r="E59" s="282" t="s">
        <v>1552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1277</v>
      </c>
      <c r="D60" s="276" t="s">
        <v>1239</v>
      </c>
      <c r="E60" s="282" t="s">
        <v>1240</v>
      </c>
      <c r="F60" s="282" t="s">
        <v>1239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1511</v>
      </c>
      <c r="D61" s="276" t="s">
        <v>1402</v>
      </c>
      <c r="E61" s="282" t="s">
        <v>1238</v>
      </c>
      <c r="F61" s="282" t="s">
        <v>1402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1267</v>
      </c>
      <c r="E62" s="282" t="s">
        <v>1545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1557</v>
      </c>
      <c r="E63" s="282" t="s">
        <v>1172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1559</v>
      </c>
      <c r="E64" s="282" t="s">
        <v>1560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1559</v>
      </c>
      <c r="E65" s="282" t="s">
        <v>1561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1563</v>
      </c>
      <c r="E66" s="282" t="s">
        <v>1566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1486</v>
      </c>
      <c r="D67" s="276" t="s">
        <v>1242</v>
      </c>
      <c r="E67" s="282" t="s">
        <v>1243</v>
      </c>
      <c r="F67" s="282" t="s">
        <v>1242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1486</v>
      </c>
      <c r="E68" s="282" t="s">
        <v>1450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1347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1277</v>
      </c>
      <c r="D70" s="276" t="s">
        <v>1402</v>
      </c>
      <c r="E70" s="282" t="s">
        <v>1238</v>
      </c>
      <c r="F70" s="282" t="s">
        <v>1402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1414</v>
      </c>
      <c r="E71" s="282" t="s">
        <v>1188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1207</v>
      </c>
      <c r="D72" s="276" t="s">
        <v>1402</v>
      </c>
      <c r="E72" s="282" t="s">
        <v>1238</v>
      </c>
      <c r="F72" s="282" t="s">
        <v>1402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1016</v>
      </c>
      <c r="E73" s="282" t="s">
        <v>1183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1574</v>
      </c>
      <c r="D74" s="276" t="s">
        <v>1236</v>
      </c>
      <c r="E74" s="282" t="s">
        <v>1237</v>
      </c>
      <c r="F74" s="282" t="s">
        <v>1236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1491</v>
      </c>
      <c r="E75" s="282" t="s">
        <v>1577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1180</v>
      </c>
      <c r="D76" s="276" t="s">
        <v>1402</v>
      </c>
      <c r="E76" s="282" t="s">
        <v>1238</v>
      </c>
      <c r="F76" s="282" t="s">
        <v>1402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1027</v>
      </c>
      <c r="E77" s="282" t="s">
        <v>1580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1486</v>
      </c>
      <c r="E78" s="282" t="s">
        <v>1165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1486</v>
      </c>
      <c r="E79" s="282" t="s">
        <v>1165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1583</v>
      </c>
      <c r="E80" s="282" t="s">
        <v>1584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1586</v>
      </c>
      <c r="D81" s="276" t="s">
        <v>1255</v>
      </c>
      <c r="E81" s="282" t="s">
        <v>1256</v>
      </c>
      <c r="F81" s="282" t="s">
        <v>1255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1027</v>
      </c>
      <c r="D82" s="276" t="s">
        <v>1402</v>
      </c>
      <c r="E82" s="282" t="s">
        <v>1238</v>
      </c>
      <c r="F82" s="282" t="s">
        <v>1402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1027</v>
      </c>
      <c r="E83" s="282" t="s">
        <v>1538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1433</v>
      </c>
      <c r="D84" s="276" t="s">
        <v>1402</v>
      </c>
      <c r="E84" s="282" t="s">
        <v>1238</v>
      </c>
      <c r="F84" s="282" t="s">
        <v>1402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1437</v>
      </c>
      <c r="E85" s="282" t="s">
        <v>1172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1016</v>
      </c>
      <c r="E86" s="282" t="s">
        <v>1591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1593</v>
      </c>
      <c r="D87" s="276" t="s">
        <v>1402</v>
      </c>
      <c r="E87" s="282" t="s">
        <v>1238</v>
      </c>
      <c r="F87" s="282" t="s">
        <v>1402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1593</v>
      </c>
      <c r="E88" s="282" t="s">
        <v>1538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1596</v>
      </c>
      <c r="E89" s="282" t="s">
        <v>1597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1596</v>
      </c>
      <c r="D90" s="276" t="s">
        <v>1402</v>
      </c>
      <c r="E90" s="282" t="s">
        <v>1238</v>
      </c>
      <c r="F90" s="282" t="s">
        <v>1402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985</v>
      </c>
      <c r="D91" s="276" t="s">
        <v>1262</v>
      </c>
      <c r="E91" s="282" t="s">
        <v>1603</v>
      </c>
      <c r="F91" s="282" t="s">
        <v>1262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1583</v>
      </c>
      <c r="D92" s="276" t="s">
        <v>1402</v>
      </c>
      <c r="E92" s="282" t="s">
        <v>1238</v>
      </c>
      <c r="F92" s="282" t="s">
        <v>1402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1583</v>
      </c>
      <c r="E93" s="282" t="s">
        <v>1170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986</v>
      </c>
      <c r="D94" s="276" t="s">
        <v>1236</v>
      </c>
      <c r="E94" s="282" t="s">
        <v>1237</v>
      </c>
      <c r="F94" s="282" t="s">
        <v>1236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986</v>
      </c>
      <c r="E95" s="282" t="s">
        <v>1620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1622</v>
      </c>
      <c r="E96" s="282" t="s">
        <v>1623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1622</v>
      </c>
      <c r="E97" s="282" t="s">
        <v>1561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1625</v>
      </c>
      <c r="E98" s="282" t="s">
        <v>1626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1625</v>
      </c>
      <c r="E99" s="282" t="s">
        <v>1823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1625</v>
      </c>
      <c r="D100" s="276" t="s">
        <v>1305</v>
      </c>
      <c r="E100" s="282" t="s">
        <v>1306</v>
      </c>
      <c r="F100" s="282" t="s">
        <v>1305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1024</v>
      </c>
      <c r="D101" s="276" t="s">
        <v>1402</v>
      </c>
      <c r="E101" s="282" t="s">
        <v>1238</v>
      </c>
      <c r="F101" s="282" t="s">
        <v>1402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1631</v>
      </c>
      <c r="E102" s="282" t="s">
        <v>1632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1631</v>
      </c>
      <c r="D103" s="276">
        <v>415054509</v>
      </c>
      <c r="E103" s="282" t="s">
        <v>2645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1631</v>
      </c>
      <c r="E104" s="282" t="s">
        <v>1633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1631</v>
      </c>
      <c r="E105" s="282" t="s">
        <v>1634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1631</v>
      </c>
      <c r="D106" s="276" t="s">
        <v>1605</v>
      </c>
      <c r="E106" s="282" t="s">
        <v>1240</v>
      </c>
      <c r="F106" s="282" t="s">
        <v>1605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1509</v>
      </c>
      <c r="E107" s="282" t="s">
        <v>1637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994</v>
      </c>
      <c r="D108" s="276" t="s">
        <v>1402</v>
      </c>
      <c r="E108" s="282" t="s">
        <v>1238</v>
      </c>
      <c r="F108" s="282" t="s">
        <v>1402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994</v>
      </c>
      <c r="E109" s="282" t="s">
        <v>1538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994</v>
      </c>
      <c r="E110" s="282" t="s">
        <v>1128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994</v>
      </c>
      <c r="E111" s="282" t="s">
        <v>1199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1641</v>
      </c>
      <c r="D112" s="276" t="s">
        <v>1402</v>
      </c>
      <c r="E112" s="282" t="s">
        <v>1238</v>
      </c>
      <c r="F112" s="282" t="s">
        <v>1402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1643</v>
      </c>
      <c r="E113" s="282" t="s">
        <v>1188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1494</v>
      </c>
      <c r="E114" s="282" t="s">
        <v>1182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1494</v>
      </c>
      <c r="D115" s="276" t="s">
        <v>1299</v>
      </c>
      <c r="E115" s="282" t="s">
        <v>1300</v>
      </c>
      <c r="F115" s="282" t="s">
        <v>1299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1494</v>
      </c>
      <c r="D116" s="276">
        <v>2821402</v>
      </c>
      <c r="E116" s="282" t="s">
        <v>1168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1494</v>
      </c>
      <c r="E117" s="282" t="s">
        <v>1645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1647</v>
      </c>
      <c r="E118" s="282" t="s">
        <v>1648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1648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1651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1622</v>
      </c>
      <c r="D121" s="276">
        <v>415072909</v>
      </c>
      <c r="E121" s="282" t="s">
        <v>2647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1622</v>
      </c>
      <c r="D122" s="276" t="s">
        <v>1673</v>
      </c>
      <c r="E122" s="282" t="s">
        <v>1674</v>
      </c>
      <c r="F122" s="282" t="s">
        <v>1673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1622</v>
      </c>
      <c r="D123" s="276">
        <v>415072909</v>
      </c>
      <c r="E123" s="282" t="s">
        <v>2647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1622</v>
      </c>
      <c r="D124" s="276" t="s">
        <v>1673</v>
      </c>
      <c r="E124" s="282" t="s">
        <v>1674</v>
      </c>
      <c r="F124" s="282" t="s">
        <v>1673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1622</v>
      </c>
      <c r="E125" s="282" t="s">
        <v>1676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1491</v>
      </c>
      <c r="E126" s="282" t="s">
        <v>1683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1583</v>
      </c>
      <c r="D127" s="276" t="s">
        <v>1402</v>
      </c>
      <c r="E127" s="282" t="s">
        <v>1238</v>
      </c>
      <c r="F127" s="282" t="s">
        <v>1402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1583</v>
      </c>
      <c r="E128" s="282" t="s">
        <v>1538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1583</v>
      </c>
      <c r="E129" s="282" t="s">
        <v>1686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1441</v>
      </c>
      <c r="D130" s="276" t="s">
        <v>1235</v>
      </c>
      <c r="E130" s="282" t="s">
        <v>1694</v>
      </c>
      <c r="F130" s="282" t="s">
        <v>1235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1027</v>
      </c>
      <c r="D131" s="276" t="s">
        <v>1236</v>
      </c>
      <c r="E131" s="282" t="s">
        <v>1696</v>
      </c>
      <c r="F131" s="282" t="s">
        <v>1236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1027</v>
      </c>
      <c r="E132" s="282" t="s">
        <v>1620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1714</v>
      </c>
      <c r="E133" s="282" t="s">
        <v>1717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1719</v>
      </c>
      <c r="E134" s="282" t="s">
        <v>1720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1583</v>
      </c>
      <c r="E135" s="282" t="s">
        <v>1722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1491</v>
      </c>
      <c r="E136" s="282" t="s">
        <v>1724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1729</v>
      </c>
      <c r="E137" s="282" t="s">
        <v>1732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1734</v>
      </c>
      <c r="E138" s="282" t="s">
        <v>1172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1486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1486</v>
      </c>
      <c r="E140" s="282" t="s">
        <v>1746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1486</v>
      </c>
      <c r="E141" s="282" t="s">
        <v>1747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1486</v>
      </c>
      <c r="E142" s="282" t="s">
        <v>1750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1486</v>
      </c>
      <c r="E143" s="282" t="s">
        <v>1751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1486</v>
      </c>
      <c r="E144" s="282" t="s">
        <v>1752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1903</v>
      </c>
      <c r="E145" s="282" t="s">
        <v>1901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1511</v>
      </c>
      <c r="E146" s="282" t="s">
        <v>1757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1785</v>
      </c>
      <c r="D147" s="276">
        <v>2800802</v>
      </c>
      <c r="E147" s="282" t="s">
        <v>1780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1785</v>
      </c>
      <c r="D148" s="276" t="s">
        <v>1778</v>
      </c>
      <c r="E148" s="282" t="s">
        <v>1779</v>
      </c>
      <c r="F148" s="282" t="s">
        <v>1778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1785</v>
      </c>
      <c r="D149" s="276">
        <v>7252703114</v>
      </c>
      <c r="E149" s="282" t="s">
        <v>1765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1785</v>
      </c>
      <c r="D150" s="276" t="s">
        <v>1767</v>
      </c>
      <c r="E150" s="282" t="s">
        <v>1768</v>
      </c>
      <c r="F150" s="282" t="s">
        <v>1767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1785</v>
      </c>
      <c r="D151" s="276" t="s">
        <v>1305</v>
      </c>
      <c r="E151" s="282" t="s">
        <v>1306</v>
      </c>
      <c r="F151" s="282" t="s">
        <v>1305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1583</v>
      </c>
      <c r="E152" s="282" t="s">
        <v>1809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1625</v>
      </c>
      <c r="E153" s="282" t="s">
        <v>1811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1441</v>
      </c>
      <c r="D154" s="276" t="s">
        <v>1402</v>
      </c>
      <c r="E154" s="282" t="s">
        <v>1238</v>
      </c>
      <c r="F154" s="282" t="s">
        <v>1402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1441</v>
      </c>
      <c r="E155" s="282" t="s">
        <v>1538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1812</v>
      </c>
      <c r="E156" s="282" t="s">
        <v>1813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1180</v>
      </c>
      <c r="D157" s="276" t="s">
        <v>1242</v>
      </c>
      <c r="E157" s="282" t="s">
        <v>1243</v>
      </c>
      <c r="F157" s="282" t="s">
        <v>1242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1180</v>
      </c>
      <c r="D158" s="276">
        <v>50229</v>
      </c>
      <c r="E158" s="282" t="s">
        <v>1692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1785</v>
      </c>
      <c r="D159" s="276">
        <v>415090409</v>
      </c>
      <c r="E159" s="282" t="s">
        <v>2647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1066</v>
      </c>
      <c r="D160" s="276" t="s">
        <v>1605</v>
      </c>
      <c r="E160" s="282" t="s">
        <v>1240</v>
      </c>
      <c r="F160" s="282" t="s">
        <v>1605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1861</v>
      </c>
      <c r="E161" s="282" t="s">
        <v>1865</v>
      </c>
      <c r="F161" s="282" t="s">
        <v>1166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1861</v>
      </c>
      <c r="D162" s="276" t="s">
        <v>1242</v>
      </c>
      <c r="E162" s="282" t="s">
        <v>1243</v>
      </c>
      <c r="F162" s="282" t="s">
        <v>1242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1861</v>
      </c>
      <c r="D163" s="276" t="s">
        <v>1866</v>
      </c>
      <c r="E163" s="282" t="s">
        <v>1867</v>
      </c>
      <c r="F163" s="282" t="s">
        <v>1866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1785</v>
      </c>
      <c r="D164" s="276" t="s">
        <v>1299</v>
      </c>
      <c r="E164" s="282" t="s">
        <v>1300</v>
      </c>
      <c r="F164" s="282" t="s">
        <v>1299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1785</v>
      </c>
      <c r="D165" s="276">
        <v>415090409</v>
      </c>
      <c r="E165" s="282" t="s">
        <v>2647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1441</v>
      </c>
      <c r="D166" s="276" t="s">
        <v>1817</v>
      </c>
      <c r="E166" s="282" t="s">
        <v>1238</v>
      </c>
      <c r="F166" s="282" t="s">
        <v>1817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1521</v>
      </c>
      <c r="E167" s="282" t="s">
        <v>1871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1491</v>
      </c>
      <c r="D168" s="276">
        <v>927156</v>
      </c>
      <c r="E168" s="282" t="s">
        <v>1873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1491</v>
      </c>
      <c r="D169" s="276" t="s">
        <v>1874</v>
      </c>
      <c r="E169" s="282" t="s">
        <v>1620</v>
      </c>
      <c r="F169" s="282" t="s">
        <v>1874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1876</v>
      </c>
      <c r="D170" s="276" t="s">
        <v>1235</v>
      </c>
      <c r="E170" s="282" t="s">
        <v>1694</v>
      </c>
      <c r="F170" s="282" t="s">
        <v>1235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1027</v>
      </c>
      <c r="D171" s="276">
        <v>2800802</v>
      </c>
      <c r="E171" s="282" t="s">
        <v>1780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1880</v>
      </c>
      <c r="D172" s="276" t="s">
        <v>1834</v>
      </c>
      <c r="E172" s="282" t="s">
        <v>1832</v>
      </c>
      <c r="F172" s="282" t="s">
        <v>1834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1880</v>
      </c>
      <c r="D173" s="276" t="s">
        <v>1831</v>
      </c>
      <c r="E173" s="282" t="s">
        <v>1832</v>
      </c>
      <c r="F173" s="282" t="s">
        <v>1831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1625</v>
      </c>
      <c r="D174" s="276" t="s">
        <v>1242</v>
      </c>
      <c r="E174" s="282" t="s">
        <v>1243</v>
      </c>
      <c r="F174" s="282" t="s">
        <v>1242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1883</v>
      </c>
      <c r="E175" s="282" t="s">
        <v>1808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1785</v>
      </c>
      <c r="D176" s="276" t="s">
        <v>1299</v>
      </c>
      <c r="E176" s="282" t="s">
        <v>1300</v>
      </c>
      <c r="F176" s="282" t="s">
        <v>1299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1785</v>
      </c>
      <c r="D177" s="276" t="s">
        <v>1896</v>
      </c>
      <c r="E177" s="282" t="s">
        <v>1897</v>
      </c>
      <c r="F177" s="282" t="s">
        <v>1896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1785</v>
      </c>
      <c r="D178" s="276" t="s">
        <v>1866</v>
      </c>
      <c r="E178" s="282" t="s">
        <v>1867</v>
      </c>
      <c r="F178" s="282" t="s">
        <v>1866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1583</v>
      </c>
      <c r="E179" s="282" t="s">
        <v>1809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1500</v>
      </c>
      <c r="E180" s="282" t="s">
        <v>1809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1876</v>
      </c>
      <c r="D181" s="276" t="s">
        <v>1242</v>
      </c>
      <c r="E181" s="282" t="s">
        <v>1243</v>
      </c>
      <c r="F181" s="282" t="s">
        <v>1242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1511</v>
      </c>
      <c r="E182" s="282" t="s">
        <v>1918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1914</v>
      </c>
      <c r="E183" s="282" t="s">
        <v>1920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1027</v>
      </c>
      <c r="D184" s="276" t="s">
        <v>1817</v>
      </c>
      <c r="E184" s="282" t="s">
        <v>1238</v>
      </c>
      <c r="F184" s="282" t="s">
        <v>1817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1027</v>
      </c>
      <c r="E185" s="282" t="s">
        <v>1538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1622</v>
      </c>
      <c r="D186" s="276" t="s">
        <v>1817</v>
      </c>
      <c r="E186" s="282" t="s">
        <v>1238</v>
      </c>
      <c r="F186" s="282" t="s">
        <v>1817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1027</v>
      </c>
      <c r="D187" s="276" t="s">
        <v>1767</v>
      </c>
      <c r="E187" s="282" t="s">
        <v>1768</v>
      </c>
      <c r="F187" s="282" t="s">
        <v>1767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1027</v>
      </c>
      <c r="D188" s="276">
        <v>2800802</v>
      </c>
      <c r="E188" s="282" t="s">
        <v>1780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1027</v>
      </c>
      <c r="D189" s="276" t="s">
        <v>1866</v>
      </c>
      <c r="E189" s="282" t="s">
        <v>1867</v>
      </c>
      <c r="F189" s="282" t="s">
        <v>1866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1027</v>
      </c>
      <c r="D190" s="276" t="s">
        <v>1896</v>
      </c>
      <c r="E190" s="282" t="s">
        <v>1897</v>
      </c>
      <c r="F190" s="282" t="s">
        <v>1896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1926</v>
      </c>
      <c r="D191" s="276" t="s">
        <v>1928</v>
      </c>
      <c r="E191" s="282" t="s">
        <v>1929</v>
      </c>
      <c r="F191" s="282" t="s">
        <v>1928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1180</v>
      </c>
      <c r="D192" s="276">
        <v>2800801</v>
      </c>
      <c r="E192" s="282" t="s">
        <v>1934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1066</v>
      </c>
      <c r="D193" s="276" t="s">
        <v>1239</v>
      </c>
      <c r="E193" s="282" t="s">
        <v>1240</v>
      </c>
      <c r="F193" s="282" t="s">
        <v>1239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1027</v>
      </c>
      <c r="D194" s="276">
        <v>415062109</v>
      </c>
      <c r="E194" s="282" t="s">
        <v>2647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1027</v>
      </c>
      <c r="D195" s="276">
        <v>50229</v>
      </c>
      <c r="E195" s="282" t="s">
        <v>1692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1880</v>
      </c>
      <c r="D196" s="276">
        <v>2830402</v>
      </c>
      <c r="E196" s="282" t="s">
        <v>1938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1940</v>
      </c>
      <c r="E197" s="282" t="s">
        <v>1941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1946</v>
      </c>
      <c r="E198" s="282" t="s">
        <v>1188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1946</v>
      </c>
      <c r="E199" s="282" t="s">
        <v>1948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1949</v>
      </c>
      <c r="E200" s="282" t="s">
        <v>1188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1949</v>
      </c>
      <c r="E201" s="282" t="s">
        <v>1951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1955</v>
      </c>
      <c r="E202" s="282" t="s">
        <v>1808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1785</v>
      </c>
      <c r="D203" s="276" t="s">
        <v>1952</v>
      </c>
      <c r="E203" s="282" t="s">
        <v>1953</v>
      </c>
      <c r="F203" s="282" t="s">
        <v>1952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1729</v>
      </c>
      <c r="D204" s="276" t="s">
        <v>1236</v>
      </c>
      <c r="E204" s="282" t="s">
        <v>1696</v>
      </c>
      <c r="F204" s="282" t="s">
        <v>1236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1880</v>
      </c>
      <c r="D205" s="276" t="s">
        <v>1834</v>
      </c>
      <c r="E205" s="282" t="s">
        <v>1832</v>
      </c>
      <c r="F205" s="282" t="s">
        <v>1834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1880</v>
      </c>
      <c r="D206" s="276" t="s">
        <v>1831</v>
      </c>
      <c r="E206" s="282" t="s">
        <v>1832</v>
      </c>
      <c r="F206" s="282" t="s">
        <v>1831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1969</v>
      </c>
      <c r="E207" s="282" t="s">
        <v>1972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1973</v>
      </c>
      <c r="D208" s="276" t="s">
        <v>1817</v>
      </c>
      <c r="E208" s="282" t="s">
        <v>1238</v>
      </c>
      <c r="F208" s="282" t="s">
        <v>1817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985</v>
      </c>
      <c r="D209" s="276" t="s">
        <v>1817</v>
      </c>
      <c r="E209" s="282" t="s">
        <v>1238</v>
      </c>
      <c r="F209" s="282" t="s">
        <v>1817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985</v>
      </c>
      <c r="D210" s="276" t="s">
        <v>1817</v>
      </c>
      <c r="E210" s="282" t="s">
        <v>1238</v>
      </c>
      <c r="F210" s="282" t="s">
        <v>1817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1643</v>
      </c>
      <c r="D211" s="276" t="s">
        <v>1242</v>
      </c>
      <c r="E211" s="282" t="s">
        <v>1243</v>
      </c>
      <c r="F211" s="282" t="s">
        <v>1242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1625</v>
      </c>
      <c r="D212" s="276" t="s">
        <v>1980</v>
      </c>
      <c r="E212" s="282" t="s">
        <v>1981</v>
      </c>
      <c r="F212" s="282" t="s">
        <v>1980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1441</v>
      </c>
      <c r="E213" s="282" t="s">
        <v>1995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1583</v>
      </c>
      <c r="E214" s="282" t="s">
        <v>1998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1484</v>
      </c>
      <c r="E215" s="282" t="s">
        <v>1173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1729</v>
      </c>
      <c r="D216" s="276" t="s">
        <v>1817</v>
      </c>
      <c r="E216" s="282" t="s">
        <v>1238</v>
      </c>
      <c r="F216" s="282" t="s">
        <v>1817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1729</v>
      </c>
      <c r="E217" s="282" t="s">
        <v>1538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1785</v>
      </c>
      <c r="E218" s="282" t="s">
        <v>2005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1785</v>
      </c>
      <c r="D219" s="276" t="s">
        <v>1305</v>
      </c>
      <c r="E219" s="282" t="s">
        <v>1306</v>
      </c>
      <c r="F219" s="282" t="s">
        <v>1305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1643</v>
      </c>
      <c r="D220" s="276" t="s">
        <v>2002</v>
      </c>
      <c r="E220" s="282" t="s">
        <v>1626</v>
      </c>
      <c r="F220" s="282" t="s">
        <v>2002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2010</v>
      </c>
      <c r="D221" s="276" t="s">
        <v>1866</v>
      </c>
      <c r="E221" s="282" t="s">
        <v>1867</v>
      </c>
      <c r="F221" s="282" t="s">
        <v>1866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2010</v>
      </c>
      <c r="D222" s="276" t="s">
        <v>1242</v>
      </c>
      <c r="E222" s="282" t="s">
        <v>1243</v>
      </c>
      <c r="F222" s="282" t="s">
        <v>1242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2010</v>
      </c>
      <c r="D223" s="276" t="s">
        <v>1980</v>
      </c>
      <c r="E223" s="282" t="s">
        <v>1981</v>
      </c>
      <c r="F223" s="282" t="s">
        <v>1980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2021</v>
      </c>
      <c r="D224" s="276" t="s">
        <v>2012</v>
      </c>
      <c r="E224" s="282" t="s">
        <v>2013</v>
      </c>
      <c r="F224" s="282" t="s">
        <v>2012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2021</v>
      </c>
      <c r="D225" s="276" t="s">
        <v>2015</v>
      </c>
      <c r="E225" s="282" t="s">
        <v>2014</v>
      </c>
      <c r="F225" s="282" t="s">
        <v>2015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1441</v>
      </c>
      <c r="E226" s="282" t="s">
        <v>1809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1441</v>
      </c>
      <c r="D227" s="276">
        <v>24152333903</v>
      </c>
      <c r="E227" s="282" t="s">
        <v>1591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1625</v>
      </c>
      <c r="D228" s="276" t="s">
        <v>1242</v>
      </c>
      <c r="E228" s="282" t="s">
        <v>1243</v>
      </c>
      <c r="F228" s="282" t="s">
        <v>1242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1622</v>
      </c>
      <c r="D229" s="276">
        <v>415072909</v>
      </c>
      <c r="E229" s="282" t="s">
        <v>2647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1622</v>
      </c>
      <c r="D230" s="276" t="s">
        <v>1236</v>
      </c>
      <c r="E230" s="282" t="s">
        <v>1696</v>
      </c>
      <c r="F230" s="282" t="s">
        <v>1236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1622</v>
      </c>
      <c r="D231" s="276" t="s">
        <v>1874</v>
      </c>
      <c r="E231" s="282" t="s">
        <v>1620</v>
      </c>
      <c r="F231" s="282" t="s">
        <v>1874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1785</v>
      </c>
      <c r="E232" s="282" t="s">
        <v>2032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1491</v>
      </c>
      <c r="D233" s="276" t="s">
        <v>2035</v>
      </c>
      <c r="E233" s="282" t="s">
        <v>2036</v>
      </c>
      <c r="F233" s="282" t="s">
        <v>2035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1491</v>
      </c>
      <c r="D234" s="276" t="s">
        <v>1874</v>
      </c>
      <c r="E234" s="282" t="s">
        <v>1620</v>
      </c>
      <c r="F234" s="282" t="s">
        <v>1874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1643</v>
      </c>
      <c r="E235" s="282" t="s">
        <v>2038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2040</v>
      </c>
      <c r="D236" s="276">
        <v>2830402</v>
      </c>
      <c r="E236" s="282" t="s">
        <v>1938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2040</v>
      </c>
      <c r="E237" s="282" t="s">
        <v>2044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2040</v>
      </c>
      <c r="E238" s="282" t="s">
        <v>2045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2040</v>
      </c>
      <c r="D239" s="276" t="s">
        <v>1242</v>
      </c>
      <c r="E239" s="282" t="s">
        <v>1243</v>
      </c>
      <c r="F239" s="282" t="s">
        <v>1242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2040</v>
      </c>
      <c r="D240" s="276">
        <v>50229</v>
      </c>
      <c r="E240" s="282" t="s">
        <v>1692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2040</v>
      </c>
      <c r="D241" s="276" t="s">
        <v>1866</v>
      </c>
      <c r="E241" s="282" t="s">
        <v>1867</v>
      </c>
      <c r="F241" s="282" t="s">
        <v>1866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1596</v>
      </c>
      <c r="D242" s="276" t="s">
        <v>1767</v>
      </c>
      <c r="E242" s="282" t="s">
        <v>1768</v>
      </c>
      <c r="F242" s="282" t="s">
        <v>1767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1486</v>
      </c>
      <c r="D243" s="276">
        <v>2800802</v>
      </c>
      <c r="E243" s="282" t="s">
        <v>1780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1486</v>
      </c>
      <c r="E244" s="282" t="s">
        <v>2052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1486</v>
      </c>
      <c r="E245" s="282" t="s">
        <v>2053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1433</v>
      </c>
      <c r="E246" s="282" t="s">
        <v>1577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2057</v>
      </c>
      <c r="D247" s="276" t="s">
        <v>1233</v>
      </c>
      <c r="E247" s="282" t="s">
        <v>2058</v>
      </c>
      <c r="F247" s="282" t="s">
        <v>1233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2060</v>
      </c>
      <c r="D248" s="276" t="s">
        <v>1896</v>
      </c>
      <c r="E248" s="282" t="s">
        <v>1897</v>
      </c>
      <c r="F248" s="282" t="s">
        <v>1896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2060</v>
      </c>
      <c r="D249" s="276" t="s">
        <v>1299</v>
      </c>
      <c r="E249" s="282" t="s">
        <v>1300</v>
      </c>
      <c r="F249" s="282" t="s">
        <v>1299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2060</v>
      </c>
      <c r="D250" s="276" t="s">
        <v>1242</v>
      </c>
      <c r="E250" s="282" t="s">
        <v>1243</v>
      </c>
      <c r="F250" s="282" t="s">
        <v>1242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2010</v>
      </c>
      <c r="E251" s="282" t="s">
        <v>1158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1491</v>
      </c>
      <c r="E252" s="282" t="s">
        <v>1158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1861</v>
      </c>
      <c r="D253" s="276" t="s">
        <v>1242</v>
      </c>
      <c r="E253" s="282" t="s">
        <v>1243</v>
      </c>
      <c r="F253" s="282" t="s">
        <v>1242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1486</v>
      </c>
      <c r="E254" s="282" t="s">
        <v>2065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1880</v>
      </c>
      <c r="E255" s="282" t="s">
        <v>1538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1344</v>
      </c>
      <c r="E256" s="282" t="s">
        <v>1158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1387</v>
      </c>
      <c r="E257" s="274" t="s">
        <v>1728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1563</v>
      </c>
      <c r="E258" s="282" t="s">
        <v>1566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1563</v>
      </c>
      <c r="E259" s="282" t="s">
        <v>1158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1486</v>
      </c>
      <c r="E260" s="282" t="s">
        <v>1577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1180</v>
      </c>
      <c r="D261" s="276">
        <v>2800802</v>
      </c>
      <c r="E261" s="282" t="s">
        <v>1780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1066</v>
      </c>
      <c r="D262" s="276" t="s">
        <v>2072</v>
      </c>
      <c r="E262" s="282" t="s">
        <v>1240</v>
      </c>
      <c r="F262" s="282" t="s">
        <v>2072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1066</v>
      </c>
      <c r="E263" s="282" t="s">
        <v>1158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1574</v>
      </c>
      <c r="E264" s="282" t="s">
        <v>1808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1486</v>
      </c>
      <c r="E265" s="282" t="s">
        <v>2078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2095</v>
      </c>
      <c r="D266" s="276" t="s">
        <v>1866</v>
      </c>
      <c r="E266" s="282" t="s">
        <v>1867</v>
      </c>
      <c r="F266" s="282" t="s">
        <v>1866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2095</v>
      </c>
      <c r="D267" s="276" t="s">
        <v>1896</v>
      </c>
      <c r="E267" s="282" t="s">
        <v>1897</v>
      </c>
      <c r="F267" s="282" t="s">
        <v>1896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2095</v>
      </c>
      <c r="D268" s="276" t="s">
        <v>2092</v>
      </c>
      <c r="E268" s="282" t="s">
        <v>2093</v>
      </c>
      <c r="F268" s="282" t="s">
        <v>2092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2095</v>
      </c>
      <c r="D269" s="276" t="s">
        <v>1242</v>
      </c>
      <c r="E269" s="282" t="s">
        <v>1243</v>
      </c>
      <c r="F269" s="282" t="s">
        <v>1242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2095</v>
      </c>
      <c r="E270" s="282" t="s">
        <v>2094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2095</v>
      </c>
      <c r="D271" s="276">
        <v>50229</v>
      </c>
      <c r="E271" s="282" t="s">
        <v>1692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2095</v>
      </c>
      <c r="D272" s="276" t="s">
        <v>1980</v>
      </c>
      <c r="E272" s="282" t="s">
        <v>1981</v>
      </c>
      <c r="F272" s="282" t="s">
        <v>1980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1880</v>
      </c>
      <c r="E273" s="282" t="s">
        <v>1158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1785</v>
      </c>
      <c r="D274" s="276" t="s">
        <v>1817</v>
      </c>
      <c r="E274" s="282" t="s">
        <v>1238</v>
      </c>
      <c r="F274" s="282" t="s">
        <v>1817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1785</v>
      </c>
      <c r="E275" s="282" t="s">
        <v>1538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2104</v>
      </c>
      <c r="D276" s="276" t="s">
        <v>2102</v>
      </c>
      <c r="E276" s="282" t="s">
        <v>2103</v>
      </c>
      <c r="F276" s="282" t="s">
        <v>2102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2060</v>
      </c>
      <c r="D277" s="276" t="s">
        <v>1235</v>
      </c>
      <c r="E277" s="282" t="s">
        <v>1694</v>
      </c>
      <c r="F277" s="282" t="s">
        <v>1235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1812</v>
      </c>
      <c r="D278" s="276" t="s">
        <v>1255</v>
      </c>
      <c r="E278" s="282" t="s">
        <v>2107</v>
      </c>
      <c r="F278" s="282" t="s">
        <v>1255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2060</v>
      </c>
      <c r="D279" s="276" t="s">
        <v>1305</v>
      </c>
      <c r="E279" s="282" t="s">
        <v>1306</v>
      </c>
      <c r="F279" s="282" t="s">
        <v>1305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2060</v>
      </c>
      <c r="D280" s="276" t="s">
        <v>1767</v>
      </c>
      <c r="E280" s="282" t="s">
        <v>1768</v>
      </c>
      <c r="F280" s="282" t="s">
        <v>1767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2060</v>
      </c>
      <c r="E281" s="282" t="s">
        <v>2109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2060</v>
      </c>
      <c r="D282" s="276" t="s">
        <v>1866</v>
      </c>
      <c r="E282" s="282" t="s">
        <v>1867</v>
      </c>
      <c r="F282" s="282" t="s">
        <v>1866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1016</v>
      </c>
      <c r="D283" s="276">
        <v>24152333903</v>
      </c>
      <c r="E283" s="282" t="s">
        <v>1591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1486</v>
      </c>
      <c r="E284" s="282" t="s">
        <v>2112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2114</v>
      </c>
      <c r="E285" s="282" t="s">
        <v>2117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2119</v>
      </c>
      <c r="D286" s="276" t="s">
        <v>1236</v>
      </c>
      <c r="E286" s="282" t="s">
        <v>1696</v>
      </c>
      <c r="F286" s="282" t="s">
        <v>1236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2119</v>
      </c>
      <c r="D287" s="276" t="s">
        <v>1874</v>
      </c>
      <c r="E287" s="282" t="s">
        <v>1620</v>
      </c>
      <c r="F287" s="282" t="s">
        <v>1874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2119</v>
      </c>
      <c r="D288" s="276" t="s">
        <v>1783</v>
      </c>
      <c r="E288" s="282" t="s">
        <v>1784</v>
      </c>
      <c r="F288" s="282" t="s">
        <v>1783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1057</v>
      </c>
      <c r="E289" s="282" t="s">
        <v>2123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1622</v>
      </c>
      <c r="E290" s="282" t="s">
        <v>1808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2126</v>
      </c>
      <c r="E291" s="282" t="s">
        <v>2129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1596</v>
      </c>
      <c r="D292" s="276" t="s">
        <v>1251</v>
      </c>
      <c r="E292" s="282" t="s">
        <v>1252</v>
      </c>
      <c r="F292" s="282" t="s">
        <v>1251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2133</v>
      </c>
      <c r="E293" s="282" t="s">
        <v>2134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2135</v>
      </c>
      <c r="E294" s="282" t="s">
        <v>2134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1622</v>
      </c>
      <c r="E295" s="282" t="s">
        <v>1158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2119</v>
      </c>
      <c r="E296" s="282" t="s">
        <v>1158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1180</v>
      </c>
      <c r="E297" s="282" t="s">
        <v>1158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2060</v>
      </c>
      <c r="D298" s="276" t="s">
        <v>1242</v>
      </c>
      <c r="E298" s="282" t="s">
        <v>1243</v>
      </c>
      <c r="F298" s="282" t="s">
        <v>1242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2060</v>
      </c>
      <c r="E299" s="282" t="s">
        <v>1158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1583</v>
      </c>
      <c r="E300" s="282" t="s">
        <v>1158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2142</v>
      </c>
      <c r="E301" s="282" t="s">
        <v>2139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2057</v>
      </c>
      <c r="E302" s="282" t="s">
        <v>1158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1486</v>
      </c>
      <c r="E303" s="282" t="s">
        <v>1158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1509</v>
      </c>
      <c r="E304" s="282" t="s">
        <v>1158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2095</v>
      </c>
      <c r="E305" s="282" t="s">
        <v>1158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1441</v>
      </c>
      <c r="E306" s="282" t="s">
        <v>1158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1625</v>
      </c>
      <c r="D307" s="276" t="s">
        <v>1236</v>
      </c>
      <c r="E307" s="282" t="s">
        <v>1696</v>
      </c>
      <c r="F307" s="282" t="s">
        <v>1236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1625</v>
      </c>
      <c r="D308" s="276" t="s">
        <v>1874</v>
      </c>
      <c r="E308" s="282" t="s">
        <v>1620</v>
      </c>
      <c r="F308" s="282" t="s">
        <v>1874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1625</v>
      </c>
      <c r="E309" s="282" t="s">
        <v>2138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1596</v>
      </c>
      <c r="E310" s="282" t="s">
        <v>1158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2114</v>
      </c>
      <c r="E311" s="282" t="s">
        <v>1158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1785</v>
      </c>
      <c r="D312" s="276">
        <v>2800802</v>
      </c>
      <c r="E312" s="282" t="s">
        <v>1780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1625</v>
      </c>
      <c r="D313" s="276" t="s">
        <v>1305</v>
      </c>
      <c r="E313" s="282" t="s">
        <v>1306</v>
      </c>
      <c r="F313" s="282" t="s">
        <v>1305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2057</v>
      </c>
      <c r="D314" s="276" t="s">
        <v>1233</v>
      </c>
      <c r="E314" s="282" t="s">
        <v>2058</v>
      </c>
      <c r="F314" s="282" t="s">
        <v>1233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1441</v>
      </c>
      <c r="D315" s="276">
        <v>415072909</v>
      </c>
      <c r="E315" s="283" t="s">
        <v>2647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1441</v>
      </c>
      <c r="E316" s="282" t="s">
        <v>1188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2057</v>
      </c>
      <c r="E317" s="282" t="s">
        <v>2161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1625</v>
      </c>
      <c r="E318" s="282" t="s">
        <v>2162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2040</v>
      </c>
      <c r="E319" s="282" t="s">
        <v>2159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2163</v>
      </c>
      <c r="D320" s="276" t="s">
        <v>1239</v>
      </c>
      <c r="E320" s="282" t="s">
        <v>1240</v>
      </c>
      <c r="F320" s="282" t="s">
        <v>1239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1016</v>
      </c>
      <c r="D321" s="276">
        <v>2800802</v>
      </c>
      <c r="E321" s="282" t="s">
        <v>1780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1583</v>
      </c>
      <c r="D322" s="276">
        <v>501220522</v>
      </c>
      <c r="E322" s="282" t="s">
        <v>2103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1441</v>
      </c>
      <c r="D323" s="276" t="s">
        <v>1817</v>
      </c>
      <c r="E323" s="282" t="s">
        <v>1238</v>
      </c>
      <c r="F323" s="282" t="s">
        <v>1817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1511</v>
      </c>
      <c r="E324" s="282" t="s">
        <v>1538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1441</v>
      </c>
      <c r="D325" s="276" t="s">
        <v>1817</v>
      </c>
      <c r="E325" s="282" t="s">
        <v>2169</v>
      </c>
      <c r="F325" s="282" t="s">
        <v>1817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2040</v>
      </c>
      <c r="E326" s="282" t="s">
        <v>1158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1347</v>
      </c>
      <c r="D327" s="276" t="s">
        <v>1235</v>
      </c>
      <c r="E327" s="282" t="s">
        <v>1694</v>
      </c>
      <c r="F327" s="282" t="s">
        <v>1235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1347</v>
      </c>
      <c r="D328" s="276" t="s">
        <v>1242</v>
      </c>
      <c r="E328" s="282" t="s">
        <v>1243</v>
      </c>
      <c r="F328" s="282" t="s">
        <v>1242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2174</v>
      </c>
      <c r="D329" s="276" t="s">
        <v>1236</v>
      </c>
      <c r="E329" s="282" t="s">
        <v>1696</v>
      </c>
      <c r="F329" s="282" t="s">
        <v>1236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2174</v>
      </c>
      <c r="D330" s="276" t="s">
        <v>1874</v>
      </c>
      <c r="E330" s="282" t="s">
        <v>1620</v>
      </c>
      <c r="F330" s="282" t="s">
        <v>1874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1347</v>
      </c>
      <c r="E331" s="282" t="s">
        <v>1158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1016</v>
      </c>
      <c r="E332" s="282" t="s">
        <v>1158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1596</v>
      </c>
      <c r="E333" s="282" t="s">
        <v>1158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2174</v>
      </c>
      <c r="E334" s="282" t="s">
        <v>1158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1441</v>
      </c>
      <c r="D335" s="276">
        <v>1068298046</v>
      </c>
      <c r="E335" s="282" t="s">
        <v>2176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1441</v>
      </c>
      <c r="D336" s="276">
        <v>24152333907</v>
      </c>
      <c r="E336" s="282" t="s">
        <v>1591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2174</v>
      </c>
      <c r="D337" s="276" t="s">
        <v>1236</v>
      </c>
      <c r="E337" s="282" t="s">
        <v>1696</v>
      </c>
      <c r="F337" s="282" t="s">
        <v>1236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2174</v>
      </c>
      <c r="D338" s="276" t="s">
        <v>1874</v>
      </c>
      <c r="E338" s="282" t="s">
        <v>1620</v>
      </c>
      <c r="F338" s="282" t="s">
        <v>1874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2180</v>
      </c>
      <c r="D339" s="276" t="s">
        <v>1236</v>
      </c>
      <c r="E339" s="282" t="s">
        <v>1696</v>
      </c>
      <c r="F339" s="282" t="s">
        <v>1236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2180</v>
      </c>
      <c r="D340" s="276" t="s">
        <v>1874</v>
      </c>
      <c r="E340" s="282" t="s">
        <v>1620</v>
      </c>
      <c r="F340" s="282" t="s">
        <v>1874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2180</v>
      </c>
      <c r="D341" s="276" t="s">
        <v>1783</v>
      </c>
      <c r="E341" s="282" t="s">
        <v>1784</v>
      </c>
      <c r="F341" s="282" t="s">
        <v>1783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2180</v>
      </c>
      <c r="E342" s="282" t="s">
        <v>1158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2174</v>
      </c>
      <c r="E343" s="282" t="s">
        <v>1158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2300</v>
      </c>
      <c r="E344" s="282" t="s">
        <v>2301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1785</v>
      </c>
      <c r="D345" s="276" t="s">
        <v>1251</v>
      </c>
      <c r="E345" s="282" t="s">
        <v>1162</v>
      </c>
      <c r="F345" s="282" t="s">
        <v>1506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2163</v>
      </c>
      <c r="E346" s="282" t="s">
        <v>1158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1511</v>
      </c>
      <c r="E347" s="282" t="s">
        <v>1158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1785</v>
      </c>
      <c r="E348" s="282" t="s">
        <v>1158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1574</v>
      </c>
      <c r="E349" s="282" t="s">
        <v>1158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1057</v>
      </c>
      <c r="E350" s="282" t="s">
        <v>1158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1347</v>
      </c>
      <c r="D351" s="276" t="s">
        <v>2195</v>
      </c>
      <c r="E351" s="282" t="s">
        <v>2044</v>
      </c>
      <c r="F351" s="282" t="s">
        <v>2195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2095</v>
      </c>
      <c r="D352" s="276">
        <v>36050661</v>
      </c>
      <c r="E352" s="282" t="s">
        <v>2193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2433</v>
      </c>
      <c r="E353" s="282" t="s">
        <v>2434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2433</v>
      </c>
      <c r="D354" s="276" t="s">
        <v>2435</v>
      </c>
      <c r="E354" s="282" t="s">
        <v>2436</v>
      </c>
      <c r="F354" s="282" t="s">
        <v>2435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1861</v>
      </c>
      <c r="E355" s="282" t="s">
        <v>1158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1347</v>
      </c>
      <c r="E356" s="282" t="s">
        <v>1811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2095</v>
      </c>
      <c r="E357" s="282" t="s">
        <v>1811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1861</v>
      </c>
      <c r="E358" s="282" t="s">
        <v>1811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2398</v>
      </c>
      <c r="E359" s="282" t="s">
        <v>1537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2398</v>
      </c>
      <c r="E360" s="282" t="s">
        <v>1158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1486</v>
      </c>
      <c r="D361" s="276">
        <v>1068298046</v>
      </c>
      <c r="E361" s="282" t="s">
        <v>2176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2057</v>
      </c>
      <c r="D362" s="276" t="s">
        <v>1817</v>
      </c>
      <c r="E362" s="282" t="s">
        <v>1238</v>
      </c>
      <c r="F362" s="282" t="s">
        <v>1817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1643</v>
      </c>
      <c r="D363" s="276" t="s">
        <v>1242</v>
      </c>
      <c r="E363" s="282" t="s">
        <v>1243</v>
      </c>
      <c r="F363" s="282" t="s">
        <v>1242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1496</v>
      </c>
      <c r="E364" s="282" t="s">
        <v>2212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1496</v>
      </c>
      <c r="E365" s="282" t="s">
        <v>2213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1180</v>
      </c>
      <c r="E366" s="282" t="s">
        <v>2215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2219</v>
      </c>
      <c r="D367" s="276" t="s">
        <v>1236</v>
      </c>
      <c r="E367" s="282" t="s">
        <v>1696</v>
      </c>
      <c r="F367" s="282" t="s">
        <v>1236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1441</v>
      </c>
      <c r="E368" s="282" t="s">
        <v>2223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2219</v>
      </c>
      <c r="E369" s="282" t="s">
        <v>1158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1643</v>
      </c>
      <c r="E370" s="282" t="s">
        <v>1158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1491</v>
      </c>
      <c r="E371" s="282" t="s">
        <v>1173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1491</v>
      </c>
      <c r="D372" s="276">
        <v>1068298046</v>
      </c>
      <c r="E372" s="282" t="s">
        <v>2176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2010</v>
      </c>
      <c r="D373" s="276">
        <v>1068298046</v>
      </c>
      <c r="E373" s="282" t="s">
        <v>2176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2010</v>
      </c>
      <c r="D374" s="276">
        <v>24152333903</v>
      </c>
      <c r="E374" s="282" t="s">
        <v>1591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2249</v>
      </c>
      <c r="D375" s="276" t="s">
        <v>2250</v>
      </c>
      <c r="E375" s="282" t="s">
        <v>2251</v>
      </c>
      <c r="F375" s="282" t="s">
        <v>2250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1861</v>
      </c>
      <c r="D376" s="276" t="s">
        <v>1242</v>
      </c>
      <c r="E376" s="282" t="s">
        <v>1243</v>
      </c>
      <c r="F376" s="282" t="s">
        <v>1242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2232</v>
      </c>
      <c r="D377" s="276">
        <v>7252703114</v>
      </c>
      <c r="E377" s="282" t="s">
        <v>1765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2236</v>
      </c>
      <c r="D378" s="276">
        <v>2800802</v>
      </c>
      <c r="E378" s="282" t="s">
        <v>1780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1441</v>
      </c>
      <c r="E379" s="282" t="s">
        <v>2239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1347</v>
      </c>
      <c r="E380" s="282" t="s">
        <v>2242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2232</v>
      </c>
      <c r="E381" s="282" t="s">
        <v>1158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1729</v>
      </c>
      <c r="E382" s="282" t="s">
        <v>2245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1420</v>
      </c>
      <c r="E383" s="282" t="s">
        <v>2247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2057</v>
      </c>
      <c r="E384" s="282" t="s">
        <v>1158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1420</v>
      </c>
      <c r="E385" s="282" t="s">
        <v>1158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1785</v>
      </c>
      <c r="E386" s="282" t="s">
        <v>2117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1785</v>
      </c>
      <c r="E387" s="282" t="s">
        <v>2252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1491</v>
      </c>
      <c r="E388" s="282" t="s">
        <v>1158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1347</v>
      </c>
      <c r="E389" s="282" t="s">
        <v>1158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2259</v>
      </c>
      <c r="D390" s="276" t="s">
        <v>1251</v>
      </c>
      <c r="E390" s="282" t="s">
        <v>1162</v>
      </c>
      <c r="F390" s="282" t="s">
        <v>1506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1027</v>
      </c>
      <c r="D391" s="276">
        <v>2295001282</v>
      </c>
      <c r="E391" s="282" t="s">
        <v>2647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1861</v>
      </c>
      <c r="E392" s="282" t="s">
        <v>1808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1643</v>
      </c>
      <c r="D393" s="276" t="s">
        <v>1402</v>
      </c>
      <c r="E393" s="282" t="s">
        <v>1238</v>
      </c>
      <c r="F393" s="282" t="s">
        <v>1402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1643</v>
      </c>
      <c r="E394" s="282" t="s">
        <v>1158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1625</v>
      </c>
      <c r="D395" s="276" t="s">
        <v>1242</v>
      </c>
      <c r="E395" s="282" t="s">
        <v>2275</v>
      </c>
      <c r="F395" s="282" t="s">
        <v>1242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2174</v>
      </c>
      <c r="D396" s="276" t="s">
        <v>1236</v>
      </c>
      <c r="E396" s="282" t="s">
        <v>2268</v>
      </c>
      <c r="F396" s="282" t="s">
        <v>1236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2174</v>
      </c>
      <c r="D397" s="276" t="s">
        <v>1874</v>
      </c>
      <c r="E397" s="282" t="s">
        <v>2269</v>
      </c>
      <c r="F397" s="282" t="s">
        <v>1874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2174</v>
      </c>
      <c r="E398" s="282" t="s">
        <v>1158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1583</v>
      </c>
      <c r="E399" s="282" t="s">
        <v>2090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2186</v>
      </c>
      <c r="E400" s="282" t="s">
        <v>1158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1812</v>
      </c>
      <c r="D401" s="276">
        <v>50229</v>
      </c>
      <c r="E401" s="282" t="s">
        <v>2278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2305</v>
      </c>
      <c r="E402" s="282" t="s">
        <v>2303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1949</v>
      </c>
      <c r="D403" s="276" t="s">
        <v>1236</v>
      </c>
      <c r="E403" s="282" t="s">
        <v>2268</v>
      </c>
      <c r="F403" s="282" t="s">
        <v>1236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1949</v>
      </c>
      <c r="D404" s="276" t="s">
        <v>1874</v>
      </c>
      <c r="E404" s="282" t="s">
        <v>2269</v>
      </c>
      <c r="F404" s="282" t="s">
        <v>1874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1949</v>
      </c>
      <c r="D405" s="276" t="s">
        <v>2307</v>
      </c>
      <c r="E405" s="282" t="s">
        <v>2270</v>
      </c>
      <c r="F405" s="282" t="s">
        <v>2307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1949</v>
      </c>
      <c r="E406" s="282" t="s">
        <v>1158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2180</v>
      </c>
      <c r="D407" s="276" t="s">
        <v>2307</v>
      </c>
      <c r="E407" s="282" t="s">
        <v>2270</v>
      </c>
      <c r="F407" s="282" t="s">
        <v>2307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2010</v>
      </c>
      <c r="E408" s="282" t="s">
        <v>1158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1812</v>
      </c>
      <c r="D409" s="276">
        <v>50229</v>
      </c>
      <c r="E409" s="282" t="s">
        <v>2278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1812</v>
      </c>
      <c r="D410" s="276" t="s">
        <v>1299</v>
      </c>
      <c r="E410" s="282" t="s">
        <v>2276</v>
      </c>
      <c r="F410" s="282" t="s">
        <v>1299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1812</v>
      </c>
      <c r="D411" s="276" t="s">
        <v>1896</v>
      </c>
      <c r="E411" s="282" t="s">
        <v>2280</v>
      </c>
      <c r="F411" s="282" t="s">
        <v>1896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1949</v>
      </c>
      <c r="E412" s="282" t="s">
        <v>2318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1949</v>
      </c>
      <c r="E413" s="282" t="s">
        <v>1158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1926</v>
      </c>
      <c r="E414" s="282" t="s">
        <v>2320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1812</v>
      </c>
      <c r="E415" s="282" t="s">
        <v>1561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1812</v>
      </c>
      <c r="E416" s="282" t="s">
        <v>1577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1066</v>
      </c>
      <c r="E417" s="282" t="s">
        <v>1577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2334</v>
      </c>
      <c r="D418" s="276">
        <v>1087298388</v>
      </c>
      <c r="E418" s="282" t="s">
        <v>2335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2345</v>
      </c>
      <c r="D419" s="276" t="s">
        <v>2346</v>
      </c>
      <c r="E419" s="282" t="s">
        <v>2347</v>
      </c>
      <c r="F419" s="282" t="s">
        <v>2346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1926</v>
      </c>
      <c r="E420" s="282" t="s">
        <v>1811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1729</v>
      </c>
      <c r="E421" s="282" t="s">
        <v>1158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1511</v>
      </c>
      <c r="E422" s="282" t="s">
        <v>1158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1785</v>
      </c>
      <c r="D423" s="276" t="s">
        <v>1236</v>
      </c>
      <c r="E423" s="282" t="s">
        <v>2268</v>
      </c>
      <c r="F423" s="282" t="s">
        <v>1236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1785</v>
      </c>
      <c r="D424" s="276" t="s">
        <v>1874</v>
      </c>
      <c r="E424" s="282" t="s">
        <v>2269</v>
      </c>
      <c r="F424" s="282" t="s">
        <v>1874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1785</v>
      </c>
      <c r="D425" s="276" t="s">
        <v>1783</v>
      </c>
      <c r="E425" s="282" t="s">
        <v>2271</v>
      </c>
      <c r="F425" s="282" t="s">
        <v>1783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1785</v>
      </c>
      <c r="E426" s="282" t="s">
        <v>2331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1433</v>
      </c>
      <c r="E427" s="282" t="s">
        <v>2117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1486</v>
      </c>
      <c r="E428" s="282" t="s">
        <v>2336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1180</v>
      </c>
      <c r="E429" s="282" t="s">
        <v>2337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1066</v>
      </c>
      <c r="D430" s="276" t="s">
        <v>1817</v>
      </c>
      <c r="E430" s="282" t="s">
        <v>1238</v>
      </c>
      <c r="F430" s="282" t="s">
        <v>1817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1066</v>
      </c>
      <c r="E431" s="282" t="s">
        <v>1158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1024</v>
      </c>
      <c r="D432" s="276" t="s">
        <v>1235</v>
      </c>
      <c r="E432" s="282" t="s">
        <v>2274</v>
      </c>
      <c r="F432" s="282" t="s">
        <v>1235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2442</v>
      </c>
      <c r="D433" s="276" t="s">
        <v>2443</v>
      </c>
      <c r="E433" s="282" t="s">
        <v>2444</v>
      </c>
      <c r="F433" s="282" t="s">
        <v>2443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1940</v>
      </c>
      <c r="D434" s="276" t="s">
        <v>1235</v>
      </c>
      <c r="E434" s="282" t="s">
        <v>2274</v>
      </c>
      <c r="F434" s="282" t="s">
        <v>1235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2180</v>
      </c>
      <c r="E435" s="282" t="s">
        <v>1158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2329</v>
      </c>
      <c r="E436" s="282" t="s">
        <v>1158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1433</v>
      </c>
      <c r="E437" s="282" t="s">
        <v>1158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1596</v>
      </c>
      <c r="E438" s="282" t="s">
        <v>2348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2350</v>
      </c>
      <c r="D439" s="276" t="s">
        <v>1251</v>
      </c>
      <c r="E439" s="282" t="s">
        <v>2266</v>
      </c>
      <c r="F439" s="282" t="s">
        <v>1506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1729</v>
      </c>
      <c r="D440" s="276" t="s">
        <v>2035</v>
      </c>
      <c r="E440" s="282" t="s">
        <v>2291</v>
      </c>
      <c r="F440" s="282" t="s">
        <v>2035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1729</v>
      </c>
      <c r="D441" s="276" t="s">
        <v>1874</v>
      </c>
      <c r="E441" s="282" t="s">
        <v>2269</v>
      </c>
      <c r="F441" s="282" t="s">
        <v>1874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1729</v>
      </c>
      <c r="E442" s="282" t="s">
        <v>2292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2353</v>
      </c>
      <c r="D443" s="276" t="s">
        <v>1236</v>
      </c>
      <c r="E443" s="282" t="s">
        <v>2268</v>
      </c>
      <c r="F443" s="282" t="s">
        <v>1236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2353</v>
      </c>
      <c r="D444" s="276" t="s">
        <v>1874</v>
      </c>
      <c r="E444" s="282" t="s">
        <v>2269</v>
      </c>
      <c r="F444" s="282" t="s">
        <v>1874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1940</v>
      </c>
      <c r="D445" s="276" t="s">
        <v>1236</v>
      </c>
      <c r="E445" s="282" t="s">
        <v>2268</v>
      </c>
      <c r="F445" s="282" t="s">
        <v>1236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1940</v>
      </c>
      <c r="D446" s="276" t="s">
        <v>1874</v>
      </c>
      <c r="E446" s="282" t="s">
        <v>2269</v>
      </c>
      <c r="F446" s="282" t="s">
        <v>1874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2353</v>
      </c>
      <c r="E447" s="282" t="s">
        <v>1158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2350</v>
      </c>
      <c r="E448" s="282" t="s">
        <v>1158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1496</v>
      </c>
      <c r="E449" s="282" t="s">
        <v>1158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1016</v>
      </c>
      <c r="E450" s="282" t="s">
        <v>1158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1441</v>
      </c>
      <c r="D451" s="276">
        <v>7252703114</v>
      </c>
      <c r="E451" s="282" t="s">
        <v>1765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1066</v>
      </c>
      <c r="E452" s="282" t="s">
        <v>1577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1596</v>
      </c>
      <c r="D453" s="276" t="s">
        <v>1305</v>
      </c>
      <c r="E453" s="282" t="s">
        <v>1306</v>
      </c>
      <c r="F453" s="282" t="s">
        <v>1305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1491</v>
      </c>
      <c r="D454" s="276" t="s">
        <v>1233</v>
      </c>
      <c r="E454" s="282" t="s">
        <v>2359</v>
      </c>
      <c r="F454" s="282" t="s">
        <v>1233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1521</v>
      </c>
      <c r="E455" s="282" t="s">
        <v>1808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1066</v>
      </c>
      <c r="E456" s="282" t="s">
        <v>1158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1491</v>
      </c>
      <c r="E457" s="282" t="s">
        <v>1158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1066</v>
      </c>
      <c r="D458" s="276" t="s">
        <v>1239</v>
      </c>
      <c r="E458" s="282" t="s">
        <v>1240</v>
      </c>
      <c r="F458" s="282" t="s">
        <v>1239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2551</v>
      </c>
      <c r="E459" s="282" t="s">
        <v>1782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1785</v>
      </c>
      <c r="D460" s="276">
        <v>4150862090</v>
      </c>
      <c r="E460" s="282" t="s">
        <v>2647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1494</v>
      </c>
      <c r="E461" s="282" t="s">
        <v>1809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1027</v>
      </c>
      <c r="D462" s="276">
        <v>4150862090</v>
      </c>
      <c r="E462" s="282" t="s">
        <v>2647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1027</v>
      </c>
      <c r="D463" s="276">
        <v>50229</v>
      </c>
      <c r="E463" s="282" t="s">
        <v>2278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1027</v>
      </c>
      <c r="E464" s="282" t="s">
        <v>2272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1027</v>
      </c>
      <c r="D465" s="276" t="s">
        <v>1896</v>
      </c>
      <c r="E465" s="282" t="s">
        <v>2280</v>
      </c>
      <c r="F465" s="282" t="s">
        <v>1896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1586</v>
      </c>
      <c r="E466" s="282" t="s">
        <v>2382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1586</v>
      </c>
      <c r="E467" s="282" t="s">
        <v>1811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1596</v>
      </c>
      <c r="E468" s="282" t="s">
        <v>1158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2384</v>
      </c>
      <c r="D469" s="276" t="s">
        <v>1233</v>
      </c>
      <c r="E469" s="282" t="s">
        <v>2286</v>
      </c>
      <c r="F469" s="282" t="s">
        <v>1233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2384</v>
      </c>
      <c r="E470" s="282" t="s">
        <v>1158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1180</v>
      </c>
      <c r="E471" s="282" t="s">
        <v>1158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1441</v>
      </c>
      <c r="E472" s="282" t="s">
        <v>1808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1596</v>
      </c>
      <c r="E473" s="282" t="s">
        <v>1158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1729</v>
      </c>
      <c r="E474" s="282" t="s">
        <v>1158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1024</v>
      </c>
      <c r="E475" s="282" t="s">
        <v>1158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1622</v>
      </c>
      <c r="D476" s="276" t="s">
        <v>1242</v>
      </c>
      <c r="E476" s="282" t="s">
        <v>2275</v>
      </c>
      <c r="F476" s="282" t="s">
        <v>1242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1622</v>
      </c>
      <c r="D477" s="276">
        <v>50229</v>
      </c>
      <c r="E477" s="282" t="s">
        <v>2278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1622</v>
      </c>
      <c r="D478" s="276" t="s">
        <v>1866</v>
      </c>
      <c r="E478" s="282" t="s">
        <v>2279</v>
      </c>
      <c r="F478" s="282" t="s">
        <v>1866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2398</v>
      </c>
      <c r="D479" s="276" t="s">
        <v>1817</v>
      </c>
      <c r="E479" s="282" t="s">
        <v>2391</v>
      </c>
      <c r="F479" s="282" t="s">
        <v>1817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2398</v>
      </c>
      <c r="E480" s="282" t="s">
        <v>1538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1027</v>
      </c>
      <c r="D481" s="276" t="s">
        <v>1299</v>
      </c>
      <c r="E481" s="282" t="s">
        <v>2276</v>
      </c>
      <c r="F481" s="282" t="s">
        <v>1299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1729</v>
      </c>
      <c r="E482" s="282" t="s">
        <v>1538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1940</v>
      </c>
      <c r="E483" s="282" t="s">
        <v>1158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1631</v>
      </c>
      <c r="D484" s="276" t="s">
        <v>1251</v>
      </c>
      <c r="E484" s="282" t="s">
        <v>2266</v>
      </c>
      <c r="F484" s="282" t="s">
        <v>1506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2398</v>
      </c>
      <c r="E485" s="282" t="s">
        <v>1158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1729</v>
      </c>
      <c r="E486" s="282" t="s">
        <v>1158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1521</v>
      </c>
      <c r="D487" s="276">
        <v>501220639</v>
      </c>
      <c r="E487" s="282" t="s">
        <v>1826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1625</v>
      </c>
      <c r="E488" s="282" t="s">
        <v>1158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1785</v>
      </c>
      <c r="E489" s="282" t="s">
        <v>1809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1622</v>
      </c>
      <c r="E490" s="282" t="s">
        <v>1577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1861</v>
      </c>
      <c r="E491" s="282" t="s">
        <v>1158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1066</v>
      </c>
      <c r="E492" s="282" t="s">
        <v>1158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1414</v>
      </c>
      <c r="E493" s="282" t="s">
        <v>1808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1583</v>
      </c>
      <c r="E494" s="282" t="s">
        <v>1164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1583</v>
      </c>
      <c r="E495" s="282" t="s">
        <v>2408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2235</v>
      </c>
      <c r="E496" s="282" t="s">
        <v>1934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1441</v>
      </c>
      <c r="E497" s="282" t="s">
        <v>2410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1812</v>
      </c>
      <c r="E498" s="282" t="s">
        <v>1158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1631</v>
      </c>
      <c r="E499" s="282" t="s">
        <v>1158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1973</v>
      </c>
      <c r="E500" s="282" t="s">
        <v>2412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1066</v>
      </c>
      <c r="E501" s="282" t="s">
        <v>2123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2411</v>
      </c>
      <c r="E502" s="282" t="s">
        <v>2286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2411</v>
      </c>
      <c r="E503" s="282" t="s">
        <v>1158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2413</v>
      </c>
      <c r="E504" s="282" t="s">
        <v>1780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1973</v>
      </c>
      <c r="E505" s="282" t="s">
        <v>1158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2368</v>
      </c>
      <c r="E506" s="282" t="s">
        <v>1158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2413</v>
      </c>
      <c r="E507" s="282" t="s">
        <v>1158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1812</v>
      </c>
      <c r="E508" s="282" t="s">
        <v>2391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1812</v>
      </c>
      <c r="E509" s="282" t="s">
        <v>1538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1812</v>
      </c>
      <c r="E510" s="282" t="s">
        <v>1561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1433</v>
      </c>
      <c r="E511" s="282" t="s">
        <v>2647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1441</v>
      </c>
      <c r="E512" s="282" t="s">
        <v>2107</v>
      </c>
      <c r="F512" s="282" t="s">
        <v>1255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1583</v>
      </c>
      <c r="E513" s="282" t="s">
        <v>1158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2450</v>
      </c>
      <c r="E514" s="282" t="s">
        <v>2451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1066</v>
      </c>
      <c r="E515" s="282" t="s">
        <v>1238</v>
      </c>
      <c r="F515" s="282" t="s">
        <v>1817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2582</v>
      </c>
      <c r="E516" s="282" t="s">
        <v>2420</v>
      </c>
      <c r="F516" s="282" t="s">
        <v>2419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2186</v>
      </c>
      <c r="E517" s="282" t="s">
        <v>1238</v>
      </c>
      <c r="F517" s="282" t="s">
        <v>1817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2186</v>
      </c>
      <c r="E518" s="282" t="s">
        <v>2430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1812</v>
      </c>
      <c r="E519" s="282" t="s">
        <v>1158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2199</v>
      </c>
      <c r="E520" s="282" t="s">
        <v>1158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1277</v>
      </c>
      <c r="E521" s="282" t="s">
        <v>2437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1347</v>
      </c>
      <c r="E522" s="282" t="s">
        <v>2266</v>
      </c>
      <c r="F522" s="282" t="s">
        <v>1506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1625</v>
      </c>
      <c r="E523" s="282" t="s">
        <v>2138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1414</v>
      </c>
      <c r="E524" s="282" t="s">
        <v>1158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2448</v>
      </c>
      <c r="E525" s="282" t="s">
        <v>2449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1622</v>
      </c>
      <c r="E526" s="282" t="s">
        <v>1811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1494</v>
      </c>
      <c r="E527" s="282" t="s">
        <v>1811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2425</v>
      </c>
      <c r="E528" s="282" t="s">
        <v>1811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1433</v>
      </c>
      <c r="E529" s="282" t="s">
        <v>1811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1521</v>
      </c>
      <c r="E530" s="282" t="s">
        <v>1811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1347</v>
      </c>
      <c r="E531" s="282" t="s">
        <v>1158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2460</v>
      </c>
      <c r="E532" s="282" t="s">
        <v>2461</v>
      </c>
      <c r="F532" s="282" t="s">
        <v>2462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1583</v>
      </c>
      <c r="E533" s="282" t="s">
        <v>1306</v>
      </c>
      <c r="F533" s="282" t="s">
        <v>1305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2384</v>
      </c>
      <c r="E534" s="282" t="s">
        <v>2275</v>
      </c>
      <c r="F534" s="282" t="s">
        <v>1242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2384</v>
      </c>
      <c r="E535" s="282" t="s">
        <v>2278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2384</v>
      </c>
      <c r="E536" s="282" t="s">
        <v>1158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1498</v>
      </c>
      <c r="E537" s="282" t="s">
        <v>1780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1441</v>
      </c>
      <c r="E538" s="282" t="s">
        <v>1158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1583</v>
      </c>
      <c r="E539" s="282" t="s">
        <v>1238</v>
      </c>
      <c r="F539" s="282" t="s">
        <v>1817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1583</v>
      </c>
      <c r="E540" s="282" t="s">
        <v>1538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1583</v>
      </c>
      <c r="E541" s="282" t="s">
        <v>1765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2350</v>
      </c>
      <c r="E542" s="282" t="s">
        <v>2285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994</v>
      </c>
      <c r="E543" s="282" t="s">
        <v>1158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2493</v>
      </c>
      <c r="E544" s="282" t="s">
        <v>2494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1491</v>
      </c>
      <c r="E545" s="282" t="s">
        <v>2466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2481</v>
      </c>
      <c r="E546" s="282" t="s">
        <v>2477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1491</v>
      </c>
      <c r="E547" s="282" t="s">
        <v>1158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1024</v>
      </c>
      <c r="E548" s="282" t="s">
        <v>1158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1643</v>
      </c>
      <c r="E549" s="282" t="s">
        <v>2285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2485</v>
      </c>
      <c r="E550" s="282" t="s">
        <v>2490</v>
      </c>
      <c r="F550" s="282" t="s">
        <v>2491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1498</v>
      </c>
      <c r="E551" s="282" t="s">
        <v>1158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2492</v>
      </c>
      <c r="E552" s="282" t="s">
        <v>1158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2484</v>
      </c>
      <c r="E553" s="282" t="s">
        <v>1158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1625</v>
      </c>
      <c r="E554" s="282" t="s">
        <v>1577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1625</v>
      </c>
      <c r="E555" s="282" t="s">
        <v>1591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1785</v>
      </c>
      <c r="E556" s="282" t="s">
        <v>1158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1785</v>
      </c>
      <c r="E557" s="282" t="s">
        <v>2496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1583</v>
      </c>
      <c r="E558" s="282" t="s">
        <v>2275</v>
      </c>
      <c r="F558" s="282" t="s">
        <v>1242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1583</v>
      </c>
      <c r="E559" s="282" t="s">
        <v>2278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1583</v>
      </c>
      <c r="E560" s="282" t="s">
        <v>2276</v>
      </c>
      <c r="F560" s="282" t="s">
        <v>1299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1583</v>
      </c>
      <c r="E561" s="282" t="s">
        <v>2280</v>
      </c>
      <c r="F561" s="282" t="s">
        <v>1896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1583</v>
      </c>
      <c r="E562" s="282" t="s">
        <v>2279</v>
      </c>
      <c r="F562" s="282" t="s">
        <v>1866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1643</v>
      </c>
      <c r="E563" s="282" t="s">
        <v>1158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1498</v>
      </c>
      <c r="E564" s="282" t="s">
        <v>1780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1180</v>
      </c>
      <c r="E565" s="282" t="s">
        <v>2503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1180</v>
      </c>
      <c r="E566" s="282" t="s">
        <v>2279</v>
      </c>
      <c r="F566" s="282" t="s">
        <v>1866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1180</v>
      </c>
      <c r="E567" s="282" t="s">
        <v>2282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1180</v>
      </c>
      <c r="E568" s="282" t="s">
        <v>2504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1625</v>
      </c>
      <c r="E569" s="282" t="s">
        <v>1158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2512</v>
      </c>
      <c r="E570" s="282" t="s">
        <v>2511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1785</v>
      </c>
      <c r="E571" s="282" t="s">
        <v>2275</v>
      </c>
      <c r="F571" s="282" t="s">
        <v>1242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2536</v>
      </c>
      <c r="E572" s="282" t="s">
        <v>2537</v>
      </c>
      <c r="F572" s="282" t="s">
        <v>2538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2543</v>
      </c>
      <c r="E573" s="282" t="s">
        <v>2544</v>
      </c>
      <c r="F573" s="282" t="s">
        <v>2545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2543</v>
      </c>
      <c r="E574" s="282" t="s">
        <v>2546</v>
      </c>
      <c r="F574" s="282" t="s">
        <v>2547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1180</v>
      </c>
      <c r="E575" s="282" t="s">
        <v>2520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1180</v>
      </c>
      <c r="E576" s="282" t="s">
        <v>1953</v>
      </c>
      <c r="F576" s="282" t="s">
        <v>2521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1785</v>
      </c>
      <c r="E577" s="282" t="s">
        <v>1808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1027</v>
      </c>
      <c r="E578" s="282" t="s">
        <v>2525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1486</v>
      </c>
      <c r="E579" s="282" t="s">
        <v>2285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1441</v>
      </c>
      <c r="E580" s="282" t="s">
        <v>2285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1625</v>
      </c>
      <c r="E581" s="282" t="s">
        <v>2275</v>
      </c>
      <c r="F581" s="282" t="s">
        <v>1242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1625</v>
      </c>
      <c r="E582" s="282" t="s">
        <v>2276</v>
      </c>
      <c r="F582" s="282" t="s">
        <v>1299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2548</v>
      </c>
      <c r="E583" s="282" t="s">
        <v>2549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1622</v>
      </c>
      <c r="E584" s="282" t="s">
        <v>2530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1622</v>
      </c>
      <c r="E585" s="282" t="s">
        <v>2532</v>
      </c>
      <c r="F585" s="282" t="s">
        <v>2531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1622</v>
      </c>
      <c r="E586" s="282" t="s">
        <v>2534</v>
      </c>
      <c r="F586" s="282" t="s">
        <v>2533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1622</v>
      </c>
      <c r="E587" s="282" t="s">
        <v>2280</v>
      </c>
      <c r="F587" s="282" t="s">
        <v>1896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2517</v>
      </c>
      <c r="E588" s="282" t="s">
        <v>1158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1486</v>
      </c>
      <c r="E589" s="282" t="s">
        <v>2539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1486</v>
      </c>
      <c r="E590" s="282" t="s">
        <v>2540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1486</v>
      </c>
      <c r="E591" s="282" t="s">
        <v>2541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1486</v>
      </c>
      <c r="E592" s="282" t="s">
        <v>2542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994</v>
      </c>
      <c r="E593" s="282" t="s">
        <v>1158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2350</v>
      </c>
      <c r="E594" s="282" t="s">
        <v>1158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1066</v>
      </c>
      <c r="E595" s="282" t="s">
        <v>1158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1441</v>
      </c>
      <c r="E596" s="282" t="s">
        <v>2432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2186</v>
      </c>
      <c r="E597" s="282" t="s">
        <v>1158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1641</v>
      </c>
      <c r="E598" s="282" t="s">
        <v>1158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2468</v>
      </c>
      <c r="E599" s="282" t="s">
        <v>2567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1812</v>
      </c>
      <c r="E600" s="282" t="s">
        <v>2278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1812</v>
      </c>
      <c r="E601" s="282" t="s">
        <v>2276</v>
      </c>
      <c r="F601" s="282" t="s">
        <v>1299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2873</v>
      </c>
      <c r="E602" s="282" t="s">
        <v>2874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1347</v>
      </c>
      <c r="E603" s="282" t="s">
        <v>2571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1347</v>
      </c>
      <c r="E604" s="282" t="s">
        <v>2189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1622</v>
      </c>
      <c r="E605" s="282" t="s">
        <v>2294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1622</v>
      </c>
      <c r="E606" s="282" t="s">
        <v>1561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1486</v>
      </c>
      <c r="E607" s="282" t="s">
        <v>2574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2411</v>
      </c>
      <c r="E608" s="282" t="s">
        <v>2578</v>
      </c>
      <c r="F608" s="282" t="s">
        <v>1233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1973</v>
      </c>
      <c r="E609" s="282" t="s">
        <v>1238</v>
      </c>
      <c r="F609" s="282" t="s">
        <v>1402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1486</v>
      </c>
      <c r="E610" s="282" t="s">
        <v>2581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1498</v>
      </c>
      <c r="E611" s="282" t="s">
        <v>1158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2584</v>
      </c>
      <c r="D612" s="276" t="s">
        <v>1251</v>
      </c>
      <c r="E612" s="282" t="s">
        <v>2585</v>
      </c>
      <c r="F612" s="282" t="s">
        <v>2586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1347</v>
      </c>
      <c r="E613" s="282" t="s">
        <v>1158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1027</v>
      </c>
      <c r="E614" s="282" t="s">
        <v>1158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2596</v>
      </c>
      <c r="E615" s="282" t="s">
        <v>1238</v>
      </c>
      <c r="F615" s="282" t="s">
        <v>1817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1494</v>
      </c>
      <c r="E616" s="282" t="s">
        <v>1240</v>
      </c>
      <c r="F616" s="282" t="s">
        <v>1239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1414</v>
      </c>
      <c r="E617" s="282" t="s">
        <v>1800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2587</v>
      </c>
      <c r="E618" s="282" t="s">
        <v>1780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1491</v>
      </c>
      <c r="E619" s="282" t="s">
        <v>1238</v>
      </c>
      <c r="F619" s="282" t="s">
        <v>1817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2468</v>
      </c>
      <c r="E620" s="282" t="s">
        <v>1158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2587</v>
      </c>
      <c r="E621" s="282" t="s">
        <v>1158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2411</v>
      </c>
      <c r="E622" s="282" t="s">
        <v>1158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1491</v>
      </c>
      <c r="E623" s="282" t="s">
        <v>1158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2604</v>
      </c>
      <c r="E624" s="282" t="s">
        <v>2268</v>
      </c>
      <c r="F624" s="282" t="s">
        <v>1236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2604</v>
      </c>
      <c r="E625" s="282" t="s">
        <v>2269</v>
      </c>
      <c r="F625" s="282" t="s">
        <v>1874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1515</v>
      </c>
      <c r="E626" s="282" t="s">
        <v>2285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1521</v>
      </c>
      <c r="E627" s="282" t="s">
        <v>1240</v>
      </c>
      <c r="F627" s="282" t="s">
        <v>1239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2596</v>
      </c>
      <c r="E628" s="282" t="s">
        <v>1158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2235</v>
      </c>
      <c r="E629" s="282" t="s">
        <v>1158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2607</v>
      </c>
      <c r="E630" s="282" t="s">
        <v>1780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1973</v>
      </c>
      <c r="E631" s="282" t="s">
        <v>1158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1102</v>
      </c>
      <c r="E632" s="282" t="s">
        <v>1158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1027</v>
      </c>
      <c r="E633" s="282" t="s">
        <v>2279</v>
      </c>
      <c r="F633" s="282" t="s">
        <v>1866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1027</v>
      </c>
      <c r="E634" s="282" t="s">
        <v>2280</v>
      </c>
      <c r="F634" s="282" t="s">
        <v>1896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1880</v>
      </c>
      <c r="E635" s="282" t="s">
        <v>2266</v>
      </c>
      <c r="F635" s="282" t="s">
        <v>1506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2060</v>
      </c>
      <c r="E636" s="282" t="s">
        <v>2274</v>
      </c>
      <c r="F636" s="282" t="s">
        <v>1235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2617</v>
      </c>
      <c r="E637" s="282" t="s">
        <v>2268</v>
      </c>
      <c r="F637" s="282" t="s">
        <v>1236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2617</v>
      </c>
      <c r="E638" s="282" t="s">
        <v>2269</v>
      </c>
      <c r="F638" s="282" t="s">
        <v>1874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1371</v>
      </c>
      <c r="E639" s="282" t="s">
        <v>2834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1511</v>
      </c>
      <c r="E640" s="282" t="s">
        <v>2621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1536</v>
      </c>
      <c r="E641" s="282" t="s">
        <v>2391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1536</v>
      </c>
      <c r="E642" s="282" t="s">
        <v>1538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2617</v>
      </c>
      <c r="E643" s="282" t="s">
        <v>1158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2060</v>
      </c>
      <c r="E644" s="282" t="s">
        <v>1158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1441</v>
      </c>
      <c r="E645" s="282" t="s">
        <v>1808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2607</v>
      </c>
      <c r="E646" s="282" t="s">
        <v>1158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1583</v>
      </c>
      <c r="E647" s="282" t="s">
        <v>1808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1057</v>
      </c>
      <c r="E648" s="282" t="s">
        <v>1158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1496</v>
      </c>
      <c r="E649" s="282" t="s">
        <v>2213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1536</v>
      </c>
      <c r="E650" s="282" t="s">
        <v>1158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1027</v>
      </c>
      <c r="E651" s="282" t="s">
        <v>1603</v>
      </c>
      <c r="F651" s="282" t="s">
        <v>1836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1027</v>
      </c>
      <c r="E652" s="282" t="s">
        <v>2634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2846</v>
      </c>
      <c r="E653" s="282" t="s">
        <v>2848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1027</v>
      </c>
      <c r="E654" s="282" t="s">
        <v>1801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1441</v>
      </c>
      <c r="E655" s="282" t="s">
        <v>1808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1511</v>
      </c>
      <c r="E656" s="282" t="s">
        <v>1158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1521</v>
      </c>
      <c r="E657" s="282" t="s">
        <v>1158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1420</v>
      </c>
      <c r="E658" s="282" t="s">
        <v>1238</v>
      </c>
      <c r="F658" s="282" t="s">
        <v>1817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1420</v>
      </c>
      <c r="E659" s="282" t="s">
        <v>1538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1420</v>
      </c>
      <c r="E660" s="282" t="s">
        <v>1561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1420</v>
      </c>
      <c r="E661" s="282" t="s">
        <v>1158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1583</v>
      </c>
      <c r="E662" s="282" t="s">
        <v>2679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1583</v>
      </c>
      <c r="E663" s="282" t="s">
        <v>2681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1441</v>
      </c>
      <c r="E664" s="282" t="s">
        <v>1808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2682</v>
      </c>
      <c r="E665" s="282" t="s">
        <v>2266</v>
      </c>
      <c r="F665" s="282" t="s">
        <v>1506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2682</v>
      </c>
      <c r="E666" s="282" t="s">
        <v>1158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1494</v>
      </c>
      <c r="E667" s="282" t="s">
        <v>1158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2846</v>
      </c>
      <c r="E668" s="282" t="s">
        <v>2847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1441</v>
      </c>
      <c r="E669" s="282" t="s">
        <v>2692</v>
      </c>
      <c r="F669" s="282" t="s">
        <v>2691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1346</v>
      </c>
      <c r="E670" s="282" t="s">
        <v>2328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2943</v>
      </c>
    </row>
    <row r="671" spans="1:12">
      <c r="A671" s="285">
        <v>670</v>
      </c>
      <c r="B671" s="275">
        <v>45826</v>
      </c>
      <c r="C671" s="282" t="s">
        <v>2057</v>
      </c>
      <c r="E671" s="282" t="s">
        <v>2286</v>
      </c>
      <c r="F671" s="282" t="s">
        <v>1233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2057</v>
      </c>
      <c r="E672" s="282" t="s">
        <v>1561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2057</v>
      </c>
      <c r="E673" s="282" t="s">
        <v>2286</v>
      </c>
      <c r="F673" s="282" t="s">
        <v>1233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2384</v>
      </c>
      <c r="E674" s="282" t="s">
        <v>2117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2384</v>
      </c>
      <c r="E675" s="282" t="s">
        <v>1158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1496</v>
      </c>
      <c r="E676" s="282" t="s">
        <v>1158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2057</v>
      </c>
      <c r="E677" s="282" t="s">
        <v>1158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1785</v>
      </c>
      <c r="E678" s="282" t="s">
        <v>2422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1441</v>
      </c>
      <c r="E679" s="282" t="s">
        <v>1238</v>
      </c>
      <c r="F679" s="282" t="s">
        <v>1817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1441</v>
      </c>
      <c r="E680" s="282" t="s">
        <v>1929</v>
      </c>
      <c r="F680" s="282" t="s">
        <v>1928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2057</v>
      </c>
      <c r="E681" s="282" t="s">
        <v>2294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1491</v>
      </c>
      <c r="E682" s="282" t="s">
        <v>1238</v>
      </c>
      <c r="F682" s="282" t="s">
        <v>1817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2682</v>
      </c>
      <c r="E683" s="282" t="s">
        <v>1238</v>
      </c>
      <c r="F683" s="282" t="s">
        <v>1817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2682</v>
      </c>
      <c r="E684" s="282" t="s">
        <v>1158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1441</v>
      </c>
      <c r="E685" s="282" t="s">
        <v>2268</v>
      </c>
      <c r="F685" s="282" t="s">
        <v>1236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1441</v>
      </c>
      <c r="E686" s="282" t="s">
        <v>2269</v>
      </c>
      <c r="F686" s="282" t="s">
        <v>1874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1486</v>
      </c>
      <c r="E687" s="282" t="s">
        <v>2266</v>
      </c>
      <c r="F687" s="282" t="s">
        <v>1506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2793</v>
      </c>
      <c r="E688" s="282" t="s">
        <v>2794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2517</v>
      </c>
      <c r="E689" s="282" t="s">
        <v>2107</v>
      </c>
      <c r="F689" s="282" t="s">
        <v>1255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1622</v>
      </c>
      <c r="E690" s="282" t="s">
        <v>2713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1622</v>
      </c>
      <c r="E691" s="282" t="s">
        <v>1826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1622</v>
      </c>
      <c r="E692" s="282" t="s">
        <v>2198</v>
      </c>
      <c r="F692" s="282" t="s">
        <v>2708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1622</v>
      </c>
      <c r="E693" s="282" t="s">
        <v>2715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2057</v>
      </c>
      <c r="E694" s="282" t="s">
        <v>1158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1880</v>
      </c>
      <c r="E695" s="282" t="s">
        <v>1158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2738</v>
      </c>
      <c r="E696" s="282" t="s">
        <v>2739</v>
      </c>
      <c r="F696" s="282" t="s">
        <v>2740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2738</v>
      </c>
      <c r="E697" s="282" t="s">
        <v>2741</v>
      </c>
      <c r="F697" s="282" t="s">
        <v>2742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2517</v>
      </c>
      <c r="E698" s="282" t="s">
        <v>1158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1583</v>
      </c>
      <c r="E699" s="282" t="s">
        <v>1158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1625</v>
      </c>
      <c r="E700" s="282" t="s">
        <v>1238</v>
      </c>
      <c r="F700" s="282" t="s">
        <v>1817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1625</v>
      </c>
      <c r="E701" s="282" t="s">
        <v>1768</v>
      </c>
      <c r="F701" s="282" t="s">
        <v>1767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2811</v>
      </c>
      <c r="E702" s="282" t="s">
        <v>2812</v>
      </c>
      <c r="F702" s="282" t="s">
        <v>2813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2811</v>
      </c>
      <c r="E703" s="282" t="s">
        <v>2814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1583</v>
      </c>
      <c r="E704" s="282" t="s">
        <v>1238</v>
      </c>
      <c r="F704" s="282" t="s">
        <v>1817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1583</v>
      </c>
      <c r="E705" s="282" t="s">
        <v>1765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1583</v>
      </c>
      <c r="E706" s="282" t="s">
        <v>1538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2728</v>
      </c>
      <c r="E707" s="282" t="s">
        <v>1238</v>
      </c>
      <c r="F707" s="282" t="s">
        <v>1817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2728</v>
      </c>
      <c r="E708" s="282" t="s">
        <v>1561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1625</v>
      </c>
      <c r="E709" s="282" t="s">
        <v>1306</v>
      </c>
      <c r="F709" s="282" t="s">
        <v>1305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1491</v>
      </c>
      <c r="E710" s="282" t="s">
        <v>1158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1625</v>
      </c>
      <c r="E711" s="282" t="s">
        <v>1158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2736</v>
      </c>
      <c r="E712" s="282" t="s">
        <v>1780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2736</v>
      </c>
      <c r="E713" s="282" t="s">
        <v>1811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2723</v>
      </c>
      <c r="E714" s="282" t="s">
        <v>1158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1631</v>
      </c>
      <c r="E715" s="282" t="s">
        <v>1808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2818</v>
      </c>
      <c r="E716" s="282" t="s">
        <v>2819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1785</v>
      </c>
      <c r="E717" s="282" t="s">
        <v>2746</v>
      </c>
      <c r="F717" s="282" t="s">
        <v>2745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1812</v>
      </c>
      <c r="E718" s="282" t="s">
        <v>1158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2728</v>
      </c>
      <c r="E719" s="282" t="s">
        <v>1158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2748</v>
      </c>
      <c r="E720" s="282" t="s">
        <v>1240</v>
      </c>
      <c r="F720" s="282" t="s">
        <v>1605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2748</v>
      </c>
      <c r="E721" s="282" t="s">
        <v>1158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2755</v>
      </c>
      <c r="E722" s="282" t="s">
        <v>2754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2789</v>
      </c>
      <c r="E723" s="282" t="s">
        <v>2790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1486</v>
      </c>
      <c r="E724" s="282" t="s">
        <v>2757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1180</v>
      </c>
      <c r="E725" s="282" t="s">
        <v>1538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1180</v>
      </c>
      <c r="E726" s="282" t="s">
        <v>2761</v>
      </c>
    </row>
    <row r="727" spans="1:14">
      <c r="A727" s="285">
        <v>726</v>
      </c>
      <c r="B727" s="275">
        <v>45832</v>
      </c>
      <c r="C727" s="282" t="s">
        <v>1625</v>
      </c>
      <c r="E727" s="282" t="s">
        <v>2268</v>
      </c>
      <c r="F727" s="282" t="s">
        <v>1236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1625</v>
      </c>
      <c r="E728" s="282" t="s">
        <v>2269</v>
      </c>
      <c r="F728" s="282" t="s">
        <v>1874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2815</v>
      </c>
      <c r="E729" s="282" t="s">
        <v>2812</v>
      </c>
      <c r="F729" s="282" t="s">
        <v>2813</v>
      </c>
      <c r="G729" s="277">
        <v>1200000</v>
      </c>
      <c r="H729" s="282">
        <v>1</v>
      </c>
      <c r="J729" s="278">
        <v>120000</v>
      </c>
      <c r="K729" s="277">
        <v>1320000</v>
      </c>
      <c r="N729" s="296"/>
    </row>
    <row r="730" spans="1:14">
      <c r="A730" s="285">
        <v>729</v>
      </c>
      <c r="B730" s="275">
        <v>45832</v>
      </c>
      <c r="C730" s="282" t="s">
        <v>2815</v>
      </c>
      <c r="E730" s="282" t="s">
        <v>2816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2764</v>
      </c>
      <c r="E731" s="282" t="s">
        <v>1538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1785</v>
      </c>
      <c r="E732" s="282" t="s">
        <v>2274</v>
      </c>
      <c r="F732" s="282" t="s">
        <v>1235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1583</v>
      </c>
      <c r="E733" s="282" t="s">
        <v>2269</v>
      </c>
      <c r="F733" s="282" t="s">
        <v>1874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1057</v>
      </c>
      <c r="E734" s="282" t="s">
        <v>2268</v>
      </c>
      <c r="F734" s="282" t="s">
        <v>1236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1057</v>
      </c>
      <c r="E735" s="282" t="s">
        <v>2269</v>
      </c>
      <c r="F735" s="282" t="s">
        <v>1874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986</v>
      </c>
      <c r="E736" s="282" t="s">
        <v>1626</v>
      </c>
      <c r="F736" s="282" t="s">
        <v>2002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1973</v>
      </c>
      <c r="E737" s="282" t="s">
        <v>1238</v>
      </c>
      <c r="F737" s="282" t="s">
        <v>1817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2787</v>
      </c>
      <c r="E738" s="282" t="s">
        <v>2788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2776</v>
      </c>
      <c r="E739" s="282" t="s">
        <v>2391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1643</v>
      </c>
      <c r="E740" s="282" t="s">
        <v>1158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1066</v>
      </c>
      <c r="E741" s="282" t="s">
        <v>1173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1631</v>
      </c>
      <c r="E742" s="282" t="s">
        <v>1808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2776</v>
      </c>
      <c r="E743" s="282" t="s">
        <v>1158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2764</v>
      </c>
      <c r="E744" s="282" t="s">
        <v>1158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2806</v>
      </c>
      <c r="E745" s="282" t="s">
        <v>2807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2800</v>
      </c>
      <c r="E746" s="282" t="s">
        <v>2801</v>
      </c>
      <c r="F746" s="282" t="s">
        <v>2802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1785</v>
      </c>
      <c r="E747" s="282" t="s">
        <v>2803</v>
      </c>
      <c r="F747" s="282" t="s">
        <v>1866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1441</v>
      </c>
      <c r="E748" s="282" t="s">
        <v>2268</v>
      </c>
      <c r="F748" s="282" t="s">
        <v>1236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1441</v>
      </c>
      <c r="E749" s="282" t="s">
        <v>2269</v>
      </c>
      <c r="F749" s="282" t="s">
        <v>1874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986</v>
      </c>
      <c r="E750" s="282" t="s">
        <v>1158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1441</v>
      </c>
      <c r="E751" s="282" t="s">
        <v>1765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2809</v>
      </c>
      <c r="E752" s="282" t="s">
        <v>2810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1024</v>
      </c>
      <c r="E753" s="282" t="s">
        <v>2817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2623</v>
      </c>
      <c r="E754" s="282" t="s">
        <v>1158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2596</v>
      </c>
      <c r="E755" s="282" t="s">
        <v>1158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1441</v>
      </c>
      <c r="E756" s="282" t="s">
        <v>2382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1066</v>
      </c>
      <c r="E757" s="282" t="s">
        <v>2291</v>
      </c>
      <c r="F757" s="282" t="s">
        <v>2035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1066</v>
      </c>
      <c r="E758" s="282" t="s">
        <v>2269</v>
      </c>
      <c r="F758" s="282" t="s">
        <v>1874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1066</v>
      </c>
      <c r="E759" s="282" t="s">
        <v>2826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1420</v>
      </c>
      <c r="E760" s="282" t="s">
        <v>1780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1420</v>
      </c>
      <c r="E761" s="282" t="s">
        <v>1934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1509</v>
      </c>
      <c r="E762" s="282" t="s">
        <v>1972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1066</v>
      </c>
      <c r="E763" s="282" t="s">
        <v>2268</v>
      </c>
      <c r="F763" s="282" t="s">
        <v>1236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1066</v>
      </c>
      <c r="E764" s="282" t="s">
        <v>2269</v>
      </c>
      <c r="F764" s="282" t="s">
        <v>1874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1066</v>
      </c>
      <c r="E765" s="282" t="s">
        <v>1158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1622</v>
      </c>
      <c r="E766" s="282" t="s">
        <v>1240</v>
      </c>
      <c r="F766" s="282" t="s">
        <v>1239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1515</v>
      </c>
      <c r="E767" s="282" t="s">
        <v>1158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1785</v>
      </c>
      <c r="E768" s="282" t="s">
        <v>1603</v>
      </c>
      <c r="F768" s="282" t="s">
        <v>2843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1515</v>
      </c>
      <c r="E769" s="282" t="s">
        <v>2285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1631</v>
      </c>
      <c r="E770" s="282" t="s">
        <v>1158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2384</v>
      </c>
      <c r="E771" s="282" t="s">
        <v>1809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2755</v>
      </c>
      <c r="E772" s="282" t="s">
        <v>1158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2870</v>
      </c>
      <c r="E773" s="282" t="s">
        <v>2871</v>
      </c>
      <c r="F773" s="282" t="s">
        <v>2872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1102</v>
      </c>
      <c r="E774" s="282" t="s">
        <v>2860</v>
      </c>
      <c r="F774" s="282" t="s">
        <v>2859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2866</v>
      </c>
      <c r="E775" s="282" t="s">
        <v>2867</v>
      </c>
      <c r="F775" s="282" t="s">
        <v>2868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1486</v>
      </c>
      <c r="E776" s="282" t="s">
        <v>2268</v>
      </c>
      <c r="F776" s="282" t="s">
        <v>1236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1486</v>
      </c>
      <c r="E777" s="282" t="s">
        <v>2269</v>
      </c>
      <c r="F777" s="282" t="s">
        <v>1874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1785</v>
      </c>
      <c r="E778" s="282" t="s">
        <v>2276</v>
      </c>
      <c r="F778" s="282" t="s">
        <v>1299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2060</v>
      </c>
      <c r="E779" s="282" t="s">
        <v>2268</v>
      </c>
      <c r="F779" s="282" t="s">
        <v>1236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2060</v>
      </c>
      <c r="E780" s="282" t="s">
        <v>2269</v>
      </c>
      <c r="F780" s="282" t="s">
        <v>1874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1509</v>
      </c>
      <c r="E781" s="282" t="s">
        <v>2266</v>
      </c>
      <c r="F781" s="282" t="s">
        <v>1506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2851</v>
      </c>
      <c r="E782" s="282" t="s">
        <v>1158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1973</v>
      </c>
      <c r="E783" s="282" t="s">
        <v>1158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2384</v>
      </c>
      <c r="E784" s="282" t="s">
        <v>1158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1583</v>
      </c>
      <c r="E785" s="282" t="s">
        <v>1158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1622</v>
      </c>
      <c r="E786" s="282" t="s">
        <v>1158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1625</v>
      </c>
      <c r="E787" s="282" t="s">
        <v>1158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1180</v>
      </c>
      <c r="E788" s="282" t="s">
        <v>1158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2876</v>
      </c>
      <c r="E789" s="282" t="s">
        <v>2877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1420</v>
      </c>
      <c r="E790" s="282" t="s">
        <v>2875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1057</v>
      </c>
      <c r="E791" s="282" t="s">
        <v>1158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2879</v>
      </c>
      <c r="E792" s="282" t="s">
        <v>2878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1521</v>
      </c>
      <c r="E793" s="282" t="s">
        <v>1809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1625</v>
      </c>
      <c r="E794" s="282" t="s">
        <v>1240</v>
      </c>
      <c r="F794" s="282" t="s">
        <v>1239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1414</v>
      </c>
      <c r="E795" s="282" t="s">
        <v>1811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2884</v>
      </c>
      <c r="E796" s="282" t="s">
        <v>2886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1441</v>
      </c>
      <c r="E797" s="282" t="s">
        <v>1158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1441</v>
      </c>
      <c r="E798" s="282" t="s">
        <v>2887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2888</v>
      </c>
      <c r="E799" s="282" t="s">
        <v>2437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1486</v>
      </c>
      <c r="E800" s="282" t="s">
        <v>1765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1486</v>
      </c>
      <c r="E801" s="282" t="s">
        <v>2894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2888</v>
      </c>
      <c r="E802" s="282" t="s">
        <v>1158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2060</v>
      </c>
      <c r="E803" s="282" t="s">
        <v>1158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2897</v>
      </c>
      <c r="E804" s="282" t="s">
        <v>2391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2899</v>
      </c>
      <c r="E805" s="282" t="s">
        <v>1238</v>
      </c>
      <c r="F805" s="282" t="s">
        <v>1817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2899</v>
      </c>
      <c r="E806" s="282" t="s">
        <v>2904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1625</v>
      </c>
      <c r="E807" s="282" t="s">
        <v>1158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1625</v>
      </c>
      <c r="E808" s="282" t="s">
        <v>1306</v>
      </c>
      <c r="F808" s="282" t="s">
        <v>1305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2040</v>
      </c>
      <c r="E809" s="282" t="s">
        <v>2268</v>
      </c>
      <c r="F809" s="282" t="s">
        <v>1236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2040</v>
      </c>
      <c r="E810" s="282" t="s">
        <v>2269</v>
      </c>
      <c r="F810" s="282" t="s">
        <v>1874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2040</v>
      </c>
      <c r="E811" s="282" t="s">
        <v>2270</v>
      </c>
      <c r="F811" s="282" t="s">
        <v>2307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2040</v>
      </c>
      <c r="E812" s="282" t="s">
        <v>2271</v>
      </c>
      <c r="F812" s="282" t="s">
        <v>1783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2186</v>
      </c>
      <c r="E813" s="282" t="s">
        <v>1238</v>
      </c>
      <c r="F813" s="282" t="s">
        <v>1817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1057</v>
      </c>
      <c r="E814" s="282" t="s">
        <v>2268</v>
      </c>
      <c r="F814" s="282" t="s">
        <v>1236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1057</v>
      </c>
      <c r="E815" s="282" t="s">
        <v>2269</v>
      </c>
      <c r="F815" s="282" t="s">
        <v>1874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2879</v>
      </c>
      <c r="E816" s="282" t="s">
        <v>1158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2920</v>
      </c>
      <c r="E817" s="282" t="s">
        <v>1603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1880</v>
      </c>
      <c r="E818" s="282" t="s">
        <v>1538</v>
      </c>
      <c r="F818" s="282" t="s">
        <v>2825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2353</v>
      </c>
      <c r="E819" s="282" t="s">
        <v>1238</v>
      </c>
      <c r="F819" s="282" t="s">
        <v>1817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2927</v>
      </c>
      <c r="E820" s="282" t="s">
        <v>2928</v>
      </c>
      <c r="F820" s="282" t="s">
        <v>2929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2920</v>
      </c>
      <c r="E821" s="282" t="s">
        <v>1158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2353</v>
      </c>
      <c r="E822" s="282" t="s">
        <v>1158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2040</v>
      </c>
      <c r="E823" s="282" t="s">
        <v>1158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2930</v>
      </c>
      <c r="E824" s="282" t="s">
        <v>2931</v>
      </c>
      <c r="F824" s="282" t="s">
        <v>2932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2930</v>
      </c>
      <c r="E825" s="282" t="s">
        <v>2933</v>
      </c>
      <c r="F825" s="282" t="s">
        <v>2934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1102</v>
      </c>
      <c r="E826" s="282" t="s">
        <v>1158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2937</v>
      </c>
      <c r="E827" s="282" t="s">
        <v>1158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1102</v>
      </c>
      <c r="E828" s="282" t="s">
        <v>2887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1643</v>
      </c>
      <c r="E829" s="282" t="s">
        <v>1238</v>
      </c>
      <c r="F829" s="282" t="s">
        <v>1817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1625</v>
      </c>
      <c r="E830" s="282" t="s">
        <v>1768</v>
      </c>
      <c r="F830" s="282" t="s">
        <v>1767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1509</v>
      </c>
      <c r="E831" s="282" t="s">
        <v>2940</v>
      </c>
      <c r="F831" s="282" t="s">
        <v>1251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1180</v>
      </c>
      <c r="E832" s="282" t="s">
        <v>1238</v>
      </c>
      <c r="F832" s="282" t="s">
        <v>1817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2897</v>
      </c>
      <c r="E833" s="282" t="s">
        <v>1158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1515</v>
      </c>
      <c r="E834" s="282" t="s">
        <v>1158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1880</v>
      </c>
      <c r="E835" s="282" t="s">
        <v>1158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1643</v>
      </c>
      <c r="E836" s="282" t="s">
        <v>1158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1785</v>
      </c>
      <c r="E837" s="282" t="s">
        <v>1158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1583</v>
      </c>
      <c r="E838" s="282" t="s">
        <v>1238</v>
      </c>
      <c r="F838" s="282" t="s">
        <v>1817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1583</v>
      </c>
      <c r="E839" s="282" t="s">
        <v>1538</v>
      </c>
      <c r="F839" s="282" t="s">
        <v>2825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1027</v>
      </c>
      <c r="E840" s="282" t="s">
        <v>1158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1486</v>
      </c>
      <c r="E841" s="282" t="s">
        <v>1547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1486</v>
      </c>
      <c r="E842" s="282" t="s">
        <v>1548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1521</v>
      </c>
      <c r="E843" s="282" t="s">
        <v>2525</v>
      </c>
      <c r="F843" s="282" t="s">
        <v>2905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2954</v>
      </c>
      <c r="E844" s="282" t="s">
        <v>2268</v>
      </c>
      <c r="F844" s="282" t="s">
        <v>1236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2954</v>
      </c>
      <c r="E845" s="282" t="s">
        <v>2269</v>
      </c>
      <c r="F845" s="282" t="s">
        <v>1874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2723</v>
      </c>
      <c r="E846" s="282" t="s">
        <v>2268</v>
      </c>
      <c r="F846" s="282" t="s">
        <v>1236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2723</v>
      </c>
      <c r="E847" s="282" t="s">
        <v>2269</v>
      </c>
      <c r="F847" s="282" t="s">
        <v>1874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2948</v>
      </c>
      <c r="E848" s="282" t="s">
        <v>2268</v>
      </c>
      <c r="F848" s="282" t="s">
        <v>1236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2948</v>
      </c>
      <c r="E849" s="282" t="s">
        <v>2269</v>
      </c>
      <c r="F849" s="282" t="s">
        <v>1874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1180</v>
      </c>
      <c r="E850" s="282" t="s">
        <v>2507</v>
      </c>
      <c r="F850" s="282" t="s">
        <v>2506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1180</v>
      </c>
      <c r="E851" s="282" t="s">
        <v>2520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1949</v>
      </c>
      <c r="E852" s="282" t="s">
        <v>2274</v>
      </c>
      <c r="F852" s="282" t="s">
        <v>1235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1486</v>
      </c>
      <c r="E853" s="282" t="s">
        <v>2275</v>
      </c>
      <c r="F853" s="282" t="s">
        <v>1242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1486</v>
      </c>
      <c r="E854" s="282" t="s">
        <v>2278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1785</v>
      </c>
      <c r="E855" s="282" t="s">
        <v>2964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2948</v>
      </c>
      <c r="E856" s="282" t="s">
        <v>1158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2954</v>
      </c>
      <c r="E857" s="282" t="s">
        <v>1158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1949</v>
      </c>
      <c r="E858" s="282" t="s">
        <v>1158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1785</v>
      </c>
      <c r="E859" s="282" t="s">
        <v>2966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1625</v>
      </c>
      <c r="E860" s="282" t="s">
        <v>1158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1441</v>
      </c>
      <c r="E861" s="282" t="s">
        <v>1808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1441</v>
      </c>
      <c r="E862" s="282" t="s">
        <v>2275</v>
      </c>
      <c r="F862" s="282" t="s">
        <v>1242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1441</v>
      </c>
      <c r="E863" s="282" t="s">
        <v>2276</v>
      </c>
      <c r="F863" s="282" t="s">
        <v>1299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1441</v>
      </c>
      <c r="E864" s="282" t="s">
        <v>2280</v>
      </c>
      <c r="F864" s="282" t="s">
        <v>1896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1441</v>
      </c>
      <c r="E865" s="282" t="s">
        <v>2279</v>
      </c>
      <c r="F865" s="282" t="s">
        <v>1866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2954</v>
      </c>
      <c r="E866" s="282" t="s">
        <v>2970</v>
      </c>
      <c r="F866" s="282" t="s">
        <v>2969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2954</v>
      </c>
      <c r="E867" s="282" t="s">
        <v>2271</v>
      </c>
      <c r="F867" s="282" t="s">
        <v>1783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1583</v>
      </c>
      <c r="E868" s="282" t="s">
        <v>1238</v>
      </c>
      <c r="F868" s="282" t="s">
        <v>1817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1583</v>
      </c>
      <c r="E869" s="282" t="s">
        <v>1538</v>
      </c>
      <c r="F869" s="282" t="s">
        <v>2825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1880</v>
      </c>
      <c r="E870" s="282" t="s">
        <v>1832</v>
      </c>
      <c r="F870" s="282" t="s">
        <v>1834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1880</v>
      </c>
      <c r="E871" s="282" t="s">
        <v>1832</v>
      </c>
      <c r="F871" s="282" t="s">
        <v>1831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2974</v>
      </c>
      <c r="E872" s="282" t="s">
        <v>1800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1024</v>
      </c>
      <c r="E873" s="282" t="s">
        <v>2979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1631</v>
      </c>
      <c r="E874" s="282" t="s">
        <v>1238</v>
      </c>
      <c r="F874" s="282" t="s">
        <v>1817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1622</v>
      </c>
      <c r="E875" s="282" t="s">
        <v>2274</v>
      </c>
      <c r="F875" s="282" t="s">
        <v>1235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1622</v>
      </c>
      <c r="E876" s="282" t="s">
        <v>2278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1622</v>
      </c>
      <c r="E877" s="282" t="s">
        <v>2279</v>
      </c>
      <c r="F877" s="282" t="s">
        <v>1866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1622</v>
      </c>
      <c r="E878" s="282" t="s">
        <v>1561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1622</v>
      </c>
      <c r="E879" s="282" t="s">
        <v>2275</v>
      </c>
      <c r="F879" s="282" t="s">
        <v>1242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1180</v>
      </c>
      <c r="E880" s="282" t="s">
        <v>1238</v>
      </c>
      <c r="F880" s="282" t="s">
        <v>1817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2723</v>
      </c>
      <c r="E881" s="282" t="s">
        <v>1158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2954</v>
      </c>
      <c r="E882" s="282" t="s">
        <v>1158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1441</v>
      </c>
      <c r="E883" s="282" t="s">
        <v>1808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2517</v>
      </c>
      <c r="E884" s="282" t="s">
        <v>2107</v>
      </c>
      <c r="F884" s="282" t="s">
        <v>1255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2350</v>
      </c>
      <c r="E885" s="282" t="s">
        <v>2271</v>
      </c>
      <c r="F885" s="282" t="s">
        <v>1783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1486</v>
      </c>
      <c r="E886" s="282" t="s">
        <v>2268</v>
      </c>
      <c r="F886" s="282" t="s">
        <v>1236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1486</v>
      </c>
      <c r="E887" s="282" t="s">
        <v>2269</v>
      </c>
      <c r="F887" s="282" t="s">
        <v>1874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1785</v>
      </c>
      <c r="E888" s="282" t="s">
        <v>2422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1812</v>
      </c>
      <c r="E889" s="282" t="s">
        <v>2391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1812</v>
      </c>
      <c r="E890" s="282" t="s">
        <v>1561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2350</v>
      </c>
      <c r="E891" s="282" t="s">
        <v>1158</v>
      </c>
      <c r="L891" s="277">
        <v>-70000</v>
      </c>
    </row>
    <row r="892" spans="1:12">
      <c r="A892" s="61">
        <v>893</v>
      </c>
      <c r="B892" s="275">
        <v>45847</v>
      </c>
      <c r="C892" s="282" t="s">
        <v>2974</v>
      </c>
      <c r="E892" s="282" t="s">
        <v>1158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1631</v>
      </c>
      <c r="E893" s="282" t="s">
        <v>1158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2517</v>
      </c>
      <c r="E894" s="282" t="s">
        <v>1158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2879</v>
      </c>
      <c r="E895" s="282" t="s">
        <v>2275</v>
      </c>
      <c r="F895" s="282" t="s">
        <v>1242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2879</v>
      </c>
      <c r="E896" s="282" t="s">
        <v>2278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2">
      <c r="A897" s="61">
        <v>898</v>
      </c>
      <c r="B897" s="275">
        <v>45848</v>
      </c>
      <c r="C897" s="282" t="s">
        <v>2879</v>
      </c>
      <c r="E897" s="282" t="s">
        <v>1981</v>
      </c>
      <c r="F897" s="282" t="s">
        <v>1980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2">
      <c r="A898" s="61">
        <v>899</v>
      </c>
      <c r="B898" s="275">
        <v>45848</v>
      </c>
      <c r="C898" s="282" t="s">
        <v>2411</v>
      </c>
      <c r="E898" s="282" t="s">
        <v>3001</v>
      </c>
      <c r="F898" s="282" t="s">
        <v>2072</v>
      </c>
      <c r="G898" s="277">
        <v>150000</v>
      </c>
      <c r="H898" s="282">
        <v>1</v>
      </c>
      <c r="K898" s="277">
        <v>150000</v>
      </c>
    </row>
    <row r="899" spans="1:12">
      <c r="A899" s="61">
        <v>900</v>
      </c>
      <c r="B899" s="275">
        <v>45848</v>
      </c>
      <c r="C899" s="282" t="s">
        <v>1441</v>
      </c>
      <c r="E899" s="282" t="s">
        <v>2189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2">
      <c r="A900" s="61">
        <v>901</v>
      </c>
      <c r="B900" s="275">
        <v>45848</v>
      </c>
      <c r="C900" s="282" t="s">
        <v>1035</v>
      </c>
      <c r="E900" s="282" t="s">
        <v>2285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2">
      <c r="A901" s="61">
        <v>902</v>
      </c>
      <c r="B901" s="275">
        <v>45848</v>
      </c>
      <c r="C901" s="282" t="s">
        <v>1024</v>
      </c>
      <c r="E901" s="282" t="s">
        <v>1238</v>
      </c>
      <c r="F901" s="282" t="s">
        <v>1817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2">
      <c r="A902" s="61">
        <v>903</v>
      </c>
      <c r="B902" s="275">
        <v>45848</v>
      </c>
      <c r="C902" s="282" t="s">
        <v>1024</v>
      </c>
      <c r="E902" s="282" t="s">
        <v>3005</v>
      </c>
      <c r="F902" s="282" t="s">
        <v>2907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2">
      <c r="A903" s="61">
        <v>904</v>
      </c>
      <c r="B903" s="275">
        <v>45848</v>
      </c>
      <c r="C903" s="282" t="s">
        <v>1024</v>
      </c>
      <c r="E903" s="282" t="s">
        <v>2520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  <row r="904" spans="1:12">
      <c r="A904" s="61">
        <v>905</v>
      </c>
      <c r="B904" s="275">
        <v>45849</v>
      </c>
      <c r="C904" s="282" t="s">
        <v>1024</v>
      </c>
      <c r="E904" s="282" t="s">
        <v>1158</v>
      </c>
      <c r="L904" s="277">
        <v>-2634500</v>
      </c>
    </row>
    <row r="905" spans="1:12">
      <c r="A905" s="61">
        <v>906</v>
      </c>
      <c r="B905" s="275">
        <v>45849</v>
      </c>
      <c r="C905" s="282" t="s">
        <v>1622</v>
      </c>
      <c r="E905" s="282" t="s">
        <v>3013</v>
      </c>
      <c r="F905" s="282" t="s">
        <v>3012</v>
      </c>
      <c r="G905" s="277">
        <v>13000</v>
      </c>
      <c r="H905" s="282">
        <v>1</v>
      </c>
      <c r="J905" s="278">
        <v>1300</v>
      </c>
      <c r="K905" s="277">
        <v>14300</v>
      </c>
    </row>
    <row r="906" spans="1:12">
      <c r="A906" s="61">
        <v>907</v>
      </c>
      <c r="B906" s="275">
        <v>45849</v>
      </c>
      <c r="C906" s="282" t="s">
        <v>1622</v>
      </c>
      <c r="E906" s="282" t="s">
        <v>3015</v>
      </c>
      <c r="F906" s="282" t="s">
        <v>3011</v>
      </c>
      <c r="G906" s="277">
        <v>75000</v>
      </c>
      <c r="H906" s="282">
        <v>1</v>
      </c>
      <c r="J906" s="278">
        <v>7500</v>
      </c>
      <c r="K906" s="277">
        <v>82500</v>
      </c>
    </row>
    <row r="907" spans="1:12">
      <c r="A907" s="61">
        <v>908</v>
      </c>
      <c r="B907" s="275">
        <v>45849</v>
      </c>
      <c r="C907" s="282" t="s">
        <v>1625</v>
      </c>
      <c r="E907" s="282" t="s">
        <v>2268</v>
      </c>
      <c r="F907" s="282" t="s">
        <v>1236</v>
      </c>
      <c r="G907" s="277">
        <v>1500000</v>
      </c>
      <c r="H907" s="282">
        <v>1</v>
      </c>
      <c r="J907" s="278">
        <v>150000</v>
      </c>
      <c r="K907" s="277">
        <v>1650000</v>
      </c>
    </row>
    <row r="908" spans="1:12">
      <c r="A908" s="61">
        <v>909</v>
      </c>
      <c r="B908" s="275">
        <v>45849</v>
      </c>
      <c r="C908" s="282" t="s">
        <v>1625</v>
      </c>
      <c r="E908" s="282" t="s">
        <v>2269</v>
      </c>
      <c r="F908" s="282" t="s">
        <v>1874</v>
      </c>
      <c r="G908" s="277">
        <v>50000</v>
      </c>
      <c r="H908" s="282">
        <v>1</v>
      </c>
      <c r="J908" s="278">
        <v>5000</v>
      </c>
      <c r="K908" s="277">
        <v>55000</v>
      </c>
    </row>
    <row r="909" spans="1:12">
      <c r="A909" s="61">
        <v>910</v>
      </c>
      <c r="B909" s="275">
        <v>45849</v>
      </c>
      <c r="C909" s="282" t="s">
        <v>1441</v>
      </c>
      <c r="E909" s="282" t="s">
        <v>1808</v>
      </c>
      <c r="G909" s="277">
        <v>1100000</v>
      </c>
      <c r="H909" s="282">
        <v>1</v>
      </c>
      <c r="K909" s="277">
        <v>1100000</v>
      </c>
    </row>
    <row r="910" spans="1:12">
      <c r="A910" s="61">
        <v>911</v>
      </c>
      <c r="B910" s="275">
        <v>45849</v>
      </c>
      <c r="C910" s="282" t="s">
        <v>1500</v>
      </c>
      <c r="E910" s="282" t="s">
        <v>2906</v>
      </c>
      <c r="F910" s="282">
        <v>7252703114</v>
      </c>
      <c r="G910" s="277">
        <v>199000</v>
      </c>
      <c r="H910" s="282">
        <v>1</v>
      </c>
      <c r="K910" s="277">
        <v>199000</v>
      </c>
    </row>
    <row r="911" spans="1:12">
      <c r="A911" s="61">
        <v>912</v>
      </c>
      <c r="B911" s="275">
        <v>45849</v>
      </c>
      <c r="C911" s="282" t="s">
        <v>1491</v>
      </c>
      <c r="E911" s="282" t="s">
        <v>1577</v>
      </c>
      <c r="G911" s="277">
        <v>450000</v>
      </c>
      <c r="H911" s="282">
        <v>1</v>
      </c>
      <c r="K911" s="277">
        <v>450000</v>
      </c>
    </row>
    <row r="912" spans="1:12">
      <c r="A912" s="61">
        <v>913</v>
      </c>
      <c r="B912" s="275">
        <v>45849</v>
      </c>
      <c r="C912" s="282" t="s">
        <v>1631</v>
      </c>
      <c r="E912" s="282" t="s">
        <v>1238</v>
      </c>
      <c r="F912" s="282" t="s">
        <v>1817</v>
      </c>
      <c r="G912" s="277">
        <v>1200000</v>
      </c>
      <c r="H912" s="282">
        <v>1</v>
      </c>
      <c r="J912" s="278">
        <v>120000</v>
      </c>
      <c r="K912" s="277">
        <v>1320000</v>
      </c>
    </row>
    <row r="913" spans="1:12">
      <c r="A913" s="61">
        <v>914</v>
      </c>
      <c r="B913" s="275">
        <v>45849</v>
      </c>
      <c r="C913" s="282" t="s">
        <v>1631</v>
      </c>
      <c r="E913" s="282" t="s">
        <v>1538</v>
      </c>
      <c r="F913" s="282" t="s">
        <v>2825</v>
      </c>
      <c r="G913" s="277">
        <v>350000</v>
      </c>
      <c r="H913" s="282">
        <v>1</v>
      </c>
      <c r="J913" s="278">
        <v>35000</v>
      </c>
      <c r="K913" s="277">
        <v>385000</v>
      </c>
    </row>
    <row r="914" spans="1:12">
      <c r="A914" s="61">
        <v>915</v>
      </c>
      <c r="B914" s="275">
        <v>45849</v>
      </c>
      <c r="C914" s="282" t="s">
        <v>1631</v>
      </c>
      <c r="E914" s="282" t="s">
        <v>1801</v>
      </c>
      <c r="F914" s="282" t="s">
        <v>2999</v>
      </c>
      <c r="G914" s="277">
        <v>500000</v>
      </c>
      <c r="H914" s="282">
        <v>1</v>
      </c>
      <c r="J914" s="278">
        <v>50000</v>
      </c>
      <c r="K914" s="277">
        <v>550000</v>
      </c>
    </row>
    <row r="915" spans="1:12">
      <c r="A915" s="61">
        <v>916</v>
      </c>
      <c r="B915" s="275">
        <v>45849</v>
      </c>
      <c r="C915" s="282" t="s">
        <v>1631</v>
      </c>
      <c r="E915" s="282" t="s">
        <v>2998</v>
      </c>
      <c r="F915" s="282">
        <v>1087298388</v>
      </c>
      <c r="G915" s="277">
        <v>500000</v>
      </c>
      <c r="H915" s="282">
        <v>1</v>
      </c>
      <c r="J915" s="278">
        <v>50000</v>
      </c>
      <c r="K915" s="277">
        <v>550000</v>
      </c>
    </row>
    <row r="916" spans="1:12">
      <c r="A916" s="61">
        <v>917</v>
      </c>
      <c r="B916" s="275">
        <v>45849</v>
      </c>
      <c r="C916" s="282" t="s">
        <v>3026</v>
      </c>
      <c r="E916" s="282" t="s">
        <v>3027</v>
      </c>
      <c r="F916" s="282" t="s">
        <v>3028</v>
      </c>
      <c r="G916" s="277">
        <v>1500000</v>
      </c>
      <c r="H916" s="282">
        <v>1</v>
      </c>
      <c r="J916" s="278">
        <v>150000</v>
      </c>
      <c r="K916" s="277">
        <v>1650000</v>
      </c>
    </row>
    <row r="917" spans="1:12">
      <c r="A917" s="61">
        <v>918</v>
      </c>
      <c r="B917" s="275">
        <v>45849</v>
      </c>
      <c r="C917" s="282" t="s">
        <v>3026</v>
      </c>
      <c r="E917" s="282" t="s">
        <v>3029</v>
      </c>
      <c r="F917" s="282" t="s">
        <v>3030</v>
      </c>
      <c r="G917" s="277">
        <v>50000</v>
      </c>
      <c r="H917" s="282">
        <v>1</v>
      </c>
      <c r="J917" s="278">
        <v>5000</v>
      </c>
      <c r="K917" s="277">
        <v>55000</v>
      </c>
    </row>
    <row r="918" spans="1:12">
      <c r="A918" s="61">
        <v>919</v>
      </c>
      <c r="B918" s="275">
        <v>45849</v>
      </c>
      <c r="C918" s="282" t="s">
        <v>3033</v>
      </c>
      <c r="E918" s="282" t="s">
        <v>3034</v>
      </c>
      <c r="L918" s="277">
        <v>-1705000</v>
      </c>
    </row>
    <row r="919" spans="1:12">
      <c r="A919" s="61">
        <v>920</v>
      </c>
      <c r="B919" s="275">
        <v>45849</v>
      </c>
      <c r="C919" s="282" t="s">
        <v>3024</v>
      </c>
      <c r="E919" s="282" t="s">
        <v>1158</v>
      </c>
      <c r="L919" s="277">
        <v>-1705000</v>
      </c>
    </row>
    <row r="920" spans="1:12">
      <c r="A920" s="61">
        <v>921</v>
      </c>
      <c r="B920" s="275">
        <v>45849</v>
      </c>
      <c r="C920" s="282" t="s">
        <v>1491</v>
      </c>
      <c r="E920" s="282" t="s">
        <v>1158</v>
      </c>
      <c r="L920" s="277">
        <v>-450000</v>
      </c>
    </row>
    <row r="921" spans="1:12">
      <c r="A921" s="61">
        <v>922</v>
      </c>
      <c r="B921" s="275">
        <v>45850</v>
      </c>
      <c r="C921" s="282" t="s">
        <v>1643</v>
      </c>
      <c r="E921" s="282" t="s">
        <v>3031</v>
      </c>
      <c r="G921" s="277">
        <v>170000</v>
      </c>
      <c r="H921" s="282">
        <v>1</v>
      </c>
      <c r="K921" s="277">
        <v>170000</v>
      </c>
    </row>
    <row r="922" spans="1:12">
      <c r="A922" s="61">
        <v>923</v>
      </c>
      <c r="B922" s="275">
        <v>45850</v>
      </c>
      <c r="C922" s="282" t="s">
        <v>2411</v>
      </c>
      <c r="E922" s="282" t="s">
        <v>1158</v>
      </c>
      <c r="L922" s="277">
        <v>-150000</v>
      </c>
    </row>
    <row r="923" spans="1:12">
      <c r="A923" s="61">
        <v>924</v>
      </c>
      <c r="B923" s="275">
        <v>45850</v>
      </c>
      <c r="C923" s="282" t="s">
        <v>1643</v>
      </c>
      <c r="E923" s="282" t="s">
        <v>1158</v>
      </c>
      <c r="L923" s="277">
        <v>-170000</v>
      </c>
    </row>
    <row r="924" spans="1:12">
      <c r="A924" s="61">
        <v>925</v>
      </c>
      <c r="B924" s="275">
        <v>45850</v>
      </c>
      <c r="C924" s="282" t="s">
        <v>2879</v>
      </c>
      <c r="E924" s="282" t="s">
        <v>2274</v>
      </c>
      <c r="F924" s="282" t="s">
        <v>1235</v>
      </c>
      <c r="G924" s="277">
        <v>1500000</v>
      </c>
      <c r="H924" s="282">
        <v>1</v>
      </c>
      <c r="J924" s="278">
        <v>150000</v>
      </c>
      <c r="K924" s="277">
        <v>1650000</v>
      </c>
    </row>
    <row r="925" spans="1:12">
      <c r="A925" s="61">
        <v>926</v>
      </c>
      <c r="B925" s="275">
        <v>45850</v>
      </c>
      <c r="C925" s="282" t="s">
        <v>3037</v>
      </c>
      <c r="E925" s="282" t="s">
        <v>3038</v>
      </c>
      <c r="L925" s="277">
        <v>-1500000</v>
      </c>
    </row>
    <row r="926" spans="1:12">
      <c r="A926" s="61">
        <v>927</v>
      </c>
      <c r="B926" s="275">
        <v>45852</v>
      </c>
      <c r="C926" s="282" t="s">
        <v>1631</v>
      </c>
      <c r="E926" s="282" t="s">
        <v>1158</v>
      </c>
      <c r="L926" s="277">
        <v>-2805000</v>
      </c>
    </row>
    <row r="927" spans="1:12">
      <c r="A927" s="61">
        <v>928</v>
      </c>
      <c r="B927" s="275">
        <v>45852</v>
      </c>
      <c r="C927" s="282" t="s">
        <v>3043</v>
      </c>
      <c r="E927" s="282" t="s">
        <v>2784</v>
      </c>
      <c r="G927" s="277">
        <v>1750000</v>
      </c>
      <c r="H927" s="282">
        <v>1</v>
      </c>
      <c r="K927" s="277">
        <v>1750000</v>
      </c>
    </row>
    <row r="928" spans="1:12">
      <c r="A928" s="61">
        <v>929</v>
      </c>
      <c r="B928" s="275">
        <v>45852</v>
      </c>
      <c r="C928" s="282" t="s">
        <v>3048</v>
      </c>
      <c r="E928" s="282" t="s">
        <v>2488</v>
      </c>
      <c r="F928" s="282" t="s">
        <v>3051</v>
      </c>
      <c r="G928" s="277">
        <v>1100000</v>
      </c>
      <c r="H928" s="282">
        <v>1</v>
      </c>
      <c r="K928" s="277">
        <v>1100000</v>
      </c>
    </row>
    <row r="929" spans="1:12">
      <c r="A929" s="61">
        <v>930</v>
      </c>
      <c r="B929" s="275">
        <v>45852</v>
      </c>
      <c r="C929" s="282" t="s">
        <v>1441</v>
      </c>
      <c r="E929" s="282" t="s">
        <v>1808</v>
      </c>
      <c r="G929" s="277">
        <v>650000</v>
      </c>
      <c r="H929" s="282">
        <v>1</v>
      </c>
      <c r="K929" s="277">
        <v>650000</v>
      </c>
    </row>
    <row r="930" spans="1:12">
      <c r="A930" s="61">
        <v>931</v>
      </c>
      <c r="B930" s="275">
        <v>45852</v>
      </c>
      <c r="C930" s="282" t="s">
        <v>2517</v>
      </c>
      <c r="E930" s="282" t="s">
        <v>2107</v>
      </c>
      <c r="F930" s="282" t="s">
        <v>1255</v>
      </c>
      <c r="G930" s="277">
        <v>1500000</v>
      </c>
      <c r="H930" s="282">
        <v>1</v>
      </c>
      <c r="J930" s="278">
        <v>150000</v>
      </c>
      <c r="K930" s="277">
        <v>1650000</v>
      </c>
    </row>
    <row r="931" spans="1:12">
      <c r="A931" s="61">
        <v>932</v>
      </c>
      <c r="B931" s="275">
        <v>45852</v>
      </c>
      <c r="C931" s="282" t="s">
        <v>2411</v>
      </c>
      <c r="E931" s="282" t="s">
        <v>3001</v>
      </c>
      <c r="F931" s="282" t="s">
        <v>1239</v>
      </c>
      <c r="G931" s="277">
        <v>150000</v>
      </c>
      <c r="H931" s="282">
        <v>1</v>
      </c>
      <c r="K931" s="277">
        <v>150000</v>
      </c>
    </row>
    <row r="932" spans="1:12">
      <c r="A932" s="61">
        <v>933</v>
      </c>
      <c r="B932" s="275">
        <v>45852</v>
      </c>
      <c r="C932" s="282" t="s">
        <v>1643</v>
      </c>
      <c r="E932" s="282" t="s">
        <v>1240</v>
      </c>
      <c r="F932" s="282" t="s">
        <v>1241</v>
      </c>
      <c r="G932" s="277">
        <v>1200000</v>
      </c>
      <c r="H932" s="282">
        <v>1</v>
      </c>
      <c r="K932" s="277">
        <v>1200000</v>
      </c>
    </row>
    <row r="933" spans="1:12">
      <c r="A933" s="61">
        <v>934</v>
      </c>
      <c r="B933" s="275">
        <v>45852</v>
      </c>
      <c r="C933" s="282" t="s">
        <v>1486</v>
      </c>
      <c r="E933" s="282" t="s">
        <v>2268</v>
      </c>
      <c r="F933" s="282" t="s">
        <v>1236</v>
      </c>
      <c r="G933" s="277">
        <v>1500000</v>
      </c>
      <c r="H933" s="282">
        <v>1</v>
      </c>
      <c r="K933" s="277">
        <v>1500000</v>
      </c>
    </row>
    <row r="934" spans="1:12">
      <c r="A934" s="61">
        <v>935</v>
      </c>
      <c r="B934" s="275">
        <v>45852</v>
      </c>
      <c r="C934" s="282" t="s">
        <v>1486</v>
      </c>
      <c r="E934" s="282" t="s">
        <v>2269</v>
      </c>
      <c r="F934" s="282" t="s">
        <v>1874</v>
      </c>
      <c r="G934" s="277">
        <v>50000</v>
      </c>
      <c r="H934" s="282">
        <v>1</v>
      </c>
      <c r="K934" s="277">
        <v>50000</v>
      </c>
    </row>
    <row r="935" spans="1:12">
      <c r="A935" s="61">
        <v>936</v>
      </c>
      <c r="B935" s="275">
        <v>45852</v>
      </c>
      <c r="C935" s="282" t="s">
        <v>1643</v>
      </c>
      <c r="E935" s="282" t="s">
        <v>1158</v>
      </c>
      <c r="L935" s="277">
        <v>-1200000</v>
      </c>
    </row>
    <row r="936" spans="1:12">
      <c r="A936" s="61">
        <v>937</v>
      </c>
      <c r="B936" s="275">
        <v>45852</v>
      </c>
      <c r="C936" s="282" t="s">
        <v>2411</v>
      </c>
      <c r="E936" s="282" t="s">
        <v>1158</v>
      </c>
      <c r="L936" s="277">
        <v>-150000</v>
      </c>
    </row>
    <row r="937" spans="1:12">
      <c r="A937" s="61">
        <v>938</v>
      </c>
      <c r="B937" s="275">
        <v>45852</v>
      </c>
      <c r="C937" s="282" t="s">
        <v>3043</v>
      </c>
      <c r="E937" s="282" t="s">
        <v>1158</v>
      </c>
      <c r="L937" s="277">
        <v>-1750000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C3" sqref="C3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45852</v>
      </c>
      <c r="B3" s="245" t="s">
        <v>1159</v>
      </c>
      <c r="C3" s="246">
        <f>SUMIF($B:$B,A3,I:I)</f>
        <v>8050000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80000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1160</v>
      </c>
      <c r="C4" s="246">
        <f>SUMIFS($I:$I,$B:$B,"&gt;="&amp;DATE(A5,A4,1),$B:$B,"&lt;="&amp;EOMONTH(DATE(A5,A4,1),0))</f>
        <v>70657500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70657500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1144</v>
      </c>
      <c r="F8" s="129" t="s">
        <v>46</v>
      </c>
      <c r="G8" s="83" t="s">
        <v>54</v>
      </c>
      <c r="H8" s="129" t="s">
        <v>87</v>
      </c>
      <c r="I8" s="129" t="s">
        <v>63</v>
      </c>
      <c r="J8" s="129" t="s">
        <v>1745</v>
      </c>
      <c r="M8" s="54"/>
      <c r="N8" s="54"/>
      <c r="O8" s="54"/>
      <c r="P8" s="54"/>
    </row>
    <row r="9" spans="1:16" ht="18" customHeight="1">
      <c r="A9" s="96">
        <v>787</v>
      </c>
      <c r="B9" s="101">
        <v>45839</v>
      </c>
      <c r="C9" s="91" t="s">
        <v>1180</v>
      </c>
      <c r="D9" s="122" t="s">
        <v>1158</v>
      </c>
      <c r="E9" s="85"/>
      <c r="F9" s="234"/>
      <c r="H9" s="138"/>
      <c r="J9" s="86">
        <v>-2110000</v>
      </c>
      <c r="M9" s="54"/>
      <c r="N9" s="54"/>
      <c r="O9" s="54"/>
      <c r="P9" s="54"/>
    </row>
    <row r="10" spans="1:16" ht="18" customHeight="1">
      <c r="A10" s="96">
        <v>790</v>
      </c>
      <c r="B10" s="101">
        <v>45839</v>
      </c>
      <c r="C10" s="91" t="s">
        <v>1057</v>
      </c>
      <c r="D10" s="122" t="s">
        <v>1158</v>
      </c>
      <c r="E10" s="85"/>
      <c r="F10" s="234"/>
      <c r="H10" s="138"/>
      <c r="J10" s="86">
        <v>-1550000</v>
      </c>
      <c r="M10" s="54"/>
      <c r="N10" s="54"/>
      <c r="O10" s="54"/>
      <c r="P10" s="54"/>
    </row>
    <row r="11" spans="1:16" ht="18" customHeight="1">
      <c r="A11" s="96">
        <v>791</v>
      </c>
      <c r="B11" s="101">
        <v>45839</v>
      </c>
      <c r="C11" s="91" t="s">
        <v>2879</v>
      </c>
      <c r="D11" s="122" t="s">
        <v>2878</v>
      </c>
      <c r="E11" s="85"/>
      <c r="F11" s="234">
        <v>150000</v>
      </c>
      <c r="G11" s="91">
        <v>1</v>
      </c>
      <c r="H11" s="138"/>
      <c r="I11" s="86">
        <v>150000</v>
      </c>
      <c r="M11" s="54"/>
      <c r="N11" s="54"/>
      <c r="O11" s="54"/>
      <c r="P11" s="54"/>
    </row>
    <row r="12" spans="1:16" ht="18" customHeight="1">
      <c r="A12" s="96">
        <v>792</v>
      </c>
      <c r="B12" s="101">
        <v>45839</v>
      </c>
      <c r="C12" s="91" t="s">
        <v>1521</v>
      </c>
      <c r="D12" s="122" t="s">
        <v>1809</v>
      </c>
      <c r="E12" s="85"/>
      <c r="F12" s="234">
        <v>1550000</v>
      </c>
      <c r="G12" s="91">
        <v>1</v>
      </c>
      <c r="H12" s="138"/>
      <c r="I12" s="86">
        <v>1550000</v>
      </c>
      <c r="M12" s="54"/>
      <c r="N12" s="54"/>
      <c r="O12" s="54"/>
      <c r="P12" s="54"/>
    </row>
    <row r="13" spans="1:16" ht="18" customHeight="1">
      <c r="A13" s="96">
        <v>793</v>
      </c>
      <c r="B13" s="101">
        <v>45839</v>
      </c>
      <c r="C13" s="91" t="s">
        <v>1625</v>
      </c>
      <c r="D13" s="122" t="s">
        <v>1240</v>
      </c>
      <c r="E13" s="84"/>
      <c r="F13" s="86">
        <v>1200000</v>
      </c>
      <c r="G13" s="91">
        <v>1</v>
      </c>
      <c r="H13" s="136">
        <v>120000</v>
      </c>
      <c r="I13" s="86">
        <v>1320000</v>
      </c>
      <c r="M13" s="54"/>
      <c r="N13" s="54"/>
      <c r="O13" s="54"/>
      <c r="P13" s="54"/>
    </row>
    <row r="14" spans="1:16" ht="18" customHeight="1">
      <c r="A14" s="96">
        <v>794</v>
      </c>
      <c r="B14" s="101">
        <v>45839</v>
      </c>
      <c r="C14" s="91" t="s">
        <v>1414</v>
      </c>
      <c r="D14" s="122" t="s">
        <v>1811</v>
      </c>
      <c r="E14" s="85"/>
      <c r="F14" s="234"/>
      <c r="H14" s="138"/>
      <c r="J14" s="86">
        <v>-600000</v>
      </c>
      <c r="M14" s="54"/>
      <c r="N14" s="54"/>
      <c r="O14" s="54"/>
      <c r="P14" s="54"/>
    </row>
    <row r="15" spans="1:16" ht="18" customHeight="1">
      <c r="A15" s="96">
        <v>795</v>
      </c>
      <c r="B15" s="101">
        <v>45839</v>
      </c>
      <c r="C15" s="91" t="s">
        <v>1509</v>
      </c>
      <c r="D15" s="122" t="s">
        <v>2885</v>
      </c>
      <c r="E15" s="84"/>
      <c r="F15" s="86"/>
      <c r="J15" s="86">
        <v>-1500000</v>
      </c>
      <c r="M15" s="54"/>
      <c r="N15" s="54"/>
      <c r="O15" s="54"/>
      <c r="P15" s="54"/>
    </row>
    <row r="16" spans="1:16" ht="18" customHeight="1">
      <c r="A16" s="88">
        <v>796</v>
      </c>
      <c r="B16" s="100">
        <v>45839</v>
      </c>
      <c r="C16" s="89" t="s">
        <v>1441</v>
      </c>
      <c r="D16" s="123" t="s">
        <v>1158</v>
      </c>
      <c r="J16" s="86">
        <v>-10500000</v>
      </c>
      <c r="M16" s="54"/>
      <c r="N16" s="54"/>
      <c r="O16" s="54"/>
      <c r="P16" s="54"/>
    </row>
    <row r="17" spans="1:16" ht="18" customHeight="1">
      <c r="A17" s="96">
        <v>797</v>
      </c>
      <c r="B17" s="101">
        <v>45839</v>
      </c>
      <c r="C17" s="91" t="s">
        <v>1441</v>
      </c>
      <c r="D17" s="122" t="s">
        <v>2887</v>
      </c>
      <c r="E17" s="84"/>
      <c r="F17" s="86"/>
      <c r="J17" s="86">
        <v>-114000</v>
      </c>
      <c r="M17" s="54"/>
      <c r="N17" s="54"/>
      <c r="O17" s="54"/>
      <c r="P17" s="54"/>
    </row>
    <row r="18" spans="1:16" s="74" customFormat="1" ht="18" customHeight="1">
      <c r="A18" s="96">
        <v>798</v>
      </c>
      <c r="B18" s="101">
        <v>45839</v>
      </c>
      <c r="C18" s="91" t="s">
        <v>2888</v>
      </c>
      <c r="D18" s="122" t="s">
        <v>2437</v>
      </c>
      <c r="E18" s="85"/>
      <c r="F18" s="234">
        <v>150000</v>
      </c>
      <c r="G18" s="91">
        <v>1</v>
      </c>
      <c r="H18" s="138"/>
      <c r="I18" s="86">
        <v>150000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799</v>
      </c>
      <c r="B19" s="101">
        <v>45839</v>
      </c>
      <c r="C19" s="91" t="s">
        <v>1486</v>
      </c>
      <c r="D19" s="122" t="s">
        <v>1765</v>
      </c>
      <c r="E19" s="84"/>
      <c r="F19" s="86">
        <v>129000</v>
      </c>
      <c r="G19" s="91">
        <v>3</v>
      </c>
      <c r="H19" s="136"/>
      <c r="I19" s="86">
        <v>387000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800</v>
      </c>
      <c r="B20" s="101">
        <v>45839</v>
      </c>
      <c r="C20" s="91" t="s">
        <v>1486</v>
      </c>
      <c r="D20" s="122" t="s">
        <v>2913</v>
      </c>
      <c r="E20" s="85"/>
      <c r="F20" s="234">
        <v>80000</v>
      </c>
      <c r="G20" s="91">
        <v>1</v>
      </c>
      <c r="H20" s="138"/>
      <c r="I20" s="86">
        <v>80000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801</v>
      </c>
      <c r="B21" s="101">
        <v>45839</v>
      </c>
      <c r="C21" s="91" t="s">
        <v>2888</v>
      </c>
      <c r="D21" s="122" t="s">
        <v>1158</v>
      </c>
      <c r="E21" s="85"/>
      <c r="F21" s="234"/>
      <c r="G21" s="91"/>
      <c r="H21" s="138"/>
      <c r="I21" s="86"/>
      <c r="J21" s="86">
        <v>-150000</v>
      </c>
      <c r="K21" s="75"/>
      <c r="L21" s="73"/>
      <c r="M21" s="54"/>
      <c r="N21" s="54"/>
      <c r="O21" s="54"/>
    </row>
    <row r="22" spans="1:16" s="74" customFormat="1" ht="18" customHeight="1">
      <c r="A22" s="96">
        <v>802</v>
      </c>
      <c r="B22" s="101">
        <v>45839</v>
      </c>
      <c r="C22" s="91" t="s">
        <v>2060</v>
      </c>
      <c r="D22" s="122" t="s">
        <v>1158</v>
      </c>
      <c r="E22" s="84"/>
      <c r="F22" s="86"/>
      <c r="G22" s="91"/>
      <c r="H22" s="136"/>
      <c r="I22" s="86"/>
      <c r="J22" s="86">
        <v>-1550000</v>
      </c>
      <c r="K22" s="75"/>
      <c r="L22" s="73"/>
    </row>
    <row r="23" spans="1:16" s="74" customFormat="1" ht="18" customHeight="1">
      <c r="A23" s="96">
        <v>803</v>
      </c>
      <c r="B23" s="101">
        <v>45840</v>
      </c>
      <c r="C23" s="91" t="s">
        <v>2897</v>
      </c>
      <c r="D23" s="122" t="s">
        <v>2391</v>
      </c>
      <c r="E23" s="84"/>
      <c r="F23" s="86">
        <v>650000</v>
      </c>
      <c r="G23" s="91">
        <v>1</v>
      </c>
      <c r="H23" s="136">
        <v>65000</v>
      </c>
      <c r="I23" s="86">
        <v>715000</v>
      </c>
      <c r="J23" s="86"/>
      <c r="K23" s="75"/>
      <c r="L23" s="73"/>
    </row>
    <row r="24" spans="1:16" s="74" customFormat="1" ht="18" customHeight="1">
      <c r="A24" s="96">
        <v>804</v>
      </c>
      <c r="B24" s="101">
        <v>45840</v>
      </c>
      <c r="C24" s="91" t="s">
        <v>2899</v>
      </c>
      <c r="D24" s="122" t="s">
        <v>1238</v>
      </c>
      <c r="E24" s="84"/>
      <c r="F24" s="86">
        <v>1200000</v>
      </c>
      <c r="G24" s="91">
        <v>1</v>
      </c>
      <c r="H24" s="136"/>
      <c r="I24" s="86">
        <v>1200000</v>
      </c>
      <c r="J24" s="86"/>
      <c r="K24" s="75"/>
      <c r="L24" s="73"/>
    </row>
    <row r="25" spans="1:16" ht="18" customHeight="1">
      <c r="A25" s="96">
        <v>805</v>
      </c>
      <c r="B25" s="101">
        <v>45840</v>
      </c>
      <c r="C25" s="91" t="s">
        <v>2899</v>
      </c>
      <c r="D25" s="122" t="s">
        <v>2904</v>
      </c>
      <c r="E25" s="84"/>
      <c r="F25" s="86"/>
      <c r="J25" s="86">
        <v>-1200000</v>
      </c>
    </row>
    <row r="26" spans="1:16" ht="18" customHeight="1">
      <c r="A26" s="96">
        <v>806</v>
      </c>
      <c r="B26" s="101">
        <v>45840</v>
      </c>
      <c r="C26" s="91" t="s">
        <v>1625</v>
      </c>
      <c r="D26" s="122" t="s">
        <v>1158</v>
      </c>
      <c r="E26" s="84"/>
      <c r="F26" s="86"/>
      <c r="J26" s="86">
        <v>-1375000</v>
      </c>
    </row>
    <row r="27" spans="1:16" ht="18" customHeight="1">
      <c r="A27" s="96">
        <v>807</v>
      </c>
      <c r="B27" s="101">
        <v>45840</v>
      </c>
      <c r="C27" s="91" t="s">
        <v>1625</v>
      </c>
      <c r="D27" s="122" t="s">
        <v>1306</v>
      </c>
      <c r="E27" s="84"/>
      <c r="F27" s="86">
        <v>50000</v>
      </c>
      <c r="G27" s="91">
        <v>1</v>
      </c>
      <c r="H27" s="136">
        <v>5000</v>
      </c>
      <c r="I27" s="86">
        <v>55000</v>
      </c>
    </row>
    <row r="28" spans="1:16" ht="18" customHeight="1">
      <c r="A28" s="96">
        <v>808</v>
      </c>
      <c r="B28" s="101">
        <v>45840</v>
      </c>
      <c r="C28" s="91" t="s">
        <v>2040</v>
      </c>
      <c r="D28" s="122" t="s">
        <v>2268</v>
      </c>
      <c r="E28" s="84"/>
      <c r="F28" s="86">
        <v>1500000</v>
      </c>
      <c r="G28" s="91">
        <v>1</v>
      </c>
      <c r="I28" s="86">
        <v>1500000</v>
      </c>
    </row>
    <row r="29" spans="1:16" ht="18" customHeight="1">
      <c r="A29" s="96">
        <v>809</v>
      </c>
      <c r="B29" s="101">
        <v>45840</v>
      </c>
      <c r="C29" s="91" t="s">
        <v>2040</v>
      </c>
      <c r="D29" s="122" t="s">
        <v>2269</v>
      </c>
      <c r="E29" s="84"/>
      <c r="F29" s="86">
        <v>50000</v>
      </c>
      <c r="G29" s="91">
        <v>1</v>
      </c>
      <c r="I29" s="86">
        <v>50000</v>
      </c>
    </row>
    <row r="30" spans="1:16" ht="18" customHeight="1">
      <c r="A30" s="96">
        <v>810</v>
      </c>
      <c r="B30" s="101">
        <v>45840</v>
      </c>
      <c r="C30" s="91" t="s">
        <v>2040</v>
      </c>
      <c r="D30" s="122" t="s">
        <v>2270</v>
      </c>
      <c r="E30" s="84"/>
      <c r="F30" s="86">
        <v>250000</v>
      </c>
      <c r="G30" s="91">
        <v>1</v>
      </c>
      <c r="I30" s="86">
        <v>250000</v>
      </c>
    </row>
    <row r="31" spans="1:16" ht="18" customHeight="1">
      <c r="A31" s="96">
        <v>811</v>
      </c>
      <c r="B31" s="101">
        <v>45840</v>
      </c>
      <c r="C31" s="91" t="s">
        <v>2040</v>
      </c>
      <c r="D31" s="122" t="s">
        <v>2271</v>
      </c>
      <c r="E31" s="84"/>
      <c r="F31" s="86">
        <v>70000</v>
      </c>
      <c r="G31" s="91">
        <v>1</v>
      </c>
      <c r="I31" s="86">
        <v>70000</v>
      </c>
    </row>
    <row r="32" spans="1:16" ht="18" customHeight="1">
      <c r="A32" s="96">
        <v>812</v>
      </c>
      <c r="B32" s="101">
        <v>45840</v>
      </c>
      <c r="C32" s="91" t="s">
        <v>2186</v>
      </c>
      <c r="D32" s="122" t="s">
        <v>1238</v>
      </c>
      <c r="E32" s="84"/>
      <c r="F32" s="86">
        <v>1200000</v>
      </c>
      <c r="G32" s="91">
        <v>1</v>
      </c>
      <c r="H32" s="136">
        <v>120000</v>
      </c>
      <c r="I32" s="86">
        <v>1320000</v>
      </c>
    </row>
    <row r="33" spans="1:10" ht="18" customHeight="1">
      <c r="A33" s="96">
        <v>813</v>
      </c>
      <c r="B33" s="101">
        <v>45841</v>
      </c>
      <c r="C33" s="91" t="s">
        <v>1057</v>
      </c>
      <c r="D33" s="122" t="s">
        <v>2268</v>
      </c>
      <c r="E33" s="85"/>
      <c r="F33" s="234">
        <v>1500000</v>
      </c>
      <c r="G33" s="91">
        <v>1</v>
      </c>
      <c r="H33" s="138"/>
      <c r="I33" s="86">
        <v>1500000</v>
      </c>
    </row>
    <row r="34" spans="1:10" ht="18" customHeight="1">
      <c r="A34" s="88">
        <v>814</v>
      </c>
      <c r="B34" s="100">
        <v>45841</v>
      </c>
      <c r="C34" s="89" t="s">
        <v>1057</v>
      </c>
      <c r="D34" s="123" t="s">
        <v>2269</v>
      </c>
      <c r="F34" s="130">
        <v>50000</v>
      </c>
      <c r="G34" s="91">
        <v>1</v>
      </c>
      <c r="I34" s="86">
        <v>50000</v>
      </c>
    </row>
    <row r="35" spans="1:10" ht="18" customHeight="1">
      <c r="A35" s="88">
        <v>815</v>
      </c>
      <c r="B35" s="100">
        <v>45841</v>
      </c>
      <c r="C35" s="89" t="s">
        <v>2879</v>
      </c>
      <c r="D35" s="123" t="s">
        <v>1158</v>
      </c>
      <c r="J35" s="86">
        <v>-150000</v>
      </c>
    </row>
    <row r="36" spans="1:10" ht="18" customHeight="1">
      <c r="A36" s="88">
        <v>816</v>
      </c>
      <c r="B36" s="100">
        <v>45841</v>
      </c>
      <c r="C36" s="89" t="s">
        <v>2920</v>
      </c>
      <c r="D36" s="123" t="s">
        <v>1603</v>
      </c>
      <c r="F36" s="130">
        <v>1600000</v>
      </c>
      <c r="G36" s="91">
        <v>1</v>
      </c>
      <c r="I36" s="86">
        <v>1600000</v>
      </c>
    </row>
    <row r="37" spans="1:10" ht="18" customHeight="1">
      <c r="A37" s="88">
        <v>817</v>
      </c>
      <c r="B37" s="100">
        <v>45841</v>
      </c>
      <c r="C37" s="89" t="s">
        <v>1880</v>
      </c>
      <c r="D37" s="123" t="s">
        <v>1538</v>
      </c>
      <c r="F37" s="130">
        <v>350000</v>
      </c>
      <c r="G37" s="91">
        <v>1</v>
      </c>
      <c r="I37" s="86">
        <v>350000</v>
      </c>
    </row>
    <row r="38" spans="1:10" ht="18" customHeight="1">
      <c r="A38" s="88">
        <v>818</v>
      </c>
      <c r="B38" s="100">
        <v>45841</v>
      </c>
      <c r="C38" s="89" t="s">
        <v>2353</v>
      </c>
      <c r="D38" s="123" t="s">
        <v>1238</v>
      </c>
      <c r="F38" s="130">
        <v>1200000</v>
      </c>
      <c r="G38" s="91">
        <v>1</v>
      </c>
      <c r="I38" s="86">
        <v>1200000</v>
      </c>
    </row>
    <row r="39" spans="1:10" ht="18" customHeight="1">
      <c r="A39" s="88">
        <v>819</v>
      </c>
      <c r="B39" s="100">
        <v>45841</v>
      </c>
      <c r="C39" s="89" t="s">
        <v>1625</v>
      </c>
      <c r="D39" s="123" t="s">
        <v>1238</v>
      </c>
      <c r="F39" s="130">
        <v>1200000</v>
      </c>
      <c r="G39" s="91">
        <v>1</v>
      </c>
      <c r="H39" s="136">
        <v>120000</v>
      </c>
      <c r="I39" s="86">
        <v>1320000</v>
      </c>
    </row>
    <row r="40" spans="1:10" ht="18" customHeight="1">
      <c r="A40" s="88">
        <v>820</v>
      </c>
      <c r="B40" s="100">
        <v>45841</v>
      </c>
      <c r="C40" s="89" t="s">
        <v>2920</v>
      </c>
      <c r="D40" s="123" t="s">
        <v>1158</v>
      </c>
      <c r="J40" s="86">
        <v>-1600000</v>
      </c>
    </row>
    <row r="41" spans="1:10" ht="18" customHeight="1">
      <c r="A41" s="88">
        <v>821</v>
      </c>
      <c r="B41" s="100">
        <v>45841</v>
      </c>
      <c r="C41" s="89" t="s">
        <v>2353</v>
      </c>
      <c r="D41" s="123" t="s">
        <v>1158</v>
      </c>
      <c r="J41" s="86">
        <v>-1200000</v>
      </c>
    </row>
    <row r="42" spans="1:10" ht="18" customHeight="1">
      <c r="A42" s="88">
        <v>822</v>
      </c>
      <c r="B42" s="101">
        <v>45841</v>
      </c>
      <c r="C42" s="91" t="s">
        <v>2040</v>
      </c>
      <c r="D42" s="122" t="s">
        <v>1158</v>
      </c>
      <c r="E42" s="84"/>
      <c r="F42" s="86"/>
      <c r="J42" s="86">
        <v>-1870000</v>
      </c>
    </row>
    <row r="43" spans="1:10" ht="18" customHeight="1">
      <c r="A43" s="96">
        <v>823</v>
      </c>
      <c r="B43" s="101">
        <v>45842</v>
      </c>
      <c r="C43" s="91" t="s">
        <v>2937</v>
      </c>
      <c r="D43" s="122" t="s">
        <v>2268</v>
      </c>
      <c r="E43" s="85"/>
      <c r="F43" s="234">
        <v>1600000</v>
      </c>
      <c r="G43" s="91">
        <v>1</v>
      </c>
      <c r="H43" s="138">
        <v>160000</v>
      </c>
      <c r="I43" s="86">
        <v>1760000</v>
      </c>
    </row>
    <row r="44" spans="1:10" ht="18" customHeight="1">
      <c r="A44" s="88">
        <v>824</v>
      </c>
      <c r="B44" s="101">
        <v>45842</v>
      </c>
      <c r="C44" s="91" t="s">
        <v>2937</v>
      </c>
      <c r="D44" s="122" t="s">
        <v>2269</v>
      </c>
      <c r="E44" s="84"/>
      <c r="F44" s="86">
        <v>50000</v>
      </c>
      <c r="G44" s="91">
        <v>1</v>
      </c>
      <c r="H44" s="136">
        <v>5000</v>
      </c>
      <c r="I44" s="86">
        <v>55000</v>
      </c>
    </row>
    <row r="45" spans="1:10" ht="18" customHeight="1">
      <c r="A45" s="88">
        <v>825</v>
      </c>
      <c r="B45" s="101">
        <v>45842</v>
      </c>
      <c r="C45" s="91" t="s">
        <v>1102</v>
      </c>
      <c r="D45" s="122" t="s">
        <v>1158</v>
      </c>
      <c r="E45" s="84"/>
      <c r="F45" s="86"/>
      <c r="J45" s="86">
        <v>-1450000</v>
      </c>
    </row>
    <row r="46" spans="1:10" ht="18" customHeight="1">
      <c r="A46" s="96">
        <v>826</v>
      </c>
      <c r="B46" s="101">
        <v>45842</v>
      </c>
      <c r="C46" s="91" t="s">
        <v>2937</v>
      </c>
      <c r="D46" s="122" t="s">
        <v>1158</v>
      </c>
      <c r="E46" s="84"/>
      <c r="F46" s="86"/>
      <c r="J46" s="86">
        <v>-1815000</v>
      </c>
    </row>
    <row r="47" spans="1:10" ht="18" customHeight="1">
      <c r="A47" s="88">
        <v>827</v>
      </c>
      <c r="B47" s="100">
        <v>45842</v>
      </c>
      <c r="C47" s="89" t="s">
        <v>1102</v>
      </c>
      <c r="D47" s="123" t="s">
        <v>2887</v>
      </c>
      <c r="J47" s="86">
        <v>-50000</v>
      </c>
    </row>
    <row r="48" spans="1:10" ht="18" customHeight="1">
      <c r="A48" s="88">
        <v>828</v>
      </c>
      <c r="B48" s="100">
        <v>45842</v>
      </c>
      <c r="C48" s="89" t="s">
        <v>1643</v>
      </c>
      <c r="D48" s="123" t="s">
        <v>1238</v>
      </c>
      <c r="F48" s="130">
        <v>1000000</v>
      </c>
      <c r="G48" s="91">
        <v>1</v>
      </c>
      <c r="I48" s="86">
        <v>1000000</v>
      </c>
    </row>
    <row r="49" spans="1:10" ht="18" customHeight="1">
      <c r="A49" s="88">
        <v>829</v>
      </c>
      <c r="B49" s="100">
        <v>45842</v>
      </c>
      <c r="C49" s="89" t="s">
        <v>1625</v>
      </c>
      <c r="D49" s="123" t="s">
        <v>1768</v>
      </c>
      <c r="F49" s="130">
        <v>50000</v>
      </c>
      <c r="G49" s="91">
        <v>1</v>
      </c>
      <c r="H49" s="136">
        <v>5000</v>
      </c>
      <c r="I49" s="86">
        <v>55000</v>
      </c>
    </row>
    <row r="50" spans="1:10" ht="18" customHeight="1">
      <c r="A50" s="88">
        <v>830</v>
      </c>
      <c r="B50" s="100">
        <v>45842</v>
      </c>
      <c r="C50" s="89" t="s">
        <v>1509</v>
      </c>
      <c r="D50" s="123" t="s">
        <v>2940</v>
      </c>
      <c r="F50" s="130">
        <v>1500000</v>
      </c>
      <c r="G50" s="91">
        <v>1</v>
      </c>
      <c r="I50" s="86">
        <v>1500000</v>
      </c>
    </row>
    <row r="51" spans="1:10" ht="18" customHeight="1">
      <c r="A51" s="88">
        <v>831</v>
      </c>
      <c r="B51" s="100">
        <v>45842</v>
      </c>
      <c r="C51" s="89" t="s">
        <v>1180</v>
      </c>
      <c r="D51" s="123" t="s">
        <v>1238</v>
      </c>
      <c r="F51" s="130">
        <v>1200000</v>
      </c>
      <c r="G51" s="91">
        <v>1</v>
      </c>
      <c r="I51" s="86">
        <v>1200000</v>
      </c>
    </row>
    <row r="52" spans="1:10" ht="18" customHeight="1">
      <c r="A52" s="88">
        <v>832</v>
      </c>
      <c r="B52" s="100">
        <v>45842</v>
      </c>
      <c r="C52" s="89" t="s">
        <v>2897</v>
      </c>
      <c r="D52" s="123" t="s">
        <v>1158</v>
      </c>
      <c r="J52" s="86">
        <v>-715000</v>
      </c>
    </row>
    <row r="53" spans="1:10" ht="18" customHeight="1">
      <c r="A53" s="88">
        <v>833</v>
      </c>
      <c r="B53" s="100">
        <v>45842</v>
      </c>
      <c r="C53" s="89" t="s">
        <v>1515</v>
      </c>
      <c r="D53" s="123" t="s">
        <v>1158</v>
      </c>
      <c r="J53" s="86">
        <v>-1500000</v>
      </c>
    </row>
    <row r="54" spans="1:10" ht="18" customHeight="1">
      <c r="A54" s="88">
        <v>834</v>
      </c>
      <c r="B54" s="100">
        <v>45842</v>
      </c>
      <c r="C54" s="89" t="s">
        <v>1880</v>
      </c>
      <c r="D54" s="123" t="s">
        <v>1158</v>
      </c>
      <c r="J54" s="86">
        <v>-350000</v>
      </c>
    </row>
    <row r="55" spans="1:10" ht="18" customHeight="1">
      <c r="A55" s="88">
        <v>835</v>
      </c>
      <c r="B55" s="100">
        <v>45842</v>
      </c>
      <c r="C55" s="89" t="s">
        <v>1643</v>
      </c>
      <c r="D55" s="123" t="s">
        <v>1158</v>
      </c>
      <c r="J55" s="86">
        <v>-1000000</v>
      </c>
    </row>
    <row r="56" spans="1:10" ht="18" customHeight="1">
      <c r="A56" s="88">
        <v>836</v>
      </c>
      <c r="B56" s="100">
        <v>45842</v>
      </c>
      <c r="C56" s="89" t="s">
        <v>1785</v>
      </c>
      <c r="D56" s="123" t="s">
        <v>1158</v>
      </c>
      <c r="J56" s="86">
        <v>-10000000</v>
      </c>
    </row>
    <row r="57" spans="1:10" ht="18" customHeight="1">
      <c r="A57" s="88">
        <v>840</v>
      </c>
      <c r="B57" s="100">
        <v>45843</v>
      </c>
      <c r="C57" s="89" t="s">
        <v>1583</v>
      </c>
      <c r="D57" s="123" t="s">
        <v>1238</v>
      </c>
      <c r="F57" s="130">
        <v>1200000</v>
      </c>
      <c r="G57" s="91">
        <v>1</v>
      </c>
      <c r="I57" s="86">
        <v>1200000</v>
      </c>
    </row>
    <row r="58" spans="1:10" ht="18" customHeight="1">
      <c r="A58" s="88">
        <v>841</v>
      </c>
      <c r="B58" s="100">
        <v>45843</v>
      </c>
      <c r="C58" s="89" t="s">
        <v>1583</v>
      </c>
      <c r="D58" s="123" t="s">
        <v>1538</v>
      </c>
      <c r="F58" s="130">
        <v>350000</v>
      </c>
      <c r="G58" s="91">
        <v>1</v>
      </c>
      <c r="I58" s="86">
        <v>350000</v>
      </c>
    </row>
    <row r="59" spans="1:10" ht="18" customHeight="1">
      <c r="A59" s="88">
        <v>842</v>
      </c>
      <c r="B59" s="100">
        <v>45845</v>
      </c>
      <c r="C59" s="89" t="s">
        <v>1027</v>
      </c>
      <c r="D59" s="123" t="s">
        <v>1158</v>
      </c>
      <c r="J59" s="86">
        <v>-5582500</v>
      </c>
    </row>
    <row r="60" spans="1:10" ht="18" customHeight="1">
      <c r="A60" s="88">
        <v>843</v>
      </c>
      <c r="B60" s="100">
        <v>45845</v>
      </c>
      <c r="C60" s="89" t="s">
        <v>1486</v>
      </c>
      <c r="D60" s="123" t="s">
        <v>1547</v>
      </c>
      <c r="F60" s="130">
        <v>1200000</v>
      </c>
      <c r="G60" s="91">
        <v>1</v>
      </c>
      <c r="I60" s="86">
        <v>1200000</v>
      </c>
    </row>
    <row r="61" spans="1:10" ht="18" customHeight="1">
      <c r="A61" s="88">
        <v>844</v>
      </c>
      <c r="B61" s="100">
        <v>45845</v>
      </c>
      <c r="C61" s="89" t="s">
        <v>1486</v>
      </c>
      <c r="D61" s="123" t="s">
        <v>1548</v>
      </c>
      <c r="F61" s="130">
        <v>100000</v>
      </c>
      <c r="G61" s="91">
        <v>1</v>
      </c>
      <c r="I61" s="86">
        <v>100000</v>
      </c>
    </row>
    <row r="62" spans="1:10" ht="18" customHeight="1">
      <c r="A62" s="88">
        <v>845</v>
      </c>
      <c r="B62" s="100">
        <v>45845</v>
      </c>
      <c r="C62" s="89" t="s">
        <v>1521</v>
      </c>
      <c r="D62" s="123" t="s">
        <v>2525</v>
      </c>
      <c r="F62" s="130">
        <v>1100000</v>
      </c>
      <c r="G62" s="91">
        <v>1</v>
      </c>
      <c r="I62" s="86">
        <v>1100000</v>
      </c>
    </row>
    <row r="63" spans="1:10" ht="18" customHeight="1">
      <c r="A63" s="88">
        <v>846</v>
      </c>
      <c r="B63" s="100">
        <v>45845</v>
      </c>
      <c r="C63" s="89" t="s">
        <v>2954</v>
      </c>
      <c r="D63" s="123" t="s">
        <v>2268</v>
      </c>
      <c r="F63" s="130">
        <v>1500000</v>
      </c>
      <c r="G63" s="91">
        <v>1</v>
      </c>
      <c r="I63" s="86">
        <v>1500000</v>
      </c>
    </row>
    <row r="64" spans="1:10" ht="18" customHeight="1">
      <c r="A64" s="88">
        <v>847</v>
      </c>
      <c r="B64" s="100">
        <v>45845</v>
      </c>
      <c r="C64" s="89" t="s">
        <v>2954</v>
      </c>
      <c r="D64" s="123" t="s">
        <v>2269</v>
      </c>
      <c r="F64" s="130">
        <v>50000</v>
      </c>
      <c r="G64" s="91">
        <v>1</v>
      </c>
      <c r="I64" s="86">
        <v>50000</v>
      </c>
    </row>
    <row r="65" spans="1:10" ht="18" customHeight="1">
      <c r="A65" s="88">
        <v>848</v>
      </c>
      <c r="B65" s="100">
        <v>45845</v>
      </c>
      <c r="C65" s="89" t="s">
        <v>2723</v>
      </c>
      <c r="D65" s="123" t="s">
        <v>2268</v>
      </c>
      <c r="F65" s="130">
        <v>1500000</v>
      </c>
      <c r="G65" s="91">
        <v>1</v>
      </c>
      <c r="I65" s="86">
        <v>1500000</v>
      </c>
    </row>
    <row r="66" spans="1:10" ht="18" customHeight="1">
      <c r="A66" s="88">
        <v>849</v>
      </c>
      <c r="B66" s="100">
        <v>45845</v>
      </c>
      <c r="C66" s="89" t="s">
        <v>2723</v>
      </c>
      <c r="D66" s="123" t="s">
        <v>2269</v>
      </c>
      <c r="F66" s="130">
        <v>50000</v>
      </c>
      <c r="G66" s="91">
        <v>1</v>
      </c>
      <c r="I66" s="86">
        <v>50000</v>
      </c>
    </row>
    <row r="67" spans="1:10" ht="18" customHeight="1">
      <c r="A67" s="88">
        <v>850</v>
      </c>
      <c r="B67" s="100">
        <v>45845</v>
      </c>
      <c r="C67" s="89" t="s">
        <v>2948</v>
      </c>
      <c r="D67" s="123" t="s">
        <v>2268</v>
      </c>
      <c r="F67" s="130">
        <v>1500000</v>
      </c>
      <c r="G67" s="91">
        <v>1</v>
      </c>
      <c r="I67" s="86">
        <v>1500000</v>
      </c>
    </row>
    <row r="68" spans="1:10" ht="18" customHeight="1">
      <c r="A68" s="88">
        <v>851</v>
      </c>
      <c r="B68" s="100">
        <v>45845</v>
      </c>
      <c r="C68" s="89" t="s">
        <v>2948</v>
      </c>
      <c r="D68" s="123" t="s">
        <v>2269</v>
      </c>
      <c r="F68" s="130">
        <v>50000</v>
      </c>
      <c r="G68" s="91">
        <v>1</v>
      </c>
      <c r="I68" s="86">
        <v>50000</v>
      </c>
    </row>
    <row r="69" spans="1:10" ht="18" customHeight="1">
      <c r="A69" s="88">
        <v>852</v>
      </c>
      <c r="B69" s="100">
        <v>45845</v>
      </c>
      <c r="C69" s="89" t="s">
        <v>1180</v>
      </c>
      <c r="D69" s="123" t="s">
        <v>2507</v>
      </c>
      <c r="F69" s="130">
        <v>900000</v>
      </c>
      <c r="G69" s="91">
        <v>1</v>
      </c>
      <c r="I69" s="86">
        <v>900000</v>
      </c>
    </row>
    <row r="70" spans="1:10" ht="18" customHeight="1">
      <c r="A70" s="88">
        <v>853</v>
      </c>
      <c r="B70" s="100">
        <v>45845</v>
      </c>
      <c r="C70" s="89" t="s">
        <v>1180</v>
      </c>
      <c r="D70" s="123" t="s">
        <v>2520</v>
      </c>
      <c r="F70" s="130">
        <v>50000</v>
      </c>
      <c r="G70" s="91">
        <v>1</v>
      </c>
      <c r="I70" s="86">
        <v>50000</v>
      </c>
    </row>
    <row r="71" spans="1:10" ht="18" customHeight="1">
      <c r="A71" s="88">
        <v>854</v>
      </c>
      <c r="B71" s="100">
        <v>45845</v>
      </c>
      <c r="C71" s="89" t="s">
        <v>1949</v>
      </c>
      <c r="D71" s="123" t="s">
        <v>2274</v>
      </c>
      <c r="F71" s="130">
        <v>900000</v>
      </c>
      <c r="G71" s="91">
        <v>1</v>
      </c>
      <c r="I71" s="86">
        <v>900000</v>
      </c>
    </row>
    <row r="72" spans="1:10" ht="18" customHeight="1">
      <c r="A72" s="88">
        <v>855</v>
      </c>
      <c r="B72" s="100">
        <v>45845</v>
      </c>
      <c r="C72" s="89" t="s">
        <v>1486</v>
      </c>
      <c r="D72" s="123" t="s">
        <v>2275</v>
      </c>
      <c r="F72" s="130">
        <v>510000</v>
      </c>
      <c r="G72" s="91">
        <v>1</v>
      </c>
      <c r="I72" s="86">
        <v>510000</v>
      </c>
    </row>
    <row r="73" spans="1:10" ht="18" customHeight="1">
      <c r="A73" s="88">
        <v>856</v>
      </c>
      <c r="B73" s="100">
        <v>45845</v>
      </c>
      <c r="C73" s="89" t="s">
        <v>1486</v>
      </c>
      <c r="D73" s="123" t="s">
        <v>2278</v>
      </c>
      <c r="F73" s="130">
        <v>70000</v>
      </c>
      <c r="G73" s="91">
        <v>2</v>
      </c>
      <c r="I73" s="86">
        <v>140000</v>
      </c>
    </row>
    <row r="74" spans="1:10" ht="18" customHeight="1">
      <c r="A74" s="88">
        <v>857</v>
      </c>
      <c r="B74" s="100">
        <v>45845</v>
      </c>
      <c r="C74" s="89" t="s">
        <v>1785</v>
      </c>
      <c r="D74" s="123" t="s">
        <v>2964</v>
      </c>
      <c r="F74" s="130">
        <v>200000</v>
      </c>
      <c r="G74" s="91">
        <v>1</v>
      </c>
      <c r="I74" s="86">
        <v>200000</v>
      </c>
    </row>
    <row r="75" spans="1:10" ht="18" customHeight="1">
      <c r="A75" s="88">
        <v>858</v>
      </c>
      <c r="B75" s="100">
        <v>45845</v>
      </c>
      <c r="C75" s="89" t="s">
        <v>2948</v>
      </c>
      <c r="D75" s="123" t="s">
        <v>1158</v>
      </c>
      <c r="J75" s="86">
        <v>-1550000</v>
      </c>
    </row>
    <row r="76" spans="1:10" ht="18" customHeight="1">
      <c r="A76" s="88">
        <v>859</v>
      </c>
      <c r="B76" s="100">
        <v>45845</v>
      </c>
      <c r="C76" s="89" t="s">
        <v>2954</v>
      </c>
      <c r="D76" s="123" t="s">
        <v>1158</v>
      </c>
      <c r="J76" s="86">
        <v>-1550000</v>
      </c>
    </row>
    <row r="77" spans="1:10" ht="18" customHeight="1">
      <c r="A77" s="88">
        <v>860</v>
      </c>
      <c r="B77" s="100">
        <v>45845</v>
      </c>
      <c r="C77" s="89" t="s">
        <v>1949</v>
      </c>
      <c r="D77" s="123" t="s">
        <v>1158</v>
      </c>
      <c r="J77" s="86">
        <v>-900000</v>
      </c>
    </row>
    <row r="78" spans="1:10" ht="18" customHeight="1">
      <c r="A78" s="88">
        <v>861</v>
      </c>
      <c r="B78" s="100">
        <v>45845</v>
      </c>
      <c r="C78" s="89" t="s">
        <v>1785</v>
      </c>
      <c r="D78" s="123" t="s">
        <v>2966</v>
      </c>
      <c r="J78" s="86">
        <v>-1870000</v>
      </c>
    </row>
    <row r="79" spans="1:10" ht="18" customHeight="1">
      <c r="A79" s="88">
        <v>862</v>
      </c>
      <c r="B79" s="100">
        <v>45846</v>
      </c>
      <c r="C79" s="89" t="s">
        <v>1625</v>
      </c>
      <c r="D79" s="123" t="s">
        <v>1158</v>
      </c>
      <c r="J79" s="86">
        <v>-1375000</v>
      </c>
    </row>
    <row r="80" spans="1:10" ht="18" customHeight="1">
      <c r="A80" s="88">
        <v>863</v>
      </c>
      <c r="B80" s="100">
        <v>45846</v>
      </c>
      <c r="C80" s="89" t="s">
        <v>1441</v>
      </c>
      <c r="D80" s="123" t="s">
        <v>1808</v>
      </c>
      <c r="F80" s="130">
        <v>450000</v>
      </c>
      <c r="G80" s="91">
        <v>1</v>
      </c>
      <c r="I80" s="86">
        <v>450000</v>
      </c>
    </row>
    <row r="81" spans="1:9" ht="18" customHeight="1">
      <c r="A81" s="88">
        <v>864</v>
      </c>
      <c r="B81" s="100">
        <v>45846</v>
      </c>
      <c r="C81" s="89" t="s">
        <v>1441</v>
      </c>
      <c r="D81" s="123" t="s">
        <v>2275</v>
      </c>
      <c r="F81" s="130">
        <v>490000</v>
      </c>
      <c r="G81" s="91">
        <v>1</v>
      </c>
      <c r="I81" s="86">
        <v>490000</v>
      </c>
    </row>
    <row r="82" spans="1:9" ht="18" customHeight="1">
      <c r="A82" s="88">
        <v>865</v>
      </c>
      <c r="B82" s="100">
        <v>45846</v>
      </c>
      <c r="C82" s="89" t="s">
        <v>1441</v>
      </c>
      <c r="D82" s="123" t="s">
        <v>2276</v>
      </c>
      <c r="F82" s="130">
        <v>130000</v>
      </c>
      <c r="G82" s="91">
        <v>1</v>
      </c>
      <c r="I82" s="86">
        <v>130000</v>
      </c>
    </row>
    <row r="83" spans="1:9" ht="18" customHeight="1">
      <c r="A83" s="88">
        <v>866</v>
      </c>
      <c r="B83" s="100">
        <v>45846</v>
      </c>
      <c r="C83" s="89" t="s">
        <v>1441</v>
      </c>
      <c r="D83" s="123" t="s">
        <v>2280</v>
      </c>
      <c r="F83" s="130">
        <v>10000</v>
      </c>
      <c r="G83" s="91">
        <v>1</v>
      </c>
      <c r="I83" s="86">
        <v>10000</v>
      </c>
    </row>
    <row r="84" spans="1:9" ht="18" customHeight="1">
      <c r="A84" s="88">
        <v>867</v>
      </c>
      <c r="B84" s="100">
        <v>45846</v>
      </c>
      <c r="C84" s="89" t="s">
        <v>1441</v>
      </c>
      <c r="D84" s="123" t="s">
        <v>2279</v>
      </c>
      <c r="F84" s="130">
        <v>30000</v>
      </c>
      <c r="G84" s="91">
        <v>1</v>
      </c>
      <c r="I84" s="86">
        <v>30000</v>
      </c>
    </row>
    <row r="85" spans="1:9" ht="18" customHeight="1">
      <c r="A85" s="88">
        <v>868</v>
      </c>
      <c r="B85" s="100">
        <v>45846</v>
      </c>
      <c r="C85" s="89" t="s">
        <v>2954</v>
      </c>
      <c r="D85" s="123" t="s">
        <v>2970</v>
      </c>
      <c r="F85" s="130">
        <v>400000</v>
      </c>
      <c r="G85" s="91">
        <v>1</v>
      </c>
      <c r="I85" s="86">
        <v>400000</v>
      </c>
    </row>
    <row r="86" spans="1:9" ht="18" customHeight="1">
      <c r="A86" s="88">
        <v>869</v>
      </c>
      <c r="B86" s="100">
        <v>45846</v>
      </c>
      <c r="C86" s="89" t="s">
        <v>2954</v>
      </c>
      <c r="D86" s="123" t="s">
        <v>2271</v>
      </c>
      <c r="F86" s="86">
        <v>70000</v>
      </c>
      <c r="G86" s="91">
        <v>1</v>
      </c>
      <c r="I86" s="86">
        <v>70000</v>
      </c>
    </row>
    <row r="87" spans="1:9" ht="18" customHeight="1">
      <c r="A87" s="88">
        <v>870</v>
      </c>
      <c r="B87" s="100">
        <v>45846</v>
      </c>
      <c r="C87" s="89" t="s">
        <v>1583</v>
      </c>
      <c r="D87" s="123" t="s">
        <v>1238</v>
      </c>
      <c r="F87" s="130">
        <v>1200000</v>
      </c>
      <c r="G87" s="91">
        <v>1</v>
      </c>
      <c r="I87" s="86">
        <v>1200000</v>
      </c>
    </row>
    <row r="88" spans="1:9" ht="18" customHeight="1">
      <c r="A88" s="88">
        <v>871</v>
      </c>
      <c r="B88" s="100">
        <v>45846</v>
      </c>
      <c r="C88" s="89" t="s">
        <v>1583</v>
      </c>
      <c r="D88" s="123" t="s">
        <v>1538</v>
      </c>
      <c r="F88" s="86">
        <v>350000</v>
      </c>
      <c r="G88" s="91">
        <v>1</v>
      </c>
      <c r="I88" s="86">
        <v>350000</v>
      </c>
    </row>
    <row r="89" spans="1:9" ht="18" customHeight="1">
      <c r="A89" s="88">
        <v>872</v>
      </c>
      <c r="B89" s="100">
        <v>45846</v>
      </c>
      <c r="C89" s="89" t="s">
        <v>1880</v>
      </c>
      <c r="D89" s="123" t="s">
        <v>1832</v>
      </c>
      <c r="F89" s="130">
        <v>65000</v>
      </c>
      <c r="G89" s="91">
        <v>1</v>
      </c>
      <c r="I89" s="86">
        <v>65000</v>
      </c>
    </row>
    <row r="90" spans="1:9" ht="18" customHeight="1">
      <c r="A90" s="88">
        <v>873</v>
      </c>
      <c r="B90" s="100">
        <v>45846</v>
      </c>
      <c r="C90" s="89" t="s">
        <v>1880</v>
      </c>
      <c r="D90" s="123" t="s">
        <v>1832</v>
      </c>
      <c r="F90" s="86">
        <v>25000</v>
      </c>
      <c r="G90" s="91">
        <v>1</v>
      </c>
      <c r="I90" s="86">
        <v>25000</v>
      </c>
    </row>
    <row r="91" spans="1:9" ht="18" customHeight="1">
      <c r="A91" s="88">
        <v>874</v>
      </c>
      <c r="B91" s="100">
        <v>45846</v>
      </c>
      <c r="C91" s="89" t="s">
        <v>2974</v>
      </c>
      <c r="D91" s="123" t="s">
        <v>1800</v>
      </c>
      <c r="F91" s="130">
        <v>450000</v>
      </c>
      <c r="G91" s="91">
        <v>1</v>
      </c>
      <c r="I91" s="86">
        <v>450000</v>
      </c>
    </row>
    <row r="92" spans="1:9" ht="18" customHeight="1">
      <c r="A92" s="88">
        <v>875</v>
      </c>
      <c r="B92" s="100">
        <v>45846</v>
      </c>
      <c r="C92" s="89" t="s">
        <v>1024</v>
      </c>
      <c r="D92" s="123" t="s">
        <v>2979</v>
      </c>
      <c r="F92" s="86">
        <v>1000000</v>
      </c>
      <c r="G92" s="130">
        <v>1</v>
      </c>
      <c r="H92" s="136">
        <v>100000</v>
      </c>
      <c r="I92" s="86">
        <v>1100000</v>
      </c>
    </row>
    <row r="93" spans="1:9" ht="18" customHeight="1">
      <c r="A93" s="88">
        <v>876</v>
      </c>
      <c r="B93" s="100">
        <v>45846</v>
      </c>
      <c r="C93" s="89" t="s">
        <v>1631</v>
      </c>
      <c r="D93" s="123" t="s">
        <v>1238</v>
      </c>
      <c r="F93" s="86">
        <v>1200000</v>
      </c>
      <c r="G93" s="130">
        <v>1</v>
      </c>
      <c r="H93" s="136">
        <v>120000</v>
      </c>
      <c r="I93" s="86">
        <v>1320000</v>
      </c>
    </row>
    <row r="94" spans="1:9" ht="18" customHeight="1">
      <c r="A94" s="88">
        <v>877</v>
      </c>
      <c r="B94" s="100">
        <v>45846</v>
      </c>
      <c r="C94" s="89" t="s">
        <v>1622</v>
      </c>
      <c r="D94" s="123" t="s">
        <v>2274</v>
      </c>
      <c r="F94" s="86">
        <v>1400000</v>
      </c>
      <c r="G94" s="130">
        <v>1</v>
      </c>
      <c r="H94" s="136">
        <v>140000</v>
      </c>
      <c r="I94" s="86">
        <v>1540000</v>
      </c>
    </row>
    <row r="95" spans="1:9" ht="18" customHeight="1">
      <c r="A95" s="88">
        <v>878</v>
      </c>
      <c r="B95" s="100">
        <v>45846</v>
      </c>
      <c r="C95" s="89" t="s">
        <v>1622</v>
      </c>
      <c r="D95" s="123" t="s">
        <v>2278</v>
      </c>
      <c r="F95" s="86">
        <v>70000</v>
      </c>
      <c r="G95" s="130">
        <v>1</v>
      </c>
      <c r="H95" s="136">
        <v>7000</v>
      </c>
      <c r="I95" s="86">
        <v>77000</v>
      </c>
    </row>
    <row r="96" spans="1:9" ht="18" customHeight="1">
      <c r="A96" s="88">
        <v>879</v>
      </c>
      <c r="B96" s="100">
        <v>45846</v>
      </c>
      <c r="C96" s="89" t="s">
        <v>1622</v>
      </c>
      <c r="D96" s="123" t="s">
        <v>2279</v>
      </c>
      <c r="F96" s="86">
        <v>32000</v>
      </c>
      <c r="G96" s="130">
        <v>1</v>
      </c>
      <c r="H96" s="136">
        <v>3200</v>
      </c>
      <c r="I96" s="86">
        <v>35200</v>
      </c>
    </row>
    <row r="97" spans="1:10" ht="18" customHeight="1">
      <c r="A97" s="88">
        <v>880</v>
      </c>
      <c r="B97" s="100">
        <v>45846</v>
      </c>
      <c r="C97" s="89" t="s">
        <v>1622</v>
      </c>
      <c r="D97" s="123" t="s">
        <v>1561</v>
      </c>
      <c r="F97" s="86">
        <v>20000</v>
      </c>
      <c r="G97" s="130">
        <v>1</v>
      </c>
      <c r="H97" s="136">
        <v>2000</v>
      </c>
      <c r="I97" s="86">
        <v>22000</v>
      </c>
    </row>
    <row r="98" spans="1:10" ht="18" customHeight="1">
      <c r="A98" s="88">
        <v>881</v>
      </c>
      <c r="B98" s="100">
        <v>45846</v>
      </c>
      <c r="C98" s="89" t="s">
        <v>1622</v>
      </c>
      <c r="D98" s="123" t="s">
        <v>2275</v>
      </c>
      <c r="F98" s="86">
        <v>517273</v>
      </c>
      <c r="G98" s="130">
        <v>1</v>
      </c>
      <c r="H98" s="136">
        <v>51727</v>
      </c>
      <c r="I98" s="86">
        <v>569000</v>
      </c>
    </row>
    <row r="99" spans="1:10" ht="18" customHeight="1">
      <c r="A99" s="88">
        <v>882</v>
      </c>
      <c r="B99" s="100">
        <v>45846</v>
      </c>
      <c r="C99" s="89" t="s">
        <v>1180</v>
      </c>
      <c r="D99" s="123" t="s">
        <v>1238</v>
      </c>
      <c r="F99" s="86">
        <v>1200000</v>
      </c>
      <c r="G99" s="130">
        <v>1</v>
      </c>
      <c r="I99" s="86">
        <v>1200000</v>
      </c>
    </row>
    <row r="100" spans="1:10" ht="18" customHeight="1">
      <c r="A100" s="88">
        <v>883</v>
      </c>
      <c r="B100" s="100">
        <v>45846</v>
      </c>
      <c r="C100" s="89" t="s">
        <v>2723</v>
      </c>
      <c r="D100" s="123" t="s">
        <v>1158</v>
      </c>
      <c r="F100" s="86"/>
      <c r="G100" s="130"/>
      <c r="J100" s="86">
        <v>-1550000</v>
      </c>
    </row>
    <row r="101" spans="1:10" ht="18" customHeight="1">
      <c r="A101" s="88">
        <v>884</v>
      </c>
      <c r="B101" s="100">
        <v>45846</v>
      </c>
      <c r="C101" s="89" t="s">
        <v>2954</v>
      </c>
      <c r="D101" s="123" t="s">
        <v>1158</v>
      </c>
      <c r="F101" s="86"/>
      <c r="G101" s="130"/>
      <c r="J101" s="86">
        <v>-470000</v>
      </c>
    </row>
    <row r="102" spans="1:10" ht="18" customHeight="1">
      <c r="A102" s="88">
        <v>885</v>
      </c>
      <c r="B102" s="100">
        <v>45847</v>
      </c>
      <c r="C102" s="89" t="s">
        <v>1441</v>
      </c>
      <c r="D102" s="123" t="s">
        <v>1808</v>
      </c>
      <c r="F102" s="86">
        <v>650000</v>
      </c>
      <c r="G102" s="130">
        <v>1</v>
      </c>
      <c r="I102" s="86">
        <v>650000</v>
      </c>
    </row>
    <row r="103" spans="1:10" ht="18" customHeight="1">
      <c r="A103" s="88">
        <v>886</v>
      </c>
      <c r="B103" s="100">
        <v>45847</v>
      </c>
      <c r="C103" s="89" t="s">
        <v>2517</v>
      </c>
      <c r="D103" s="123" t="s">
        <v>2107</v>
      </c>
      <c r="F103" s="86">
        <v>1500000</v>
      </c>
      <c r="G103" s="130">
        <v>1</v>
      </c>
      <c r="H103" s="136">
        <v>150000</v>
      </c>
      <c r="I103" s="86">
        <v>1650000</v>
      </c>
    </row>
    <row r="104" spans="1:10" ht="18" customHeight="1">
      <c r="A104" s="88">
        <v>887</v>
      </c>
      <c r="B104" s="100">
        <v>45847</v>
      </c>
      <c r="C104" s="89" t="s">
        <v>2350</v>
      </c>
      <c r="D104" s="123" t="s">
        <v>2271</v>
      </c>
      <c r="F104" s="86">
        <v>70000</v>
      </c>
      <c r="G104" s="130">
        <v>1</v>
      </c>
      <c r="I104" s="86">
        <v>70000</v>
      </c>
    </row>
    <row r="105" spans="1:10" ht="18" customHeight="1">
      <c r="A105" s="88">
        <v>888</v>
      </c>
      <c r="B105" s="100">
        <v>45847</v>
      </c>
      <c r="C105" s="89" t="s">
        <v>1486</v>
      </c>
      <c r="D105" s="123" t="s">
        <v>2268</v>
      </c>
      <c r="F105" s="86">
        <v>1500000</v>
      </c>
      <c r="G105" s="130">
        <v>1</v>
      </c>
      <c r="I105" s="86">
        <v>1500000</v>
      </c>
    </row>
    <row r="106" spans="1:10" ht="18" customHeight="1">
      <c r="A106" s="88">
        <v>889</v>
      </c>
      <c r="B106" s="100">
        <v>45847</v>
      </c>
      <c r="C106" s="89" t="s">
        <v>1486</v>
      </c>
      <c r="D106" s="123" t="s">
        <v>2269</v>
      </c>
      <c r="F106" s="86">
        <v>50000</v>
      </c>
      <c r="G106" s="130">
        <v>1</v>
      </c>
      <c r="I106" s="86">
        <v>50000</v>
      </c>
    </row>
    <row r="107" spans="1:10" ht="18" customHeight="1">
      <c r="A107" s="88">
        <v>890</v>
      </c>
      <c r="B107" s="100">
        <v>45847</v>
      </c>
      <c r="C107" s="89" t="s">
        <v>1785</v>
      </c>
      <c r="D107" s="123" t="s">
        <v>2422</v>
      </c>
      <c r="F107" s="86">
        <v>1200000</v>
      </c>
      <c r="G107" s="130">
        <v>1</v>
      </c>
      <c r="I107" s="86">
        <v>1200000</v>
      </c>
    </row>
    <row r="108" spans="1:10" ht="18" customHeight="1">
      <c r="A108" s="88">
        <v>891</v>
      </c>
      <c r="B108" s="100">
        <v>45847</v>
      </c>
      <c r="C108" s="89" t="s">
        <v>1812</v>
      </c>
      <c r="D108" s="123" t="s">
        <v>2391</v>
      </c>
      <c r="F108" s="86">
        <v>650000</v>
      </c>
      <c r="G108" s="130">
        <v>2</v>
      </c>
      <c r="H108" s="136">
        <v>130000</v>
      </c>
      <c r="I108" s="86">
        <v>1430000</v>
      </c>
    </row>
    <row r="109" spans="1:10" ht="18" customHeight="1">
      <c r="A109" s="88">
        <v>892</v>
      </c>
      <c r="B109" s="100">
        <v>45847</v>
      </c>
      <c r="C109" s="89" t="s">
        <v>1812</v>
      </c>
      <c r="D109" s="123" t="s">
        <v>1561</v>
      </c>
      <c r="F109" s="86">
        <v>20000</v>
      </c>
      <c r="G109" s="130">
        <v>1</v>
      </c>
      <c r="H109" s="136">
        <v>2000</v>
      </c>
      <c r="I109" s="86">
        <v>22000</v>
      </c>
    </row>
    <row r="110" spans="1:10" ht="18" customHeight="1">
      <c r="A110" s="88">
        <v>893</v>
      </c>
      <c r="B110" s="100">
        <v>45847</v>
      </c>
      <c r="C110" s="89" t="s">
        <v>2350</v>
      </c>
      <c r="D110" s="123" t="s">
        <v>1158</v>
      </c>
      <c r="F110" s="86"/>
      <c r="G110" s="130"/>
      <c r="J110" s="86">
        <v>-70000</v>
      </c>
    </row>
    <row r="111" spans="1:10" ht="18" customHeight="1">
      <c r="A111" s="88">
        <v>893</v>
      </c>
      <c r="B111" s="100">
        <v>45847</v>
      </c>
      <c r="C111" s="89" t="s">
        <v>2974</v>
      </c>
      <c r="D111" s="123" t="s">
        <v>1158</v>
      </c>
      <c r="F111" s="86"/>
      <c r="G111" s="130"/>
      <c r="J111" s="86">
        <v>-450000</v>
      </c>
    </row>
    <row r="112" spans="1:10" ht="18" customHeight="1">
      <c r="A112" s="88">
        <v>894</v>
      </c>
      <c r="B112" s="100">
        <v>45848</v>
      </c>
      <c r="C112" s="89" t="s">
        <v>1631</v>
      </c>
      <c r="D112" s="123" t="s">
        <v>1158</v>
      </c>
      <c r="F112" s="86"/>
      <c r="G112" s="130"/>
      <c r="J112" s="86">
        <v>-1320000</v>
      </c>
    </row>
    <row r="113" spans="1:10" ht="18" customHeight="1">
      <c r="A113" s="88">
        <v>895</v>
      </c>
      <c r="B113" s="100">
        <v>45848</v>
      </c>
      <c r="C113" s="89" t="s">
        <v>2517</v>
      </c>
      <c r="D113" s="123" t="s">
        <v>1158</v>
      </c>
      <c r="F113" s="86"/>
      <c r="G113" s="130"/>
      <c r="J113" s="86">
        <v>-1650000</v>
      </c>
    </row>
    <row r="114" spans="1:10" ht="18" customHeight="1">
      <c r="A114" s="88">
        <v>896</v>
      </c>
      <c r="B114" s="100">
        <v>45848</v>
      </c>
      <c r="C114" s="89" t="s">
        <v>2879</v>
      </c>
      <c r="D114" s="123" t="s">
        <v>2275</v>
      </c>
      <c r="F114" s="86">
        <v>581818</v>
      </c>
      <c r="G114" s="130">
        <v>1</v>
      </c>
      <c r="H114" s="136">
        <v>58182</v>
      </c>
      <c r="I114" s="86">
        <v>640000</v>
      </c>
    </row>
    <row r="115" spans="1:10" ht="18" customHeight="1">
      <c r="A115" s="88">
        <v>897</v>
      </c>
      <c r="B115" s="100">
        <v>45848</v>
      </c>
      <c r="C115" s="89" t="s">
        <v>2879</v>
      </c>
      <c r="D115" s="123" t="s">
        <v>2278</v>
      </c>
      <c r="F115" s="86">
        <v>80000</v>
      </c>
      <c r="G115" s="130">
        <v>1</v>
      </c>
      <c r="H115" s="136">
        <v>8000</v>
      </c>
      <c r="I115" s="86">
        <v>88000</v>
      </c>
    </row>
    <row r="116" spans="1:10" ht="18" customHeight="1">
      <c r="A116" s="88">
        <v>898</v>
      </c>
      <c r="B116" s="100">
        <v>45848</v>
      </c>
      <c r="C116" s="89" t="s">
        <v>2879</v>
      </c>
      <c r="D116" s="123" t="s">
        <v>1981</v>
      </c>
      <c r="F116" s="86">
        <v>20000</v>
      </c>
      <c r="G116" s="130">
        <v>1</v>
      </c>
      <c r="H116" s="136">
        <v>2000</v>
      </c>
      <c r="I116" s="86">
        <v>22000</v>
      </c>
    </row>
    <row r="117" spans="1:10" ht="18" customHeight="1">
      <c r="A117" s="88">
        <v>899</v>
      </c>
      <c r="B117" s="100">
        <v>45848</v>
      </c>
      <c r="C117" s="89" t="s">
        <v>2411</v>
      </c>
      <c r="D117" s="123" t="s">
        <v>3001</v>
      </c>
      <c r="F117" s="86">
        <v>150000</v>
      </c>
      <c r="G117" s="130">
        <v>1</v>
      </c>
      <c r="I117" s="86">
        <v>150000</v>
      </c>
    </row>
    <row r="118" spans="1:10" ht="18" customHeight="1">
      <c r="A118" s="88">
        <v>900</v>
      </c>
      <c r="B118" s="100">
        <v>45848</v>
      </c>
      <c r="C118" s="89" t="s">
        <v>1441</v>
      </c>
      <c r="D118" s="123" t="s">
        <v>2189</v>
      </c>
      <c r="F118" s="86">
        <v>1000000</v>
      </c>
      <c r="G118" s="130">
        <v>1</v>
      </c>
      <c r="I118" s="86">
        <v>1000000</v>
      </c>
    </row>
    <row r="119" spans="1:10" ht="18" customHeight="1">
      <c r="A119" s="88">
        <v>901</v>
      </c>
      <c r="B119" s="100">
        <v>45848</v>
      </c>
      <c r="C119" s="89" t="s">
        <v>1035</v>
      </c>
      <c r="D119" s="123" t="s">
        <v>2285</v>
      </c>
      <c r="F119" s="86">
        <v>1500000</v>
      </c>
      <c r="G119" s="130">
        <v>1</v>
      </c>
      <c r="I119" s="86">
        <v>1500000</v>
      </c>
    </row>
    <row r="120" spans="1:10" ht="18" customHeight="1">
      <c r="A120" s="88">
        <v>902</v>
      </c>
      <c r="B120" s="100">
        <v>45848</v>
      </c>
      <c r="C120" s="89" t="s">
        <v>1024</v>
      </c>
      <c r="D120" s="123" t="s">
        <v>1238</v>
      </c>
      <c r="F120" s="86">
        <v>1200000</v>
      </c>
      <c r="G120" s="130">
        <v>1</v>
      </c>
      <c r="H120" s="136">
        <v>120000</v>
      </c>
      <c r="I120" s="86">
        <v>1320000</v>
      </c>
    </row>
    <row r="121" spans="1:10" ht="18" customHeight="1">
      <c r="A121" s="88">
        <v>903</v>
      </c>
      <c r="B121" s="100">
        <v>45848</v>
      </c>
      <c r="C121" s="89" t="s">
        <v>1024</v>
      </c>
      <c r="D121" s="123" t="s">
        <v>3005</v>
      </c>
      <c r="F121" s="86">
        <v>129000</v>
      </c>
      <c r="G121" s="130">
        <v>1</v>
      </c>
      <c r="H121" s="136">
        <v>12900</v>
      </c>
      <c r="I121" s="86">
        <v>141900</v>
      </c>
    </row>
    <row r="122" spans="1:10" ht="18" customHeight="1">
      <c r="A122" s="88">
        <v>904</v>
      </c>
      <c r="B122" s="100">
        <v>45848</v>
      </c>
      <c r="C122" s="89" t="s">
        <v>1024</v>
      </c>
      <c r="D122" s="123" t="s">
        <v>2520</v>
      </c>
      <c r="F122" s="130">
        <v>33000</v>
      </c>
      <c r="G122" s="91">
        <v>2</v>
      </c>
      <c r="H122" s="136">
        <v>6600</v>
      </c>
      <c r="I122" s="86">
        <v>72600</v>
      </c>
    </row>
    <row r="123" spans="1:10" ht="18" customHeight="1">
      <c r="A123" s="88">
        <v>905</v>
      </c>
      <c r="B123" s="100">
        <v>45849</v>
      </c>
      <c r="C123" s="89" t="s">
        <v>1024</v>
      </c>
      <c r="D123" s="123" t="s">
        <v>1158</v>
      </c>
      <c r="J123" s="86">
        <v>-2634500</v>
      </c>
    </row>
    <row r="124" spans="1:10" ht="18" customHeight="1">
      <c r="A124" s="88">
        <v>906</v>
      </c>
      <c r="B124" s="100">
        <v>45849</v>
      </c>
      <c r="C124" s="89" t="s">
        <v>1622</v>
      </c>
      <c r="D124" s="123" t="s">
        <v>3013</v>
      </c>
      <c r="F124" s="130">
        <v>13000</v>
      </c>
      <c r="G124" s="91">
        <v>1</v>
      </c>
      <c r="H124" s="136">
        <v>1300</v>
      </c>
      <c r="I124" s="86">
        <v>14300</v>
      </c>
    </row>
    <row r="125" spans="1:10" ht="18" customHeight="1">
      <c r="A125" s="88">
        <v>907</v>
      </c>
      <c r="B125" s="100">
        <v>45849</v>
      </c>
      <c r="C125" s="89" t="s">
        <v>1622</v>
      </c>
      <c r="D125" s="123" t="s">
        <v>3015</v>
      </c>
      <c r="F125" s="130">
        <v>75000</v>
      </c>
      <c r="G125" s="91">
        <v>1</v>
      </c>
      <c r="H125" s="136">
        <v>7500</v>
      </c>
      <c r="I125" s="86">
        <v>82500</v>
      </c>
    </row>
    <row r="126" spans="1:10" ht="18" customHeight="1">
      <c r="A126" s="88">
        <v>908</v>
      </c>
      <c r="B126" s="100">
        <v>45849</v>
      </c>
      <c r="C126" s="89" t="s">
        <v>1625</v>
      </c>
      <c r="D126" s="123" t="s">
        <v>2268</v>
      </c>
      <c r="F126" s="130">
        <v>1500000</v>
      </c>
      <c r="G126" s="91">
        <v>1</v>
      </c>
      <c r="H126" s="136">
        <v>150000</v>
      </c>
      <c r="I126" s="86">
        <v>1650000</v>
      </c>
    </row>
    <row r="127" spans="1:10" ht="18" customHeight="1">
      <c r="A127" s="88">
        <v>909</v>
      </c>
      <c r="B127" s="100">
        <v>45849</v>
      </c>
      <c r="C127" s="89" t="s">
        <v>1625</v>
      </c>
      <c r="D127" s="123" t="s">
        <v>2269</v>
      </c>
      <c r="F127" s="130">
        <v>50000</v>
      </c>
      <c r="G127" s="91">
        <v>1</v>
      </c>
      <c r="H127" s="136">
        <v>5000</v>
      </c>
      <c r="I127" s="86">
        <v>55000</v>
      </c>
    </row>
    <row r="128" spans="1:10" ht="18" customHeight="1">
      <c r="A128" s="88">
        <v>910</v>
      </c>
      <c r="B128" s="100">
        <v>45849</v>
      </c>
      <c r="C128" s="89" t="s">
        <v>1441</v>
      </c>
      <c r="D128" s="123" t="s">
        <v>1808</v>
      </c>
      <c r="F128" s="130">
        <v>1100000</v>
      </c>
      <c r="G128" s="91">
        <v>1</v>
      </c>
      <c r="I128" s="86">
        <v>1100000</v>
      </c>
    </row>
    <row r="129" spans="1:10" ht="18" customHeight="1">
      <c r="A129" s="88">
        <v>911</v>
      </c>
      <c r="B129" s="100">
        <v>45849</v>
      </c>
      <c r="C129" s="89" t="s">
        <v>1500</v>
      </c>
      <c r="D129" s="123" t="s">
        <v>2906</v>
      </c>
      <c r="F129" s="130">
        <v>199000</v>
      </c>
      <c r="G129" s="91">
        <v>1</v>
      </c>
      <c r="I129" s="86">
        <v>199000</v>
      </c>
    </row>
    <row r="130" spans="1:10" ht="18" customHeight="1">
      <c r="A130" s="88">
        <v>912</v>
      </c>
      <c r="B130" s="100">
        <v>45849</v>
      </c>
      <c r="C130" s="89" t="s">
        <v>1491</v>
      </c>
      <c r="D130" s="123" t="s">
        <v>1577</v>
      </c>
      <c r="F130" s="130">
        <v>450000</v>
      </c>
      <c r="G130" s="91">
        <v>1</v>
      </c>
      <c r="I130" s="86">
        <v>450000</v>
      </c>
    </row>
    <row r="131" spans="1:10" ht="18" customHeight="1">
      <c r="A131" s="88">
        <v>913</v>
      </c>
      <c r="B131" s="100">
        <v>45849</v>
      </c>
      <c r="C131" s="89" t="s">
        <v>1631</v>
      </c>
      <c r="D131" s="123" t="s">
        <v>1238</v>
      </c>
      <c r="F131" s="130">
        <v>1200000</v>
      </c>
      <c r="G131" s="91">
        <v>1</v>
      </c>
      <c r="H131" s="136">
        <v>120000</v>
      </c>
      <c r="I131" s="86">
        <v>1320000</v>
      </c>
    </row>
    <row r="132" spans="1:10" ht="18" customHeight="1">
      <c r="A132" s="88">
        <v>914</v>
      </c>
      <c r="B132" s="100">
        <v>45849</v>
      </c>
      <c r="C132" s="89" t="s">
        <v>1631</v>
      </c>
      <c r="D132" s="123" t="s">
        <v>1538</v>
      </c>
      <c r="F132" s="130">
        <v>350000</v>
      </c>
      <c r="G132" s="91">
        <v>1</v>
      </c>
      <c r="H132" s="136">
        <v>35000</v>
      </c>
      <c r="I132" s="86">
        <v>385000</v>
      </c>
    </row>
    <row r="133" spans="1:10" ht="18" customHeight="1">
      <c r="A133" s="88">
        <v>915</v>
      </c>
      <c r="B133" s="100">
        <v>45849</v>
      </c>
      <c r="C133" s="89" t="s">
        <v>1631</v>
      </c>
      <c r="D133" s="123" t="s">
        <v>1801</v>
      </c>
      <c r="F133" s="130">
        <v>500000</v>
      </c>
      <c r="G133" s="91">
        <v>1</v>
      </c>
      <c r="H133" s="136">
        <v>50000</v>
      </c>
      <c r="I133" s="86">
        <v>550000</v>
      </c>
    </row>
    <row r="134" spans="1:10" ht="18" customHeight="1">
      <c r="A134" s="88">
        <v>916</v>
      </c>
      <c r="B134" s="100">
        <v>45849</v>
      </c>
      <c r="C134" s="89" t="s">
        <v>1631</v>
      </c>
      <c r="D134" s="123" t="s">
        <v>2998</v>
      </c>
      <c r="F134" s="130">
        <v>500000</v>
      </c>
      <c r="G134" s="91">
        <v>1</v>
      </c>
      <c r="H134" s="136">
        <v>50000</v>
      </c>
      <c r="I134" s="86">
        <v>550000</v>
      </c>
    </row>
    <row r="135" spans="1:10" ht="18" customHeight="1">
      <c r="A135" s="88">
        <v>917</v>
      </c>
      <c r="B135" s="100">
        <v>45849</v>
      </c>
      <c r="C135" s="89" t="s">
        <v>3024</v>
      </c>
      <c r="D135" s="123" t="s">
        <v>2268</v>
      </c>
      <c r="F135" s="130">
        <v>1500000</v>
      </c>
      <c r="G135" s="91">
        <v>1</v>
      </c>
      <c r="H135" s="136">
        <v>150000</v>
      </c>
      <c r="I135" s="86">
        <v>1650000</v>
      </c>
    </row>
    <row r="136" spans="1:10" ht="18" customHeight="1">
      <c r="A136" s="88">
        <v>918</v>
      </c>
      <c r="B136" s="100">
        <v>45849</v>
      </c>
      <c r="C136" s="89" t="s">
        <v>3024</v>
      </c>
      <c r="D136" s="123" t="s">
        <v>2269</v>
      </c>
      <c r="F136" s="130">
        <v>50000</v>
      </c>
      <c r="G136" s="91">
        <v>1</v>
      </c>
      <c r="H136" s="136">
        <v>5000</v>
      </c>
      <c r="I136" s="86">
        <v>55000</v>
      </c>
    </row>
    <row r="137" spans="1:10" ht="18" customHeight="1">
      <c r="A137" s="88">
        <v>919</v>
      </c>
      <c r="B137" s="100">
        <v>45849</v>
      </c>
      <c r="C137" s="89" t="s">
        <v>1625</v>
      </c>
      <c r="D137" s="123" t="s">
        <v>1158</v>
      </c>
      <c r="J137" s="86">
        <v>-1705000</v>
      </c>
    </row>
    <row r="138" spans="1:10" ht="18" customHeight="1">
      <c r="A138" s="88">
        <v>920</v>
      </c>
      <c r="B138" s="100">
        <v>45849</v>
      </c>
      <c r="C138" s="89" t="s">
        <v>3024</v>
      </c>
      <c r="D138" s="123" t="s">
        <v>1158</v>
      </c>
      <c r="J138" s="86">
        <v>-1705000</v>
      </c>
    </row>
    <row r="139" spans="1:10" ht="18" customHeight="1">
      <c r="A139" s="88">
        <v>921</v>
      </c>
      <c r="B139" s="100">
        <v>45849</v>
      </c>
      <c r="C139" s="89" t="s">
        <v>1491</v>
      </c>
      <c r="D139" s="123" t="s">
        <v>1158</v>
      </c>
      <c r="J139" s="86">
        <v>-450000</v>
      </c>
    </row>
    <row r="140" spans="1:10" ht="18" customHeight="1">
      <c r="A140" s="88">
        <v>922</v>
      </c>
      <c r="B140" s="100">
        <v>45850</v>
      </c>
      <c r="C140" s="89" t="s">
        <v>1643</v>
      </c>
      <c r="D140" s="123" t="s">
        <v>3031</v>
      </c>
      <c r="F140" s="130">
        <v>170000</v>
      </c>
      <c r="G140" s="91">
        <v>1</v>
      </c>
      <c r="I140" s="86">
        <v>170000</v>
      </c>
    </row>
    <row r="141" spans="1:10" ht="18" customHeight="1">
      <c r="A141" s="88">
        <v>923</v>
      </c>
      <c r="B141" s="100">
        <v>45850</v>
      </c>
      <c r="C141" s="89" t="s">
        <v>2411</v>
      </c>
      <c r="D141" s="123" t="s">
        <v>1158</v>
      </c>
      <c r="J141" s="86">
        <v>-150000</v>
      </c>
    </row>
    <row r="142" spans="1:10" ht="18" customHeight="1">
      <c r="A142" s="88">
        <v>924</v>
      </c>
      <c r="B142" s="100">
        <v>45850</v>
      </c>
      <c r="C142" s="89" t="s">
        <v>1643</v>
      </c>
      <c r="D142" s="123" t="s">
        <v>1158</v>
      </c>
      <c r="J142" s="86">
        <v>-170000</v>
      </c>
    </row>
    <row r="143" spans="1:10" ht="18" customHeight="1">
      <c r="A143" s="88">
        <v>925</v>
      </c>
      <c r="B143" s="100">
        <v>45850</v>
      </c>
      <c r="C143" s="89" t="s">
        <v>2879</v>
      </c>
      <c r="D143" s="123" t="s">
        <v>2274</v>
      </c>
      <c r="F143" s="130">
        <v>1500000</v>
      </c>
      <c r="G143" s="91">
        <v>1</v>
      </c>
      <c r="H143" s="136">
        <v>150000</v>
      </c>
      <c r="I143" s="86">
        <v>1650000</v>
      </c>
    </row>
    <row r="144" spans="1:10" ht="18" customHeight="1">
      <c r="A144" s="88">
        <v>926</v>
      </c>
      <c r="B144" s="100">
        <v>45850</v>
      </c>
      <c r="C144" s="89" t="s">
        <v>1035</v>
      </c>
      <c r="D144" s="123" t="s">
        <v>1158</v>
      </c>
      <c r="J144" s="86">
        <v>-1500000</v>
      </c>
    </row>
    <row r="145" spans="1:10" ht="18" customHeight="1">
      <c r="A145" s="88">
        <v>927</v>
      </c>
      <c r="B145" s="100">
        <v>45852</v>
      </c>
      <c r="C145" s="89" t="s">
        <v>1631</v>
      </c>
      <c r="D145" s="123" t="s">
        <v>1158</v>
      </c>
      <c r="J145" s="86">
        <v>-2805000</v>
      </c>
    </row>
    <row r="146" spans="1:10" ht="18" customHeight="1">
      <c r="A146" s="88">
        <v>928</v>
      </c>
      <c r="B146" s="100">
        <v>45852</v>
      </c>
      <c r="C146" s="89" t="s">
        <v>3043</v>
      </c>
      <c r="D146" s="123" t="s">
        <v>2784</v>
      </c>
      <c r="F146" s="130">
        <v>1750000</v>
      </c>
      <c r="G146" s="91">
        <v>1</v>
      </c>
      <c r="I146" s="86">
        <v>1750000</v>
      </c>
    </row>
    <row r="147" spans="1:10" ht="18" customHeight="1">
      <c r="A147" s="88">
        <v>929</v>
      </c>
      <c r="B147" s="100">
        <v>45852</v>
      </c>
      <c r="C147" s="89" t="s">
        <v>3048</v>
      </c>
      <c r="D147" s="123" t="s">
        <v>2488</v>
      </c>
      <c r="F147" s="130">
        <v>1100000</v>
      </c>
      <c r="G147" s="91">
        <v>1</v>
      </c>
      <c r="I147" s="86">
        <v>1100000</v>
      </c>
    </row>
    <row r="148" spans="1:10" ht="18" customHeight="1">
      <c r="A148" s="88">
        <v>930</v>
      </c>
      <c r="B148" s="100">
        <v>45852</v>
      </c>
      <c r="C148" s="89" t="s">
        <v>1441</v>
      </c>
      <c r="D148" s="123" t="s">
        <v>1808</v>
      </c>
      <c r="F148" s="130">
        <v>650000</v>
      </c>
      <c r="G148" s="91">
        <v>1</v>
      </c>
      <c r="I148" s="86">
        <v>650000</v>
      </c>
    </row>
    <row r="149" spans="1:10" ht="18" customHeight="1">
      <c r="A149" s="88">
        <v>931</v>
      </c>
      <c r="B149" s="100">
        <v>45852</v>
      </c>
      <c r="C149" s="89" t="s">
        <v>2517</v>
      </c>
      <c r="D149" s="123" t="s">
        <v>2107</v>
      </c>
      <c r="F149" s="130">
        <v>1500000</v>
      </c>
      <c r="G149" s="91">
        <v>1</v>
      </c>
      <c r="H149" s="136">
        <v>150000</v>
      </c>
      <c r="I149" s="86">
        <v>1650000</v>
      </c>
    </row>
    <row r="150" spans="1:10" ht="18" customHeight="1">
      <c r="A150" s="88">
        <v>932</v>
      </c>
      <c r="B150" s="100">
        <v>45852</v>
      </c>
      <c r="C150" s="89" t="s">
        <v>2411</v>
      </c>
      <c r="D150" s="123" t="s">
        <v>3001</v>
      </c>
      <c r="F150" s="130">
        <v>150000</v>
      </c>
      <c r="G150" s="91">
        <v>1</v>
      </c>
      <c r="I150" s="86">
        <v>150000</v>
      </c>
    </row>
    <row r="151" spans="1:10" ht="18" customHeight="1">
      <c r="A151" s="88">
        <v>933</v>
      </c>
      <c r="B151" s="100">
        <v>45852</v>
      </c>
      <c r="C151" s="89" t="s">
        <v>1643</v>
      </c>
      <c r="D151" s="123" t="s">
        <v>1240</v>
      </c>
      <c r="F151" s="130">
        <v>1200000</v>
      </c>
      <c r="G151" s="91">
        <v>1</v>
      </c>
      <c r="I151" s="86">
        <v>1200000</v>
      </c>
    </row>
    <row r="152" spans="1:10" ht="18" customHeight="1">
      <c r="A152" s="88">
        <v>934</v>
      </c>
      <c r="B152" s="100">
        <v>45852</v>
      </c>
      <c r="C152" s="89" t="s">
        <v>1486</v>
      </c>
      <c r="D152" s="123" t="s">
        <v>2268</v>
      </c>
      <c r="F152" s="130">
        <v>1500000</v>
      </c>
      <c r="G152" s="91">
        <v>1</v>
      </c>
      <c r="I152" s="86">
        <v>1500000</v>
      </c>
    </row>
    <row r="153" spans="1:10" ht="18" customHeight="1">
      <c r="A153" s="88">
        <v>935</v>
      </c>
      <c r="B153" s="100">
        <v>45852</v>
      </c>
      <c r="C153" s="89" t="s">
        <v>1486</v>
      </c>
      <c r="D153" s="123" t="s">
        <v>2269</v>
      </c>
      <c r="F153" s="130">
        <v>50000</v>
      </c>
      <c r="G153" s="91">
        <v>1</v>
      </c>
      <c r="I153" s="86">
        <v>50000</v>
      </c>
    </row>
    <row r="154" spans="1:10" ht="18" customHeight="1">
      <c r="A154" s="88">
        <v>936</v>
      </c>
      <c r="B154" s="100">
        <v>45852</v>
      </c>
      <c r="C154" s="89" t="s">
        <v>1643</v>
      </c>
      <c r="D154" s="123" t="s">
        <v>1158</v>
      </c>
      <c r="J154" s="86">
        <v>-1200000</v>
      </c>
    </row>
    <row r="200" spans="9:9" ht="18" customHeight="1">
      <c r="I200" s="136"/>
    </row>
    <row r="201" spans="9:9" ht="18" customHeight="1">
      <c r="I201" s="13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2997</v>
      </c>
      <c r="D1" s="297" t="s">
        <v>2996</v>
      </c>
      <c r="E1" s="297"/>
      <c r="F1" s="296"/>
    </row>
    <row r="2" spans="1:6">
      <c r="B2" t="s">
        <v>1343</v>
      </c>
      <c r="C2" s="52">
        <f>SUMIF(BTS_매출관리!C:C,B2,BTS_매출관리!I:I)</f>
        <v>4510000</v>
      </c>
      <c r="D2">
        <f t="shared" ref="D2:D65" si="0">RANK(C2,C:C,0)</f>
        <v>2</v>
      </c>
    </row>
    <row r="3" spans="1:6">
      <c r="B3" t="s">
        <v>1377</v>
      </c>
      <c r="C3" s="52">
        <f>SUMIF(BTS_매출관리!C:C,B3,BTS_매출관리!I:I)</f>
        <v>1400000</v>
      </c>
      <c r="D3">
        <f t="shared" si="0"/>
        <v>23</v>
      </c>
    </row>
    <row r="4" spans="1:6">
      <c r="B4" t="s">
        <v>1374</v>
      </c>
      <c r="C4" s="52">
        <f>SUMIF(BTS_매출관리!C:C,B4,BTS_매출관리!I:I)</f>
        <v>3100000</v>
      </c>
      <c r="D4">
        <f t="shared" si="0"/>
        <v>7</v>
      </c>
    </row>
    <row r="5" spans="1:6">
      <c r="B5" t="s">
        <v>1328</v>
      </c>
      <c r="C5" s="52">
        <f>SUMIF(BTS_매출관리!C:C,B5,BTS_매출관리!I:I)</f>
        <v>4455000</v>
      </c>
      <c r="D5">
        <f t="shared" si="0"/>
        <v>3</v>
      </c>
    </row>
    <row r="6" spans="1:6">
      <c r="B6" t="s">
        <v>1855</v>
      </c>
      <c r="C6" s="52">
        <f>SUMIF(BTS_매출관리!C:C,B6,BTS_매출관리!I:I)</f>
        <v>0</v>
      </c>
      <c r="D6">
        <f t="shared" si="0"/>
        <v>36</v>
      </c>
    </row>
    <row r="7" spans="1:6">
      <c r="B7" t="s">
        <v>1315</v>
      </c>
      <c r="C7" s="52">
        <f>SUMIF(BTS_매출관리!C:C,B7,BTS_매출관리!I:I)</f>
        <v>2340000</v>
      </c>
      <c r="D7">
        <f t="shared" si="0"/>
        <v>12</v>
      </c>
    </row>
    <row r="8" spans="1:6">
      <c r="B8" t="s">
        <v>1027</v>
      </c>
      <c r="C8" s="52">
        <f>SUMIF(BTS_매출관리!C:C,B8,BTS_매출관리!I:I)</f>
        <v>0</v>
      </c>
      <c r="D8">
        <f t="shared" si="0"/>
        <v>36</v>
      </c>
    </row>
    <row r="9" spans="1:6">
      <c r="B9" t="s">
        <v>1330</v>
      </c>
      <c r="C9" s="52">
        <f>SUMIF(BTS_매출관리!C:C,B9,BTS_매출관리!I:I)</f>
        <v>5517000</v>
      </c>
      <c r="D9">
        <f t="shared" si="0"/>
        <v>1</v>
      </c>
    </row>
    <row r="10" spans="1:6">
      <c r="B10" t="s">
        <v>1181</v>
      </c>
      <c r="C10" s="52">
        <f>SUMIF(BTS_매출관리!C:C,B10,BTS_매출관리!I:I)</f>
        <v>3350000</v>
      </c>
      <c r="D10">
        <f t="shared" si="0"/>
        <v>5</v>
      </c>
    </row>
    <row r="11" spans="1:6">
      <c r="B11" t="s">
        <v>1375</v>
      </c>
      <c r="C11" s="52">
        <f>SUMIF(BTS_매출관리!C:C,B11,BTS_매출관리!I:I)</f>
        <v>450000</v>
      </c>
      <c r="D11">
        <f t="shared" si="0"/>
        <v>29</v>
      </c>
    </row>
    <row r="12" spans="1:6">
      <c r="B12" t="s">
        <v>1354</v>
      </c>
      <c r="C12" s="52">
        <f>SUMIF(BTS_매출관리!C:C,B12,BTS_매출관리!I:I)</f>
        <v>2370000</v>
      </c>
      <c r="D12">
        <f t="shared" si="0"/>
        <v>11</v>
      </c>
      <c r="F12" t="str">
        <f>IF(D12 &lt; 10,,"")</f>
        <v/>
      </c>
    </row>
    <row r="13" spans="1:6">
      <c r="B13" t="s">
        <v>1348</v>
      </c>
      <c r="C13" s="52">
        <f>SUMIF(BTS_매출관리!C:C,B13,BTS_매출관리!I:I)</f>
        <v>0</v>
      </c>
      <c r="D13">
        <f t="shared" si="0"/>
        <v>36</v>
      </c>
      <c r="F13" t="str">
        <f>IF(D13 &lt; 10,,"")</f>
        <v/>
      </c>
    </row>
    <row r="14" spans="1:6">
      <c r="B14" t="s">
        <v>1729</v>
      </c>
      <c r="C14" s="52">
        <f>SUMIF(BTS_매출관리!C:C,B14,BTS_매출관리!I:I)</f>
        <v>0</v>
      </c>
      <c r="D14">
        <f t="shared" si="0"/>
        <v>36</v>
      </c>
      <c r="F14" t="str">
        <f>IF(D14 &lt; 10,,"")</f>
        <v/>
      </c>
    </row>
    <row r="15" spans="1:6">
      <c r="B15" t="s">
        <v>2305</v>
      </c>
      <c r="C15" s="52">
        <f>SUMIF(BTS_매출관리!C:C,B15,BTS_매출관리!I:I)</f>
        <v>2634500</v>
      </c>
      <c r="D15">
        <f t="shared" si="0"/>
        <v>9</v>
      </c>
    </row>
    <row r="16" spans="1:6">
      <c r="B16" t="s">
        <v>1387</v>
      </c>
      <c r="C16" s="52">
        <f>SUMIF(BTS_매출관리!C:C,B16,BTS_매출관리!I:I)</f>
        <v>0</v>
      </c>
      <c r="D16">
        <f t="shared" si="0"/>
        <v>36</v>
      </c>
    </row>
    <row r="17" spans="2:4">
      <c r="B17" t="s">
        <v>1530</v>
      </c>
      <c r="C17" s="52">
        <f>SUMIF(BTS_매출관리!C:C,B17,BTS_매출관리!I:I)</f>
        <v>1550000</v>
      </c>
      <c r="D17">
        <f t="shared" si="0"/>
        <v>17</v>
      </c>
    </row>
    <row r="18" spans="2:4">
      <c r="B18" t="s">
        <v>1317</v>
      </c>
      <c r="C18" s="52">
        <f>SUMIF(BTS_매출관리!C:C,B18,BTS_매출관리!I:I)</f>
        <v>0</v>
      </c>
      <c r="D18">
        <f t="shared" si="0"/>
        <v>36</v>
      </c>
    </row>
    <row r="19" spans="2:4">
      <c r="B19" t="s">
        <v>987</v>
      </c>
      <c r="C19" s="52">
        <f>SUMIF(BTS_매출관리!C:C,B19,BTS_매출관리!I:I)</f>
        <v>4125000</v>
      </c>
      <c r="D19">
        <f t="shared" si="0"/>
        <v>4</v>
      </c>
    </row>
    <row r="20" spans="2:4">
      <c r="B20" t="s">
        <v>1386</v>
      </c>
      <c r="C20" s="52">
        <f>SUMIF(BTS_매출관리!C:C,B20,BTS_매출관리!I:I)</f>
        <v>1870000</v>
      </c>
      <c r="D20">
        <f t="shared" si="0"/>
        <v>14</v>
      </c>
    </row>
    <row r="21" spans="2:4">
      <c r="B21" t="s">
        <v>1312</v>
      </c>
      <c r="C21" s="52">
        <f>SUMIF(BTS_매출관리!C:C,B21,BTS_매출관리!I:I)</f>
        <v>0</v>
      </c>
      <c r="D21">
        <f t="shared" si="0"/>
        <v>36</v>
      </c>
    </row>
    <row r="22" spans="2:4">
      <c r="B22" t="s">
        <v>1394</v>
      </c>
      <c r="C22" s="52">
        <f>SUMIF(BTS_매출관리!C:C,B22,BTS_매출관리!I:I)</f>
        <v>1452000</v>
      </c>
      <c r="D22">
        <f t="shared" si="0"/>
        <v>22</v>
      </c>
    </row>
    <row r="23" spans="2:4">
      <c r="B23" t="s">
        <v>1358</v>
      </c>
      <c r="C23" s="52">
        <f>SUMIF(BTS_매출관리!C:C,B23,BTS_매출관리!I:I)</f>
        <v>2650000</v>
      </c>
      <c r="D23">
        <f t="shared" si="0"/>
        <v>8</v>
      </c>
    </row>
    <row r="24" spans="2:4">
      <c r="B24" t="s">
        <v>1072</v>
      </c>
      <c r="C24" s="52">
        <f>SUMIF(BTS_매출관리!C:C,B24,BTS_매출관리!I:I)</f>
        <v>3300000</v>
      </c>
      <c r="D24">
        <f t="shared" si="0"/>
        <v>6</v>
      </c>
    </row>
    <row r="25" spans="2:4">
      <c r="B25" t="s">
        <v>1329</v>
      </c>
      <c r="C25" s="52">
        <f>SUMIF(BTS_매출관리!C:C,B25,BTS_매출관리!I:I)</f>
        <v>0</v>
      </c>
      <c r="D25">
        <f t="shared" si="0"/>
        <v>36</v>
      </c>
    </row>
    <row r="26" spans="2:4">
      <c r="B26" t="s">
        <v>2460</v>
      </c>
      <c r="C26" s="52">
        <f>SUMIF(BTS_매출관리!C:C,B26,BTS_매출관리!I:I)</f>
        <v>0</v>
      </c>
      <c r="D26">
        <f t="shared" si="0"/>
        <v>36</v>
      </c>
    </row>
    <row r="27" spans="2:4">
      <c r="B27" t="s">
        <v>1046</v>
      </c>
      <c r="C27" s="52">
        <f>SUMIF(BTS_매출관리!C:C,B27,BTS_매출관리!I:I)</f>
        <v>0</v>
      </c>
      <c r="D27">
        <f t="shared" si="0"/>
        <v>36</v>
      </c>
    </row>
    <row r="28" spans="2:4">
      <c r="B28" t="s">
        <v>1339</v>
      </c>
      <c r="C28" s="52">
        <f>SUMIF(BTS_매출관리!C:C,B28,BTS_매출관리!I:I)</f>
        <v>0</v>
      </c>
      <c r="D28">
        <f t="shared" si="0"/>
        <v>36</v>
      </c>
    </row>
    <row r="29" spans="2:4">
      <c r="B29" t="s">
        <v>1331</v>
      </c>
      <c r="C29" s="52">
        <f>SUMIF(BTS_매출관리!C:C,B29,BTS_매출관리!I:I)</f>
        <v>1500000</v>
      </c>
      <c r="D29">
        <f t="shared" si="0"/>
        <v>20</v>
      </c>
    </row>
    <row r="30" spans="2:4">
      <c r="B30" t="s">
        <v>1192</v>
      </c>
      <c r="C30" s="52">
        <f>SUMIF(BTS_매출관리!C:C,B30,BTS_매출관리!I:I)</f>
        <v>900000</v>
      </c>
      <c r="D30">
        <f t="shared" si="0"/>
        <v>27</v>
      </c>
    </row>
    <row r="31" spans="2:4">
      <c r="B31" t="s">
        <v>1398</v>
      </c>
      <c r="C31" s="52">
        <f>SUMIF(BTS_매출관리!C:C,B31,BTS_매출관리!I:I)</f>
        <v>0</v>
      </c>
      <c r="D31">
        <f t="shared" si="0"/>
        <v>36</v>
      </c>
    </row>
    <row r="32" spans="2:4">
      <c r="B32" t="s">
        <v>1344</v>
      </c>
      <c r="C32" s="52">
        <f>SUMIF(BTS_매출관리!C:C,B32,BTS_매출관리!I:I)</f>
        <v>0</v>
      </c>
      <c r="D32">
        <f t="shared" si="0"/>
        <v>36</v>
      </c>
    </row>
    <row r="33" spans="2:4">
      <c r="B33" t="s">
        <v>1382</v>
      </c>
      <c r="C33" s="52">
        <f>SUMIF(BTS_매출관리!C:C,B33,BTS_매출관리!I:I)</f>
        <v>0</v>
      </c>
      <c r="D33">
        <f t="shared" si="0"/>
        <v>36</v>
      </c>
    </row>
    <row r="34" spans="2:4">
      <c r="B34" t="s">
        <v>1369</v>
      </c>
      <c r="C34" s="52">
        <f>SUMIF(BTS_매출관리!C:C,B34,BTS_매출관리!I:I)</f>
        <v>1320000</v>
      </c>
      <c r="D34">
        <f t="shared" si="0"/>
        <v>24</v>
      </c>
    </row>
    <row r="35" spans="2:4">
      <c r="B35" t="s">
        <v>1337</v>
      </c>
      <c r="C35" s="52">
        <f>SUMIF(BTS_매출관리!C:C,B35,BTS_매출관리!I:I)</f>
        <v>0</v>
      </c>
      <c r="D35">
        <f t="shared" si="0"/>
        <v>36</v>
      </c>
    </row>
    <row r="36" spans="2:4">
      <c r="B36" t="s">
        <v>1983</v>
      </c>
      <c r="C36" s="52">
        <f>SUMIF(BTS_매출관리!C:C,B36,BTS_매출관리!I:I)</f>
        <v>0</v>
      </c>
      <c r="D36">
        <f t="shared" si="0"/>
        <v>36</v>
      </c>
    </row>
    <row r="37" spans="2:4">
      <c r="B37" t="s">
        <v>1325</v>
      </c>
      <c r="C37" s="52">
        <f>SUMIF(BTS_매출관리!C:C,B37,BTS_매출관리!I:I)</f>
        <v>440000</v>
      </c>
      <c r="D37">
        <f t="shared" si="0"/>
        <v>31</v>
      </c>
    </row>
    <row r="38" spans="2:4">
      <c r="B38" t="s">
        <v>1362</v>
      </c>
      <c r="C38" s="52">
        <f>SUMIF(BTS_매출관리!C:C,B38,BTS_매출관리!I:I)</f>
        <v>1550000</v>
      </c>
      <c r="D38">
        <f t="shared" si="0"/>
        <v>17</v>
      </c>
    </row>
    <row r="39" spans="2:4">
      <c r="B39" t="s">
        <v>2375</v>
      </c>
      <c r="C39" s="52">
        <f>SUMIF(BTS_매출관리!C:C,B39,BTS_매출관리!I:I)</f>
        <v>0</v>
      </c>
      <c r="D39">
        <f t="shared" si="0"/>
        <v>36</v>
      </c>
    </row>
    <row r="40" spans="2:4">
      <c r="B40" t="s">
        <v>1371</v>
      </c>
      <c r="C40" s="52">
        <f>SUMIF(BTS_매출관리!C:C,B40,BTS_매출관리!I:I)</f>
        <v>0</v>
      </c>
      <c r="D40">
        <f t="shared" si="0"/>
        <v>36</v>
      </c>
    </row>
    <row r="41" spans="2:4">
      <c r="B41" t="s">
        <v>2350</v>
      </c>
      <c r="C41" s="52">
        <f>SUMIF(BTS_매출관리!C:C,B41,BTS_매출관리!I:I)</f>
        <v>70000</v>
      </c>
      <c r="D41">
        <f t="shared" si="0"/>
        <v>35</v>
      </c>
    </row>
    <row r="42" spans="2:4">
      <c r="B42" t="s">
        <v>1397</v>
      </c>
      <c r="C42" s="52">
        <f>SUMIF(BTS_매출관리!C:C,B42,BTS_매출관리!I:I)</f>
        <v>199000</v>
      </c>
      <c r="D42">
        <f t="shared" si="0"/>
        <v>33</v>
      </c>
    </row>
    <row r="43" spans="2:4">
      <c r="B43" t="s">
        <v>2468</v>
      </c>
      <c r="C43" s="52">
        <f>SUMIF(BTS_매출관리!C:C,B43,BTS_매출관리!I:I)</f>
        <v>0</v>
      </c>
      <c r="D43">
        <f t="shared" si="0"/>
        <v>36</v>
      </c>
    </row>
    <row r="44" spans="2:4">
      <c r="B44" t="s">
        <v>1664</v>
      </c>
      <c r="C44" s="52">
        <f>SUMIF(BTS_매출관리!C:C,B44,BTS_매출관리!I:I)</f>
        <v>0</v>
      </c>
      <c r="D44">
        <f t="shared" si="0"/>
        <v>36</v>
      </c>
    </row>
    <row r="45" spans="2:4">
      <c r="B45" t="s">
        <v>1320</v>
      </c>
      <c r="C45" s="52">
        <f>SUMIF(BTS_매출관리!C:C,B45,BTS_매출관리!I:I)</f>
        <v>0</v>
      </c>
      <c r="D45">
        <f t="shared" si="0"/>
        <v>36</v>
      </c>
    </row>
    <row r="46" spans="2:4">
      <c r="B46" t="s">
        <v>2685</v>
      </c>
      <c r="C46" s="52">
        <f>SUMIF(BTS_매출관리!C:C,B46,BTS_매출관리!I:I)</f>
        <v>0</v>
      </c>
      <c r="D46">
        <f t="shared" si="0"/>
        <v>36</v>
      </c>
    </row>
    <row r="47" spans="2:4">
      <c r="B47" t="s">
        <v>1657</v>
      </c>
      <c r="C47" s="52">
        <f>SUMIF(BTS_매출관리!C:C,B47,BTS_매출관리!I:I)</f>
        <v>0</v>
      </c>
      <c r="D47">
        <f t="shared" si="0"/>
        <v>36</v>
      </c>
    </row>
    <row r="48" spans="2:4">
      <c r="B48" t="s">
        <v>1346</v>
      </c>
      <c r="C48" s="52">
        <f>SUMIF(BTS_매출관리!C:C,B48,BTS_매출관리!I:I)</f>
        <v>0</v>
      </c>
      <c r="D48">
        <f t="shared" si="0"/>
        <v>36</v>
      </c>
    </row>
    <row r="49" spans="2:4">
      <c r="B49" t="s">
        <v>2915</v>
      </c>
      <c r="C49" s="52">
        <f>SUMIF(BTS_매출관리!C:C,B49,BTS_매출관리!I:I)</f>
        <v>1200000</v>
      </c>
      <c r="D49">
        <f t="shared" si="0"/>
        <v>25</v>
      </c>
    </row>
    <row r="50" spans="2:4">
      <c r="B50" t="s">
        <v>1415</v>
      </c>
      <c r="C50" s="52">
        <f>SUMIF(BTS_매출관리!C:C,B50,BTS_매출관리!I:I)</f>
        <v>0</v>
      </c>
      <c r="D50">
        <f t="shared" si="0"/>
        <v>36</v>
      </c>
    </row>
    <row r="51" spans="2:4">
      <c r="B51" t="s">
        <v>2097</v>
      </c>
      <c r="C51" s="52">
        <f>SUMIF(BTS_매출관리!C:C,B51,BTS_매출관리!I:I)</f>
        <v>0</v>
      </c>
      <c r="D51">
        <f t="shared" si="0"/>
        <v>36</v>
      </c>
    </row>
    <row r="52" spans="2:4">
      <c r="B52" t="s">
        <v>1207</v>
      </c>
      <c r="C52" s="52">
        <f>SUMIF(BTS_매출관리!C:C,B52,BTS_매출관리!I:I)</f>
        <v>0</v>
      </c>
      <c r="D52">
        <f t="shared" si="0"/>
        <v>36</v>
      </c>
    </row>
    <row r="53" spans="2:4">
      <c r="B53" t="s">
        <v>1614</v>
      </c>
      <c r="C53" s="52">
        <f>SUMIF(BTS_매출관리!C:C,B53,BTS_매출관리!I:I)</f>
        <v>0</v>
      </c>
      <c r="D53">
        <f t="shared" si="0"/>
        <v>36</v>
      </c>
    </row>
    <row r="54" spans="2:4">
      <c r="B54" t="s">
        <v>1309</v>
      </c>
      <c r="C54" s="52">
        <f>SUMIF(BTS_매출관리!C:C,B54,BTS_매출관리!I:I)</f>
        <v>0</v>
      </c>
      <c r="D54">
        <f t="shared" si="0"/>
        <v>36</v>
      </c>
    </row>
    <row r="55" spans="2:4">
      <c r="B55" t="s">
        <v>1390</v>
      </c>
      <c r="C55" s="52">
        <f>SUMIF(BTS_매출관리!C:C,B55,BTS_매출관리!I:I)</f>
        <v>0</v>
      </c>
      <c r="D55">
        <f t="shared" si="0"/>
        <v>36</v>
      </c>
    </row>
    <row r="56" spans="2:4">
      <c r="B56" t="s">
        <v>2954</v>
      </c>
      <c r="C56" s="52">
        <f>SUMIF(BTS_매출관리!C:C,B56,BTS_매출관리!I:I)</f>
        <v>2020000</v>
      </c>
      <c r="D56">
        <f t="shared" si="0"/>
        <v>13</v>
      </c>
    </row>
    <row r="57" spans="2:4">
      <c r="B57" t="s">
        <v>1324</v>
      </c>
      <c r="C57" s="52">
        <f>SUMIF(BTS_매출관리!C:C,B57,BTS_매출관리!I:I)</f>
        <v>0</v>
      </c>
      <c r="D57">
        <f t="shared" si="0"/>
        <v>36</v>
      </c>
    </row>
    <row r="58" spans="2:4">
      <c r="B58" t="s">
        <v>2478</v>
      </c>
      <c r="C58" s="52">
        <f>SUMIF(BTS_매출관리!C:C,B58,BTS_매출관리!I:I)</f>
        <v>0</v>
      </c>
      <c r="D58">
        <f t="shared" si="0"/>
        <v>36</v>
      </c>
    </row>
    <row r="59" spans="2:4">
      <c r="B59" t="s">
        <v>1367</v>
      </c>
      <c r="C59" s="52">
        <f>SUMIF(BTS_매출관리!C:C,B59,BTS_매출관리!I:I)</f>
        <v>0</v>
      </c>
      <c r="D59">
        <f t="shared" si="0"/>
        <v>36</v>
      </c>
    </row>
    <row r="60" spans="2:4">
      <c r="B60" t="s">
        <v>1316</v>
      </c>
      <c r="C60" s="52">
        <f>SUMIF(BTS_매출관리!C:C,B60,BTS_매출관리!I:I)</f>
        <v>0</v>
      </c>
      <c r="D60">
        <f t="shared" si="0"/>
        <v>36</v>
      </c>
    </row>
    <row r="61" spans="2:4">
      <c r="B61" t="s">
        <v>1035</v>
      </c>
      <c r="C61" s="52">
        <f>SUMIF(BTS_매출관리!C:C,B61,BTS_매출관리!I:I)</f>
        <v>1500000</v>
      </c>
      <c r="D61">
        <f t="shared" si="0"/>
        <v>20</v>
      </c>
    </row>
    <row r="62" spans="2:4">
      <c r="B62" t="s">
        <v>2180</v>
      </c>
      <c r="C62" s="52">
        <f>SUMIF(BTS_매출관리!C:C,B62,BTS_매출관리!I:I)</f>
        <v>0</v>
      </c>
      <c r="D62">
        <f t="shared" si="0"/>
        <v>36</v>
      </c>
    </row>
    <row r="63" spans="2:4">
      <c r="B63" t="s">
        <v>2930</v>
      </c>
      <c r="C63" s="52">
        <f>SUMIF(BTS_매출관리!C:C,B63,BTS_매출관리!I:I)</f>
        <v>1815000</v>
      </c>
      <c r="D63">
        <f t="shared" si="0"/>
        <v>15</v>
      </c>
    </row>
    <row r="64" spans="2:4">
      <c r="B64" t="s">
        <v>1326</v>
      </c>
      <c r="C64" s="52">
        <f>SUMIF(BTS_매출관리!C:C,B64,BTS_매출관리!I:I)</f>
        <v>0</v>
      </c>
      <c r="D64">
        <f t="shared" si="0"/>
        <v>36</v>
      </c>
    </row>
    <row r="65" spans="2:4">
      <c r="B65" t="s">
        <v>2399</v>
      </c>
      <c r="C65" s="52">
        <f>SUMIF(BTS_매출관리!C:C,B65,BTS_매출관리!I:I)</f>
        <v>0</v>
      </c>
      <c r="D65">
        <f t="shared" si="0"/>
        <v>36</v>
      </c>
    </row>
    <row r="66" spans="2:4">
      <c r="B66" t="s">
        <v>2219</v>
      </c>
      <c r="C66" s="52">
        <f>SUMIF(BTS_매출관리!C:C,B66,BTS_매출관리!I:I)</f>
        <v>0</v>
      </c>
      <c r="D66">
        <f t="shared" ref="D66:D129" si="1">RANK(C66,C:C,0)</f>
        <v>36</v>
      </c>
    </row>
    <row r="67" spans="2:4">
      <c r="B67" t="s">
        <v>2119</v>
      </c>
      <c r="C67" s="52">
        <f>SUMIF(BTS_매출관리!C:C,B67,BTS_매출관리!I:I)</f>
        <v>0</v>
      </c>
      <c r="D67">
        <f t="shared" si="1"/>
        <v>36</v>
      </c>
    </row>
    <row r="68" spans="2:4">
      <c r="B68" t="s">
        <v>2920</v>
      </c>
      <c r="C68" s="52">
        <f>SUMIF(BTS_매출관리!C:C,B68,BTS_매출관리!I:I)</f>
        <v>1600000</v>
      </c>
      <c r="D68">
        <f t="shared" si="1"/>
        <v>16</v>
      </c>
    </row>
    <row r="69" spans="2:4">
      <c r="B69" t="s">
        <v>1277</v>
      </c>
      <c r="C69" s="52">
        <f>SUMIF(BTS_매출관리!C:C,B69,BTS_매출관리!I:I)</f>
        <v>0</v>
      </c>
      <c r="D69">
        <f t="shared" si="1"/>
        <v>36</v>
      </c>
    </row>
    <row r="70" spans="2:4">
      <c r="B70" t="s">
        <v>1225</v>
      </c>
      <c r="C70" s="52">
        <f>SUMIF(BTS_매출관리!C:C,B70,BTS_매출관리!I:I)</f>
        <v>0</v>
      </c>
      <c r="D70">
        <f t="shared" si="1"/>
        <v>36</v>
      </c>
    </row>
    <row r="71" spans="2:4">
      <c r="B71" t="s">
        <v>1267</v>
      </c>
      <c r="C71" s="52">
        <f>SUMIF(BTS_매출관리!C:C,B71,BTS_매출관리!I:I)</f>
        <v>0</v>
      </c>
      <c r="D71">
        <f t="shared" si="1"/>
        <v>36</v>
      </c>
    </row>
    <row r="72" spans="2:4">
      <c r="B72" t="s">
        <v>2949</v>
      </c>
      <c r="C72" s="52">
        <f>SUMIF(BTS_매출관리!C:C,B72,BTS_매출관리!I:I)</f>
        <v>1550000</v>
      </c>
      <c r="D72">
        <f t="shared" si="1"/>
        <v>17</v>
      </c>
    </row>
    <row r="73" spans="2:4">
      <c r="B73" t="s">
        <v>1370</v>
      </c>
      <c r="C73" s="52">
        <f>SUMIF(BTS_매출관리!C:C,B73,BTS_매출관리!I:I)</f>
        <v>0</v>
      </c>
      <c r="D73">
        <f t="shared" si="1"/>
        <v>36</v>
      </c>
    </row>
    <row r="74" spans="2:4">
      <c r="B74" t="s">
        <v>1356</v>
      </c>
      <c r="C74" s="52">
        <f>SUMIF(BTS_매출관리!C:C,B74,BTS_매출관리!I:I)</f>
        <v>0</v>
      </c>
      <c r="D74">
        <f t="shared" si="1"/>
        <v>36</v>
      </c>
    </row>
    <row r="75" spans="2:4">
      <c r="B75" t="s">
        <v>1016</v>
      </c>
      <c r="C75" s="52">
        <f>SUMIF(BTS_매출관리!C:C,B75,BTS_매출관리!I:I)</f>
        <v>0</v>
      </c>
      <c r="D75">
        <f t="shared" si="1"/>
        <v>36</v>
      </c>
    </row>
    <row r="76" spans="2:4">
      <c r="B76" t="s">
        <v>2592</v>
      </c>
      <c r="C76" s="52">
        <f>SUMIF(BTS_매출관리!C:C,B76,BTS_매출관리!I:I)</f>
        <v>300000</v>
      </c>
      <c r="D76">
        <f t="shared" si="1"/>
        <v>32</v>
      </c>
    </row>
    <row r="77" spans="2:4">
      <c r="B77" t="s">
        <v>1400</v>
      </c>
      <c r="C77" s="52">
        <f>SUMIF(BTS_매출관리!C:C,B77,BTS_매출관리!I:I)</f>
        <v>0</v>
      </c>
      <c r="D77">
        <f t="shared" si="1"/>
        <v>36</v>
      </c>
    </row>
    <row r="78" spans="2:4">
      <c r="B78" t="s">
        <v>2718</v>
      </c>
      <c r="C78" s="52">
        <f>SUMIF(BTS_매출관리!C:C,B78,BTS_매출관리!I:I)</f>
        <v>0</v>
      </c>
      <c r="D78">
        <f t="shared" si="1"/>
        <v>36</v>
      </c>
    </row>
    <row r="79" spans="2:4">
      <c r="B79" t="s">
        <v>990</v>
      </c>
      <c r="C79" s="52">
        <f>SUMIF(BTS_매출관리!C:C,B79,BTS_매출관리!I:I)</f>
        <v>0</v>
      </c>
      <c r="D79">
        <f t="shared" si="1"/>
        <v>36</v>
      </c>
    </row>
    <row r="80" spans="2:4">
      <c r="B80" t="s">
        <v>1349</v>
      </c>
      <c r="C80" s="52">
        <f>SUMIF(BTS_매출관리!C:C,B80,BTS_매출관리!I:I)</f>
        <v>0</v>
      </c>
      <c r="D80">
        <f t="shared" si="1"/>
        <v>36</v>
      </c>
    </row>
    <row r="81" spans="2:4">
      <c r="B81" t="s">
        <v>2899</v>
      </c>
      <c r="C81" s="52">
        <f>SUMIF(BTS_매출관리!C:C,B81,BTS_매출관리!I:I)</f>
        <v>1200000</v>
      </c>
      <c r="D81">
        <f t="shared" si="1"/>
        <v>25</v>
      </c>
    </row>
    <row r="82" spans="2:4">
      <c r="B82" t="s">
        <v>1363</v>
      </c>
      <c r="C82" s="52">
        <f>SUMIF(BTS_매출관리!C:C,B82,BTS_매출관리!I:I)</f>
        <v>0</v>
      </c>
      <c r="D82">
        <f t="shared" si="1"/>
        <v>36</v>
      </c>
    </row>
    <row r="83" spans="2:4">
      <c r="B83" t="s">
        <v>1393</v>
      </c>
      <c r="C83" s="52">
        <f>SUMIF(BTS_매출관리!C:C,B83,BTS_매출관리!I:I)</f>
        <v>0</v>
      </c>
      <c r="D83">
        <f t="shared" si="1"/>
        <v>36</v>
      </c>
    </row>
    <row r="84" spans="2:4">
      <c r="B84" t="s">
        <v>1380</v>
      </c>
      <c r="C84" s="52">
        <f>SUMIF(BTS_매출관리!C:C,B84,BTS_매출관리!I:I)</f>
        <v>0</v>
      </c>
      <c r="D84">
        <f t="shared" si="1"/>
        <v>36</v>
      </c>
    </row>
    <row r="85" spans="2:4">
      <c r="B85" t="s">
        <v>1189</v>
      </c>
      <c r="C85" s="52">
        <f>SUMIF(BTS_매출관리!C:C,B85,BTS_매출관리!I:I)</f>
        <v>0</v>
      </c>
      <c r="D85">
        <f t="shared" si="1"/>
        <v>36</v>
      </c>
    </row>
    <row r="86" spans="2:4">
      <c r="B86" t="s">
        <v>2114</v>
      </c>
      <c r="C86" s="52">
        <f>SUMIF(BTS_매출관리!C:C,B86,BTS_매출관리!I:I)</f>
        <v>0</v>
      </c>
      <c r="D86">
        <f t="shared" si="1"/>
        <v>36</v>
      </c>
    </row>
    <row r="87" spans="2:4">
      <c r="B87" t="s">
        <v>1389</v>
      </c>
      <c r="C87" s="52">
        <f>SUMIF(BTS_매출관리!C:C,B87,BTS_매출관리!I:I)</f>
        <v>0</v>
      </c>
      <c r="D87">
        <f t="shared" si="1"/>
        <v>36</v>
      </c>
    </row>
    <row r="88" spans="2:4">
      <c r="B88" t="s">
        <v>1222</v>
      </c>
      <c r="C88" s="52">
        <f>SUMIF(BTS_매출관리!C:C,B88,BTS_매출관리!I:I)</f>
        <v>0</v>
      </c>
      <c r="D88">
        <f t="shared" si="1"/>
        <v>36</v>
      </c>
    </row>
    <row r="89" spans="2:4">
      <c r="B89" t="s">
        <v>1333</v>
      </c>
      <c r="C89" s="52">
        <f>SUMIF(BTS_매출관리!C:C,B89,BTS_매출관리!I:I)</f>
        <v>2550000</v>
      </c>
      <c r="D89">
        <f t="shared" si="1"/>
        <v>10</v>
      </c>
    </row>
    <row r="90" spans="2:4">
      <c r="B90" t="s">
        <v>2235</v>
      </c>
      <c r="C90" s="52">
        <f>SUMIF(BTS_매출관리!C:C,B90,BTS_매출관리!I:I)</f>
        <v>0</v>
      </c>
      <c r="D90">
        <f t="shared" si="1"/>
        <v>36</v>
      </c>
    </row>
    <row r="91" spans="2:4">
      <c r="B91" t="s">
        <v>2485</v>
      </c>
      <c r="C91" s="52">
        <f>SUMIF(BTS_매출관리!C:C,B91,BTS_매출관리!I:I)</f>
        <v>0</v>
      </c>
      <c r="D91">
        <f t="shared" si="1"/>
        <v>36</v>
      </c>
    </row>
    <row r="92" spans="2:4">
      <c r="B92" t="s">
        <v>1342</v>
      </c>
      <c r="C92" s="52">
        <f>SUMIF(BTS_매출관리!C:C,B92,BTS_매출관리!I:I)</f>
        <v>715000</v>
      </c>
      <c r="D92">
        <f t="shared" si="1"/>
        <v>28</v>
      </c>
    </row>
    <row r="93" spans="2:4">
      <c r="B93" t="s">
        <v>1392</v>
      </c>
      <c r="C93" s="52">
        <f>SUMIF(BTS_매출관리!C:C,B93,BTS_매출관리!I:I)</f>
        <v>0</v>
      </c>
      <c r="D93">
        <f t="shared" si="1"/>
        <v>36</v>
      </c>
    </row>
    <row r="94" spans="2:4">
      <c r="B94" t="s">
        <v>2612</v>
      </c>
      <c r="C94" s="52">
        <f>SUMIF(BTS_매출관리!C:C,B94,BTS_매출관리!I:I)</f>
        <v>0</v>
      </c>
      <c r="D94">
        <f t="shared" si="1"/>
        <v>36</v>
      </c>
    </row>
    <row r="95" spans="2:4">
      <c r="B95" t="s">
        <v>1355</v>
      </c>
      <c r="C95" s="52">
        <f>SUMIF(BTS_매출관리!C:C,B95,BTS_매출관리!I:I)</f>
        <v>0</v>
      </c>
      <c r="D95">
        <f t="shared" si="1"/>
        <v>36</v>
      </c>
    </row>
    <row r="96" spans="2:4">
      <c r="B96" t="s">
        <v>1359</v>
      </c>
      <c r="C96" s="52">
        <f>SUMIF(BTS_매출관리!C:C,B96,BTS_매출관리!I:I)</f>
        <v>0</v>
      </c>
      <c r="D96">
        <f t="shared" si="1"/>
        <v>36</v>
      </c>
    </row>
    <row r="97" spans="2:4">
      <c r="B97" t="s">
        <v>1385</v>
      </c>
      <c r="C97" s="52">
        <f>SUMIF(BTS_매출관리!C:C,B97,BTS_매출관리!I:I)</f>
        <v>0</v>
      </c>
      <c r="D97">
        <f t="shared" si="1"/>
        <v>36</v>
      </c>
    </row>
    <row r="98" spans="2:4">
      <c r="B98" t="s">
        <v>1395</v>
      </c>
      <c r="C98" s="52">
        <f>SUMIF(BTS_매출관리!C:C,B98,BTS_매출관리!I:I)</f>
        <v>0</v>
      </c>
      <c r="D98">
        <f t="shared" si="1"/>
        <v>36</v>
      </c>
    </row>
    <row r="99" spans="2:4">
      <c r="B99" t="s">
        <v>1365</v>
      </c>
      <c r="C99" s="52">
        <f>SUMIF(BTS_매출관리!C:C,B99,BTS_매출관리!I:I)</f>
        <v>0</v>
      </c>
      <c r="D99">
        <f t="shared" si="1"/>
        <v>36</v>
      </c>
    </row>
    <row r="100" spans="2:4">
      <c r="B100" t="s">
        <v>1322</v>
      </c>
      <c r="C100" s="52">
        <f>SUMIF(BTS_매출관리!C:C,B100,BTS_매출관리!I:I)</f>
        <v>0</v>
      </c>
      <c r="D100">
        <f t="shared" si="1"/>
        <v>36</v>
      </c>
    </row>
    <row r="101" spans="2:4">
      <c r="B101" t="s">
        <v>2135</v>
      </c>
      <c r="C101" s="52">
        <f>SUMIF(BTS_매출관리!C:C,B101,BTS_매출관리!I:I)</f>
        <v>0</v>
      </c>
      <c r="D101">
        <f t="shared" si="1"/>
        <v>36</v>
      </c>
    </row>
    <row r="102" spans="2:4">
      <c r="B102" t="s">
        <v>2974</v>
      </c>
      <c r="C102" s="52">
        <f>SUMIF(BTS_매출관리!C:C,B102,BTS_매출관리!I:I)</f>
        <v>450000</v>
      </c>
      <c r="D102">
        <f t="shared" si="1"/>
        <v>29</v>
      </c>
    </row>
    <row r="103" spans="2:4">
      <c r="B103" t="s">
        <v>2765</v>
      </c>
      <c r="C103" s="52">
        <f>SUMIF(BTS_매출관리!C:C,B103,BTS_매출관리!I:I)</f>
        <v>0</v>
      </c>
      <c r="D103">
        <f t="shared" si="1"/>
        <v>36</v>
      </c>
    </row>
    <row r="104" spans="2:4">
      <c r="B104" t="s">
        <v>2851</v>
      </c>
      <c r="C104" s="52">
        <f>SUMIF(BTS_매출관리!C:C,B104,BTS_매출관리!I:I)</f>
        <v>0</v>
      </c>
      <c r="D104">
        <f t="shared" si="1"/>
        <v>36</v>
      </c>
    </row>
    <row r="105" spans="2:4">
      <c r="B105" t="s">
        <v>1336</v>
      </c>
      <c r="C105" s="52">
        <f>SUMIF(BTS_매출관리!C:C,B105,BTS_매출관리!I:I)</f>
        <v>0</v>
      </c>
      <c r="D105">
        <f t="shared" si="1"/>
        <v>36</v>
      </c>
    </row>
    <row r="106" spans="2:4">
      <c r="B106" t="s">
        <v>2369</v>
      </c>
      <c r="C106" s="52">
        <f>SUMIF(BTS_매출관리!C:C,B106,BTS_매출관리!I:I)</f>
        <v>0</v>
      </c>
      <c r="D106">
        <f t="shared" si="1"/>
        <v>36</v>
      </c>
    </row>
    <row r="107" spans="2:4">
      <c r="B107" t="s">
        <v>1714</v>
      </c>
      <c r="C107" s="52">
        <f>SUMIF(BTS_매출관리!C:C,B107,BTS_매출관리!I:I)</f>
        <v>0</v>
      </c>
      <c r="D107">
        <f t="shared" si="1"/>
        <v>36</v>
      </c>
    </row>
    <row r="108" spans="2:4">
      <c r="B108" t="s">
        <v>1969</v>
      </c>
      <c r="C108" s="52">
        <f>SUMIF(BTS_매출관리!C:C,B108,BTS_매출관리!I:I)</f>
        <v>0</v>
      </c>
      <c r="D108">
        <f t="shared" si="1"/>
        <v>36</v>
      </c>
    </row>
    <row r="109" spans="2:4">
      <c r="B109" t="s">
        <v>2588</v>
      </c>
      <c r="C109" s="52">
        <f>SUMIF(BTS_매출관리!C:C,B109,BTS_매출관리!I:I)</f>
        <v>0</v>
      </c>
      <c r="D109">
        <f t="shared" si="1"/>
        <v>36</v>
      </c>
    </row>
    <row r="110" spans="2:4">
      <c r="B110" t="s">
        <v>1351</v>
      </c>
      <c r="C110" s="52">
        <f>SUMIF(BTS_매출관리!C:C,B110,BTS_매출관리!I:I)</f>
        <v>0</v>
      </c>
      <c r="D110">
        <f t="shared" si="1"/>
        <v>36</v>
      </c>
    </row>
    <row r="111" spans="2:4">
      <c r="B111" t="s">
        <v>1360</v>
      </c>
      <c r="C111" s="52">
        <f>SUMIF(BTS_매출관리!C:C,B111,BTS_매출관리!I:I)</f>
        <v>0</v>
      </c>
      <c r="D111">
        <f t="shared" si="1"/>
        <v>36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36</v>
      </c>
    </row>
    <row r="113" spans="2:4">
      <c r="B113" t="s">
        <v>2888</v>
      </c>
      <c r="C113" s="52">
        <f>SUMIF(BTS_매출관리!C:C,B113,BTS_매출관리!I:I)</f>
        <v>150000</v>
      </c>
      <c r="D113">
        <f t="shared" si="1"/>
        <v>34</v>
      </c>
    </row>
    <row r="114" spans="2:4">
      <c r="B114" t="s">
        <v>2608</v>
      </c>
      <c r="C114" s="52">
        <f>SUMIF(BTS_매출관리!C:C,B114,BTS_매출관리!I:I)</f>
        <v>0</v>
      </c>
      <c r="D114">
        <f t="shared" si="1"/>
        <v>36</v>
      </c>
    </row>
    <row r="115" spans="2:4">
      <c r="B115" t="s">
        <v>1914</v>
      </c>
      <c r="C115" s="52">
        <f>SUMIF(BTS_매출관리!C:C,B115,BTS_매출관리!I:I)</f>
        <v>0</v>
      </c>
      <c r="D115">
        <f t="shared" si="1"/>
        <v>36</v>
      </c>
    </row>
    <row r="116" spans="2:4">
      <c r="B116" t="s">
        <v>1383</v>
      </c>
      <c r="C116" s="52">
        <f>SUMIF(BTS_매출관리!C:C,B116,BTS_매출관리!I:I)</f>
        <v>0</v>
      </c>
      <c r="D116">
        <f t="shared" si="1"/>
        <v>36</v>
      </c>
    </row>
    <row r="117" spans="2:4">
      <c r="B117" t="s">
        <v>1332</v>
      </c>
      <c r="C117" s="52">
        <f>SUMIF(BTS_매출관리!C:C,B117,BTS_매출관리!I:I)</f>
        <v>0</v>
      </c>
      <c r="D117">
        <f t="shared" si="1"/>
        <v>36</v>
      </c>
    </row>
    <row r="118" spans="2:4">
      <c r="B118" t="s">
        <v>1319</v>
      </c>
      <c r="C118" s="52">
        <f>SUMIF(BTS_매출관리!C:C,B118,BTS_매출관리!I:I)</f>
        <v>0</v>
      </c>
      <c r="D118">
        <f t="shared" si="1"/>
        <v>36</v>
      </c>
    </row>
    <row r="119" spans="2:4">
      <c r="B119" t="s">
        <v>1323</v>
      </c>
      <c r="C119" s="52">
        <f>SUMIF(BTS_매출관리!C:C,B119,BTS_매출관리!I:I)</f>
        <v>0</v>
      </c>
      <c r="D119">
        <f t="shared" si="1"/>
        <v>36</v>
      </c>
    </row>
    <row r="120" spans="2:4">
      <c r="B120" t="s">
        <v>1327</v>
      </c>
      <c r="C120" s="52">
        <f>SUMIF(BTS_매출관리!C:C,B120,BTS_매출관리!I:I)</f>
        <v>0</v>
      </c>
      <c r="D120">
        <f t="shared" si="1"/>
        <v>36</v>
      </c>
    </row>
    <row r="121" spans="2:4">
      <c r="B121" t="s">
        <v>1273</v>
      </c>
      <c r="C121" s="52">
        <f>SUMIF(BTS_매출관리!C:C,B121,BTS_매출관리!I:I)</f>
        <v>0</v>
      </c>
      <c r="D121">
        <f t="shared" si="1"/>
        <v>36</v>
      </c>
    </row>
    <row r="122" spans="2:4">
      <c r="B122" t="s">
        <v>1334</v>
      </c>
      <c r="C122" s="52">
        <f>SUMIF(BTS_매출관리!C:C,B122,BTS_매출관리!I:I)</f>
        <v>0</v>
      </c>
      <c r="D122">
        <f t="shared" si="1"/>
        <v>36</v>
      </c>
    </row>
    <row r="123" spans="2:4">
      <c r="B123" t="s">
        <v>1335</v>
      </c>
      <c r="C123" s="52">
        <f>SUMIF(BTS_매출관리!C:C,B123,BTS_매출관리!I:I)</f>
        <v>0</v>
      </c>
      <c r="D123">
        <f t="shared" si="1"/>
        <v>36</v>
      </c>
    </row>
    <row r="124" spans="2:4">
      <c r="B124" t="s">
        <v>1338</v>
      </c>
      <c r="C124" s="52">
        <f>SUMIF(BTS_매출관리!C:C,B124,BTS_매출관리!I:I)</f>
        <v>0</v>
      </c>
      <c r="D124">
        <f t="shared" si="1"/>
        <v>36</v>
      </c>
    </row>
    <row r="125" spans="2:4">
      <c r="B125" t="s">
        <v>1097</v>
      </c>
      <c r="C125" s="52">
        <f>SUMIF(BTS_매출관리!C:C,B125,BTS_매출관리!I:I)</f>
        <v>0</v>
      </c>
      <c r="D125">
        <f t="shared" si="1"/>
        <v>36</v>
      </c>
    </row>
    <row r="126" spans="2:4">
      <c r="B126" t="s">
        <v>1340</v>
      </c>
      <c r="C126" s="52">
        <f>SUMIF(BTS_매출관리!C:C,B126,BTS_매출관리!I:I)</f>
        <v>0</v>
      </c>
      <c r="D126">
        <f t="shared" si="1"/>
        <v>36</v>
      </c>
    </row>
    <row r="127" spans="2:4">
      <c r="B127" t="s">
        <v>1341</v>
      </c>
      <c r="C127" s="52">
        <f>SUMIF(BTS_매출관리!C:C,B127,BTS_매출관리!I:I)</f>
        <v>0</v>
      </c>
      <c r="D127">
        <f t="shared" si="1"/>
        <v>36</v>
      </c>
    </row>
    <row r="128" spans="2:4">
      <c r="B128" t="s">
        <v>1345</v>
      </c>
      <c r="C128" s="52">
        <f>SUMIF(BTS_매출관리!C:C,B128,BTS_매출관리!I:I)</f>
        <v>0</v>
      </c>
      <c r="D128">
        <f t="shared" si="1"/>
        <v>36</v>
      </c>
    </row>
    <row r="129" spans="2:4">
      <c r="B129" t="s">
        <v>1021</v>
      </c>
      <c r="C129" s="52">
        <f>SUMIF(BTS_매출관리!C:C,B129,BTS_매출관리!I:I)</f>
        <v>0</v>
      </c>
      <c r="D129">
        <f t="shared" si="1"/>
        <v>36</v>
      </c>
    </row>
    <row r="130" spans="2:4">
      <c r="B130" t="s">
        <v>1350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>
      <c r="B131" t="s">
        <v>1352</v>
      </c>
      <c r="C131" s="52">
        <f>SUMIF(BTS_매출관리!C:C,B131,BTS_매출관리!I:I)</f>
        <v>0</v>
      </c>
      <c r="D131">
        <f t="shared" si="2"/>
        <v>36</v>
      </c>
    </row>
    <row r="132" spans="2:4">
      <c r="B132" t="s">
        <v>1353</v>
      </c>
      <c r="C132" s="52">
        <f>SUMIF(BTS_매출관리!C:C,B132,BTS_매출관리!I:I)</f>
        <v>0</v>
      </c>
      <c r="D132">
        <f t="shared" si="2"/>
        <v>36</v>
      </c>
    </row>
    <row r="133" spans="2:4">
      <c r="B133" t="s">
        <v>1109</v>
      </c>
      <c r="C133" s="52">
        <f>SUMIF(BTS_매출관리!C:C,B133,BTS_매출관리!I:I)</f>
        <v>0</v>
      </c>
      <c r="D133">
        <f t="shared" si="2"/>
        <v>36</v>
      </c>
    </row>
    <row r="134" spans="2:4">
      <c r="B134" t="s">
        <v>1357</v>
      </c>
      <c r="C134" s="52">
        <f>SUMIF(BTS_매출관리!C:C,B134,BTS_매출관리!I:I)</f>
        <v>0</v>
      </c>
      <c r="D134">
        <f t="shared" si="2"/>
        <v>36</v>
      </c>
    </row>
    <row r="135" spans="2:4">
      <c r="B135" t="s">
        <v>1006</v>
      </c>
      <c r="C135" s="52">
        <f>SUMIF(BTS_매출관리!C:C,B135,BTS_매출관리!I:I)</f>
        <v>0</v>
      </c>
      <c r="D135">
        <f t="shared" si="2"/>
        <v>36</v>
      </c>
    </row>
    <row r="136" spans="2:4">
      <c r="B136" t="s">
        <v>1361</v>
      </c>
      <c r="C136" s="52">
        <f>SUMIF(BTS_매출관리!C:C,B136,BTS_매출관리!I:I)</f>
        <v>0</v>
      </c>
      <c r="D136">
        <f t="shared" si="2"/>
        <v>36</v>
      </c>
    </row>
    <row r="137" spans="2:4">
      <c r="B137" t="s">
        <v>1364</v>
      </c>
      <c r="C137" s="52">
        <f>SUMIF(BTS_매출관리!C:C,B137,BTS_매출관리!I:I)</f>
        <v>0</v>
      </c>
      <c r="D137">
        <f t="shared" si="2"/>
        <v>36</v>
      </c>
    </row>
    <row r="138" spans="2:4">
      <c r="B138" t="s">
        <v>1366</v>
      </c>
      <c r="C138" s="52">
        <f>SUMIF(BTS_매출관리!C:C,B138,BTS_매출관리!I:I)</f>
        <v>0</v>
      </c>
      <c r="D138">
        <f t="shared" si="2"/>
        <v>36</v>
      </c>
    </row>
    <row r="139" spans="2:4">
      <c r="B139" t="s">
        <v>1368</v>
      </c>
      <c r="C139" s="52">
        <f>SUMIF(BTS_매출관리!C:C,B139,BTS_매출관리!I:I)</f>
        <v>0</v>
      </c>
      <c r="D139">
        <f t="shared" si="2"/>
        <v>36</v>
      </c>
    </row>
    <row r="140" spans="2:4">
      <c r="B140" t="s">
        <v>1372</v>
      </c>
      <c r="C140" s="52">
        <f>SUMIF(BTS_매출관리!C:C,B140,BTS_매출관리!I:I)</f>
        <v>0</v>
      </c>
      <c r="D140">
        <f t="shared" si="2"/>
        <v>36</v>
      </c>
    </row>
    <row r="141" spans="2:4">
      <c r="B141" t="s">
        <v>1376</v>
      </c>
      <c r="C141" s="52">
        <f>SUMIF(BTS_매출관리!C:C,B141,BTS_매출관리!I:I)</f>
        <v>0</v>
      </c>
      <c r="D141">
        <f t="shared" si="2"/>
        <v>36</v>
      </c>
    </row>
    <row r="142" spans="2:4">
      <c r="B142" t="s">
        <v>1378</v>
      </c>
      <c r="C142" s="52">
        <f>SUMIF(BTS_매출관리!C:C,B142,BTS_매출관리!I:I)</f>
        <v>0</v>
      </c>
      <c r="D142">
        <f t="shared" si="2"/>
        <v>36</v>
      </c>
    </row>
    <row r="143" spans="2:4">
      <c r="B143" t="s">
        <v>1379</v>
      </c>
      <c r="C143" s="52">
        <f>SUMIF(BTS_매출관리!C:C,B143,BTS_매출관리!I:I)</f>
        <v>0</v>
      </c>
      <c r="D143">
        <f t="shared" si="2"/>
        <v>36</v>
      </c>
    </row>
    <row r="144" spans="2:4">
      <c r="B144" t="s">
        <v>1381</v>
      </c>
      <c r="C144" s="52">
        <f>SUMIF(BTS_매출관리!C:C,B144,BTS_매출관리!I:I)</f>
        <v>0</v>
      </c>
      <c r="D144">
        <f t="shared" si="2"/>
        <v>36</v>
      </c>
    </row>
    <row r="145" spans="2:4">
      <c r="B145" t="s">
        <v>1384</v>
      </c>
      <c r="C145" s="52">
        <f>SUMIF(BTS_매출관리!C:C,B145,BTS_매출관리!I:I)</f>
        <v>0</v>
      </c>
      <c r="D145">
        <f t="shared" si="2"/>
        <v>36</v>
      </c>
    </row>
    <row r="146" spans="2:4">
      <c r="B146" t="s">
        <v>1388</v>
      </c>
      <c r="C146" s="52">
        <f>SUMIF(BTS_매출관리!C:C,B146,BTS_매출관리!I:I)</f>
        <v>0</v>
      </c>
      <c r="D146">
        <f t="shared" si="2"/>
        <v>36</v>
      </c>
    </row>
    <row r="147" spans="2:4">
      <c r="B147" t="s">
        <v>1391</v>
      </c>
      <c r="C147" s="52">
        <f>SUMIF(BTS_매출관리!C:C,B147,BTS_매출관리!I:I)</f>
        <v>0</v>
      </c>
      <c r="D147">
        <f t="shared" si="2"/>
        <v>36</v>
      </c>
    </row>
    <row r="148" spans="2:4">
      <c r="B148" t="s">
        <v>1396</v>
      </c>
      <c r="C148" s="52">
        <f>SUMIF(BTS_매출관리!C:C,B148,BTS_매출관리!I:I)</f>
        <v>0</v>
      </c>
      <c r="D148">
        <f t="shared" si="2"/>
        <v>36</v>
      </c>
    </row>
    <row r="149" spans="2:4">
      <c r="B149" t="s">
        <v>1067</v>
      </c>
      <c r="C149" s="52">
        <f>SUMIF(BTS_매출관리!C:C,B149,BTS_매출관리!I:I)</f>
        <v>0</v>
      </c>
      <c r="D149">
        <f t="shared" si="2"/>
        <v>36</v>
      </c>
    </row>
    <row r="150" spans="2:4">
      <c r="B150" t="s">
        <v>1114</v>
      </c>
      <c r="C150" s="52">
        <f>SUMIF(BTS_매출관리!C:C,B150,BTS_매출관리!I:I)</f>
        <v>0</v>
      </c>
      <c r="D150">
        <f t="shared" si="2"/>
        <v>36</v>
      </c>
    </row>
    <row r="151" spans="2:4">
      <c r="B151" t="s">
        <v>1032</v>
      </c>
      <c r="C151" s="52">
        <f>SUMIF(BTS_매출관리!C:C,B151,BTS_매출관리!I:I)</f>
        <v>0</v>
      </c>
      <c r="D151">
        <f t="shared" si="2"/>
        <v>36</v>
      </c>
    </row>
    <row r="152" spans="2:4">
      <c r="B152" t="s">
        <v>1399</v>
      </c>
      <c r="C152" s="52">
        <f>SUMIF(BTS_매출관리!C:C,B152,BTS_매출관리!I:I)</f>
        <v>0</v>
      </c>
      <c r="D152">
        <f t="shared" si="2"/>
        <v>36</v>
      </c>
    </row>
    <row r="153" spans="2:4">
      <c r="B153" t="s">
        <v>1401</v>
      </c>
      <c r="C153" s="52">
        <f>SUMIF(BTS_매출관리!C:C,B153,BTS_매출관리!I:I)</f>
        <v>0</v>
      </c>
      <c r="D153">
        <f t="shared" si="2"/>
        <v>36</v>
      </c>
    </row>
    <row r="154" spans="2:4">
      <c r="B154" t="s">
        <v>1607</v>
      </c>
      <c r="C154" s="52">
        <f>SUMIF(BTS_매출관리!C:C,B154,BTS_매출관리!I:I)</f>
        <v>0</v>
      </c>
      <c r="D154">
        <f t="shared" si="2"/>
        <v>36</v>
      </c>
    </row>
    <row r="155" spans="2:4">
      <c r="B155" t="s">
        <v>2474</v>
      </c>
      <c r="C155" s="52">
        <f>SUMIF(BTS_매출관리!C:C,B155,BTS_매출관리!I:I)</f>
        <v>0</v>
      </c>
      <c r="D155">
        <f t="shared" si="2"/>
        <v>36</v>
      </c>
    </row>
    <row r="156" spans="2:4">
      <c r="B156" t="s">
        <v>2823</v>
      </c>
      <c r="C156" s="52">
        <f>SUMIF(BTS_매출관리!C:C,B156,BTS_매출관리!I:I)</f>
        <v>0</v>
      </c>
      <c r="D156">
        <f t="shared" si="2"/>
        <v>36</v>
      </c>
    </row>
    <row r="157" spans="2:4">
      <c r="C157" s="52">
        <f>SUMIF(BTS_매출관리!C:C,B157,BTS_매출관리!I:I)</f>
        <v>0</v>
      </c>
      <c r="D157">
        <f t="shared" si="2"/>
        <v>36</v>
      </c>
    </row>
    <row r="158" spans="2:4">
      <c r="C158" s="52">
        <f>SUMIF(BTS_매출관리!C:C,B158,BTS_매출관리!I:I)</f>
        <v>0</v>
      </c>
      <c r="D158">
        <f t="shared" si="2"/>
        <v>36</v>
      </c>
    </row>
    <row r="159" spans="2:4">
      <c r="C159" s="52">
        <f>SUMIF(BTS_매출관리!C:C,B159,BTS_매출관리!I:I)</f>
        <v>0</v>
      </c>
      <c r="D159">
        <f t="shared" si="2"/>
        <v>36</v>
      </c>
    </row>
    <row r="160" spans="2:4">
      <c r="C160" s="52">
        <f>SUMIF(BTS_매출관리!C:C,B160,BTS_매출관리!I:I)</f>
        <v>0</v>
      </c>
      <c r="D160">
        <f t="shared" si="2"/>
        <v>36</v>
      </c>
    </row>
    <row r="161" spans="3:4">
      <c r="C161" s="52">
        <f>SUMIF(BTS_매출관리!C:C,B161,BTS_매출관리!I:I)</f>
        <v>0</v>
      </c>
      <c r="D161">
        <f t="shared" si="2"/>
        <v>36</v>
      </c>
    </row>
    <row r="162" spans="3:4">
      <c r="C162" s="52">
        <f>SUMIF(BTS_매출관리!C:C,B162,BTS_매출관리!I:I)</f>
        <v>0</v>
      </c>
      <c r="D162">
        <f t="shared" si="2"/>
        <v>36</v>
      </c>
    </row>
    <row r="163" spans="3:4">
      <c r="C163" s="52">
        <f>SUMIF(BTS_매출관리!C:C,B163,BTS_매출관리!I:I)</f>
        <v>0</v>
      </c>
      <c r="D163">
        <f t="shared" si="2"/>
        <v>36</v>
      </c>
    </row>
    <row r="164" spans="3:4">
      <c r="C164" s="52">
        <f>SUMIF(BTS_매출관리!C:C,B164,BTS_매출관리!I:I)</f>
        <v>0</v>
      </c>
      <c r="D164">
        <f t="shared" si="2"/>
        <v>36</v>
      </c>
    </row>
    <row r="165" spans="3:4">
      <c r="C165" s="52">
        <f>SUMIF(BTS_매출관리!C:C,B165,BTS_매출관리!I:I)</f>
        <v>0</v>
      </c>
      <c r="D165">
        <f t="shared" si="2"/>
        <v>36</v>
      </c>
    </row>
    <row r="166" spans="3:4">
      <c r="C166" s="52">
        <f>SUMIF(BTS_매출관리!C:C,B166,BTS_매출관리!I:I)</f>
        <v>0</v>
      </c>
      <c r="D166">
        <f t="shared" si="2"/>
        <v>36</v>
      </c>
    </row>
    <row r="167" spans="3:4">
      <c r="C167" s="52">
        <f>SUMIF(BTS_매출관리!C:C,B167,BTS_매출관리!I:I)</f>
        <v>0</v>
      </c>
      <c r="D167">
        <f t="shared" si="2"/>
        <v>36</v>
      </c>
    </row>
    <row r="168" spans="3:4">
      <c r="C168" s="52">
        <f>SUMIF(BTS_매출관리!C:C,B168,BTS_매출관리!I:I)</f>
        <v>0</v>
      </c>
      <c r="D168">
        <f t="shared" si="2"/>
        <v>36</v>
      </c>
    </row>
    <row r="169" spans="3:4">
      <c r="C169" s="52">
        <f>SUMIF(BTS_매출관리!C:C,B169,BTS_매출관리!I:I)</f>
        <v>0</v>
      </c>
      <c r="D169">
        <f t="shared" si="2"/>
        <v>36</v>
      </c>
    </row>
    <row r="170" spans="3:4">
      <c r="C170" s="52">
        <f>SUMIF(BTS_매출관리!C:C,B170,BTS_매출관리!I:I)</f>
        <v>0</v>
      </c>
      <c r="D170">
        <f t="shared" si="2"/>
        <v>36</v>
      </c>
    </row>
    <row r="171" spans="3:4">
      <c r="C171" s="52">
        <f>SUMIF(BTS_매출관리!C:C,B171,BTS_매출관리!I:I)</f>
        <v>0</v>
      </c>
      <c r="D171">
        <f t="shared" si="2"/>
        <v>36</v>
      </c>
    </row>
    <row r="172" spans="3:4">
      <c r="C172" s="52">
        <f>SUMIF(BTS_매출관리!C:C,B172,BTS_매출관리!I:I)</f>
        <v>0</v>
      </c>
      <c r="D172">
        <f t="shared" si="2"/>
        <v>36</v>
      </c>
    </row>
    <row r="173" spans="3:4">
      <c r="C173" s="52">
        <f>SUMIF(BTS_매출관리!C:C,B173,BTS_매출관리!I:I)</f>
        <v>0</v>
      </c>
      <c r="D173">
        <f t="shared" si="2"/>
        <v>36</v>
      </c>
    </row>
    <row r="174" spans="3:4">
      <c r="C174" s="52">
        <f>SUMIF(BTS_매출관리!C:C,B174,BTS_매출관리!I:I)</f>
        <v>0</v>
      </c>
      <c r="D174">
        <f t="shared" si="2"/>
        <v>36</v>
      </c>
    </row>
    <row r="175" spans="3:4">
      <c r="C175" s="52">
        <f>SUMIF(BTS_매출관리!C:C,B175,BTS_매출관리!I:I)</f>
        <v>0</v>
      </c>
      <c r="D175">
        <f t="shared" si="2"/>
        <v>36</v>
      </c>
    </row>
    <row r="176" spans="3:4">
      <c r="C176" s="52">
        <f>SUMIF(BTS_매출관리!C:C,B176,BTS_매출관리!I:I)</f>
        <v>0</v>
      </c>
      <c r="D176">
        <f t="shared" si="2"/>
        <v>36</v>
      </c>
    </row>
    <row r="177" spans="3:4">
      <c r="C177" s="52">
        <f>SUMIF(BTS_매출관리!C:C,B177,BTS_매출관리!I:I)</f>
        <v>0</v>
      </c>
      <c r="D177">
        <f t="shared" si="2"/>
        <v>36</v>
      </c>
    </row>
    <row r="178" spans="3:4">
      <c r="C178" s="52">
        <f>SUMIF(BTS_매출관리!C:C,B178,BTS_매출관리!I:I)</f>
        <v>0</v>
      </c>
      <c r="D178">
        <f t="shared" si="2"/>
        <v>36</v>
      </c>
    </row>
    <row r="179" spans="3:4">
      <c r="C179" s="52">
        <f>SUMIF(BTS_매출관리!C:C,B179,BTS_매출관리!I:I)</f>
        <v>0</v>
      </c>
      <c r="D179">
        <f t="shared" si="2"/>
        <v>36</v>
      </c>
    </row>
    <row r="180" spans="3:4">
      <c r="C180" s="52">
        <f>SUMIF(BTS_매출관리!C:C,B180,BTS_매출관리!I:I)</f>
        <v>0</v>
      </c>
      <c r="D180">
        <f t="shared" si="2"/>
        <v>36</v>
      </c>
    </row>
    <row r="181" spans="3:4">
      <c r="C181" s="52">
        <f>SUMIF(BTS_매출관리!C:C,B181,BTS_매출관리!I:I)</f>
        <v>0</v>
      </c>
      <c r="D181">
        <f t="shared" si="2"/>
        <v>36</v>
      </c>
    </row>
    <row r="182" spans="3:4">
      <c r="C182" s="52">
        <f>SUMIF(BTS_매출관리!C:C,B182,BTS_매출관리!I:I)</f>
        <v>0</v>
      </c>
      <c r="D182">
        <f t="shared" si="2"/>
        <v>36</v>
      </c>
    </row>
    <row r="183" spans="3:4">
      <c r="C183" s="52">
        <f>SUMIF(BTS_매출관리!C:C,B183,BTS_매출관리!I:I)</f>
        <v>0</v>
      </c>
      <c r="D183">
        <f t="shared" si="2"/>
        <v>36</v>
      </c>
    </row>
    <row r="184" spans="3:4">
      <c r="C184" s="52">
        <f>SUMIF(BTS_매출관리!C:C,B184,BTS_매출관리!I:I)</f>
        <v>0</v>
      </c>
      <c r="D184">
        <f t="shared" si="2"/>
        <v>36</v>
      </c>
    </row>
    <row r="185" spans="3:4">
      <c r="C185" s="52">
        <f>SUMIF(BTS_매출관리!C:C,B185,BTS_매출관리!I:I)</f>
        <v>0</v>
      </c>
      <c r="D185">
        <f t="shared" si="2"/>
        <v>36</v>
      </c>
    </row>
    <row r="186" spans="3:4">
      <c r="C186" s="52">
        <f>SUMIF(BTS_매출관리!C:C,B186,BTS_매출관리!I:I)</f>
        <v>0</v>
      </c>
      <c r="D186">
        <f t="shared" si="2"/>
        <v>36</v>
      </c>
    </row>
    <row r="187" spans="3:4">
      <c r="C187" s="52">
        <f>SUMIF(BTS_매출관리!C:C,B187,BTS_매출관리!I:I)</f>
        <v>0</v>
      </c>
      <c r="D187">
        <f t="shared" si="2"/>
        <v>36</v>
      </c>
    </row>
    <row r="188" spans="3:4">
      <c r="C188" s="52">
        <f>SUMIF(BTS_매출관리!C:C,B188,BTS_매출관리!I:I)</f>
        <v>0</v>
      </c>
      <c r="D188">
        <f t="shared" si="2"/>
        <v>36</v>
      </c>
    </row>
    <row r="189" spans="3:4">
      <c r="C189" s="52">
        <f>SUMIF(BTS_매출관리!C:C,B189,BTS_매출관리!I:I)</f>
        <v>0</v>
      </c>
      <c r="D189">
        <f t="shared" si="2"/>
        <v>36</v>
      </c>
    </row>
    <row r="190" spans="3:4">
      <c r="C190" s="52">
        <f>SUMIF(BTS_매출관리!C:C,B190,BTS_매출관리!I:I)</f>
        <v>0</v>
      </c>
      <c r="D190">
        <f t="shared" si="2"/>
        <v>36</v>
      </c>
    </row>
    <row r="191" spans="3:4">
      <c r="C191" s="52">
        <f>SUMIF(BTS_매출관리!C:C,B191,BTS_매출관리!I:I)</f>
        <v>0</v>
      </c>
      <c r="D191">
        <f t="shared" si="2"/>
        <v>36</v>
      </c>
    </row>
    <row r="192" spans="3:4">
      <c r="C192" s="52">
        <f>SUMIF(BTS_매출관리!C:C,B192,BTS_매출관리!I:I)</f>
        <v>0</v>
      </c>
      <c r="D192">
        <f t="shared" si="2"/>
        <v>36</v>
      </c>
    </row>
    <row r="193" spans="3:4">
      <c r="C193" s="52">
        <f>SUMIF(BTS_매출관리!C:C,B193,BTS_매출관리!I:I)</f>
        <v>0</v>
      </c>
      <c r="D193">
        <f t="shared" si="2"/>
        <v>36</v>
      </c>
    </row>
    <row r="194" spans="3:4">
      <c r="C194" s="52">
        <f>SUMIF(BTS_매출관리!C:C,B194,BTS_매출관리!I:I)</f>
        <v>0</v>
      </c>
      <c r="D194">
        <f t="shared" ref="D194:D224" si="3">RANK(C194,C:C,0)</f>
        <v>36</v>
      </c>
    </row>
    <row r="195" spans="3:4">
      <c r="C195" s="52">
        <f>SUMIF(BTS_매출관리!C:C,B195,BTS_매출관리!I:I)</f>
        <v>0</v>
      </c>
      <c r="D195">
        <f t="shared" si="3"/>
        <v>36</v>
      </c>
    </row>
    <row r="196" spans="3:4">
      <c r="C196" s="52">
        <f>SUMIF(BTS_매출관리!C:C,B196,BTS_매출관리!I:I)</f>
        <v>0</v>
      </c>
      <c r="D196">
        <f t="shared" si="3"/>
        <v>36</v>
      </c>
    </row>
    <row r="197" spans="3:4">
      <c r="C197" s="52">
        <f>SUMIF(BTS_매출관리!C:C,B197,BTS_매출관리!I:I)</f>
        <v>0</v>
      </c>
      <c r="D197">
        <f t="shared" si="3"/>
        <v>36</v>
      </c>
    </row>
    <row r="198" spans="3:4">
      <c r="C198" s="52">
        <f>SUMIF(BTS_매출관리!C:C,B198,BTS_매출관리!I:I)</f>
        <v>0</v>
      </c>
      <c r="D198">
        <f t="shared" si="3"/>
        <v>36</v>
      </c>
    </row>
    <row r="199" spans="3:4">
      <c r="C199" s="52">
        <f>SUMIF(BTS_매출관리!C:C,B199,BTS_매출관리!I:I)</f>
        <v>0</v>
      </c>
      <c r="D199">
        <f t="shared" si="3"/>
        <v>36</v>
      </c>
    </row>
    <row r="200" spans="3:4">
      <c r="C200" s="52">
        <f>SUMIF(BTS_매출관리!C:C,B200,BTS_매출관리!I:I)</f>
        <v>0</v>
      </c>
      <c r="D200">
        <f t="shared" si="3"/>
        <v>36</v>
      </c>
    </row>
    <row r="201" spans="3:4">
      <c r="C201" s="52">
        <f>SUMIF(BTS_매출관리!C:C,B201,BTS_매출관리!I:I)</f>
        <v>0</v>
      </c>
      <c r="D201">
        <f t="shared" si="3"/>
        <v>36</v>
      </c>
    </row>
    <row r="202" spans="3:4">
      <c r="C202" s="52">
        <f>SUMIF(BTS_매출관리!C:C,B202,BTS_매출관리!I:I)</f>
        <v>0</v>
      </c>
      <c r="D202">
        <f t="shared" si="3"/>
        <v>36</v>
      </c>
    </row>
    <row r="203" spans="3:4">
      <c r="C203" s="52">
        <f>SUMIF(BTS_매출관리!C:C,B203,BTS_매출관리!I:I)</f>
        <v>0</v>
      </c>
      <c r="D203">
        <f t="shared" si="3"/>
        <v>36</v>
      </c>
    </row>
    <row r="204" spans="3:4">
      <c r="C204" s="52">
        <f>SUMIF(BTS_매출관리!C:C,B204,BTS_매출관리!I:I)</f>
        <v>0</v>
      </c>
      <c r="D204">
        <f t="shared" si="3"/>
        <v>36</v>
      </c>
    </row>
    <row r="205" spans="3:4">
      <c r="C205" s="52">
        <f>SUMIF(BTS_매출관리!C:C,B205,BTS_매출관리!I:I)</f>
        <v>0</v>
      </c>
      <c r="D205">
        <f t="shared" si="3"/>
        <v>36</v>
      </c>
    </row>
    <row r="206" spans="3:4">
      <c r="C206" s="52">
        <f>SUMIF(BTS_매출관리!C:C,B206,BTS_매출관리!I:I)</f>
        <v>0</v>
      </c>
      <c r="D206">
        <f t="shared" si="3"/>
        <v>36</v>
      </c>
    </row>
    <row r="207" spans="3:4">
      <c r="C207" s="52">
        <f>SUMIF(BTS_매출관리!C:C,B207,BTS_매출관리!I:I)</f>
        <v>0</v>
      </c>
      <c r="D207">
        <f t="shared" si="3"/>
        <v>36</v>
      </c>
    </row>
    <row r="208" spans="3:4">
      <c r="C208" s="52">
        <f>SUMIF(BTS_매출관리!C:C,B208,BTS_매출관리!I:I)</f>
        <v>0</v>
      </c>
      <c r="D208">
        <f t="shared" si="3"/>
        <v>36</v>
      </c>
    </row>
    <row r="209" spans="3:4">
      <c r="C209" s="52">
        <f>SUMIF(BTS_매출관리!C:C,B209,BTS_매출관리!I:I)</f>
        <v>0</v>
      </c>
      <c r="D209">
        <f t="shared" si="3"/>
        <v>36</v>
      </c>
    </row>
    <row r="210" spans="3:4">
      <c r="C210" s="52">
        <f>SUMIF(BTS_매출관리!C:C,B210,BTS_매출관리!I:I)</f>
        <v>0</v>
      </c>
      <c r="D210">
        <f t="shared" si="3"/>
        <v>36</v>
      </c>
    </row>
    <row r="211" spans="3:4">
      <c r="C211" s="52">
        <f>SUMIF(BTS_매출관리!C:C,B211,BTS_매출관리!I:I)</f>
        <v>0</v>
      </c>
      <c r="D211">
        <f t="shared" si="3"/>
        <v>36</v>
      </c>
    </row>
    <row r="212" spans="3:4">
      <c r="C212" s="52">
        <f>SUMIF(BTS_매출관리!C:C,B212,BTS_매출관리!I:I)</f>
        <v>0</v>
      </c>
      <c r="D212">
        <f t="shared" si="3"/>
        <v>36</v>
      </c>
    </row>
    <row r="213" spans="3:4">
      <c r="C213" s="52">
        <f>SUMIF(BTS_매출관리!C:C,B213,BTS_매출관리!I:I)</f>
        <v>0</v>
      </c>
      <c r="D213">
        <f t="shared" si="3"/>
        <v>36</v>
      </c>
    </row>
    <row r="214" spans="3:4">
      <c r="C214" s="52">
        <f>SUMIF(BTS_매출관리!C:C,B214,BTS_매출관리!I:I)</f>
        <v>0</v>
      </c>
      <c r="D214">
        <f t="shared" si="3"/>
        <v>36</v>
      </c>
    </row>
    <row r="215" spans="3:4">
      <c r="C215" s="52">
        <f>SUMIF(BTS_매출관리!C:C,B215,BTS_매출관리!I:I)</f>
        <v>0</v>
      </c>
      <c r="D215">
        <f t="shared" si="3"/>
        <v>36</v>
      </c>
    </row>
    <row r="216" spans="3:4">
      <c r="C216" s="52">
        <f>SUMIF(BTS_매출관리!C:C,B216,BTS_매출관리!I:I)</f>
        <v>0</v>
      </c>
      <c r="D216">
        <f t="shared" si="3"/>
        <v>36</v>
      </c>
    </row>
    <row r="217" spans="3:4">
      <c r="C217" s="52">
        <f>SUMIF(BTS_매출관리!C:C,B217,BTS_매출관리!I:I)</f>
        <v>0</v>
      </c>
      <c r="D217">
        <f t="shared" si="3"/>
        <v>36</v>
      </c>
    </row>
    <row r="218" spans="3:4">
      <c r="C218" s="52">
        <f>SUMIF(BTS_매출관리!C:C,B218,BTS_매출관리!I:I)</f>
        <v>0</v>
      </c>
      <c r="D218">
        <f t="shared" si="3"/>
        <v>36</v>
      </c>
    </row>
    <row r="219" spans="3:4">
      <c r="C219" s="52">
        <f>SUMIF(BTS_매출관리!C:C,B219,BTS_매출관리!I:I)</f>
        <v>0</v>
      </c>
      <c r="D219">
        <f t="shared" si="3"/>
        <v>36</v>
      </c>
    </row>
    <row r="220" spans="3:4">
      <c r="C220" s="52">
        <f>SUMIF(BTS_매출관리!C:C,B220,BTS_매출관리!I:I)</f>
        <v>0</v>
      </c>
      <c r="D220">
        <f t="shared" si="3"/>
        <v>36</v>
      </c>
    </row>
    <row r="221" spans="3:4">
      <c r="C221" s="52">
        <f>SUMIF(BTS_매출관리!C:C,B221,BTS_매출관리!I:I)</f>
        <v>0</v>
      </c>
      <c r="D221">
        <f t="shared" si="3"/>
        <v>36</v>
      </c>
    </row>
    <row r="222" spans="3:4">
      <c r="C222" s="52">
        <f>SUMIF(BTS_매출관리!C:C,B222,BTS_매출관리!I:I)</f>
        <v>0</v>
      </c>
      <c r="D222">
        <f t="shared" si="3"/>
        <v>36</v>
      </c>
    </row>
    <row r="223" spans="3:4">
      <c r="C223" s="52">
        <f>SUMIF(BTS_매출관리!C:C,B223,BTS_매출관리!I:I)</f>
        <v>0</v>
      </c>
      <c r="D223">
        <f t="shared" si="3"/>
        <v>36</v>
      </c>
    </row>
    <row r="224" spans="3:4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1" t="s">
        <v>2</v>
      </c>
      <c r="B1" s="446" t="s">
        <v>2414</v>
      </c>
      <c r="C1" s="444" t="s">
        <v>2648</v>
      </c>
      <c r="D1" s="441" t="s">
        <v>2677</v>
      </c>
      <c r="E1" s="441" t="s">
        <v>40</v>
      </c>
      <c r="F1" s="441" t="s">
        <v>2855</v>
      </c>
      <c r="G1" s="441"/>
      <c r="H1" s="441" t="s">
        <v>2856</v>
      </c>
      <c r="I1" s="441"/>
      <c r="J1" s="441" t="s">
        <v>2857</v>
      </c>
      <c r="K1" s="441"/>
      <c r="L1" s="289"/>
    </row>
    <row r="2" spans="1:15" ht="17.25" thickBot="1">
      <c r="A2" s="442"/>
      <c r="B2" s="447"/>
      <c r="C2" s="445"/>
      <c r="D2" s="442"/>
      <c r="E2" s="442"/>
      <c r="F2" s="295" t="s">
        <v>2649</v>
      </c>
      <c r="G2" s="295" t="s">
        <v>2650</v>
      </c>
      <c r="H2" s="295" t="s">
        <v>2651</v>
      </c>
      <c r="I2" s="295" t="s">
        <v>2652</v>
      </c>
      <c r="J2" s="295" t="s">
        <v>2651</v>
      </c>
      <c r="K2" s="295" t="s">
        <v>2652</v>
      </c>
      <c r="L2" s="295"/>
    </row>
    <row r="3" spans="1:15" ht="18" customHeight="1">
      <c r="A3" s="286">
        <v>1</v>
      </c>
      <c r="B3" s="290">
        <v>45659</v>
      </c>
      <c r="C3" s="291" t="s">
        <v>2653</v>
      </c>
      <c r="D3" s="291" t="s">
        <v>2654</v>
      </c>
      <c r="E3" s="291" t="s">
        <v>2655</v>
      </c>
      <c r="F3" s="292">
        <v>1</v>
      </c>
      <c r="G3" s="292">
        <f t="shared" ref="G3:G68" si="0">L3/F3/1.1</f>
        <v>278181.81818181818</v>
      </c>
      <c r="H3" s="293">
        <f t="shared" ref="H3:H68" si="1">F3*G3</f>
        <v>278181.81818181818</v>
      </c>
      <c r="I3" s="293">
        <f>H3*10%</f>
        <v>27818.18181818182</v>
      </c>
      <c r="J3" s="293">
        <f>IF(E3="매출",F3*G3,0)</f>
        <v>0</v>
      </c>
      <c r="K3" s="293">
        <f t="shared" ref="K3:K39" si="2">J3*10%</f>
        <v>0</v>
      </c>
      <c r="L3" s="294">
        <v>306000</v>
      </c>
      <c r="M3" s="287"/>
      <c r="O3" s="288"/>
    </row>
    <row r="4" spans="1:15" ht="18" customHeight="1">
      <c r="A4" s="261">
        <v>2</v>
      </c>
      <c r="B4" s="267">
        <v>45663</v>
      </c>
      <c r="C4" s="262" t="s">
        <v>2656</v>
      </c>
      <c r="D4" s="262" t="s">
        <v>2657</v>
      </c>
      <c r="E4" s="262" t="s">
        <v>2655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7"/>
    </row>
    <row r="5" spans="1:15" ht="18" customHeight="1">
      <c r="A5" s="261">
        <v>3</v>
      </c>
      <c r="B5" s="267">
        <v>45663</v>
      </c>
      <c r="C5" s="262" t="s">
        <v>2653</v>
      </c>
      <c r="D5" s="262" t="s">
        <v>2654</v>
      </c>
      <c r="E5" s="262" t="s">
        <v>2655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7"/>
    </row>
    <row r="6" spans="1:15" ht="18" customHeight="1">
      <c r="A6" s="261">
        <v>4</v>
      </c>
      <c r="B6" s="267">
        <v>45670</v>
      </c>
      <c r="C6" s="262" t="s">
        <v>2653</v>
      </c>
      <c r="D6" s="262" t="s">
        <v>2654</v>
      </c>
      <c r="E6" s="262" t="s">
        <v>2655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7"/>
    </row>
    <row r="7" spans="1:15" ht="18" customHeight="1">
      <c r="A7" s="261">
        <v>5</v>
      </c>
      <c r="B7" s="267">
        <v>45671</v>
      </c>
      <c r="C7" s="262" t="s">
        <v>2653</v>
      </c>
      <c r="D7" s="262" t="s">
        <v>2654</v>
      </c>
      <c r="E7" s="262" t="s">
        <v>2658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7"/>
    </row>
    <row r="8" spans="1:15" ht="18" customHeight="1">
      <c r="A8" s="261">
        <v>6</v>
      </c>
      <c r="B8" s="267">
        <v>45671</v>
      </c>
      <c r="C8" s="262" t="s">
        <v>2659</v>
      </c>
      <c r="D8" s="262" t="s">
        <v>2660</v>
      </c>
      <c r="E8" s="262" t="s">
        <v>2655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7"/>
    </row>
    <row r="9" spans="1:15" ht="18" customHeight="1">
      <c r="A9" s="261">
        <v>7</v>
      </c>
      <c r="B9" s="267">
        <v>45680</v>
      </c>
      <c r="C9" s="262" t="s">
        <v>2661</v>
      </c>
      <c r="D9" s="262" t="s">
        <v>2662</v>
      </c>
      <c r="E9" s="262" t="s">
        <v>2655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7"/>
    </row>
    <row r="10" spans="1:15" ht="18" customHeight="1">
      <c r="A10" s="261">
        <v>8</v>
      </c>
      <c r="B10" s="267">
        <v>45681</v>
      </c>
      <c r="C10" s="262" t="s">
        <v>2663</v>
      </c>
      <c r="D10" s="262" t="s">
        <v>2654</v>
      </c>
      <c r="E10" s="262" t="s">
        <v>2658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7"/>
    </row>
    <row r="11" spans="1:15" ht="18" customHeight="1">
      <c r="A11" s="261">
        <v>9</v>
      </c>
      <c r="B11" s="267">
        <v>45681</v>
      </c>
      <c r="C11" s="262" t="s">
        <v>2664</v>
      </c>
      <c r="D11" s="262" t="s">
        <v>2654</v>
      </c>
      <c r="E11" s="262" t="s">
        <v>2658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7"/>
    </row>
    <row r="12" spans="1:15" ht="18" customHeight="1">
      <c r="A12" s="261">
        <v>10</v>
      </c>
      <c r="B12" s="267">
        <v>45691</v>
      </c>
      <c r="C12" s="262" t="s">
        <v>2653</v>
      </c>
      <c r="D12" s="262" t="s">
        <v>2654</v>
      </c>
      <c r="E12" s="262" t="s">
        <v>2655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7"/>
    </row>
    <row r="13" spans="1:15" ht="18" customHeight="1">
      <c r="A13" s="261">
        <v>11</v>
      </c>
      <c r="B13" s="267">
        <v>45699</v>
      </c>
      <c r="C13" s="262" t="s">
        <v>2653</v>
      </c>
      <c r="D13" s="262" t="s">
        <v>2654</v>
      </c>
      <c r="E13" s="262" t="s">
        <v>2655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7"/>
    </row>
    <row r="14" spans="1:15" ht="18" customHeight="1">
      <c r="A14" s="261">
        <v>12</v>
      </c>
      <c r="B14" s="267">
        <v>45699</v>
      </c>
      <c r="C14" s="262" t="s">
        <v>2656</v>
      </c>
      <c r="D14" s="262" t="s">
        <v>2657</v>
      </c>
      <c r="E14" s="262" t="s">
        <v>2658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7"/>
    </row>
    <row r="15" spans="1:15" ht="18" customHeight="1">
      <c r="A15" s="261">
        <v>13</v>
      </c>
      <c r="B15" s="267">
        <v>45706</v>
      </c>
      <c r="C15" s="262" t="s">
        <v>2653</v>
      </c>
      <c r="D15" s="262" t="s">
        <v>2654</v>
      </c>
      <c r="E15" s="262" t="s">
        <v>2658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7"/>
    </row>
    <row r="16" spans="1:15" ht="18" customHeight="1">
      <c r="A16" s="261">
        <v>14</v>
      </c>
      <c r="B16" s="267">
        <v>45714</v>
      </c>
      <c r="C16" s="262" t="s">
        <v>2665</v>
      </c>
      <c r="D16" s="262" t="s">
        <v>2666</v>
      </c>
      <c r="E16" s="262" t="s">
        <v>2658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7"/>
    </row>
    <row r="17" spans="1:13" ht="18" customHeight="1">
      <c r="A17" s="261">
        <v>15</v>
      </c>
      <c r="B17" s="267">
        <v>45714</v>
      </c>
      <c r="C17" s="262" t="s">
        <v>2653</v>
      </c>
      <c r="D17" s="262" t="s">
        <v>2654</v>
      </c>
      <c r="E17" s="262" t="s">
        <v>2658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7"/>
    </row>
    <row r="18" spans="1:13" ht="18" customHeight="1">
      <c r="A18" s="261">
        <v>16</v>
      </c>
      <c r="B18" s="267">
        <v>45719</v>
      </c>
      <c r="C18" s="262" t="s">
        <v>2664</v>
      </c>
      <c r="D18" s="262" t="s">
        <v>2654</v>
      </c>
      <c r="E18" s="262" t="s">
        <v>2655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7"/>
    </row>
    <row r="19" spans="1:13" ht="18" customHeight="1">
      <c r="A19" s="261">
        <v>17</v>
      </c>
      <c r="B19" s="267">
        <v>45719</v>
      </c>
      <c r="C19" s="262" t="s">
        <v>2667</v>
      </c>
      <c r="D19" s="262" t="s">
        <v>2668</v>
      </c>
      <c r="E19" s="262" t="s">
        <v>2658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7"/>
    </row>
    <row r="20" spans="1:13" ht="18" customHeight="1">
      <c r="A20" s="261">
        <v>18</v>
      </c>
      <c r="B20" s="267">
        <v>45719</v>
      </c>
      <c r="C20" s="262" t="s">
        <v>2663</v>
      </c>
      <c r="D20" s="262" t="s">
        <v>2654</v>
      </c>
      <c r="E20" s="262" t="s">
        <v>2658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7"/>
    </row>
    <row r="21" spans="1:13" ht="18" customHeight="1">
      <c r="A21" s="261">
        <v>19</v>
      </c>
      <c r="B21" s="267">
        <v>45719</v>
      </c>
      <c r="C21" s="262" t="s">
        <v>2669</v>
      </c>
      <c r="D21" s="262" t="s">
        <v>2666</v>
      </c>
      <c r="E21" s="262" t="s">
        <v>2658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7"/>
    </row>
    <row r="22" spans="1:13" ht="18" customHeight="1">
      <c r="A22" s="261">
        <v>20</v>
      </c>
      <c r="B22" s="267">
        <v>45720</v>
      </c>
      <c r="C22" s="262" t="s">
        <v>2670</v>
      </c>
      <c r="D22" s="262" t="s">
        <v>2671</v>
      </c>
      <c r="E22" s="262" t="s">
        <v>2658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7"/>
    </row>
    <row r="23" spans="1:13" ht="18" customHeight="1">
      <c r="A23" s="261">
        <v>21</v>
      </c>
      <c r="B23" s="267">
        <v>45720</v>
      </c>
      <c r="C23" s="262" t="s">
        <v>2672</v>
      </c>
      <c r="D23" s="262" t="s">
        <v>2673</v>
      </c>
      <c r="E23" s="262" t="s">
        <v>2658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7"/>
    </row>
    <row r="24" spans="1:13" ht="18" customHeight="1">
      <c r="A24" s="261">
        <v>22</v>
      </c>
      <c r="B24" s="267">
        <v>45722</v>
      </c>
      <c r="C24" s="262" t="s">
        <v>2656</v>
      </c>
      <c r="D24" s="262" t="s">
        <v>2657</v>
      </c>
      <c r="E24" s="262" t="s">
        <v>2658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7"/>
    </row>
    <row r="25" spans="1:13" ht="18" customHeight="1">
      <c r="A25" s="261">
        <v>23</v>
      </c>
      <c r="B25" s="267">
        <v>45727</v>
      </c>
      <c r="C25" s="262" t="s">
        <v>2653</v>
      </c>
      <c r="D25" s="262" t="s">
        <v>2654</v>
      </c>
      <c r="E25" s="262" t="s">
        <v>2658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7"/>
    </row>
    <row r="26" spans="1:13" ht="18" customHeight="1">
      <c r="A26" s="261">
        <v>24</v>
      </c>
      <c r="B26" s="267">
        <v>45747</v>
      </c>
      <c r="C26" s="262" t="s">
        <v>2653</v>
      </c>
      <c r="D26" s="262" t="s">
        <v>2674</v>
      </c>
      <c r="E26" s="262" t="s">
        <v>2658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7"/>
    </row>
    <row r="27" spans="1:13" ht="18" customHeight="1">
      <c r="A27" s="261">
        <v>25</v>
      </c>
      <c r="B27" s="267">
        <v>45749</v>
      </c>
      <c r="C27" s="262" t="s">
        <v>2675</v>
      </c>
      <c r="D27" s="262" t="s">
        <v>2654</v>
      </c>
      <c r="E27" s="262" t="s">
        <v>2658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7"/>
    </row>
    <row r="28" spans="1:13" ht="18" customHeight="1">
      <c r="A28" s="261">
        <v>26</v>
      </c>
      <c r="B28" s="267">
        <v>45761</v>
      </c>
      <c r="C28" s="262" t="s">
        <v>2653</v>
      </c>
      <c r="D28" s="262" t="s">
        <v>2654</v>
      </c>
      <c r="E28" s="262" t="s">
        <v>2658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7"/>
    </row>
    <row r="29" spans="1:13" ht="18" customHeight="1">
      <c r="A29" s="261">
        <v>27</v>
      </c>
      <c r="B29" s="267">
        <v>45762</v>
      </c>
      <c r="C29" s="262" t="s">
        <v>2653</v>
      </c>
      <c r="D29" s="262" t="s">
        <v>2654</v>
      </c>
      <c r="E29" s="262" t="s">
        <v>2658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7"/>
    </row>
    <row r="30" spans="1:13" ht="18" customHeight="1">
      <c r="A30" s="261">
        <v>28</v>
      </c>
      <c r="B30" s="267">
        <v>45776</v>
      </c>
      <c r="C30" s="262" t="s">
        <v>2663</v>
      </c>
      <c r="D30" s="262" t="s">
        <v>2654</v>
      </c>
      <c r="E30" s="262" t="s">
        <v>2658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7"/>
    </row>
    <row r="31" spans="1:13" ht="18" customHeight="1">
      <c r="A31" s="261">
        <v>29</v>
      </c>
      <c r="B31" s="267">
        <v>45776</v>
      </c>
      <c r="C31" s="262" t="s">
        <v>2667</v>
      </c>
      <c r="D31" s="262" t="s">
        <v>2668</v>
      </c>
      <c r="E31" s="262" t="s">
        <v>2658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7"/>
    </row>
    <row r="32" spans="1:13" ht="18" customHeight="1">
      <c r="A32" s="261">
        <v>30</v>
      </c>
      <c r="B32" s="267">
        <v>45776</v>
      </c>
      <c r="C32" s="262" t="s">
        <v>2665</v>
      </c>
      <c r="D32" s="262" t="s">
        <v>2666</v>
      </c>
      <c r="E32" s="262" t="s">
        <v>2658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7"/>
    </row>
    <row r="33" spans="1:13" ht="18" customHeight="1">
      <c r="A33" s="261">
        <v>31</v>
      </c>
      <c r="B33" s="267">
        <v>45776</v>
      </c>
      <c r="C33" s="262" t="s">
        <v>2664</v>
      </c>
      <c r="D33" s="262" t="s">
        <v>2654</v>
      </c>
      <c r="E33" s="262" t="s">
        <v>2658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7"/>
    </row>
    <row r="34" spans="1:13" ht="18.75" customHeight="1">
      <c r="A34" s="261">
        <v>32</v>
      </c>
      <c r="B34" s="267">
        <v>45776</v>
      </c>
      <c r="C34" s="262" t="s">
        <v>2669</v>
      </c>
      <c r="D34" s="262" t="s">
        <v>2666</v>
      </c>
      <c r="E34" s="262" t="s">
        <v>2658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7"/>
    </row>
    <row r="35" spans="1:13" ht="18" customHeight="1">
      <c r="A35" s="261">
        <v>33</v>
      </c>
      <c r="B35" s="267">
        <v>45785</v>
      </c>
      <c r="C35" s="262" t="s">
        <v>2656</v>
      </c>
      <c r="D35" s="262" t="s">
        <v>2657</v>
      </c>
      <c r="E35" s="262" t="s">
        <v>2658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7"/>
    </row>
    <row r="36" spans="1:13" ht="20.25" customHeight="1">
      <c r="A36" s="261">
        <v>34</v>
      </c>
      <c r="B36" s="267">
        <v>45786</v>
      </c>
      <c r="C36" s="262" t="s">
        <v>2653</v>
      </c>
      <c r="D36" s="262" t="s">
        <v>2654</v>
      </c>
      <c r="E36" s="262" t="s">
        <v>2658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7"/>
    </row>
    <row r="37" spans="1:13" ht="18" customHeight="1">
      <c r="A37" s="261">
        <v>35</v>
      </c>
      <c r="B37" s="267">
        <v>45791</v>
      </c>
      <c r="C37" s="262" t="s">
        <v>2656</v>
      </c>
      <c r="D37" s="262" t="s">
        <v>2657</v>
      </c>
      <c r="E37" s="262" t="s">
        <v>2658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7"/>
    </row>
    <row r="38" spans="1:13" ht="18.75" customHeight="1">
      <c r="A38" s="261">
        <v>36</v>
      </c>
      <c r="B38" s="267">
        <v>45797</v>
      </c>
      <c r="C38" s="262" t="s">
        <v>2672</v>
      </c>
      <c r="D38" s="262" t="s">
        <v>2673</v>
      </c>
      <c r="E38" s="262" t="s">
        <v>2658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7"/>
    </row>
    <row r="39" spans="1:13" ht="18.75" customHeight="1">
      <c r="A39" s="261">
        <v>37</v>
      </c>
      <c r="B39" s="267">
        <v>45803</v>
      </c>
      <c r="C39" s="262" t="s">
        <v>2653</v>
      </c>
      <c r="D39" s="262" t="s">
        <v>2654</v>
      </c>
      <c r="E39" s="262" t="s">
        <v>2658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7"/>
    </row>
    <row r="40" spans="1:13" ht="18" customHeight="1">
      <c r="A40" s="261">
        <v>38</v>
      </c>
      <c r="B40" s="267">
        <v>45806</v>
      </c>
      <c r="C40" s="262" t="s">
        <v>2656</v>
      </c>
      <c r="D40" s="262" t="s">
        <v>2657</v>
      </c>
      <c r="E40" s="262" t="s">
        <v>2658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7"/>
    </row>
    <row r="41" spans="1:13" ht="18" customHeight="1">
      <c r="A41" s="261">
        <v>39</v>
      </c>
      <c r="B41" s="267">
        <v>45810</v>
      </c>
      <c r="C41" s="262" t="s">
        <v>2670</v>
      </c>
      <c r="D41" s="262" t="s">
        <v>2671</v>
      </c>
      <c r="E41" s="262" t="s">
        <v>2658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7"/>
    </row>
    <row r="42" spans="1:13" ht="18.75" customHeight="1">
      <c r="A42" s="261">
        <v>40</v>
      </c>
      <c r="B42" s="267">
        <v>45786</v>
      </c>
      <c r="C42" s="262" t="s">
        <v>2672</v>
      </c>
      <c r="D42" s="262" t="s">
        <v>2673</v>
      </c>
      <c r="E42" s="262" t="s">
        <v>2658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7"/>
    </row>
    <row r="43" spans="1:13" ht="18" customHeight="1">
      <c r="A43" s="261">
        <v>41</v>
      </c>
      <c r="B43" s="267">
        <v>45828</v>
      </c>
      <c r="C43" s="262" t="s">
        <v>2653</v>
      </c>
      <c r="D43" s="262" t="s">
        <v>2654</v>
      </c>
      <c r="E43" s="262" t="s">
        <v>2658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7"/>
    </row>
    <row r="44" spans="1:13" ht="18" customHeight="1">
      <c r="A44" s="261">
        <v>42</v>
      </c>
      <c r="B44" s="267">
        <v>45838</v>
      </c>
      <c r="C44" s="262" t="s">
        <v>2663</v>
      </c>
      <c r="D44" s="262" t="s">
        <v>2654</v>
      </c>
      <c r="E44" s="262" t="s">
        <v>2658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7"/>
    </row>
    <row r="45" spans="1:13" ht="18" customHeight="1">
      <c r="A45" s="261">
        <v>43</v>
      </c>
      <c r="B45" s="267">
        <v>45838</v>
      </c>
      <c r="C45" s="262" t="s">
        <v>2669</v>
      </c>
      <c r="D45" s="262" t="s">
        <v>2666</v>
      </c>
      <c r="E45" s="262" t="s">
        <v>2658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7"/>
    </row>
    <row r="46" spans="1:13" ht="18" customHeight="1">
      <c r="A46" s="261">
        <v>44</v>
      </c>
      <c r="B46" s="267">
        <v>45838</v>
      </c>
      <c r="C46" s="262" t="s">
        <v>2664</v>
      </c>
      <c r="D46" s="262" t="s">
        <v>2654</v>
      </c>
      <c r="E46" s="262" t="s">
        <v>2658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7"/>
    </row>
    <row r="47" spans="1:13" ht="18" customHeight="1">
      <c r="A47" s="261">
        <v>45</v>
      </c>
      <c r="B47" s="267">
        <v>45838</v>
      </c>
      <c r="C47" s="262" t="s">
        <v>2665</v>
      </c>
      <c r="D47" s="262" t="s">
        <v>2666</v>
      </c>
      <c r="E47" s="262" t="s">
        <v>2658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7"/>
    </row>
    <row r="48" spans="1:13" ht="18" customHeight="1">
      <c r="A48" s="261">
        <v>46</v>
      </c>
      <c r="B48" s="267"/>
      <c r="C48" s="262"/>
      <c r="D48" s="262"/>
      <c r="E48" s="262" t="s">
        <v>2658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2658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2658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2658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2658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2658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2658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2658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2658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2658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2658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2658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2658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2658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2658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2658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2658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2658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2658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2658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2658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2658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2658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2658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2658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2658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2658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2658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2658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2658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2658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2658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2658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2658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2658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2658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2658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2658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2658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2658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2658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2658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2655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2658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2658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2658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2658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2658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2658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2658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2658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2658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2658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2658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2658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2658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2658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2658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2658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2658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2658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2658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2658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2658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2658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2658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2658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2658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2658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2658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2658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2658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2658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2658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2658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2658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2658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2658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2658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2658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2658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2658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2658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2658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2658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2658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2658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2658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3" t="s">
        <v>2676</v>
      </c>
      <c r="C150" s="443"/>
      <c r="D150" s="443"/>
      <c r="E150" s="443"/>
      <c r="F150" s="443"/>
      <c r="G150" s="443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1159</v>
      </c>
      <c r="C3" s="246">
        <f>SUMIF($B:$B,A3,I:I)</f>
        <v>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1160</v>
      </c>
      <c r="C4" s="246">
        <f>SUMIFS($I:$I,$B:$B,"&gt;="&amp;DATE(A5,A4,1),$B:$B,"&lt;="&amp;EOMONTH(DATE(A5,A4,1),0))</f>
        <v>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1201</v>
      </c>
      <c r="D8" s="82" t="s">
        <v>2677</v>
      </c>
      <c r="E8" s="83" t="s">
        <v>40</v>
      </c>
      <c r="F8" s="129" t="s">
        <v>46</v>
      </c>
      <c r="G8" s="83" t="s">
        <v>54</v>
      </c>
      <c r="H8" s="129" t="s">
        <v>46</v>
      </c>
      <c r="I8" s="129" t="s">
        <v>1672</v>
      </c>
      <c r="J8" s="129" t="s">
        <v>2678</v>
      </c>
      <c r="K8" s="83" t="s">
        <v>1672</v>
      </c>
      <c r="L8" s="83" t="s">
        <v>2678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2079</v>
      </c>
    </row>
    <row r="3" spans="1:2">
      <c r="A3" t="s">
        <v>2081</v>
      </c>
    </row>
    <row r="4" spans="1:2">
      <c r="A4" t="s">
        <v>2082</v>
      </c>
    </row>
    <row r="5" spans="1:2">
      <c r="A5" t="s">
        <v>2083</v>
      </c>
    </row>
    <row r="6" spans="1:2">
      <c r="A6" t="s">
        <v>2085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8"/>
      <c r="B1" s="299"/>
      <c r="C1" s="299"/>
      <c r="D1" s="299"/>
      <c r="E1" s="299"/>
      <c r="F1" s="299"/>
      <c r="G1" s="299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00" t="s">
        <v>1232</v>
      </c>
      <c r="R1" s="300"/>
      <c r="S1" s="301"/>
      <c r="T1" s="301"/>
      <c r="U1" s="302"/>
    </row>
    <row r="2" spans="1:21">
      <c r="A2" s="303" t="s">
        <v>70</v>
      </c>
      <c r="B2" s="304"/>
      <c r="C2" s="305" t="s">
        <v>2313</v>
      </c>
      <c r="D2" s="306"/>
      <c r="E2" s="306"/>
      <c r="F2" s="306"/>
      <c r="G2" s="307"/>
      <c r="H2" s="305" t="s">
        <v>81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45804</v>
      </c>
      <c r="U2" s="311"/>
    </row>
    <row r="3" spans="1:21" ht="24" customHeight="1">
      <c r="A3" s="321" t="s">
        <v>1200</v>
      </c>
      <c r="B3" s="37" t="s">
        <v>64</v>
      </c>
      <c r="C3" s="479" t="s">
        <v>1583</v>
      </c>
      <c r="D3" s="480"/>
      <c r="E3" s="480"/>
      <c r="F3" s="480"/>
      <c r="G3" s="480"/>
      <c r="H3" s="480"/>
      <c r="I3" s="480"/>
      <c r="J3" s="481"/>
      <c r="K3" s="327" t="s">
        <v>1201</v>
      </c>
      <c r="L3" s="37" t="s">
        <v>64</v>
      </c>
      <c r="M3" s="476" t="s">
        <v>970</v>
      </c>
      <c r="N3" s="477"/>
      <c r="O3" s="477"/>
      <c r="P3" s="477"/>
      <c r="Q3" s="477"/>
      <c r="R3" s="477"/>
      <c r="S3" s="477"/>
      <c r="T3" s="477"/>
      <c r="U3" s="478"/>
    </row>
    <row r="4" spans="1:21" ht="24.95" customHeight="1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482" t="s">
        <v>78</v>
      </c>
      <c r="U4" s="483"/>
    </row>
    <row r="5" spans="1:21" ht="15.75" customHeight="1">
      <c r="A5" s="322"/>
      <c r="B5" s="38" t="s">
        <v>65</v>
      </c>
      <c r="C5" s="312" t="s">
        <v>1113</v>
      </c>
      <c r="D5" s="313"/>
      <c r="E5" s="313"/>
      <c r="F5" s="313"/>
      <c r="G5" s="313"/>
      <c r="H5" s="313"/>
      <c r="I5" s="313"/>
      <c r="J5" s="314"/>
      <c r="K5" s="328"/>
      <c r="L5" s="38" t="s">
        <v>65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15.75" customHeight="1">
      <c r="A6" s="323"/>
      <c r="B6" s="38" t="s">
        <v>80</v>
      </c>
      <c r="C6" s="312" t="s">
        <v>1112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980</v>
      </c>
      <c r="U6" s="315"/>
    </row>
    <row r="7" spans="1:21" ht="15.75" customHeight="1">
      <c r="A7" s="316" t="s">
        <v>75</v>
      </c>
      <c r="B7" s="317"/>
      <c r="C7" s="317"/>
      <c r="D7" s="317"/>
      <c r="E7" s="318"/>
      <c r="F7" s="319" t="s">
        <v>83</v>
      </c>
      <c r="G7" s="317"/>
      <c r="H7" s="317"/>
      <c r="I7" s="318"/>
      <c r="J7" s="319" t="s">
        <v>72</v>
      </c>
      <c r="K7" s="318"/>
      <c r="L7" s="319" t="s">
        <v>46</v>
      </c>
      <c r="M7" s="317"/>
      <c r="N7" s="317"/>
      <c r="O7" s="317"/>
      <c r="P7" s="318"/>
      <c r="Q7" s="319" t="s">
        <v>73</v>
      </c>
      <c r="R7" s="317"/>
      <c r="S7" s="318"/>
      <c r="T7" s="319" t="s">
        <v>74</v>
      </c>
      <c r="U7" s="320"/>
    </row>
    <row r="8" spans="1:21" ht="15" customHeight="1">
      <c r="A8" s="484" t="s">
        <v>1164</v>
      </c>
      <c r="B8" s="485"/>
      <c r="C8" s="485"/>
      <c r="D8" s="485"/>
      <c r="E8" s="486"/>
      <c r="F8" s="487"/>
      <c r="G8" s="485"/>
      <c r="H8" s="485"/>
      <c r="I8" s="486"/>
      <c r="J8" s="348">
        <v>1</v>
      </c>
      <c r="K8" s="347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352"/>
      <c r="U8" s="353"/>
    </row>
    <row r="9" spans="1:21" ht="15" customHeight="1">
      <c r="A9" s="469"/>
      <c r="B9" s="470"/>
      <c r="C9" s="470"/>
      <c r="D9" s="470"/>
      <c r="E9" s="471"/>
      <c r="F9" s="472"/>
      <c r="G9" s="470"/>
      <c r="H9" s="470"/>
      <c r="I9" s="471"/>
      <c r="J9" s="339"/>
      <c r="K9" s="338"/>
      <c r="L9" s="473"/>
      <c r="M9" s="474"/>
      <c r="N9" s="474"/>
      <c r="O9" s="474"/>
      <c r="P9" s="475"/>
      <c r="Q9" s="473"/>
      <c r="R9" s="474"/>
      <c r="S9" s="475"/>
      <c r="T9" s="343"/>
      <c r="U9" s="344"/>
    </row>
    <row r="10" spans="1:21" ht="15" customHeight="1">
      <c r="A10" s="469"/>
      <c r="B10" s="470"/>
      <c r="C10" s="470"/>
      <c r="D10" s="470"/>
      <c r="E10" s="471"/>
      <c r="F10" s="472"/>
      <c r="G10" s="470"/>
      <c r="H10" s="470"/>
      <c r="I10" s="471"/>
      <c r="J10" s="339"/>
      <c r="K10" s="338"/>
      <c r="L10" s="473"/>
      <c r="M10" s="474"/>
      <c r="N10" s="474"/>
      <c r="O10" s="474"/>
      <c r="P10" s="475"/>
      <c r="Q10" s="473"/>
      <c r="R10" s="474"/>
      <c r="S10" s="475"/>
      <c r="T10" s="343"/>
      <c r="U10" s="344"/>
    </row>
    <row r="11" spans="1:21" ht="15" customHeight="1">
      <c r="A11" s="469"/>
      <c r="B11" s="470"/>
      <c r="C11" s="470"/>
      <c r="D11" s="470"/>
      <c r="E11" s="471"/>
      <c r="F11" s="472"/>
      <c r="G11" s="470"/>
      <c r="H11" s="470"/>
      <c r="I11" s="471"/>
      <c r="J11" s="339"/>
      <c r="K11" s="338"/>
      <c r="L11" s="473"/>
      <c r="M11" s="474"/>
      <c r="N11" s="474"/>
      <c r="O11" s="474"/>
      <c r="P11" s="475"/>
      <c r="Q11" s="473"/>
      <c r="R11" s="474"/>
      <c r="S11" s="475"/>
      <c r="T11" s="343"/>
      <c r="U11" s="344"/>
    </row>
    <row r="12" spans="1:21" ht="15" customHeight="1">
      <c r="A12" s="469"/>
      <c r="B12" s="470"/>
      <c r="C12" s="470"/>
      <c r="D12" s="470"/>
      <c r="E12" s="471"/>
      <c r="F12" s="472"/>
      <c r="G12" s="470"/>
      <c r="H12" s="470"/>
      <c r="I12" s="471"/>
      <c r="J12" s="339"/>
      <c r="K12" s="338"/>
      <c r="L12" s="473"/>
      <c r="M12" s="474"/>
      <c r="N12" s="474"/>
      <c r="O12" s="474"/>
      <c r="P12" s="475"/>
      <c r="Q12" s="473"/>
      <c r="R12" s="474"/>
      <c r="S12" s="475"/>
      <c r="T12" s="343"/>
      <c r="U12" s="344"/>
    </row>
    <row r="13" spans="1:21" ht="15" customHeight="1">
      <c r="A13" s="469"/>
      <c r="B13" s="470"/>
      <c r="C13" s="470"/>
      <c r="D13" s="470"/>
      <c r="E13" s="471"/>
      <c r="F13" s="488"/>
      <c r="G13" s="489"/>
      <c r="H13" s="489"/>
      <c r="I13" s="490"/>
      <c r="J13" s="339"/>
      <c r="K13" s="338"/>
      <c r="L13" s="473"/>
      <c r="M13" s="474"/>
      <c r="N13" s="474"/>
      <c r="O13" s="474"/>
      <c r="P13" s="475"/>
      <c r="Q13" s="473"/>
      <c r="R13" s="474"/>
      <c r="S13" s="475"/>
      <c r="T13" s="343"/>
      <c r="U13" s="344"/>
    </row>
    <row r="14" spans="1:21" ht="15" customHeight="1">
      <c r="A14" s="469"/>
      <c r="B14" s="470"/>
      <c r="C14" s="470"/>
      <c r="D14" s="470"/>
      <c r="E14" s="471"/>
      <c r="F14" s="472"/>
      <c r="G14" s="470"/>
      <c r="H14" s="470"/>
      <c r="I14" s="471"/>
      <c r="J14" s="339"/>
      <c r="K14" s="338"/>
      <c r="L14" s="473"/>
      <c r="M14" s="474"/>
      <c r="N14" s="474"/>
      <c r="O14" s="474"/>
      <c r="P14" s="475"/>
      <c r="Q14" s="473"/>
      <c r="R14" s="474"/>
      <c r="S14" s="475"/>
      <c r="T14" s="343"/>
      <c r="U14" s="344"/>
    </row>
    <row r="15" spans="1:21" ht="15" customHeight="1">
      <c r="A15" s="336"/>
      <c r="B15" s="337"/>
      <c r="C15" s="337"/>
      <c r="D15" s="337"/>
      <c r="E15" s="338"/>
      <c r="F15" s="339"/>
      <c r="G15" s="337"/>
      <c r="H15" s="337"/>
      <c r="I15" s="338"/>
      <c r="J15" s="339"/>
      <c r="K15" s="338"/>
      <c r="L15" s="491"/>
      <c r="M15" s="492"/>
      <c r="N15" s="492"/>
      <c r="O15" s="492"/>
      <c r="P15" s="493"/>
      <c r="Q15" s="491"/>
      <c r="R15" s="492"/>
      <c r="S15" s="493"/>
      <c r="T15" s="343"/>
      <c r="U15" s="344"/>
    </row>
    <row r="16" spans="1:21" ht="15" customHeight="1">
      <c r="A16" s="336"/>
      <c r="B16" s="337"/>
      <c r="C16" s="337"/>
      <c r="D16" s="337"/>
      <c r="E16" s="338"/>
      <c r="F16" s="339"/>
      <c r="G16" s="337"/>
      <c r="H16" s="337"/>
      <c r="I16" s="338"/>
      <c r="J16" s="339"/>
      <c r="K16" s="338"/>
      <c r="L16" s="491"/>
      <c r="M16" s="492"/>
      <c r="N16" s="492"/>
      <c r="O16" s="492"/>
      <c r="P16" s="493"/>
      <c r="Q16" s="491"/>
      <c r="R16" s="492"/>
      <c r="S16" s="493"/>
      <c r="T16" s="343"/>
      <c r="U16" s="344"/>
    </row>
    <row r="17" spans="1:21" ht="15" customHeight="1">
      <c r="A17" s="336"/>
      <c r="B17" s="337"/>
      <c r="C17" s="337"/>
      <c r="D17" s="337"/>
      <c r="E17" s="338"/>
      <c r="F17" s="339"/>
      <c r="G17" s="337"/>
      <c r="H17" s="337"/>
      <c r="I17" s="338"/>
      <c r="J17" s="339"/>
      <c r="K17" s="338"/>
      <c r="L17" s="491"/>
      <c r="M17" s="492"/>
      <c r="N17" s="492"/>
      <c r="O17" s="492"/>
      <c r="P17" s="493"/>
      <c r="Q17" s="491"/>
      <c r="R17" s="492"/>
      <c r="S17" s="493"/>
      <c r="T17" s="343"/>
      <c r="U17" s="344"/>
    </row>
    <row r="18" spans="1:21" ht="15" customHeight="1">
      <c r="A18" s="336"/>
      <c r="B18" s="337"/>
      <c r="C18" s="337"/>
      <c r="D18" s="337"/>
      <c r="E18" s="338"/>
      <c r="F18" s="339"/>
      <c r="G18" s="337"/>
      <c r="H18" s="337"/>
      <c r="I18" s="338"/>
      <c r="J18" s="339"/>
      <c r="K18" s="338"/>
      <c r="L18" s="491"/>
      <c r="M18" s="492"/>
      <c r="N18" s="492"/>
      <c r="O18" s="492"/>
      <c r="P18" s="493"/>
      <c r="Q18" s="491"/>
      <c r="R18" s="492"/>
      <c r="S18" s="493"/>
      <c r="T18" s="343"/>
      <c r="U18" s="344"/>
    </row>
    <row r="19" spans="1:21" ht="15" customHeight="1">
      <c r="A19" s="514"/>
      <c r="B19" s="515"/>
      <c r="C19" s="515"/>
      <c r="D19" s="515"/>
      <c r="E19" s="511"/>
      <c r="F19" s="510"/>
      <c r="G19" s="515"/>
      <c r="H19" s="515"/>
      <c r="I19" s="511"/>
      <c r="J19" s="510"/>
      <c r="K19" s="511"/>
      <c r="L19" s="462"/>
      <c r="M19" s="463"/>
      <c r="N19" s="463"/>
      <c r="O19" s="463"/>
      <c r="P19" s="464"/>
      <c r="Q19" s="462"/>
      <c r="R19" s="463"/>
      <c r="S19" s="464"/>
      <c r="T19" s="512"/>
      <c r="U19" s="513"/>
    </row>
    <row r="20" spans="1:21">
      <c r="A20" s="316" t="s">
        <v>86</v>
      </c>
      <c r="B20" s="317"/>
      <c r="C20" s="317"/>
      <c r="D20" s="317"/>
      <c r="E20" s="317"/>
      <c r="F20" s="393">
        <v>2450000</v>
      </c>
      <c r="G20" s="393"/>
      <c r="H20" s="393"/>
      <c r="I20" s="394"/>
      <c r="J20" s="465">
        <f>SUM(J8:K19)</f>
        <v>1</v>
      </c>
      <c r="K20" s="465"/>
      <c r="L20" s="448" t="s">
        <v>965</v>
      </c>
      <c r="M20" s="449"/>
      <c r="N20" s="449"/>
      <c r="O20" s="449"/>
      <c r="P20" s="450"/>
      <c r="Q20" s="392">
        <f>SUM(Q8:S19)</f>
        <v>1000000</v>
      </c>
      <c r="R20" s="393"/>
      <c r="S20" s="393"/>
      <c r="T20" s="393"/>
      <c r="U20" s="395"/>
    </row>
    <row r="21" spans="1:21" ht="17.25" thickBot="1">
      <c r="A21" s="417" t="s">
        <v>96</v>
      </c>
      <c r="B21" s="418"/>
      <c r="C21" s="418"/>
      <c r="D21" s="418"/>
      <c r="E21" s="418"/>
      <c r="F21" s="419">
        <f>F20+Q20</f>
        <v>3450000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23"/>
      <c r="Q21" s="454" t="str">
        <f>C3</f>
        <v>제이오토(대구)</v>
      </c>
      <c r="R21" s="455"/>
      <c r="S21" s="455"/>
      <c r="T21" s="455"/>
      <c r="U21" s="456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507" t="s">
        <v>76</v>
      </c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9"/>
    </row>
    <row r="25" spans="1:21">
      <c r="A25" s="303" t="s">
        <v>70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21" t="s">
        <v>1200</v>
      </c>
      <c r="B26" s="37" t="s">
        <v>64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27" t="s">
        <v>1201</v>
      </c>
      <c r="L26" s="37" t="s">
        <v>64</v>
      </c>
      <c r="M26" s="476" t="str">
        <f>M3</f>
        <v>BTS&amp;P</v>
      </c>
      <c r="N26" s="477"/>
      <c r="O26" s="477"/>
      <c r="P26" s="477"/>
      <c r="Q26" s="477"/>
      <c r="R26" s="477"/>
      <c r="S26" s="477"/>
      <c r="T26" s="477"/>
      <c r="U26" s="478"/>
    </row>
    <row r="27" spans="1:21" ht="24.95" customHeight="1">
      <c r="A27" s="322"/>
      <c r="B27" s="37" t="s">
        <v>66</v>
      </c>
      <c r="C27" s="459">
        <f>C4</f>
        <v>0</v>
      </c>
      <c r="D27" s="460"/>
      <c r="E27" s="460"/>
      <c r="F27" s="460"/>
      <c r="G27" s="460"/>
      <c r="H27" s="460"/>
      <c r="I27" s="460"/>
      <c r="J27" s="461"/>
      <c r="K27" s="328"/>
      <c r="L27" s="37" t="s">
        <v>66</v>
      </c>
      <c r="M27" s="312" t="str">
        <f>M4</f>
        <v>259-12-01768</v>
      </c>
      <c r="N27" s="313"/>
      <c r="O27" s="313"/>
      <c r="P27" s="313"/>
      <c r="Q27" s="313"/>
      <c r="R27" s="314"/>
      <c r="S27" s="38" t="s">
        <v>67</v>
      </c>
      <c r="T27" s="482" t="str">
        <f>T4</f>
        <v>장효주</v>
      </c>
      <c r="U27" s="483"/>
    </row>
    <row r="28" spans="1:21" ht="15.75" customHeight="1">
      <c r="A28" s="322"/>
      <c r="B28" s="38" t="s">
        <v>10</v>
      </c>
      <c r="C28" s="312" t="str">
        <f>C5</f>
        <v>대구광역시 서구 가르뱅이로 53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tr">
        <f>M5</f>
        <v>대구 달서구 용산로 28(본리동)</v>
      </c>
      <c r="N28" s="313"/>
      <c r="O28" s="313"/>
      <c r="P28" s="313"/>
      <c r="Q28" s="313"/>
      <c r="R28" s="313"/>
      <c r="S28" s="313"/>
      <c r="T28" s="313"/>
      <c r="U28" s="315"/>
    </row>
    <row r="29" spans="1:21" ht="15.75" customHeight="1">
      <c r="A29" s="323"/>
      <c r="B29" s="38" t="s">
        <v>80</v>
      </c>
      <c r="C29" s="312" t="str">
        <f>C6</f>
        <v>010-5102-8176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tr">
        <f>M6</f>
        <v>010-5168-3542</v>
      </c>
      <c r="N29" s="313"/>
      <c r="O29" s="313"/>
      <c r="P29" s="313"/>
      <c r="Q29" s="313"/>
      <c r="R29" s="314"/>
      <c r="S29" s="38" t="s">
        <v>26</v>
      </c>
      <c r="T29" s="312"/>
      <c r="U29" s="315"/>
    </row>
    <row r="30" spans="1:21" ht="15.75" customHeight="1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72</v>
      </c>
      <c r="K30" s="318"/>
      <c r="L30" s="319" t="s">
        <v>46</v>
      </c>
      <c r="M30" s="317"/>
      <c r="N30" s="317"/>
      <c r="O30" s="317"/>
      <c r="P30" s="318"/>
      <c r="Q30" s="319" t="s">
        <v>73</v>
      </c>
      <c r="R30" s="317"/>
      <c r="S30" s="318"/>
      <c r="T30" s="319" t="s">
        <v>74</v>
      </c>
      <c r="U30" s="320"/>
    </row>
    <row r="31" spans="1:21" ht="15" customHeight="1">
      <c r="A31" s="502" t="str">
        <f>A8</f>
        <v>8HP70 VALBEBODY</v>
      </c>
      <c r="B31" s="500"/>
      <c r="C31" s="500"/>
      <c r="D31" s="500"/>
      <c r="E31" s="500"/>
      <c r="F31" s="500">
        <f>F8</f>
        <v>0</v>
      </c>
      <c r="G31" s="500"/>
      <c r="H31" s="500"/>
      <c r="I31" s="500"/>
      <c r="J31" s="500">
        <f>J8</f>
        <v>1</v>
      </c>
      <c r="K31" s="500"/>
      <c r="L31" s="457">
        <f>L8</f>
        <v>1000000</v>
      </c>
      <c r="M31" s="457"/>
      <c r="N31" s="457"/>
      <c r="O31" s="457"/>
      <c r="P31" s="457"/>
      <c r="Q31" s="457">
        <f>Q8</f>
        <v>1000000</v>
      </c>
      <c r="R31" s="457"/>
      <c r="S31" s="457"/>
      <c r="T31" s="500">
        <f>T8</f>
        <v>0</v>
      </c>
      <c r="U31" s="501"/>
    </row>
    <row r="32" spans="1:21" ht="15" customHeight="1">
      <c r="A32" s="496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58">
        <f t="shared" ref="L32:L42" si="3">L9</f>
        <v>0</v>
      </c>
      <c r="M32" s="458"/>
      <c r="N32" s="458"/>
      <c r="O32" s="458"/>
      <c r="P32" s="458"/>
      <c r="Q32" s="458">
        <f t="shared" ref="Q32:Q42" si="4">Q9</f>
        <v>0</v>
      </c>
      <c r="R32" s="458"/>
      <c r="S32" s="458"/>
      <c r="T32" s="494">
        <f t="shared" ref="T32:T42" si="5">T9</f>
        <v>0</v>
      </c>
      <c r="U32" s="495"/>
    </row>
    <row r="33" spans="1:21" ht="15" customHeight="1">
      <c r="A33" s="496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58">
        <f t="shared" si="3"/>
        <v>0</v>
      </c>
      <c r="M33" s="458"/>
      <c r="N33" s="458"/>
      <c r="O33" s="458"/>
      <c r="P33" s="458"/>
      <c r="Q33" s="458">
        <f t="shared" si="4"/>
        <v>0</v>
      </c>
      <c r="R33" s="458"/>
      <c r="S33" s="458"/>
      <c r="T33" s="494">
        <f t="shared" si="5"/>
        <v>0</v>
      </c>
      <c r="U33" s="495"/>
    </row>
    <row r="34" spans="1:21" ht="15" customHeight="1">
      <c r="A34" s="496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58">
        <f t="shared" si="3"/>
        <v>0</v>
      </c>
      <c r="M34" s="458"/>
      <c r="N34" s="458"/>
      <c r="O34" s="458"/>
      <c r="P34" s="458"/>
      <c r="Q34" s="458">
        <f t="shared" si="4"/>
        <v>0</v>
      </c>
      <c r="R34" s="458"/>
      <c r="S34" s="458"/>
      <c r="T34" s="494">
        <f t="shared" si="5"/>
        <v>0</v>
      </c>
      <c r="U34" s="495"/>
    </row>
    <row r="35" spans="1:21" ht="15" customHeight="1">
      <c r="A35" s="496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58">
        <f t="shared" si="3"/>
        <v>0</v>
      </c>
      <c r="M35" s="458"/>
      <c r="N35" s="458"/>
      <c r="O35" s="458"/>
      <c r="P35" s="458"/>
      <c r="Q35" s="458">
        <f t="shared" si="4"/>
        <v>0</v>
      </c>
      <c r="R35" s="458"/>
      <c r="S35" s="458"/>
      <c r="T35" s="494">
        <f t="shared" si="5"/>
        <v>0</v>
      </c>
      <c r="U35" s="495"/>
    </row>
    <row r="36" spans="1:21" ht="15" customHeight="1">
      <c r="A36" s="496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58">
        <f t="shared" si="3"/>
        <v>0</v>
      </c>
      <c r="M36" s="458"/>
      <c r="N36" s="458"/>
      <c r="O36" s="458"/>
      <c r="P36" s="458"/>
      <c r="Q36" s="458">
        <f t="shared" si="4"/>
        <v>0</v>
      </c>
      <c r="R36" s="458"/>
      <c r="S36" s="458"/>
      <c r="T36" s="494">
        <f t="shared" si="5"/>
        <v>0</v>
      </c>
      <c r="U36" s="495"/>
    </row>
    <row r="37" spans="1:21" ht="15" customHeight="1">
      <c r="A37" s="496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58">
        <f t="shared" si="3"/>
        <v>0</v>
      </c>
      <c r="M37" s="458"/>
      <c r="N37" s="458"/>
      <c r="O37" s="458"/>
      <c r="P37" s="458"/>
      <c r="Q37" s="458">
        <f t="shared" si="4"/>
        <v>0</v>
      </c>
      <c r="R37" s="458"/>
      <c r="S37" s="458"/>
      <c r="T37" s="494">
        <f t="shared" si="5"/>
        <v>0</v>
      </c>
      <c r="U37" s="495"/>
    </row>
    <row r="38" spans="1:21" ht="15" customHeight="1">
      <c r="A38" s="496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58">
        <f t="shared" si="3"/>
        <v>0</v>
      </c>
      <c r="M38" s="458"/>
      <c r="N38" s="458"/>
      <c r="O38" s="458"/>
      <c r="P38" s="458"/>
      <c r="Q38" s="458">
        <f t="shared" si="4"/>
        <v>0</v>
      </c>
      <c r="R38" s="458"/>
      <c r="S38" s="458"/>
      <c r="T38" s="494">
        <f t="shared" si="5"/>
        <v>0</v>
      </c>
      <c r="U38" s="495"/>
    </row>
    <row r="39" spans="1:21" ht="15" customHeight="1">
      <c r="A39" s="496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58">
        <f t="shared" si="3"/>
        <v>0</v>
      </c>
      <c r="M39" s="458"/>
      <c r="N39" s="458"/>
      <c r="O39" s="458"/>
      <c r="P39" s="458"/>
      <c r="Q39" s="458">
        <f t="shared" si="4"/>
        <v>0</v>
      </c>
      <c r="R39" s="458"/>
      <c r="S39" s="458"/>
      <c r="T39" s="494">
        <f t="shared" si="5"/>
        <v>0</v>
      </c>
      <c r="U39" s="495"/>
    </row>
    <row r="40" spans="1:21" ht="15" customHeight="1">
      <c r="A40" s="496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58">
        <f t="shared" si="3"/>
        <v>0</v>
      </c>
      <c r="M40" s="458"/>
      <c r="N40" s="458"/>
      <c r="O40" s="458"/>
      <c r="P40" s="458"/>
      <c r="Q40" s="458">
        <f t="shared" si="4"/>
        <v>0</v>
      </c>
      <c r="R40" s="458"/>
      <c r="S40" s="458"/>
      <c r="T40" s="494">
        <f t="shared" si="5"/>
        <v>0</v>
      </c>
      <c r="U40" s="495"/>
    </row>
    <row r="41" spans="1:21" ht="15" customHeight="1">
      <c r="A41" s="496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58">
        <f t="shared" si="3"/>
        <v>0</v>
      </c>
      <c r="M41" s="458"/>
      <c r="N41" s="458"/>
      <c r="O41" s="458"/>
      <c r="P41" s="458"/>
      <c r="Q41" s="458">
        <f t="shared" si="4"/>
        <v>0</v>
      </c>
      <c r="R41" s="458"/>
      <c r="S41" s="458"/>
      <c r="T41" s="494">
        <f t="shared" si="5"/>
        <v>0</v>
      </c>
      <c r="U41" s="495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16" t="s">
        <v>86</v>
      </c>
      <c r="B43" s="317"/>
      <c r="C43" s="317"/>
      <c r="D43" s="317"/>
      <c r="E43" s="317"/>
      <c r="F43" s="393">
        <f>F20</f>
        <v>2450000</v>
      </c>
      <c r="G43" s="393"/>
      <c r="H43" s="393"/>
      <c r="I43" s="394"/>
      <c r="J43" s="465">
        <f>J20</f>
        <v>1</v>
      </c>
      <c r="K43" s="465"/>
      <c r="L43" s="448" t="s">
        <v>965</v>
      </c>
      <c r="M43" s="449"/>
      <c r="N43" s="449"/>
      <c r="O43" s="449"/>
      <c r="P43" s="450"/>
      <c r="Q43" s="451">
        <f>Q20</f>
        <v>1000000</v>
      </c>
      <c r="R43" s="452"/>
      <c r="S43" s="452"/>
      <c r="T43" s="452"/>
      <c r="U43" s="453"/>
    </row>
    <row r="44" spans="1:21" ht="17.25" thickBot="1">
      <c r="A44" s="417" t="s">
        <v>96</v>
      </c>
      <c r="B44" s="418"/>
      <c r="C44" s="418"/>
      <c r="D44" s="418"/>
      <c r="E44" s="418"/>
      <c r="F44" s="419">
        <f>F21</f>
        <v>3450000</v>
      </c>
      <c r="G44" s="419"/>
      <c r="H44" s="419"/>
      <c r="I44" s="420"/>
      <c r="J44" s="421" t="s">
        <v>971</v>
      </c>
      <c r="K44" s="418"/>
      <c r="L44" s="387" t="str">
        <f>L21</f>
        <v>장효주</v>
      </c>
      <c r="M44" s="387"/>
      <c r="N44" s="387"/>
      <c r="O44" s="421" t="s">
        <v>69</v>
      </c>
      <c r="P44" s="423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28"/>
  <sheetViews>
    <sheetView topLeftCell="A489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53</v>
      </c>
      <c r="D1" s="31" t="s">
        <v>1204</v>
      </c>
      <c r="E1" s="31" t="s">
        <v>1203</v>
      </c>
      <c r="F1" s="31" t="s">
        <v>1202</v>
      </c>
      <c r="G1" s="103">
        <v>553</v>
      </c>
    </row>
    <row r="2" spans="1:7">
      <c r="A2">
        <v>1</v>
      </c>
      <c r="B2" s="13">
        <v>45735</v>
      </c>
      <c r="C2" t="s">
        <v>1179</v>
      </c>
      <c r="D2" t="s">
        <v>1257</v>
      </c>
    </row>
    <row r="3" spans="1:7">
      <c r="A3">
        <v>2</v>
      </c>
      <c r="B3" s="13">
        <v>45736</v>
      </c>
      <c r="C3" t="s">
        <v>1049</v>
      </c>
      <c r="D3" t="s">
        <v>1259</v>
      </c>
    </row>
    <row r="4" spans="1:7">
      <c r="A4">
        <v>3</v>
      </c>
      <c r="B4" s="13">
        <v>45736</v>
      </c>
      <c r="C4" t="s">
        <v>984</v>
      </c>
      <c r="D4" t="s">
        <v>1261</v>
      </c>
    </row>
    <row r="5" spans="1:7">
      <c r="A5">
        <v>4</v>
      </c>
      <c r="B5" s="13">
        <v>45736</v>
      </c>
      <c r="C5" t="s">
        <v>1277</v>
      </c>
      <c r="D5" t="s">
        <v>1280</v>
      </c>
    </row>
    <row r="6" spans="1:7">
      <c r="A6">
        <v>5</v>
      </c>
      <c r="B6" s="13">
        <v>45737</v>
      </c>
      <c r="C6" t="s">
        <v>1009</v>
      </c>
      <c r="D6" t="s">
        <v>1304</v>
      </c>
    </row>
    <row r="7" spans="1:7">
      <c r="A7">
        <v>6</v>
      </c>
      <c r="B7" s="13">
        <v>45740</v>
      </c>
      <c r="C7" t="s">
        <v>1277</v>
      </c>
      <c r="D7" t="s">
        <v>1404</v>
      </c>
      <c r="E7" t="s">
        <v>1403</v>
      </c>
    </row>
    <row r="8" spans="1:7">
      <c r="A8">
        <v>6</v>
      </c>
      <c r="B8" s="13">
        <v>45740</v>
      </c>
      <c r="C8" t="s">
        <v>1347</v>
      </c>
      <c r="D8" t="s">
        <v>1410</v>
      </c>
      <c r="E8" t="s">
        <v>1409</v>
      </c>
    </row>
    <row r="9" spans="1:7">
      <c r="A9">
        <v>7</v>
      </c>
      <c r="B9" s="13">
        <v>45740</v>
      </c>
      <c r="C9" t="s">
        <v>1414</v>
      </c>
      <c r="D9" t="s">
        <v>1419</v>
      </c>
    </row>
    <row r="10" spans="1:7">
      <c r="A10">
        <v>8</v>
      </c>
      <c r="B10" s="13">
        <v>45740</v>
      </c>
      <c r="C10" t="s">
        <v>1420</v>
      </c>
      <c r="D10" t="s">
        <v>1421</v>
      </c>
    </row>
    <row r="11" spans="1:7">
      <c r="A11">
        <v>9</v>
      </c>
      <c r="B11" s="13">
        <v>45740</v>
      </c>
      <c r="C11" t="s">
        <v>1016</v>
      </c>
      <c r="D11" t="s">
        <v>1425</v>
      </c>
    </row>
    <row r="12" spans="1:7">
      <c r="A12">
        <v>10</v>
      </c>
      <c r="B12" s="13">
        <v>45723</v>
      </c>
      <c r="C12" t="s">
        <v>1441</v>
      </c>
      <c r="D12" t="s">
        <v>1478</v>
      </c>
    </row>
    <row r="13" spans="1:7">
      <c r="A13">
        <v>11</v>
      </c>
      <c r="B13" s="13">
        <v>45723</v>
      </c>
      <c r="C13" t="s">
        <v>1479</v>
      </c>
      <c r="D13" t="s">
        <v>1480</v>
      </c>
    </row>
    <row r="14" spans="1:7">
      <c r="A14">
        <v>12</v>
      </c>
      <c r="B14" s="13">
        <v>45723</v>
      </c>
      <c r="C14" t="s">
        <v>1433</v>
      </c>
      <c r="D14" t="s">
        <v>1481</v>
      </c>
    </row>
    <row r="15" spans="1:7">
      <c r="A15">
        <v>13</v>
      </c>
      <c r="B15" s="13">
        <v>45722</v>
      </c>
      <c r="C15" t="s">
        <v>1441</v>
      </c>
      <c r="D15" t="s">
        <v>1482</v>
      </c>
    </row>
    <row r="16" spans="1:7">
      <c r="A16">
        <v>14</v>
      </c>
      <c r="B16" s="13">
        <v>45722</v>
      </c>
      <c r="C16" t="s">
        <v>1180</v>
      </c>
      <c r="D16" t="s">
        <v>1483</v>
      </c>
    </row>
    <row r="17" spans="1:4">
      <c r="A17">
        <v>15</v>
      </c>
      <c r="B17" s="13">
        <v>45722</v>
      </c>
      <c r="C17" t="s">
        <v>1484</v>
      </c>
      <c r="D17" t="s">
        <v>1485</v>
      </c>
    </row>
    <row r="18" spans="1:4">
      <c r="A18">
        <v>16</v>
      </c>
      <c r="B18" s="13">
        <v>45721</v>
      </c>
      <c r="C18" t="s">
        <v>1486</v>
      </c>
      <c r="D18" t="s">
        <v>1487</v>
      </c>
    </row>
    <row r="19" spans="1:4">
      <c r="A19">
        <v>17</v>
      </c>
      <c r="B19" s="13">
        <v>45720</v>
      </c>
      <c r="C19" t="s">
        <v>1441</v>
      </c>
      <c r="D19" t="s">
        <v>1488</v>
      </c>
    </row>
    <row r="20" spans="1:4">
      <c r="A20">
        <v>17</v>
      </c>
      <c r="B20" s="13">
        <v>45720</v>
      </c>
      <c r="C20" t="s">
        <v>1486</v>
      </c>
      <c r="D20" t="s">
        <v>1489</v>
      </c>
    </row>
    <row r="21" spans="1:4">
      <c r="A21">
        <v>18</v>
      </c>
      <c r="B21" s="13">
        <v>45720</v>
      </c>
      <c r="C21" t="s">
        <v>1180</v>
      </c>
      <c r="D21" t="s">
        <v>1490</v>
      </c>
    </row>
    <row r="22" spans="1:4">
      <c r="A22">
        <v>19</v>
      </c>
      <c r="B22" s="13">
        <v>45720</v>
      </c>
      <c r="C22" t="s">
        <v>1491</v>
      </c>
      <c r="D22" t="s">
        <v>1492</v>
      </c>
    </row>
    <row r="23" spans="1:4">
      <c r="A23">
        <v>20</v>
      </c>
      <c r="B23" s="13">
        <v>45717</v>
      </c>
      <c r="C23" t="s">
        <v>1441</v>
      </c>
      <c r="D23" t="s">
        <v>1493</v>
      </c>
    </row>
    <row r="24" spans="1:4">
      <c r="A24">
        <v>21</v>
      </c>
      <c r="B24" s="13">
        <v>45717</v>
      </c>
      <c r="C24" t="s">
        <v>1494</v>
      </c>
      <c r="D24" t="s">
        <v>1495</v>
      </c>
    </row>
    <row r="25" spans="1:4">
      <c r="A25">
        <v>22</v>
      </c>
      <c r="B25" s="13">
        <v>45723</v>
      </c>
      <c r="C25" t="s">
        <v>1496</v>
      </c>
      <c r="D25" t="s">
        <v>1497</v>
      </c>
    </row>
    <row r="26" spans="1:4">
      <c r="A26">
        <v>23</v>
      </c>
      <c r="B26" s="13">
        <v>45723</v>
      </c>
      <c r="C26" t="s">
        <v>1498</v>
      </c>
      <c r="D26" t="s">
        <v>1499</v>
      </c>
    </row>
    <row r="27" spans="1:4">
      <c r="A27">
        <v>24</v>
      </c>
      <c r="B27" s="13">
        <v>45723</v>
      </c>
      <c r="C27" t="s">
        <v>1500</v>
      </c>
      <c r="D27" t="s">
        <v>1501</v>
      </c>
    </row>
    <row r="28" spans="1:4">
      <c r="A28">
        <v>25</v>
      </c>
      <c r="B28" s="13">
        <v>45724</v>
      </c>
      <c r="C28" t="s">
        <v>1441</v>
      </c>
      <c r="D28" t="s">
        <v>1502</v>
      </c>
    </row>
    <row r="29" spans="1:4">
      <c r="A29">
        <v>26</v>
      </c>
      <c r="B29" s="13">
        <v>45726</v>
      </c>
      <c r="C29" t="s">
        <v>1486</v>
      </c>
      <c r="D29" t="s">
        <v>1503</v>
      </c>
    </row>
    <row r="30" spans="1:4">
      <c r="A30">
        <v>27</v>
      </c>
      <c r="B30" s="13">
        <v>45726</v>
      </c>
      <c r="C30" t="s">
        <v>1066</v>
      </c>
      <c r="D30" t="s">
        <v>1504</v>
      </c>
    </row>
    <row r="31" spans="1:4">
      <c r="A31">
        <v>28</v>
      </c>
      <c r="B31" s="13">
        <v>45727</v>
      </c>
      <c r="C31" t="s">
        <v>1102</v>
      </c>
      <c r="D31" t="s">
        <v>1505</v>
      </c>
    </row>
    <row r="32" spans="1:4">
      <c r="A32">
        <v>29</v>
      </c>
      <c r="B32" s="13">
        <v>45727</v>
      </c>
      <c r="C32" t="s">
        <v>1441</v>
      </c>
      <c r="D32" t="s">
        <v>1507</v>
      </c>
    </row>
    <row r="33" spans="1:4">
      <c r="A33">
        <v>30</v>
      </c>
      <c r="B33" s="13">
        <v>45727</v>
      </c>
      <c r="C33" t="s">
        <v>1189</v>
      </c>
      <c r="D33" t="s">
        <v>1508</v>
      </c>
    </row>
    <row r="34" spans="1:4">
      <c r="A34">
        <v>31</v>
      </c>
      <c r="B34" s="13">
        <v>45727</v>
      </c>
      <c r="C34" t="s">
        <v>1509</v>
      </c>
      <c r="D34" t="s">
        <v>1510</v>
      </c>
    </row>
    <row r="35" spans="1:4">
      <c r="A35">
        <v>32</v>
      </c>
      <c r="B35" s="13">
        <v>45729</v>
      </c>
      <c r="C35" t="s">
        <v>1511</v>
      </c>
      <c r="D35" t="s">
        <v>1513</v>
      </c>
    </row>
    <row r="36" spans="1:4">
      <c r="A36">
        <v>33</v>
      </c>
      <c r="B36" s="13">
        <v>45729</v>
      </c>
      <c r="C36" t="s">
        <v>1016</v>
      </c>
      <c r="D36" t="s">
        <v>1514</v>
      </c>
    </row>
    <row r="37" spans="1:4">
      <c r="A37">
        <v>34</v>
      </c>
      <c r="B37" s="13">
        <v>45730</v>
      </c>
      <c r="C37" t="s">
        <v>1515</v>
      </c>
      <c r="D37" t="s">
        <v>1516</v>
      </c>
    </row>
    <row r="38" spans="1:4">
      <c r="A38">
        <v>35</v>
      </c>
      <c r="B38" s="13">
        <v>45730</v>
      </c>
      <c r="C38" t="s">
        <v>1441</v>
      </c>
      <c r="D38" t="s">
        <v>1519</v>
      </c>
    </row>
    <row r="39" spans="1:4">
      <c r="A39">
        <v>36</v>
      </c>
      <c r="B39" s="13">
        <v>45731</v>
      </c>
      <c r="C39" t="s">
        <v>1207</v>
      </c>
      <c r="D39" t="s">
        <v>1520</v>
      </c>
    </row>
    <row r="40" spans="1:4">
      <c r="A40">
        <v>37</v>
      </c>
      <c r="B40" s="13">
        <v>45731</v>
      </c>
      <c r="C40" t="s">
        <v>1521</v>
      </c>
      <c r="D40" t="s">
        <v>1523</v>
      </c>
    </row>
    <row r="41" spans="1:4">
      <c r="A41">
        <v>38</v>
      </c>
      <c r="B41" s="13">
        <v>45731</v>
      </c>
      <c r="C41" t="s">
        <v>1035</v>
      </c>
      <c r="D41" t="s">
        <v>1525</v>
      </c>
    </row>
    <row r="42" spans="1:4">
      <c r="A42">
        <v>39</v>
      </c>
      <c r="B42" s="13">
        <v>45733</v>
      </c>
      <c r="C42" t="s">
        <v>1180</v>
      </c>
      <c r="D42" t="s">
        <v>1526</v>
      </c>
    </row>
    <row r="43" spans="1:4">
      <c r="A43">
        <v>40</v>
      </c>
      <c r="B43" s="13">
        <v>45733</v>
      </c>
      <c r="C43" t="s">
        <v>1527</v>
      </c>
      <c r="D43" t="s">
        <v>1529</v>
      </c>
    </row>
    <row r="44" spans="1:4">
      <c r="A44">
        <v>41</v>
      </c>
      <c r="B44" s="13">
        <v>45733</v>
      </c>
      <c r="C44" t="s">
        <v>1057</v>
      </c>
      <c r="D44" t="s">
        <v>1533</v>
      </c>
    </row>
    <row r="45" spans="1:4">
      <c r="A45">
        <v>42</v>
      </c>
      <c r="B45" s="13">
        <v>45733</v>
      </c>
      <c r="C45" t="s">
        <v>1511</v>
      </c>
      <c r="D45" t="s">
        <v>1535</v>
      </c>
    </row>
    <row r="46" spans="1:4">
      <c r="A46">
        <v>43</v>
      </c>
      <c r="B46" s="13">
        <v>45733</v>
      </c>
      <c r="C46" t="s">
        <v>1536</v>
      </c>
      <c r="D46" t="s">
        <v>1539</v>
      </c>
    </row>
    <row r="47" spans="1:4">
      <c r="A47">
        <v>44</v>
      </c>
      <c r="B47" s="13">
        <v>45734</v>
      </c>
      <c r="C47" t="s">
        <v>1540</v>
      </c>
      <c r="D47" t="s">
        <v>1541</v>
      </c>
    </row>
    <row r="48" spans="1:4">
      <c r="A48">
        <v>45</v>
      </c>
      <c r="B48" s="13">
        <v>45735</v>
      </c>
      <c r="C48" t="s">
        <v>1441</v>
      </c>
      <c r="D48" t="s">
        <v>1542</v>
      </c>
    </row>
    <row r="49" spans="1:5">
      <c r="A49">
        <v>46</v>
      </c>
      <c r="B49" s="13">
        <v>45735</v>
      </c>
      <c r="C49" t="s">
        <v>1441</v>
      </c>
      <c r="D49" t="s">
        <v>1544</v>
      </c>
    </row>
    <row r="50" spans="1:5">
      <c r="A50">
        <v>47</v>
      </c>
      <c r="B50" s="13">
        <v>45735</v>
      </c>
      <c r="C50" t="s">
        <v>1066</v>
      </c>
      <c r="D50" t="s">
        <v>1546</v>
      </c>
    </row>
    <row r="51" spans="1:5">
      <c r="A51">
        <v>48</v>
      </c>
      <c r="B51" s="13">
        <v>45735</v>
      </c>
      <c r="C51" t="s">
        <v>1420</v>
      </c>
      <c r="D51" t="s">
        <v>1549</v>
      </c>
    </row>
    <row r="52" spans="1:5">
      <c r="A52">
        <v>49</v>
      </c>
      <c r="B52" s="13">
        <v>45736</v>
      </c>
      <c r="C52" t="s">
        <v>1486</v>
      </c>
      <c r="D52" t="s">
        <v>1553</v>
      </c>
    </row>
    <row r="53" spans="1:5">
      <c r="A53">
        <v>50</v>
      </c>
      <c r="B53" s="13">
        <v>45736</v>
      </c>
      <c r="C53" t="s">
        <v>1277</v>
      </c>
      <c r="D53" t="s">
        <v>1554</v>
      </c>
    </row>
    <row r="54" spans="1:5">
      <c r="A54">
        <v>51</v>
      </c>
      <c r="B54" s="13">
        <v>45736</v>
      </c>
      <c r="C54" t="s">
        <v>1511</v>
      </c>
      <c r="D54" t="s">
        <v>1555</v>
      </c>
    </row>
    <row r="55" spans="1:5">
      <c r="A55">
        <v>52</v>
      </c>
      <c r="B55" s="13">
        <v>45736</v>
      </c>
      <c r="C55" t="s">
        <v>1267</v>
      </c>
      <c r="D55" t="s">
        <v>1556</v>
      </c>
    </row>
    <row r="56" spans="1:5">
      <c r="A56">
        <v>53</v>
      </c>
      <c r="B56" s="13">
        <v>45736</v>
      </c>
      <c r="C56" t="s">
        <v>1557</v>
      </c>
      <c r="D56" t="s">
        <v>1558</v>
      </c>
    </row>
    <row r="57" spans="1:5">
      <c r="A57">
        <v>54</v>
      </c>
      <c r="B57" s="13">
        <v>45741</v>
      </c>
      <c r="C57" t="s">
        <v>1559</v>
      </c>
      <c r="D57" t="s">
        <v>1562</v>
      </c>
    </row>
    <row r="58" spans="1:5">
      <c r="A58">
        <v>55</v>
      </c>
      <c r="B58" s="13">
        <v>45737</v>
      </c>
      <c r="C58" t="s">
        <v>1563</v>
      </c>
      <c r="D58" t="s">
        <v>1567</v>
      </c>
    </row>
    <row r="59" spans="1:5">
      <c r="A59">
        <v>56</v>
      </c>
      <c r="B59" s="13">
        <v>45737</v>
      </c>
      <c r="C59" t="s">
        <v>1486</v>
      </c>
      <c r="D59" t="s">
        <v>1568</v>
      </c>
    </row>
    <row r="60" spans="1:5">
      <c r="A60">
        <v>57</v>
      </c>
      <c r="B60" s="13">
        <v>45740</v>
      </c>
      <c r="C60" t="s">
        <v>1347</v>
      </c>
      <c r="D60" t="s">
        <v>1569</v>
      </c>
      <c r="E60" t="s">
        <v>1409</v>
      </c>
    </row>
    <row r="61" spans="1:5">
      <c r="A61">
        <v>58</v>
      </c>
      <c r="B61" s="13">
        <v>45740</v>
      </c>
      <c r="C61" t="s">
        <v>1277</v>
      </c>
      <c r="D61" t="s">
        <v>1570</v>
      </c>
    </row>
    <row r="62" spans="1:5">
      <c r="A62">
        <v>59</v>
      </c>
      <c r="B62" s="13">
        <v>45740</v>
      </c>
      <c r="C62" t="s">
        <v>1414</v>
      </c>
      <c r="D62" t="s">
        <v>1571</v>
      </c>
    </row>
    <row r="63" spans="1:5">
      <c r="A63">
        <v>60</v>
      </c>
      <c r="B63" s="13">
        <v>45740</v>
      </c>
      <c r="C63" t="s">
        <v>1207</v>
      </c>
      <c r="D63" t="s">
        <v>1572</v>
      </c>
    </row>
    <row r="64" spans="1:5">
      <c r="A64">
        <v>61</v>
      </c>
      <c r="B64" s="13">
        <v>45740</v>
      </c>
      <c r="C64" t="s">
        <v>1016</v>
      </c>
      <c r="D64" t="s">
        <v>1573</v>
      </c>
    </row>
    <row r="65" spans="1:6">
      <c r="A65">
        <v>62</v>
      </c>
      <c r="B65" s="13">
        <v>45740</v>
      </c>
      <c r="C65" t="s">
        <v>1574</v>
      </c>
      <c r="D65" t="s">
        <v>1576</v>
      </c>
      <c r="E65" t="s">
        <v>1575</v>
      </c>
    </row>
    <row r="66" spans="1:6">
      <c r="A66">
        <v>63</v>
      </c>
      <c r="B66" s="13">
        <v>45741</v>
      </c>
      <c r="C66" t="s">
        <v>1491</v>
      </c>
      <c r="D66" t="s">
        <v>1578</v>
      </c>
    </row>
    <row r="67" spans="1:6">
      <c r="A67">
        <v>64</v>
      </c>
      <c r="B67" s="13">
        <v>45741</v>
      </c>
      <c r="C67" t="s">
        <v>1180</v>
      </c>
      <c r="D67" t="s">
        <v>1579</v>
      </c>
    </row>
    <row r="68" spans="1:6">
      <c r="A68">
        <v>65</v>
      </c>
      <c r="B68" s="13">
        <v>45741</v>
      </c>
      <c r="C68" t="s">
        <v>1027</v>
      </c>
      <c r="D68" t="s">
        <v>1581</v>
      </c>
    </row>
    <row r="69" spans="1:6">
      <c r="A69">
        <v>66</v>
      </c>
      <c r="B69" s="13">
        <v>45741</v>
      </c>
      <c r="C69" t="s">
        <v>1486</v>
      </c>
      <c r="D69" t="s">
        <v>1582</v>
      </c>
    </row>
    <row r="70" spans="1:6">
      <c r="A70">
        <v>67</v>
      </c>
      <c r="B70" s="13">
        <v>45741</v>
      </c>
      <c r="C70" t="s">
        <v>1583</v>
      </c>
      <c r="D70" t="s">
        <v>1585</v>
      </c>
    </row>
    <row r="71" spans="1:6">
      <c r="A71">
        <v>68</v>
      </c>
      <c r="B71" s="13">
        <v>45741</v>
      </c>
      <c r="C71" t="s">
        <v>1586</v>
      </c>
      <c r="D71" t="s">
        <v>1587</v>
      </c>
    </row>
    <row r="72" spans="1:6">
      <c r="A72">
        <v>69</v>
      </c>
      <c r="B72" s="13">
        <v>45742</v>
      </c>
      <c r="C72" t="s">
        <v>1027</v>
      </c>
      <c r="D72" t="s">
        <v>1588</v>
      </c>
    </row>
    <row r="73" spans="1:6">
      <c r="A73">
        <v>70</v>
      </c>
      <c r="B73" s="13">
        <v>45742</v>
      </c>
      <c r="C73" t="s">
        <v>1433</v>
      </c>
      <c r="D73" t="s">
        <v>1589</v>
      </c>
    </row>
    <row r="74" spans="1:6">
      <c r="A74">
        <v>71</v>
      </c>
      <c r="B74" s="13">
        <v>45742</v>
      </c>
      <c r="C74" t="s">
        <v>1437</v>
      </c>
      <c r="D74" t="s">
        <v>1590</v>
      </c>
    </row>
    <row r="75" spans="1:6">
      <c r="A75">
        <v>72</v>
      </c>
      <c r="B75" s="13">
        <v>45742</v>
      </c>
      <c r="C75" t="s">
        <v>1016</v>
      </c>
      <c r="D75" t="s">
        <v>1592</v>
      </c>
      <c r="E75" s="49">
        <v>6725030166635</v>
      </c>
    </row>
    <row r="76" spans="1:6">
      <c r="A76">
        <v>73</v>
      </c>
      <c r="B76" s="13">
        <v>45743</v>
      </c>
      <c r="C76" t="s">
        <v>1610</v>
      </c>
      <c r="D76" t="s">
        <v>1611</v>
      </c>
      <c r="F76" t="s">
        <v>1612</v>
      </c>
    </row>
    <row r="77" spans="1:6">
      <c r="A77">
        <v>74</v>
      </c>
      <c r="B77" s="13">
        <v>45743</v>
      </c>
      <c r="C77" t="s">
        <v>1596</v>
      </c>
      <c r="D77" t="s">
        <v>1599</v>
      </c>
      <c r="E77" t="s">
        <v>1598</v>
      </c>
    </row>
    <row r="78" spans="1:6">
      <c r="A78">
        <v>75</v>
      </c>
      <c r="B78" s="13">
        <v>45744</v>
      </c>
      <c r="C78" t="s">
        <v>1596</v>
      </c>
      <c r="D78" t="s">
        <v>1602</v>
      </c>
    </row>
    <row r="79" spans="1:6">
      <c r="A79">
        <v>76</v>
      </c>
      <c r="B79" s="13">
        <v>45745</v>
      </c>
      <c r="C79" t="s">
        <v>985</v>
      </c>
      <c r="D79" t="s">
        <v>1604</v>
      </c>
    </row>
    <row r="80" spans="1:6">
      <c r="A80">
        <v>77</v>
      </c>
      <c r="B80" s="13">
        <v>45747</v>
      </c>
      <c r="C80" t="s">
        <v>1583</v>
      </c>
      <c r="D80" t="s">
        <v>1618</v>
      </c>
      <c r="E80" t="s">
        <v>1617</v>
      </c>
    </row>
    <row r="81" spans="1:4">
      <c r="A81">
        <v>78</v>
      </c>
      <c r="B81" s="13">
        <v>45747</v>
      </c>
      <c r="C81" t="s">
        <v>1102</v>
      </c>
      <c r="D81" t="s">
        <v>1619</v>
      </c>
    </row>
    <row r="82" spans="1:4">
      <c r="A82">
        <v>79</v>
      </c>
      <c r="B82" s="13">
        <v>45747</v>
      </c>
      <c r="C82" t="s">
        <v>986</v>
      </c>
      <c r="D82" t="s">
        <v>1621</v>
      </c>
    </row>
    <row r="83" spans="1:4">
      <c r="A83">
        <v>80</v>
      </c>
      <c r="B83" s="13">
        <v>45734</v>
      </c>
      <c r="C83" t="s">
        <v>1622</v>
      </c>
      <c r="D83" t="s">
        <v>1624</v>
      </c>
    </row>
    <row r="84" spans="1:4">
      <c r="A84">
        <v>81</v>
      </c>
      <c r="B84" s="13">
        <v>45723</v>
      </c>
      <c r="C84" t="s">
        <v>1625</v>
      </c>
      <c r="D84" t="s">
        <v>1627</v>
      </c>
    </row>
    <row r="85" spans="1:4">
      <c r="A85">
        <v>82</v>
      </c>
      <c r="B85" s="13">
        <v>45723</v>
      </c>
      <c r="C85" t="s">
        <v>1625</v>
      </c>
      <c r="D85" t="s">
        <v>1628</v>
      </c>
    </row>
    <row r="86" spans="1:4">
      <c r="A86">
        <v>83</v>
      </c>
      <c r="B86" s="13">
        <v>45723</v>
      </c>
      <c r="C86" t="s">
        <v>1625</v>
      </c>
      <c r="D86" t="s">
        <v>1629</v>
      </c>
    </row>
    <row r="87" spans="1:4">
      <c r="A87">
        <v>84</v>
      </c>
      <c r="B87" s="13">
        <v>45718</v>
      </c>
      <c r="C87" t="s">
        <v>1024</v>
      </c>
      <c r="D87" t="s">
        <v>1630</v>
      </c>
    </row>
    <row r="88" spans="1:4">
      <c r="A88">
        <v>85</v>
      </c>
      <c r="B88" s="13">
        <v>45729</v>
      </c>
      <c r="C88" t="s">
        <v>1631</v>
      </c>
      <c r="D88" t="s">
        <v>1635</v>
      </c>
    </row>
    <row r="89" spans="1:4">
      <c r="A89">
        <v>86</v>
      </c>
      <c r="B89" s="13">
        <v>45716</v>
      </c>
      <c r="C89" t="s">
        <v>1631</v>
      </c>
      <c r="D89" t="s">
        <v>1636</v>
      </c>
    </row>
    <row r="90" spans="1:4">
      <c r="A90">
        <v>87</v>
      </c>
      <c r="B90" s="13">
        <v>45722</v>
      </c>
      <c r="C90" t="s">
        <v>1509</v>
      </c>
      <c r="D90" t="s">
        <v>1638</v>
      </c>
    </row>
    <row r="91" spans="1:4">
      <c r="A91">
        <v>88</v>
      </c>
      <c r="B91" s="13">
        <v>45722</v>
      </c>
      <c r="C91" t="s">
        <v>994</v>
      </c>
      <c r="D91" t="s">
        <v>1639</v>
      </c>
    </row>
    <row r="92" spans="1:4">
      <c r="A92">
        <v>89</v>
      </c>
      <c r="B92" s="13">
        <v>45726</v>
      </c>
      <c r="C92" t="s">
        <v>994</v>
      </c>
      <c r="D92" t="s">
        <v>1640</v>
      </c>
    </row>
    <row r="93" spans="1:4">
      <c r="A93">
        <v>90</v>
      </c>
      <c r="B93" s="13">
        <v>45735</v>
      </c>
      <c r="C93" t="s">
        <v>1641</v>
      </c>
      <c r="D93" t="s">
        <v>1642</v>
      </c>
    </row>
    <row r="94" spans="1:4">
      <c r="A94">
        <v>91</v>
      </c>
      <c r="B94" s="13">
        <v>45736</v>
      </c>
      <c r="C94" t="s">
        <v>1643</v>
      </c>
      <c r="D94" t="s">
        <v>1644</v>
      </c>
    </row>
    <row r="95" spans="1:4">
      <c r="A95">
        <v>92</v>
      </c>
      <c r="B95" s="13">
        <v>45721</v>
      </c>
      <c r="C95" t="s">
        <v>1494</v>
      </c>
      <c r="D95" t="s">
        <v>1646</v>
      </c>
    </row>
    <row r="96" spans="1:4">
      <c r="A96">
        <v>93</v>
      </c>
      <c r="B96" s="13">
        <v>45736</v>
      </c>
      <c r="C96" t="s">
        <v>1647</v>
      </c>
      <c r="D96" t="s">
        <v>1649</v>
      </c>
    </row>
    <row r="97" spans="1:4">
      <c r="A97">
        <v>94</v>
      </c>
      <c r="B97" s="13">
        <v>45735</v>
      </c>
      <c r="D97" t="s">
        <v>1650</v>
      </c>
    </row>
    <row r="98" spans="1:4">
      <c r="A98">
        <v>95</v>
      </c>
      <c r="B98" s="13">
        <v>45744</v>
      </c>
      <c r="D98" t="s">
        <v>1652</v>
      </c>
    </row>
    <row r="99" spans="1:4">
      <c r="A99">
        <v>96</v>
      </c>
      <c r="B99" s="13">
        <v>45748</v>
      </c>
      <c r="C99" t="s">
        <v>1563</v>
      </c>
      <c r="D99" t="s">
        <v>1656</v>
      </c>
    </row>
    <row r="100" spans="1:4">
      <c r="A100">
        <v>97</v>
      </c>
      <c r="B100" s="13">
        <v>45748</v>
      </c>
      <c r="C100" t="s">
        <v>1559</v>
      </c>
      <c r="D100" t="s">
        <v>1668</v>
      </c>
    </row>
    <row r="101" spans="1:4">
      <c r="A101">
        <v>98</v>
      </c>
      <c r="B101" s="13">
        <v>45748</v>
      </c>
      <c r="C101" t="s">
        <v>1622</v>
      </c>
      <c r="D101" t="s">
        <v>1675</v>
      </c>
    </row>
    <row r="102" spans="1:4">
      <c r="A102">
        <v>99</v>
      </c>
      <c r="B102" s="13">
        <v>45748</v>
      </c>
      <c r="C102" t="s">
        <v>1622</v>
      </c>
      <c r="D102" t="s">
        <v>1677</v>
      </c>
    </row>
    <row r="103" spans="1:4">
      <c r="A103">
        <v>100</v>
      </c>
      <c r="B103" s="13">
        <v>45749</v>
      </c>
      <c r="C103" t="s">
        <v>1491</v>
      </c>
      <c r="D103" t="s">
        <v>1684</v>
      </c>
    </row>
    <row r="104" spans="1:4">
      <c r="A104">
        <v>101</v>
      </c>
      <c r="B104" s="13">
        <v>45749</v>
      </c>
      <c r="C104" t="s">
        <v>1583</v>
      </c>
      <c r="D104" t="s">
        <v>1711</v>
      </c>
    </row>
    <row r="105" spans="1:4">
      <c r="A105">
        <v>102</v>
      </c>
      <c r="B105" s="13">
        <v>45749</v>
      </c>
      <c r="C105" t="s">
        <v>1441</v>
      </c>
      <c r="D105" t="s">
        <v>1712</v>
      </c>
    </row>
    <row r="106" spans="1:4">
      <c r="A106">
        <v>103</v>
      </c>
      <c r="B106" s="13">
        <v>45749</v>
      </c>
      <c r="C106" t="s">
        <v>1027</v>
      </c>
      <c r="D106" t="s">
        <v>1713</v>
      </c>
    </row>
    <row r="107" spans="1:4">
      <c r="A107">
        <v>104</v>
      </c>
      <c r="B107" s="13">
        <v>45749</v>
      </c>
      <c r="C107" t="s">
        <v>1714</v>
      </c>
      <c r="D107" t="s">
        <v>1718</v>
      </c>
    </row>
    <row r="108" spans="1:4">
      <c r="A108">
        <v>105</v>
      </c>
      <c r="B108" s="13">
        <v>45749</v>
      </c>
      <c r="C108" t="s">
        <v>1719</v>
      </c>
      <c r="D108" t="s">
        <v>1721</v>
      </c>
    </row>
    <row r="109" spans="1:4">
      <c r="A109">
        <v>106</v>
      </c>
      <c r="B109" s="13">
        <v>45749</v>
      </c>
      <c r="C109" t="s">
        <v>1583</v>
      </c>
      <c r="D109" t="s">
        <v>1723</v>
      </c>
    </row>
    <row r="110" spans="1:4">
      <c r="A110">
        <v>107</v>
      </c>
      <c r="B110" s="13">
        <v>45750</v>
      </c>
      <c r="C110" t="s">
        <v>1491</v>
      </c>
      <c r="D110" t="s">
        <v>1725</v>
      </c>
    </row>
    <row r="111" spans="1:4">
      <c r="A111">
        <v>108</v>
      </c>
      <c r="B111" s="13">
        <v>45750</v>
      </c>
      <c r="C111" t="s">
        <v>1729</v>
      </c>
      <c r="D111" t="s">
        <v>1733</v>
      </c>
    </row>
    <row r="112" spans="1:4">
      <c r="A112">
        <v>109</v>
      </c>
      <c r="B112" s="13">
        <v>45750</v>
      </c>
      <c r="C112" t="s">
        <v>1734</v>
      </c>
      <c r="D112" t="s">
        <v>1735</v>
      </c>
    </row>
    <row r="113" spans="1:4">
      <c r="A113">
        <v>110</v>
      </c>
      <c r="B113" s="13">
        <v>45750</v>
      </c>
      <c r="C113" t="s">
        <v>1486</v>
      </c>
      <c r="D113" t="s">
        <v>1748</v>
      </c>
    </row>
    <row r="114" spans="1:4">
      <c r="A114">
        <v>111</v>
      </c>
      <c r="B114" s="13">
        <v>45751</v>
      </c>
      <c r="C114" t="s">
        <v>1420</v>
      </c>
      <c r="D114" t="s">
        <v>1754</v>
      </c>
    </row>
    <row r="115" spans="1:4">
      <c r="A115">
        <v>112</v>
      </c>
      <c r="B115" s="13">
        <v>45751</v>
      </c>
      <c r="C115" t="s">
        <v>1511</v>
      </c>
      <c r="D115" t="s">
        <v>1758</v>
      </c>
    </row>
    <row r="116" spans="1:4">
      <c r="A116">
        <v>113</v>
      </c>
      <c r="B116" s="13">
        <v>45751</v>
      </c>
      <c r="C116" t="s">
        <v>1785</v>
      </c>
      <c r="D116" t="s">
        <v>1788</v>
      </c>
    </row>
    <row r="117" spans="1:4">
      <c r="A117">
        <v>114</v>
      </c>
      <c r="B117" s="13">
        <v>45751</v>
      </c>
      <c r="C117" t="s">
        <v>1785</v>
      </c>
      <c r="D117" t="s">
        <v>1789</v>
      </c>
    </row>
    <row r="118" spans="1:4">
      <c r="A118">
        <v>115</v>
      </c>
      <c r="B118" s="13">
        <v>45751</v>
      </c>
      <c r="C118" t="s">
        <v>1785</v>
      </c>
      <c r="D118" t="s">
        <v>1792</v>
      </c>
    </row>
    <row r="119" spans="1:4">
      <c r="A119">
        <v>116</v>
      </c>
      <c r="B119" s="13">
        <v>45752</v>
      </c>
      <c r="C119" t="s">
        <v>1583</v>
      </c>
      <c r="D119" t="s">
        <v>1810</v>
      </c>
    </row>
    <row r="120" spans="1:4">
      <c r="A120">
        <v>117</v>
      </c>
      <c r="B120" s="13">
        <v>45752</v>
      </c>
      <c r="C120" t="s">
        <v>1441</v>
      </c>
      <c r="D120" t="s">
        <v>1814</v>
      </c>
    </row>
    <row r="121" spans="1:4">
      <c r="A121">
        <v>118</v>
      </c>
      <c r="B121" s="13">
        <v>45754</v>
      </c>
      <c r="C121" t="s">
        <v>1812</v>
      </c>
      <c r="D121" t="s">
        <v>1815</v>
      </c>
    </row>
    <row r="122" spans="1:4">
      <c r="A122">
        <v>118</v>
      </c>
      <c r="B122" s="13">
        <v>45754</v>
      </c>
      <c r="C122" t="s">
        <v>1180</v>
      </c>
      <c r="D122" t="s">
        <v>1829</v>
      </c>
    </row>
    <row r="123" spans="1:4">
      <c r="A123">
        <v>119</v>
      </c>
      <c r="B123" s="13">
        <v>45754</v>
      </c>
      <c r="C123" t="s">
        <v>1785</v>
      </c>
      <c r="D123" t="s">
        <v>1841</v>
      </c>
    </row>
    <row r="124" spans="1:4">
      <c r="A124">
        <v>120</v>
      </c>
      <c r="B124" s="13">
        <v>45754</v>
      </c>
      <c r="C124" t="s">
        <v>1066</v>
      </c>
      <c r="D124" t="s">
        <v>1864</v>
      </c>
    </row>
    <row r="125" spans="1:4">
      <c r="A125">
        <v>121</v>
      </c>
      <c r="B125" s="13">
        <v>45754</v>
      </c>
      <c r="C125" t="s">
        <v>1861</v>
      </c>
      <c r="D125" t="s">
        <v>1868</v>
      </c>
    </row>
    <row r="126" spans="1:4">
      <c r="A126">
        <v>122</v>
      </c>
      <c r="B126" s="13">
        <v>45754</v>
      </c>
      <c r="C126" t="s">
        <v>1785</v>
      </c>
      <c r="D126" t="s">
        <v>1869</v>
      </c>
    </row>
    <row r="127" spans="1:4">
      <c r="A127">
        <v>123</v>
      </c>
      <c r="B127" s="13">
        <v>45754</v>
      </c>
      <c r="C127" t="s">
        <v>1441</v>
      </c>
      <c r="D127" t="s">
        <v>1870</v>
      </c>
    </row>
    <row r="128" spans="1:4">
      <c r="A128">
        <v>124</v>
      </c>
      <c r="B128" s="13">
        <v>45755</v>
      </c>
      <c r="C128" t="s">
        <v>1491</v>
      </c>
      <c r="D128" t="s">
        <v>1875</v>
      </c>
    </row>
    <row r="129" spans="1:5">
      <c r="A129">
        <v>125</v>
      </c>
      <c r="B129" s="13">
        <v>45755</v>
      </c>
      <c r="C129" t="s">
        <v>1876</v>
      </c>
      <c r="D129" t="s">
        <v>1878</v>
      </c>
      <c r="E129" t="s">
        <v>1877</v>
      </c>
    </row>
    <row r="130" spans="1:5">
      <c r="A130">
        <v>126</v>
      </c>
      <c r="B130" s="13">
        <v>45755</v>
      </c>
      <c r="C130" t="s">
        <v>1027</v>
      </c>
      <c r="D130" t="s">
        <v>1879</v>
      </c>
    </row>
    <row r="131" spans="1:5">
      <c r="A131">
        <v>127</v>
      </c>
      <c r="B131" s="13">
        <v>45755</v>
      </c>
      <c r="C131" t="s">
        <v>1880</v>
      </c>
      <c r="D131" t="s">
        <v>1881</v>
      </c>
    </row>
    <row r="132" spans="1:5">
      <c r="A132">
        <v>128</v>
      </c>
      <c r="B132" s="13">
        <v>45755</v>
      </c>
      <c r="C132" t="s">
        <v>1625</v>
      </c>
      <c r="D132" t="s">
        <v>1882</v>
      </c>
    </row>
    <row r="133" spans="1:5">
      <c r="A133">
        <v>129</v>
      </c>
      <c r="B133" s="13">
        <v>45755</v>
      </c>
      <c r="C133" t="s">
        <v>1883</v>
      </c>
      <c r="D133" t="s">
        <v>1887</v>
      </c>
    </row>
    <row r="134" spans="1:5">
      <c r="A134">
        <v>130</v>
      </c>
      <c r="B134" s="13">
        <v>45756</v>
      </c>
      <c r="C134" t="s">
        <v>1785</v>
      </c>
      <c r="D134" t="s">
        <v>1898</v>
      </c>
    </row>
    <row r="135" spans="1:5">
      <c r="A135">
        <v>131</v>
      </c>
      <c r="B135" s="13">
        <v>45757</v>
      </c>
      <c r="C135" t="s">
        <v>1500</v>
      </c>
      <c r="D135" t="s">
        <v>1900</v>
      </c>
    </row>
    <row r="136" spans="1:5">
      <c r="A136">
        <v>132</v>
      </c>
      <c r="B136" s="13">
        <v>45757</v>
      </c>
      <c r="C136" t="s">
        <v>1583</v>
      </c>
      <c r="D136" t="s">
        <v>1902</v>
      </c>
    </row>
    <row r="137" spans="1:5">
      <c r="A137">
        <v>133</v>
      </c>
      <c r="B137" s="13">
        <v>45757</v>
      </c>
      <c r="C137" t="s">
        <v>1583</v>
      </c>
      <c r="D137" t="s">
        <v>1906</v>
      </c>
    </row>
    <row r="138" spans="1:5">
      <c r="A138">
        <v>134</v>
      </c>
      <c r="B138" s="13">
        <v>45757</v>
      </c>
      <c r="C138" t="s">
        <v>1500</v>
      </c>
      <c r="D138" t="s">
        <v>1907</v>
      </c>
    </row>
    <row r="139" spans="1:5">
      <c r="A139">
        <v>135</v>
      </c>
      <c r="B139" s="13">
        <v>45757</v>
      </c>
      <c r="C139" t="s">
        <v>1876</v>
      </c>
      <c r="D139" t="s">
        <v>1908</v>
      </c>
    </row>
    <row r="140" spans="1:5">
      <c r="A140">
        <v>136</v>
      </c>
      <c r="B140" s="13">
        <v>45758</v>
      </c>
      <c r="C140" t="s">
        <v>1511</v>
      </c>
      <c r="D140" t="s">
        <v>1919</v>
      </c>
    </row>
    <row r="141" spans="1:5">
      <c r="A141">
        <v>137</v>
      </c>
      <c r="B141" s="13">
        <v>45758</v>
      </c>
      <c r="C141" t="s">
        <v>1914</v>
      </c>
      <c r="D141" t="s">
        <v>1921</v>
      </c>
    </row>
    <row r="142" spans="1:5">
      <c r="A142">
        <v>138</v>
      </c>
      <c r="B142" s="13">
        <v>45759</v>
      </c>
      <c r="C142" t="s">
        <v>1027</v>
      </c>
      <c r="D142" t="s">
        <v>1922</v>
      </c>
    </row>
    <row r="143" spans="1:5">
      <c r="A143">
        <v>139</v>
      </c>
      <c r="B143" s="13">
        <v>45759</v>
      </c>
      <c r="C143" t="s">
        <v>1622</v>
      </c>
      <c r="D143" t="s">
        <v>1924</v>
      </c>
      <c r="E143" t="s">
        <v>1923</v>
      </c>
    </row>
    <row r="144" spans="1:5">
      <c r="A144">
        <v>140</v>
      </c>
      <c r="B144" s="13">
        <v>45759</v>
      </c>
      <c r="C144" t="s">
        <v>1027</v>
      </c>
      <c r="D144" t="s">
        <v>1925</v>
      </c>
    </row>
    <row r="145" spans="1:4">
      <c r="A145">
        <v>141</v>
      </c>
      <c r="B145" s="13">
        <v>45761</v>
      </c>
      <c r="C145" t="s">
        <v>1027</v>
      </c>
      <c r="D145" t="s">
        <v>1927</v>
      </c>
    </row>
    <row r="146" spans="1:4">
      <c r="A146">
        <v>142</v>
      </c>
      <c r="B146" s="13">
        <v>45759</v>
      </c>
      <c r="C146" t="s">
        <v>1926</v>
      </c>
      <c r="D146" t="s">
        <v>1932</v>
      </c>
    </row>
    <row r="147" spans="1:4">
      <c r="A147">
        <v>143</v>
      </c>
      <c r="B147" s="13">
        <v>45761</v>
      </c>
      <c r="C147" t="s">
        <v>1180</v>
      </c>
      <c r="D147" t="s">
        <v>1935</v>
      </c>
    </row>
    <row r="148" spans="1:4">
      <c r="A148">
        <v>144</v>
      </c>
      <c r="B148" s="13">
        <v>45761</v>
      </c>
      <c r="C148" t="s">
        <v>1066</v>
      </c>
      <c r="D148" t="s">
        <v>1936</v>
      </c>
    </row>
    <row r="149" spans="1:4">
      <c r="A149">
        <v>145</v>
      </c>
      <c r="B149" s="13">
        <v>45761</v>
      </c>
      <c r="C149" t="s">
        <v>1027</v>
      </c>
      <c r="D149" t="s">
        <v>1937</v>
      </c>
    </row>
    <row r="150" spans="1:4">
      <c r="A150">
        <v>146</v>
      </c>
      <c r="B150" s="13">
        <v>45761</v>
      </c>
      <c r="C150" t="s">
        <v>1880</v>
      </c>
      <c r="D150" t="s">
        <v>1939</v>
      </c>
    </row>
    <row r="151" spans="1:4">
      <c r="A151">
        <v>147</v>
      </c>
      <c r="B151" s="13">
        <v>45761</v>
      </c>
      <c r="C151" t="s">
        <v>1940</v>
      </c>
      <c r="D151" t="s">
        <v>1942</v>
      </c>
    </row>
    <row r="152" spans="1:4">
      <c r="A152">
        <v>148</v>
      </c>
      <c r="B152" s="13">
        <v>45691</v>
      </c>
      <c r="C152" t="s">
        <v>1785</v>
      </c>
      <c r="D152" t="s">
        <v>1944</v>
      </c>
    </row>
    <row r="153" spans="1:4">
      <c r="A153">
        <v>149</v>
      </c>
      <c r="B153" s="13">
        <v>45761</v>
      </c>
      <c r="C153" t="s">
        <v>1785</v>
      </c>
      <c r="D153" t="s">
        <v>1945</v>
      </c>
    </row>
    <row r="154" spans="1:4">
      <c r="A154">
        <v>150</v>
      </c>
      <c r="B154" s="13">
        <v>45761</v>
      </c>
      <c r="C154" t="s">
        <v>1946</v>
      </c>
      <c r="D154" t="s">
        <v>1947</v>
      </c>
    </row>
    <row r="155" spans="1:4">
      <c r="A155">
        <v>151</v>
      </c>
      <c r="B155" s="13">
        <v>45761</v>
      </c>
      <c r="C155" t="s">
        <v>1949</v>
      </c>
      <c r="D155" t="s">
        <v>1950</v>
      </c>
    </row>
    <row r="156" spans="1:4">
      <c r="A156">
        <v>152</v>
      </c>
      <c r="B156" s="13">
        <v>45762</v>
      </c>
      <c r="C156" t="s">
        <v>1955</v>
      </c>
      <c r="D156" t="s">
        <v>1956</v>
      </c>
    </row>
    <row r="157" spans="1:4">
      <c r="A157">
        <v>153</v>
      </c>
      <c r="B157" s="13">
        <v>45762</v>
      </c>
      <c r="C157" t="s">
        <v>1785</v>
      </c>
      <c r="D157" t="s">
        <v>1957</v>
      </c>
    </row>
    <row r="158" spans="1:4">
      <c r="A158">
        <v>154</v>
      </c>
      <c r="B158" s="13">
        <v>45762</v>
      </c>
      <c r="C158" t="s">
        <v>1057</v>
      </c>
      <c r="D158" t="s">
        <v>1958</v>
      </c>
    </row>
    <row r="159" spans="1:4">
      <c r="A159">
        <v>155</v>
      </c>
      <c r="B159" s="13">
        <v>45762</v>
      </c>
      <c r="C159" t="s">
        <v>1057</v>
      </c>
      <c r="D159" t="s">
        <v>1959</v>
      </c>
    </row>
    <row r="160" spans="1:4">
      <c r="A160">
        <v>156</v>
      </c>
      <c r="B160" s="13">
        <v>45762</v>
      </c>
      <c r="C160" t="s">
        <v>1484</v>
      </c>
      <c r="D160" t="s">
        <v>1965</v>
      </c>
    </row>
    <row r="161" spans="1:5">
      <c r="A161">
        <v>157</v>
      </c>
      <c r="B161" s="13">
        <v>45762</v>
      </c>
      <c r="C161" t="s">
        <v>1729</v>
      </c>
      <c r="D161" t="s">
        <v>1966</v>
      </c>
    </row>
    <row r="162" spans="1:5">
      <c r="A162">
        <v>158</v>
      </c>
      <c r="B162" s="13">
        <v>45762</v>
      </c>
      <c r="C162" t="s">
        <v>1880</v>
      </c>
      <c r="D162" t="s">
        <v>1967</v>
      </c>
    </row>
    <row r="163" spans="1:5">
      <c r="A163">
        <v>159</v>
      </c>
      <c r="B163" s="13">
        <v>45763</v>
      </c>
      <c r="C163" t="s">
        <v>1969</v>
      </c>
      <c r="D163" t="s">
        <v>2203</v>
      </c>
    </row>
    <row r="164" spans="1:5">
      <c r="A164">
        <v>160</v>
      </c>
      <c r="B164" s="13">
        <v>45763</v>
      </c>
      <c r="C164" t="s">
        <v>1973</v>
      </c>
      <c r="D164" t="s">
        <v>1974</v>
      </c>
    </row>
    <row r="165" spans="1:5">
      <c r="A165">
        <v>161</v>
      </c>
      <c r="B165" s="13">
        <v>45763</v>
      </c>
      <c r="C165" t="s">
        <v>985</v>
      </c>
      <c r="D165" t="s">
        <v>1975</v>
      </c>
    </row>
    <row r="166" spans="1:5">
      <c r="A166">
        <v>162</v>
      </c>
      <c r="B166" s="13">
        <v>45763</v>
      </c>
      <c r="C166" t="s">
        <v>985</v>
      </c>
      <c r="D166" t="s">
        <v>1977</v>
      </c>
      <c r="E166" t="s">
        <v>1976</v>
      </c>
    </row>
    <row r="167" spans="1:5">
      <c r="A167">
        <v>163</v>
      </c>
      <c r="B167" s="13">
        <v>45763</v>
      </c>
      <c r="C167" t="s">
        <v>1643</v>
      </c>
      <c r="D167" t="s">
        <v>1979</v>
      </c>
      <c r="E167" t="s">
        <v>1976</v>
      </c>
    </row>
    <row r="168" spans="1:5">
      <c r="A168">
        <v>164</v>
      </c>
      <c r="B168" s="13">
        <v>45763</v>
      </c>
      <c r="C168" t="s">
        <v>1625</v>
      </c>
      <c r="D168" t="s">
        <v>1982</v>
      </c>
    </row>
    <row r="169" spans="1:5">
      <c r="A169">
        <v>165</v>
      </c>
      <c r="B169" s="13">
        <v>45764</v>
      </c>
      <c r="C169" t="s">
        <v>1441</v>
      </c>
      <c r="D169" t="s">
        <v>1996</v>
      </c>
    </row>
    <row r="170" spans="1:5">
      <c r="A170">
        <v>166</v>
      </c>
      <c r="B170" s="13">
        <v>45764</v>
      </c>
      <c r="C170" t="s">
        <v>1583</v>
      </c>
      <c r="D170" t="s">
        <v>1999</v>
      </c>
    </row>
    <row r="171" spans="1:5">
      <c r="A171">
        <v>167</v>
      </c>
      <c r="B171" s="13">
        <v>45764</v>
      </c>
      <c r="C171" t="s">
        <v>1484</v>
      </c>
      <c r="D171" t="s">
        <v>2001</v>
      </c>
      <c r="E171" t="s">
        <v>2000</v>
      </c>
    </row>
    <row r="172" spans="1:5">
      <c r="A172">
        <v>168</v>
      </c>
      <c r="B172" s="13">
        <v>45765</v>
      </c>
      <c r="C172" t="s">
        <v>1729</v>
      </c>
      <c r="D172" t="s">
        <v>2004</v>
      </c>
    </row>
    <row r="173" spans="1:5">
      <c r="A173">
        <v>169</v>
      </c>
      <c r="B173" s="13">
        <v>45765</v>
      </c>
      <c r="C173" t="s">
        <v>1785</v>
      </c>
      <c r="D173" t="s">
        <v>2006</v>
      </c>
    </row>
    <row r="174" spans="1:5">
      <c r="A174">
        <v>170</v>
      </c>
      <c r="B174" s="13">
        <v>45765</v>
      </c>
      <c r="C174" t="s">
        <v>1643</v>
      </c>
      <c r="D174" t="s">
        <v>2007</v>
      </c>
    </row>
    <row r="175" spans="1:5">
      <c r="A175">
        <v>171</v>
      </c>
      <c r="B175" s="13">
        <v>45765</v>
      </c>
      <c r="C175" t="s">
        <v>1509</v>
      </c>
      <c r="D175" t="s">
        <v>2008</v>
      </c>
    </row>
    <row r="176" spans="1:5">
      <c r="A176">
        <v>172</v>
      </c>
      <c r="B176" s="13">
        <v>45765</v>
      </c>
      <c r="C176" t="s">
        <v>1509</v>
      </c>
      <c r="D176" t="s">
        <v>2009</v>
      </c>
    </row>
    <row r="177" spans="1:5">
      <c r="A177">
        <v>173</v>
      </c>
      <c r="B177" s="13">
        <v>45768</v>
      </c>
      <c r="C177" t="s">
        <v>2010</v>
      </c>
      <c r="D177" t="s">
        <v>2011</v>
      </c>
    </row>
    <row r="178" spans="1:5">
      <c r="A178">
        <v>174</v>
      </c>
      <c r="B178" s="13">
        <v>45768</v>
      </c>
      <c r="C178" t="s">
        <v>2021</v>
      </c>
      <c r="D178" t="s">
        <v>2022</v>
      </c>
    </row>
    <row r="179" spans="1:5">
      <c r="A179">
        <v>175</v>
      </c>
      <c r="B179" s="13">
        <v>45768</v>
      </c>
      <c r="C179" t="s">
        <v>2021</v>
      </c>
      <c r="D179" t="s">
        <v>2023</v>
      </c>
    </row>
    <row r="180" spans="1:5">
      <c r="A180">
        <v>176</v>
      </c>
      <c r="B180" s="13">
        <v>45768</v>
      </c>
      <c r="C180" t="s">
        <v>1441</v>
      </c>
      <c r="D180" t="s">
        <v>2025</v>
      </c>
      <c r="E180" t="s">
        <v>2024</v>
      </c>
    </row>
    <row r="181" spans="1:5">
      <c r="A181">
        <v>177</v>
      </c>
      <c r="B181" s="13">
        <v>45768</v>
      </c>
      <c r="C181" t="s">
        <v>1625</v>
      </c>
      <c r="D181" t="s">
        <v>2026</v>
      </c>
      <c r="E181" t="s">
        <v>2024</v>
      </c>
    </row>
    <row r="182" spans="1:5">
      <c r="A182">
        <v>178</v>
      </c>
      <c r="B182" s="13">
        <v>45768</v>
      </c>
      <c r="C182" t="s">
        <v>1622</v>
      </c>
      <c r="D182" t="s">
        <v>2027</v>
      </c>
    </row>
    <row r="183" spans="1:5">
      <c r="A183">
        <v>179</v>
      </c>
      <c r="B183" s="13">
        <v>45768</v>
      </c>
      <c r="C183" t="s">
        <v>1785</v>
      </c>
      <c r="D183" t="s">
        <v>2033</v>
      </c>
    </row>
    <row r="184" spans="1:5">
      <c r="A184">
        <v>180</v>
      </c>
      <c r="B184" s="13">
        <v>45769</v>
      </c>
      <c r="C184" t="s">
        <v>1491</v>
      </c>
      <c r="D184" t="s">
        <v>2037</v>
      </c>
    </row>
    <row r="185" spans="1:5">
      <c r="A185">
        <v>181</v>
      </c>
      <c r="B185" s="13">
        <v>45770</v>
      </c>
      <c r="C185" t="s">
        <v>1643</v>
      </c>
      <c r="D185" t="s">
        <v>2039</v>
      </c>
    </row>
    <row r="186" spans="1:5">
      <c r="A186">
        <v>182</v>
      </c>
      <c r="B186" s="13">
        <v>45770</v>
      </c>
      <c r="C186" t="s">
        <v>2040</v>
      </c>
      <c r="D186" t="s">
        <v>2043</v>
      </c>
    </row>
    <row r="187" spans="1:5">
      <c r="A187">
        <v>183</v>
      </c>
      <c r="B187" s="13">
        <v>45770</v>
      </c>
      <c r="C187" t="s">
        <v>2040</v>
      </c>
      <c r="D187" t="s">
        <v>2046</v>
      </c>
    </row>
    <row r="188" spans="1:5">
      <c r="A188">
        <v>184</v>
      </c>
      <c r="B188" s="13">
        <v>45771</v>
      </c>
      <c r="C188" t="s">
        <v>1596</v>
      </c>
      <c r="D188" t="s">
        <v>2048</v>
      </c>
    </row>
    <row r="189" spans="1:5">
      <c r="A189">
        <v>185</v>
      </c>
      <c r="B189" s="13">
        <v>45771</v>
      </c>
      <c r="C189" t="s">
        <v>1486</v>
      </c>
      <c r="D189" t="s">
        <v>2051</v>
      </c>
    </row>
    <row r="190" spans="1:5">
      <c r="A190">
        <v>186</v>
      </c>
      <c r="B190" s="13">
        <v>45772</v>
      </c>
      <c r="C190" t="s">
        <v>1433</v>
      </c>
      <c r="D190" t="s">
        <v>2056</v>
      </c>
    </row>
    <row r="191" spans="1:5">
      <c r="A191">
        <v>187</v>
      </c>
      <c r="B191" s="13">
        <v>45772</v>
      </c>
      <c r="C191" t="s">
        <v>2057</v>
      </c>
      <c r="D191" t="s">
        <v>2059</v>
      </c>
    </row>
    <row r="192" spans="1:5">
      <c r="A192">
        <v>188</v>
      </c>
      <c r="B192" s="13">
        <v>45772</v>
      </c>
      <c r="C192" t="s">
        <v>2060</v>
      </c>
      <c r="D192" t="s">
        <v>2061</v>
      </c>
    </row>
    <row r="193" spans="1:4">
      <c r="A193">
        <v>189</v>
      </c>
      <c r="B193" s="13">
        <v>45772</v>
      </c>
      <c r="C193" t="s">
        <v>1861</v>
      </c>
      <c r="D193" t="s">
        <v>2062</v>
      </c>
    </row>
    <row r="194" spans="1:4">
      <c r="A194">
        <v>190</v>
      </c>
      <c r="B194" s="13">
        <v>45772</v>
      </c>
      <c r="C194" t="s">
        <v>1861</v>
      </c>
      <c r="D194" t="s">
        <v>2064</v>
      </c>
    </row>
    <row r="195" spans="1:4">
      <c r="A195">
        <v>191</v>
      </c>
      <c r="B195" s="13">
        <v>45772</v>
      </c>
      <c r="C195" t="s">
        <v>1486</v>
      </c>
      <c r="D195" t="s">
        <v>2066</v>
      </c>
    </row>
    <row r="196" spans="1:4">
      <c r="A196">
        <v>192</v>
      </c>
      <c r="B196" s="13">
        <v>45772</v>
      </c>
      <c r="C196" t="s">
        <v>1880</v>
      </c>
      <c r="D196" t="s">
        <v>2067</v>
      </c>
    </row>
    <row r="197" spans="1:4">
      <c r="A197">
        <v>193</v>
      </c>
      <c r="B197" s="13">
        <v>45775</v>
      </c>
      <c r="C197" t="s">
        <v>1563</v>
      </c>
      <c r="D197" t="s">
        <v>2069</v>
      </c>
    </row>
    <row r="198" spans="1:4">
      <c r="A198">
        <v>194</v>
      </c>
      <c r="B198" s="13">
        <v>45775</v>
      </c>
      <c r="C198" t="s">
        <v>1486</v>
      </c>
      <c r="D198" t="s">
        <v>2070</v>
      </c>
    </row>
    <row r="199" spans="1:4">
      <c r="A199">
        <v>195</v>
      </c>
      <c r="B199" s="13">
        <v>45775</v>
      </c>
      <c r="C199" t="s">
        <v>1180</v>
      </c>
      <c r="D199" t="s">
        <v>2071</v>
      </c>
    </row>
    <row r="200" spans="1:4">
      <c r="A200">
        <v>196</v>
      </c>
      <c r="B200" s="13">
        <v>45775</v>
      </c>
      <c r="C200" t="s">
        <v>1066</v>
      </c>
      <c r="D200" t="s">
        <v>2073</v>
      </c>
    </row>
    <row r="201" spans="1:4">
      <c r="A201">
        <v>197</v>
      </c>
      <c r="B201" s="13">
        <v>45775</v>
      </c>
      <c r="C201" t="s">
        <v>1574</v>
      </c>
      <c r="D201" t="s">
        <v>2075</v>
      </c>
    </row>
    <row r="202" spans="1:4">
      <c r="A202">
        <v>198</v>
      </c>
      <c r="B202" s="13">
        <v>45775</v>
      </c>
      <c r="C202" t="s">
        <v>2060</v>
      </c>
      <c r="D202" t="s">
        <v>2077</v>
      </c>
    </row>
    <row r="203" spans="1:4">
      <c r="A203">
        <v>199</v>
      </c>
      <c r="B203" s="13">
        <v>45776</v>
      </c>
      <c r="C203" t="s">
        <v>1583</v>
      </c>
      <c r="D203" t="s">
        <v>2091</v>
      </c>
    </row>
    <row r="204" spans="1:4">
      <c r="A204">
        <v>200</v>
      </c>
      <c r="B204" s="13">
        <v>45776</v>
      </c>
      <c r="C204" t="s">
        <v>2095</v>
      </c>
      <c r="D204" t="s">
        <v>2096</v>
      </c>
    </row>
    <row r="205" spans="1:4">
      <c r="A205">
        <v>201</v>
      </c>
      <c r="B205" s="13">
        <v>45776</v>
      </c>
      <c r="C205" t="s">
        <v>1785</v>
      </c>
      <c r="D205" t="s">
        <v>2101</v>
      </c>
    </row>
    <row r="206" spans="1:4">
      <c r="A206">
        <v>202</v>
      </c>
      <c r="B206" s="13">
        <v>45776</v>
      </c>
      <c r="C206" t="s">
        <v>2104</v>
      </c>
      <c r="D206" t="s">
        <v>2105</v>
      </c>
    </row>
    <row r="207" spans="1:4">
      <c r="A207">
        <v>203</v>
      </c>
      <c r="B207" s="13">
        <v>45776</v>
      </c>
      <c r="C207" t="s">
        <v>2060</v>
      </c>
      <c r="D207" t="s">
        <v>2106</v>
      </c>
    </row>
    <row r="208" spans="1:4">
      <c r="A208">
        <v>204</v>
      </c>
      <c r="B208" s="13">
        <v>45776</v>
      </c>
      <c r="C208" t="s">
        <v>1812</v>
      </c>
      <c r="D208" t="s">
        <v>2108</v>
      </c>
    </row>
    <row r="209" spans="1:4">
      <c r="A209">
        <v>205</v>
      </c>
      <c r="B209" s="13">
        <v>45776</v>
      </c>
      <c r="C209" t="s">
        <v>2060</v>
      </c>
      <c r="D209" t="s">
        <v>2110</v>
      </c>
    </row>
    <row r="210" spans="1:4">
      <c r="A210">
        <v>206</v>
      </c>
      <c r="B210" s="13">
        <v>45777</v>
      </c>
      <c r="C210" t="s">
        <v>1016</v>
      </c>
      <c r="D210" t="s">
        <v>2111</v>
      </c>
    </row>
    <row r="211" spans="1:4">
      <c r="A211">
        <v>207</v>
      </c>
      <c r="B211" s="13">
        <v>45777</v>
      </c>
      <c r="C211" t="s">
        <v>1486</v>
      </c>
      <c r="D211" t="s">
        <v>2113</v>
      </c>
    </row>
    <row r="212" spans="1:4">
      <c r="A212">
        <v>208</v>
      </c>
      <c r="B212" s="13">
        <v>45777</v>
      </c>
      <c r="C212" t="s">
        <v>2114</v>
      </c>
      <c r="D212" t="s">
        <v>2118</v>
      </c>
    </row>
    <row r="213" spans="1:4">
      <c r="A213">
        <v>209</v>
      </c>
      <c r="B213" s="13">
        <v>45777</v>
      </c>
      <c r="C213" t="s">
        <v>2119</v>
      </c>
      <c r="D213" t="s">
        <v>2122</v>
      </c>
    </row>
    <row r="214" spans="1:4">
      <c r="A214">
        <v>210</v>
      </c>
      <c r="B214" s="13">
        <v>45777</v>
      </c>
      <c r="C214" t="s">
        <v>1057</v>
      </c>
      <c r="D214" t="s">
        <v>2124</v>
      </c>
    </row>
    <row r="215" spans="1:4">
      <c r="A215">
        <v>211</v>
      </c>
      <c r="B215" s="13">
        <v>45777</v>
      </c>
      <c r="C215" t="s">
        <v>1622</v>
      </c>
      <c r="D215" t="s">
        <v>2125</v>
      </c>
    </row>
    <row r="216" spans="1:4">
      <c r="A216">
        <v>212</v>
      </c>
      <c r="B216" s="13">
        <v>45777</v>
      </c>
      <c r="C216" t="s">
        <v>2126</v>
      </c>
      <c r="D216" t="s">
        <v>2130</v>
      </c>
    </row>
    <row r="217" spans="1:4">
      <c r="A217">
        <v>213</v>
      </c>
      <c r="B217" s="13">
        <v>45777</v>
      </c>
      <c r="C217" t="s">
        <v>1596</v>
      </c>
      <c r="D217" t="s">
        <v>2131</v>
      </c>
    </row>
    <row r="218" spans="1:4">
      <c r="A218">
        <v>214</v>
      </c>
      <c r="B218" s="13">
        <v>45775</v>
      </c>
      <c r="C218" t="s">
        <v>2060</v>
      </c>
      <c r="D218" t="s">
        <v>2132</v>
      </c>
    </row>
    <row r="219" spans="1:4">
      <c r="A219">
        <v>215</v>
      </c>
      <c r="B219" s="13">
        <v>45778</v>
      </c>
      <c r="C219" t="s">
        <v>1625</v>
      </c>
      <c r="D219" t="s">
        <v>2145</v>
      </c>
    </row>
    <row r="220" spans="1:4">
      <c r="A220">
        <v>216</v>
      </c>
      <c r="B220" s="13">
        <v>45777</v>
      </c>
      <c r="C220" t="s">
        <v>1785</v>
      </c>
      <c r="D220" t="s">
        <v>2147</v>
      </c>
    </row>
    <row r="221" spans="1:4">
      <c r="A221">
        <v>217</v>
      </c>
      <c r="B221" s="13">
        <v>45779</v>
      </c>
      <c r="C221" t="s">
        <v>1625</v>
      </c>
      <c r="D221" t="s">
        <v>2148</v>
      </c>
    </row>
    <row r="222" spans="1:4">
      <c r="A222">
        <v>218</v>
      </c>
      <c r="B222" s="13">
        <v>45779</v>
      </c>
      <c r="C222" t="s">
        <v>2057</v>
      </c>
      <c r="D222" t="s">
        <v>2149</v>
      </c>
    </row>
    <row r="223" spans="1:4">
      <c r="A223">
        <v>219</v>
      </c>
      <c r="B223" s="13">
        <v>45779</v>
      </c>
      <c r="C223" t="s">
        <v>1441</v>
      </c>
      <c r="D223" t="s">
        <v>2150</v>
      </c>
    </row>
    <row r="224" spans="1:4">
      <c r="A224">
        <v>220</v>
      </c>
      <c r="B224" s="13">
        <v>45779</v>
      </c>
      <c r="C224" t="s">
        <v>1441</v>
      </c>
      <c r="D224" t="s">
        <v>2151</v>
      </c>
    </row>
    <row r="225" spans="1:4">
      <c r="A225">
        <v>221</v>
      </c>
      <c r="B225" s="13">
        <v>45780</v>
      </c>
      <c r="C225" t="s">
        <v>2040</v>
      </c>
      <c r="D225" t="s">
        <v>2160</v>
      </c>
    </row>
    <row r="226" spans="1:4">
      <c r="A226">
        <v>222</v>
      </c>
      <c r="B226" s="13">
        <v>45782</v>
      </c>
      <c r="C226" t="s">
        <v>2163</v>
      </c>
      <c r="D226" t="s">
        <v>2164</v>
      </c>
    </row>
    <row r="227" spans="1:4">
      <c r="A227">
        <v>223</v>
      </c>
      <c r="B227" s="13">
        <v>45782</v>
      </c>
      <c r="C227" t="s">
        <v>1016</v>
      </c>
      <c r="D227" t="s">
        <v>2165</v>
      </c>
    </row>
    <row r="228" spans="1:4">
      <c r="A228">
        <v>224</v>
      </c>
      <c r="B228" s="13">
        <v>45783</v>
      </c>
      <c r="C228" t="s">
        <v>1583</v>
      </c>
      <c r="D228" t="s">
        <v>2166</v>
      </c>
    </row>
    <row r="229" spans="1:4">
      <c r="A229">
        <v>225</v>
      </c>
      <c r="B229" s="13">
        <v>45783</v>
      </c>
      <c r="C229" t="s">
        <v>1441</v>
      </c>
      <c r="D229" t="s">
        <v>2167</v>
      </c>
    </row>
    <row r="230" spans="1:4">
      <c r="A230">
        <v>226</v>
      </c>
      <c r="B230" s="13">
        <v>45783</v>
      </c>
      <c r="C230" t="s">
        <v>1511</v>
      </c>
      <c r="D230" t="s">
        <v>2168</v>
      </c>
    </row>
    <row r="231" spans="1:4">
      <c r="A231">
        <v>227</v>
      </c>
      <c r="B231" s="13">
        <v>45783</v>
      </c>
      <c r="C231" t="s">
        <v>1441</v>
      </c>
      <c r="D231" t="s">
        <v>2170</v>
      </c>
    </row>
    <row r="232" spans="1:4">
      <c r="A232">
        <v>228</v>
      </c>
      <c r="B232" s="13">
        <v>45784</v>
      </c>
      <c r="C232" t="s">
        <v>1347</v>
      </c>
      <c r="D232" t="s">
        <v>2171</v>
      </c>
    </row>
    <row r="233" spans="1:4">
      <c r="A233">
        <v>229</v>
      </c>
      <c r="B233" s="13">
        <v>45784</v>
      </c>
      <c r="C233" t="s">
        <v>2174</v>
      </c>
      <c r="D233" t="s">
        <v>2175</v>
      </c>
    </row>
    <row r="234" spans="1:4">
      <c r="A234">
        <v>230</v>
      </c>
      <c r="B234" s="13">
        <v>45784</v>
      </c>
      <c r="C234" t="s">
        <v>2174</v>
      </c>
      <c r="D234" t="s">
        <v>2177</v>
      </c>
    </row>
    <row r="235" spans="1:4">
      <c r="A235">
        <v>231</v>
      </c>
      <c r="B235" s="13">
        <v>45784</v>
      </c>
      <c r="C235" t="s">
        <v>2174</v>
      </c>
      <c r="D235" t="s">
        <v>2178</v>
      </c>
    </row>
    <row r="236" spans="1:4">
      <c r="A236">
        <v>232</v>
      </c>
      <c r="B236" s="13">
        <v>45784</v>
      </c>
      <c r="C236" t="s">
        <v>1441</v>
      </c>
      <c r="D236" t="s">
        <v>2179</v>
      </c>
    </row>
    <row r="237" spans="1:4">
      <c r="A237">
        <v>233</v>
      </c>
      <c r="B237" s="13">
        <v>45784</v>
      </c>
      <c r="C237" t="s">
        <v>2174</v>
      </c>
      <c r="D237" t="s">
        <v>2184</v>
      </c>
    </row>
    <row r="238" spans="1:4">
      <c r="A238">
        <v>234</v>
      </c>
      <c r="B238" s="13">
        <v>45784</v>
      </c>
      <c r="C238" t="s">
        <v>2180</v>
      </c>
      <c r="D238" t="s">
        <v>2185</v>
      </c>
    </row>
    <row r="239" spans="1:4">
      <c r="A239">
        <v>235</v>
      </c>
      <c r="B239" s="13">
        <v>45785</v>
      </c>
      <c r="C239" t="s">
        <v>2186</v>
      </c>
      <c r="D239" t="s">
        <v>2190</v>
      </c>
    </row>
    <row r="240" spans="1:4">
      <c r="A240">
        <v>236</v>
      </c>
      <c r="B240" s="13">
        <v>45785</v>
      </c>
      <c r="C240" t="s">
        <v>1785</v>
      </c>
      <c r="D240" t="s">
        <v>2191</v>
      </c>
    </row>
    <row r="241" spans="1:4">
      <c r="A241">
        <v>237</v>
      </c>
      <c r="B241" s="13">
        <v>45786</v>
      </c>
      <c r="C241" t="s">
        <v>1347</v>
      </c>
      <c r="D241" t="s">
        <v>2196</v>
      </c>
    </row>
    <row r="242" spans="1:4">
      <c r="A242">
        <v>238</v>
      </c>
      <c r="B242" s="13">
        <v>45786</v>
      </c>
      <c r="C242" t="s">
        <v>2095</v>
      </c>
      <c r="D242" t="s">
        <v>2197</v>
      </c>
    </row>
    <row r="243" spans="1:4">
      <c r="A243">
        <v>239</v>
      </c>
      <c r="B243" s="13">
        <v>45786</v>
      </c>
      <c r="C243" t="s">
        <v>2199</v>
      </c>
      <c r="D243" t="s">
        <v>2200</v>
      </c>
    </row>
    <row r="244" spans="1:4">
      <c r="A244">
        <v>240</v>
      </c>
      <c r="B244" s="13">
        <v>45786</v>
      </c>
      <c r="C244" t="s">
        <v>2199</v>
      </c>
      <c r="D244" t="s">
        <v>2201</v>
      </c>
    </row>
    <row r="245" spans="1:4">
      <c r="A245">
        <v>241</v>
      </c>
      <c r="B245" s="13">
        <v>45789</v>
      </c>
      <c r="C245" t="s">
        <v>2205</v>
      </c>
      <c r="D245" t="s">
        <v>2208</v>
      </c>
    </row>
    <row r="246" spans="1:4">
      <c r="A246">
        <v>242</v>
      </c>
      <c r="B246" s="13">
        <v>45789</v>
      </c>
      <c r="C246" t="s">
        <v>1486</v>
      </c>
      <c r="D246" t="s">
        <v>2209</v>
      </c>
    </row>
    <row r="247" spans="1:4">
      <c r="A247">
        <v>243</v>
      </c>
      <c r="B247" s="13">
        <v>45789</v>
      </c>
      <c r="C247" t="s">
        <v>2057</v>
      </c>
      <c r="D247" t="s">
        <v>2210</v>
      </c>
    </row>
    <row r="248" spans="1:4">
      <c r="A248">
        <v>244</v>
      </c>
      <c r="B248" s="13">
        <v>45789</v>
      </c>
      <c r="C248" t="s">
        <v>1643</v>
      </c>
      <c r="D248" t="s">
        <v>2211</v>
      </c>
    </row>
    <row r="249" spans="1:4">
      <c r="A249">
        <v>245</v>
      </c>
      <c r="B249" s="13">
        <v>45789</v>
      </c>
      <c r="C249" t="s">
        <v>1496</v>
      </c>
      <c r="D249" t="s">
        <v>2214</v>
      </c>
    </row>
    <row r="250" spans="1:4">
      <c r="A250">
        <v>246</v>
      </c>
      <c r="B250" s="13">
        <v>45789</v>
      </c>
      <c r="C250" t="s">
        <v>1180</v>
      </c>
      <c r="D250" t="s">
        <v>2216</v>
      </c>
    </row>
    <row r="251" spans="1:4">
      <c r="A251">
        <v>247</v>
      </c>
      <c r="B251" s="13">
        <v>45789</v>
      </c>
      <c r="C251" t="s">
        <v>2219</v>
      </c>
      <c r="D251" t="s">
        <v>2222</v>
      </c>
    </row>
    <row r="252" spans="1:4">
      <c r="A252">
        <v>248</v>
      </c>
      <c r="B252" s="13">
        <v>45789</v>
      </c>
      <c r="C252" t="s">
        <v>1441</v>
      </c>
      <c r="D252" t="s">
        <v>2224</v>
      </c>
    </row>
    <row r="253" spans="1:4">
      <c r="A253">
        <v>249</v>
      </c>
      <c r="B253" s="13">
        <v>45789</v>
      </c>
      <c r="C253" t="s">
        <v>1511</v>
      </c>
      <c r="D253" t="s">
        <v>2225</v>
      </c>
    </row>
    <row r="254" spans="1:4">
      <c r="A254">
        <v>250</v>
      </c>
      <c r="B254" s="13">
        <v>45790</v>
      </c>
      <c r="C254" t="s">
        <v>1491</v>
      </c>
      <c r="D254" t="s">
        <v>2228</v>
      </c>
    </row>
    <row r="255" spans="1:4">
      <c r="A255">
        <v>251</v>
      </c>
      <c r="B255" s="13">
        <v>45790</v>
      </c>
      <c r="C255" t="s">
        <v>2010</v>
      </c>
      <c r="D255" t="s">
        <v>2229</v>
      </c>
    </row>
    <row r="256" spans="1:4">
      <c r="A256">
        <v>252</v>
      </c>
      <c r="B256" s="13">
        <v>45790</v>
      </c>
      <c r="C256" t="s">
        <v>1511</v>
      </c>
      <c r="D256" t="s">
        <v>2230</v>
      </c>
    </row>
    <row r="257" spans="1:4">
      <c r="A257">
        <v>253</v>
      </c>
      <c r="B257" s="13">
        <v>45790</v>
      </c>
      <c r="C257" t="s">
        <v>1861</v>
      </c>
      <c r="D257" t="s">
        <v>2231</v>
      </c>
    </row>
    <row r="258" spans="1:4">
      <c r="A258">
        <v>254</v>
      </c>
      <c r="B258" s="13">
        <v>45790</v>
      </c>
      <c r="C258" t="s">
        <v>2232</v>
      </c>
      <c r="D258" t="s">
        <v>2233</v>
      </c>
    </row>
    <row r="259" spans="1:4">
      <c r="A259">
        <v>255</v>
      </c>
      <c r="B259" s="13">
        <v>45790</v>
      </c>
      <c r="C259" t="s">
        <v>1955</v>
      </c>
      <c r="D259" t="s">
        <v>2234</v>
      </c>
    </row>
    <row r="260" spans="1:4">
      <c r="A260">
        <v>256</v>
      </c>
      <c r="B260" s="13">
        <v>45790</v>
      </c>
      <c r="C260" t="s">
        <v>1441</v>
      </c>
      <c r="D260" t="s">
        <v>2241</v>
      </c>
    </row>
    <row r="261" spans="1:4">
      <c r="A261">
        <v>257</v>
      </c>
      <c r="B261" s="13">
        <v>45790</v>
      </c>
      <c r="C261" t="s">
        <v>1347</v>
      </c>
      <c r="D261" t="s">
        <v>2244</v>
      </c>
    </row>
    <row r="262" spans="1:4">
      <c r="A262">
        <v>258</v>
      </c>
      <c r="B262" s="13">
        <v>45790</v>
      </c>
      <c r="C262" t="s">
        <v>1729</v>
      </c>
      <c r="D262" t="s">
        <v>2246</v>
      </c>
    </row>
    <row r="263" spans="1:4">
      <c r="A263">
        <v>259</v>
      </c>
      <c r="B263" s="13">
        <v>45790</v>
      </c>
      <c r="C263" t="s">
        <v>1420</v>
      </c>
      <c r="D263" t="s">
        <v>2248</v>
      </c>
    </row>
    <row r="264" spans="1:4">
      <c r="A264">
        <v>260</v>
      </c>
      <c r="B264" s="13">
        <v>45791</v>
      </c>
      <c r="C264" t="s">
        <v>1785</v>
      </c>
      <c r="D264" t="s">
        <v>2253</v>
      </c>
    </row>
    <row r="265" spans="1:4">
      <c r="A265">
        <v>261</v>
      </c>
      <c r="B265" s="13">
        <v>45791</v>
      </c>
      <c r="C265" t="s">
        <v>2259</v>
      </c>
      <c r="D265" t="s">
        <v>2261</v>
      </c>
    </row>
    <row r="266" spans="1:4">
      <c r="A266">
        <v>262</v>
      </c>
      <c r="B266" s="13">
        <v>45791</v>
      </c>
      <c r="C266" t="s">
        <v>1027</v>
      </c>
      <c r="D266" t="s">
        <v>2262</v>
      </c>
    </row>
    <row r="267" spans="1:4">
      <c r="A267">
        <v>263</v>
      </c>
      <c r="B267" s="13">
        <v>45791</v>
      </c>
      <c r="C267" t="s">
        <v>1861</v>
      </c>
      <c r="D267" t="s">
        <v>2264</v>
      </c>
    </row>
    <row r="268" spans="1:4">
      <c r="A268">
        <v>264</v>
      </c>
      <c r="B268" s="13">
        <v>45791</v>
      </c>
      <c r="C268" t="s">
        <v>1643</v>
      </c>
      <c r="D268" t="s">
        <v>2265</v>
      </c>
    </row>
    <row r="269" spans="1:4">
      <c r="A269">
        <v>265</v>
      </c>
      <c r="B269" s="13">
        <v>45792</v>
      </c>
      <c r="C269" t="s">
        <v>1625</v>
      </c>
      <c r="D269" t="s">
        <v>2297</v>
      </c>
    </row>
    <row r="270" spans="1:4">
      <c r="A270">
        <v>266</v>
      </c>
      <c r="B270" s="13">
        <v>45792</v>
      </c>
      <c r="C270" t="s">
        <v>2174</v>
      </c>
      <c r="D270" t="s">
        <v>2298</v>
      </c>
    </row>
    <row r="271" spans="1:4">
      <c r="A271">
        <v>267</v>
      </c>
      <c r="B271" s="13">
        <v>45792</v>
      </c>
      <c r="C271" t="s">
        <v>1583</v>
      </c>
      <c r="D271" t="s">
        <v>2299</v>
      </c>
    </row>
    <row r="272" spans="1:4">
      <c r="A272">
        <v>268</v>
      </c>
      <c r="B272" s="13">
        <v>45792</v>
      </c>
      <c r="C272" t="s">
        <v>1812</v>
      </c>
      <c r="D272" t="s">
        <v>2302</v>
      </c>
    </row>
    <row r="273" spans="1:5">
      <c r="A273">
        <v>269</v>
      </c>
      <c r="B273" s="13">
        <v>45792</v>
      </c>
      <c r="C273" t="s">
        <v>1812</v>
      </c>
      <c r="D273" t="s">
        <v>2304</v>
      </c>
    </row>
    <row r="274" spans="1:5">
      <c r="A274">
        <v>270</v>
      </c>
      <c r="B274" s="13">
        <v>45792</v>
      </c>
      <c r="C274" t="s">
        <v>1949</v>
      </c>
      <c r="D274" t="s">
        <v>2308</v>
      </c>
    </row>
    <row r="275" spans="1:5">
      <c r="A275">
        <v>271</v>
      </c>
      <c r="B275" s="13">
        <v>45793</v>
      </c>
      <c r="C275" t="s">
        <v>2180</v>
      </c>
      <c r="D275" t="s">
        <v>2316</v>
      </c>
    </row>
    <row r="276" spans="1:5">
      <c r="A276">
        <v>272</v>
      </c>
      <c r="B276" s="13">
        <v>45793</v>
      </c>
      <c r="C276" t="s">
        <v>1812</v>
      </c>
      <c r="D276" t="s">
        <v>2317</v>
      </c>
    </row>
    <row r="277" spans="1:5">
      <c r="A277">
        <v>273</v>
      </c>
      <c r="B277" s="13">
        <v>45793</v>
      </c>
      <c r="C277" t="s">
        <v>1949</v>
      </c>
      <c r="D277" t="s">
        <v>2319</v>
      </c>
    </row>
    <row r="278" spans="1:5">
      <c r="A278">
        <v>274</v>
      </c>
      <c r="B278" s="13">
        <v>45794</v>
      </c>
      <c r="C278" t="s">
        <v>1926</v>
      </c>
      <c r="D278" t="s">
        <v>2321</v>
      </c>
    </row>
    <row r="279" spans="1:5">
      <c r="A279">
        <v>275</v>
      </c>
      <c r="B279" s="13">
        <v>45794</v>
      </c>
      <c r="C279" t="s">
        <v>1812</v>
      </c>
      <c r="D279" t="s">
        <v>2322</v>
      </c>
    </row>
    <row r="280" spans="1:5">
      <c r="A280">
        <v>276</v>
      </c>
      <c r="B280" s="13">
        <v>45794</v>
      </c>
      <c r="C280" t="s">
        <v>1066</v>
      </c>
      <c r="D280" t="s">
        <v>2323</v>
      </c>
    </row>
    <row r="281" spans="1:5">
      <c r="A281">
        <v>277</v>
      </c>
      <c r="B281" s="13">
        <v>45794</v>
      </c>
      <c r="C281" t="s">
        <v>1486</v>
      </c>
      <c r="D281" t="s">
        <v>2327</v>
      </c>
    </row>
    <row r="282" spans="1:5">
      <c r="A282">
        <v>278</v>
      </c>
      <c r="B282" s="13">
        <v>45794</v>
      </c>
      <c r="C282" t="s">
        <v>2329</v>
      </c>
      <c r="D282" t="s">
        <v>2330</v>
      </c>
    </row>
    <row r="283" spans="1:5">
      <c r="A283">
        <v>279</v>
      </c>
      <c r="B283" s="13">
        <v>45794</v>
      </c>
      <c r="C283" t="s">
        <v>1785</v>
      </c>
      <c r="D283" t="s">
        <v>2332</v>
      </c>
    </row>
    <row r="284" spans="1:5">
      <c r="A284">
        <v>280</v>
      </c>
      <c r="B284" s="13">
        <v>45794</v>
      </c>
      <c r="C284" t="s">
        <v>1433</v>
      </c>
      <c r="D284" t="s">
        <v>2333</v>
      </c>
    </row>
    <row r="285" spans="1:5">
      <c r="A285">
        <v>281</v>
      </c>
      <c r="B285" s="13">
        <v>45796</v>
      </c>
      <c r="C285" t="s">
        <v>1180</v>
      </c>
      <c r="D285" t="s">
        <v>2338</v>
      </c>
    </row>
    <row r="286" spans="1:5">
      <c r="A286">
        <v>282</v>
      </c>
      <c r="B286" s="13">
        <v>45796</v>
      </c>
      <c r="C286" t="s">
        <v>1066</v>
      </c>
      <c r="D286" t="s">
        <v>2341</v>
      </c>
      <c r="E286" t="s">
        <v>2340</v>
      </c>
    </row>
    <row r="287" spans="1:5">
      <c r="A287">
        <v>283</v>
      </c>
      <c r="B287" s="13">
        <v>45797</v>
      </c>
      <c r="C287" t="s">
        <v>1024</v>
      </c>
      <c r="D287" t="s">
        <v>2342</v>
      </c>
    </row>
    <row r="288" spans="1:5">
      <c r="A288">
        <v>284</v>
      </c>
      <c r="B288" s="13">
        <v>45797</v>
      </c>
      <c r="C288" t="s">
        <v>1625</v>
      </c>
      <c r="D288" t="s">
        <v>2343</v>
      </c>
    </row>
    <row r="289" spans="1:4">
      <c r="A289">
        <v>285</v>
      </c>
      <c r="B289" s="13">
        <v>45797</v>
      </c>
      <c r="C289" t="s">
        <v>1940</v>
      </c>
      <c r="D289" t="s">
        <v>2344</v>
      </c>
    </row>
    <row r="290" spans="1:4">
      <c r="A290">
        <v>286</v>
      </c>
      <c r="B290" s="13">
        <v>45798</v>
      </c>
      <c r="C290" t="s">
        <v>1596</v>
      </c>
      <c r="D290" t="s">
        <v>2349</v>
      </c>
    </row>
    <row r="291" spans="1:4">
      <c r="A291">
        <v>287</v>
      </c>
      <c r="B291" s="13">
        <v>45798</v>
      </c>
      <c r="C291" t="s">
        <v>2350</v>
      </c>
      <c r="D291" t="s">
        <v>2351</v>
      </c>
    </row>
    <row r="292" spans="1:4">
      <c r="A292">
        <v>288</v>
      </c>
      <c r="B292" s="13">
        <v>45798</v>
      </c>
      <c r="C292" t="s">
        <v>1729</v>
      </c>
      <c r="D292" t="s">
        <v>2352</v>
      </c>
    </row>
    <row r="293" spans="1:4">
      <c r="A293">
        <v>289</v>
      </c>
      <c r="B293" s="13">
        <v>45798</v>
      </c>
      <c r="C293" t="s">
        <v>2353</v>
      </c>
      <c r="D293" t="s">
        <v>2354</v>
      </c>
    </row>
    <row r="294" spans="1:4">
      <c r="A294">
        <v>290</v>
      </c>
      <c r="B294" s="13">
        <v>45798</v>
      </c>
      <c r="C294" t="s">
        <v>1940</v>
      </c>
      <c r="D294" t="s">
        <v>2355</v>
      </c>
    </row>
    <row r="295" spans="1:4">
      <c r="A295">
        <v>291</v>
      </c>
      <c r="B295" s="13">
        <v>45799</v>
      </c>
      <c r="C295" t="s">
        <v>1441</v>
      </c>
      <c r="D295" t="s">
        <v>2356</v>
      </c>
    </row>
    <row r="296" spans="1:4">
      <c r="A296">
        <v>292</v>
      </c>
      <c r="B296" s="13">
        <v>45799</v>
      </c>
      <c r="C296" t="s">
        <v>1066</v>
      </c>
      <c r="D296" t="s">
        <v>2357</v>
      </c>
    </row>
    <row r="297" spans="1:4">
      <c r="A297">
        <v>293</v>
      </c>
      <c r="B297" s="13">
        <v>45799</v>
      </c>
      <c r="C297" t="s">
        <v>1596</v>
      </c>
      <c r="D297" t="s">
        <v>2358</v>
      </c>
    </row>
    <row r="298" spans="1:4">
      <c r="A298">
        <v>294</v>
      </c>
      <c r="B298" s="13">
        <v>45799</v>
      </c>
      <c r="C298" t="s">
        <v>1491</v>
      </c>
      <c r="D298" t="s">
        <v>2360</v>
      </c>
    </row>
    <row r="299" spans="1:4">
      <c r="A299">
        <v>295</v>
      </c>
      <c r="B299" s="13">
        <v>45799</v>
      </c>
      <c r="C299" t="s">
        <v>1521</v>
      </c>
      <c r="D299" t="s">
        <v>2361</v>
      </c>
    </row>
    <row r="300" spans="1:4">
      <c r="A300">
        <v>296</v>
      </c>
      <c r="B300" s="13">
        <v>45800</v>
      </c>
      <c r="C300" t="s">
        <v>1066</v>
      </c>
      <c r="D300" t="s">
        <v>2367</v>
      </c>
    </row>
    <row r="301" spans="1:4">
      <c r="A301">
        <v>297</v>
      </c>
      <c r="B301" s="13">
        <v>45800</v>
      </c>
      <c r="C301" t="s">
        <v>2368</v>
      </c>
      <c r="D301" t="s">
        <v>2372</v>
      </c>
    </row>
    <row r="302" spans="1:4">
      <c r="A302">
        <v>298</v>
      </c>
      <c r="B302" s="13">
        <v>45800</v>
      </c>
      <c r="C302" t="s">
        <v>1066</v>
      </c>
      <c r="D302" t="s">
        <v>2373</v>
      </c>
    </row>
    <row r="303" spans="1:4">
      <c r="A303">
        <v>299</v>
      </c>
      <c r="B303" s="13">
        <v>45800</v>
      </c>
      <c r="C303" t="s">
        <v>1785</v>
      </c>
      <c r="D303" t="s">
        <v>2374</v>
      </c>
    </row>
    <row r="304" spans="1:4">
      <c r="A304">
        <v>300</v>
      </c>
      <c r="B304" s="13">
        <v>45801</v>
      </c>
      <c r="C304" t="s">
        <v>1494</v>
      </c>
      <c r="D304" t="s">
        <v>2380</v>
      </c>
    </row>
    <row r="305" spans="1:4">
      <c r="A305">
        <v>301</v>
      </c>
      <c r="B305" s="13">
        <v>45801</v>
      </c>
      <c r="C305" t="s">
        <v>1027</v>
      </c>
      <c r="D305" t="s">
        <v>2381</v>
      </c>
    </row>
    <row r="306" spans="1:4">
      <c r="A306">
        <v>302</v>
      </c>
      <c r="B306" s="13">
        <v>45801</v>
      </c>
      <c r="C306" t="s">
        <v>1586</v>
      </c>
      <c r="D306" t="s">
        <v>2383</v>
      </c>
    </row>
    <row r="307" spans="1:4">
      <c r="A307">
        <v>303</v>
      </c>
      <c r="B307" s="13">
        <v>45803</v>
      </c>
      <c r="C307" t="s">
        <v>2384</v>
      </c>
      <c r="D307" t="s">
        <v>2388</v>
      </c>
    </row>
    <row r="308" spans="1:4">
      <c r="A308">
        <v>304</v>
      </c>
      <c r="B308" s="13">
        <v>45803</v>
      </c>
      <c r="C308" t="s">
        <v>1441</v>
      </c>
      <c r="D308" t="s">
        <v>2389</v>
      </c>
    </row>
    <row r="309" spans="1:4">
      <c r="A309">
        <v>305</v>
      </c>
      <c r="B309" s="13">
        <v>45803</v>
      </c>
      <c r="C309" t="s">
        <v>1622</v>
      </c>
      <c r="D309" t="s">
        <v>2390</v>
      </c>
    </row>
    <row r="310" spans="1:4">
      <c r="A310">
        <v>306</v>
      </c>
      <c r="B310" s="13">
        <v>45803</v>
      </c>
      <c r="C310" t="s">
        <v>2205</v>
      </c>
      <c r="D310" t="s">
        <v>2392</v>
      </c>
    </row>
    <row r="311" spans="1:4">
      <c r="A311">
        <v>307</v>
      </c>
      <c r="B311" s="13">
        <v>45803</v>
      </c>
      <c r="C311" t="s">
        <v>1027</v>
      </c>
      <c r="D311" t="s">
        <v>2393</v>
      </c>
    </row>
    <row r="312" spans="1:4">
      <c r="A312">
        <v>308</v>
      </c>
      <c r="B312" s="13">
        <v>45803</v>
      </c>
      <c r="C312" t="s">
        <v>1729</v>
      </c>
      <c r="D312" t="s">
        <v>2394</v>
      </c>
    </row>
    <row r="313" spans="1:4">
      <c r="A313">
        <v>309</v>
      </c>
      <c r="B313" s="13">
        <v>45803</v>
      </c>
      <c r="C313" t="s">
        <v>1631</v>
      </c>
      <c r="D313" t="s">
        <v>2397</v>
      </c>
    </row>
    <row r="314" spans="1:4">
      <c r="A314">
        <v>310</v>
      </c>
      <c r="B314" s="13">
        <v>45804</v>
      </c>
      <c r="C314" t="s">
        <v>1521</v>
      </c>
      <c r="D314" t="s">
        <v>2400</v>
      </c>
    </row>
    <row r="315" spans="1:4">
      <c r="A315">
        <v>311</v>
      </c>
      <c r="B315" s="13">
        <v>45804</v>
      </c>
      <c r="C315" t="s">
        <v>1785</v>
      </c>
      <c r="D315" t="s">
        <v>2401</v>
      </c>
    </row>
    <row r="316" spans="1:4">
      <c r="A316">
        <v>312</v>
      </c>
      <c r="B316" s="13">
        <v>45804</v>
      </c>
      <c r="C316" t="s">
        <v>1622</v>
      </c>
      <c r="D316" t="s">
        <v>2402</v>
      </c>
    </row>
    <row r="317" spans="1:4">
      <c r="A317">
        <v>313</v>
      </c>
      <c r="B317" s="13">
        <v>45804</v>
      </c>
      <c r="C317" t="s">
        <v>1414</v>
      </c>
      <c r="D317" t="s">
        <v>2403</v>
      </c>
    </row>
    <row r="318" spans="1:4">
      <c r="A318">
        <v>314</v>
      </c>
      <c r="B318" s="13">
        <v>45804</v>
      </c>
      <c r="C318" t="s">
        <v>1583</v>
      </c>
      <c r="D318" t="s">
        <v>2406</v>
      </c>
    </row>
    <row r="319" spans="1:4">
      <c r="A319">
        <v>343</v>
      </c>
      <c r="B319" s="13">
        <v>45806</v>
      </c>
      <c r="C319" t="s">
        <v>2353</v>
      </c>
      <c r="D319" t="s">
        <v>2415</v>
      </c>
    </row>
    <row r="320" spans="1:4">
      <c r="A320">
        <v>344</v>
      </c>
      <c r="B320" s="13">
        <v>45806</v>
      </c>
      <c r="C320" t="s">
        <v>1433</v>
      </c>
      <c r="D320" t="s">
        <v>2416</v>
      </c>
    </row>
    <row r="321" spans="1:4">
      <c r="A321">
        <v>345</v>
      </c>
      <c r="B321" s="13">
        <v>45806</v>
      </c>
      <c r="C321" t="s">
        <v>1441</v>
      </c>
      <c r="D321" t="s">
        <v>2417</v>
      </c>
    </row>
    <row r="322" spans="1:4">
      <c r="A322">
        <v>346</v>
      </c>
      <c r="B322" s="13">
        <v>45807</v>
      </c>
      <c r="C322" t="s">
        <v>1563</v>
      </c>
      <c r="D322" t="s">
        <v>2418</v>
      </c>
    </row>
    <row r="323" spans="1:4">
      <c r="A323">
        <v>347</v>
      </c>
      <c r="B323" s="13">
        <v>45807</v>
      </c>
      <c r="C323" t="s">
        <v>1521</v>
      </c>
      <c r="D323" t="s">
        <v>2424</v>
      </c>
    </row>
    <row r="324" spans="1:4">
      <c r="A324">
        <v>348</v>
      </c>
      <c r="B324" s="13">
        <v>45807</v>
      </c>
      <c r="C324" t="s">
        <v>2425</v>
      </c>
      <c r="D324" t="s">
        <v>2426</v>
      </c>
    </row>
    <row r="325" spans="1:4">
      <c r="A325">
        <v>349</v>
      </c>
      <c r="B325" s="13">
        <v>45807</v>
      </c>
      <c r="C325" t="s">
        <v>1066</v>
      </c>
      <c r="D325" t="s">
        <v>2427</v>
      </c>
    </row>
    <row r="326" spans="1:4">
      <c r="A326">
        <v>350</v>
      </c>
      <c r="B326" s="13">
        <v>45807</v>
      </c>
      <c r="C326" t="s">
        <v>2411</v>
      </c>
      <c r="D326" t="s">
        <v>2428</v>
      </c>
    </row>
    <row r="327" spans="1:4">
      <c r="A327">
        <v>351</v>
      </c>
      <c r="B327" s="13">
        <v>45807</v>
      </c>
      <c r="C327" t="s">
        <v>2186</v>
      </c>
      <c r="D327" t="s">
        <v>2429</v>
      </c>
    </row>
    <row r="328" spans="1:4">
      <c r="A328">
        <v>352</v>
      </c>
      <c r="B328" s="13">
        <v>45807</v>
      </c>
      <c r="C328" t="s">
        <v>1484</v>
      </c>
      <c r="D328" t="s">
        <v>2431</v>
      </c>
    </row>
    <row r="329" spans="1:4">
      <c r="A329">
        <v>353</v>
      </c>
      <c r="B329" s="13">
        <v>45808</v>
      </c>
      <c r="C329" t="s">
        <v>1277</v>
      </c>
      <c r="D329" t="s">
        <v>2438</v>
      </c>
    </row>
    <row r="330" spans="1:4">
      <c r="A330">
        <v>354</v>
      </c>
      <c r="B330" s="13">
        <v>45808</v>
      </c>
      <c r="C330" t="s">
        <v>1347</v>
      </c>
      <c r="D330" t="s">
        <v>2439</v>
      </c>
    </row>
    <row r="331" spans="1:4">
      <c r="A331">
        <v>355</v>
      </c>
      <c r="B331" s="13">
        <v>45808</v>
      </c>
      <c r="C331" t="s">
        <v>1785</v>
      </c>
      <c r="D331" t="s">
        <v>2447</v>
      </c>
    </row>
    <row r="332" spans="1:4">
      <c r="A332">
        <v>356</v>
      </c>
      <c r="B332" s="13">
        <v>45810</v>
      </c>
      <c r="C332" t="s">
        <v>994</v>
      </c>
      <c r="D332" t="s">
        <v>2452</v>
      </c>
    </row>
    <row r="333" spans="1:4">
      <c r="A333">
        <v>357</v>
      </c>
      <c r="B333" s="13">
        <v>45810</v>
      </c>
      <c r="C333" t="s">
        <v>1583</v>
      </c>
      <c r="D333" t="s">
        <v>2453</v>
      </c>
    </row>
    <row r="334" spans="1:4">
      <c r="A334">
        <v>358</v>
      </c>
      <c r="B334" s="13">
        <v>45810</v>
      </c>
      <c r="C334" t="s">
        <v>2384</v>
      </c>
      <c r="D334" t="s">
        <v>2454</v>
      </c>
    </row>
    <row r="335" spans="1:4">
      <c r="A335">
        <v>359</v>
      </c>
      <c r="B335" s="13">
        <v>45810</v>
      </c>
      <c r="C335" t="s">
        <v>1498</v>
      </c>
      <c r="D335" t="s">
        <v>2455</v>
      </c>
    </row>
    <row r="336" spans="1:4">
      <c r="A336">
        <v>360</v>
      </c>
      <c r="B336" s="13">
        <v>45810</v>
      </c>
      <c r="C336" t="s">
        <v>1583</v>
      </c>
      <c r="D336" t="s">
        <v>2456</v>
      </c>
    </row>
    <row r="337" spans="1:4">
      <c r="A337">
        <v>361</v>
      </c>
      <c r="B337" s="13">
        <v>45810</v>
      </c>
      <c r="C337" t="s">
        <v>2350</v>
      </c>
      <c r="D337" t="s">
        <v>2459</v>
      </c>
    </row>
    <row r="338" spans="1:4">
      <c r="A338">
        <v>362</v>
      </c>
      <c r="B338" s="13">
        <v>45811</v>
      </c>
      <c r="C338" t="s">
        <v>1641</v>
      </c>
      <c r="D338" t="s">
        <v>2465</v>
      </c>
    </row>
    <row r="339" spans="1:4">
      <c r="A339">
        <v>363</v>
      </c>
      <c r="B339" s="13">
        <v>45811</v>
      </c>
      <c r="C339" t="s">
        <v>1491</v>
      </c>
      <c r="D339" t="s">
        <v>2467</v>
      </c>
    </row>
    <row r="340" spans="1:4">
      <c r="A340">
        <v>364</v>
      </c>
      <c r="B340" s="13">
        <v>45811</v>
      </c>
      <c r="C340" t="s">
        <v>2468</v>
      </c>
      <c r="D340" t="s">
        <v>2471</v>
      </c>
    </row>
    <row r="341" spans="1:4">
      <c r="A341">
        <v>365</v>
      </c>
      <c r="B341" s="13">
        <v>45811</v>
      </c>
      <c r="C341" t="s">
        <v>2468</v>
      </c>
      <c r="D341" t="s">
        <v>2472</v>
      </c>
    </row>
    <row r="342" spans="1:4">
      <c r="A342">
        <v>366</v>
      </c>
      <c r="B342" s="13">
        <v>45807</v>
      </c>
      <c r="C342" t="s">
        <v>1024</v>
      </c>
      <c r="D342" t="s">
        <v>2482</v>
      </c>
    </row>
    <row r="343" spans="1:4">
      <c r="A343">
        <v>367</v>
      </c>
      <c r="B343" s="13">
        <v>45812</v>
      </c>
      <c r="C343" t="s">
        <v>1643</v>
      </c>
      <c r="D343" t="s">
        <v>2483</v>
      </c>
    </row>
    <row r="344" spans="1:4">
      <c r="A344">
        <v>368</v>
      </c>
      <c r="B344" s="13">
        <v>45812</v>
      </c>
      <c r="C344" t="s">
        <v>2484</v>
      </c>
      <c r="D344" t="s">
        <v>2489</v>
      </c>
    </row>
    <row r="345" spans="1:4">
      <c r="A345">
        <v>369</v>
      </c>
      <c r="B345" s="13">
        <v>45812</v>
      </c>
      <c r="C345" t="s">
        <v>1625</v>
      </c>
      <c r="D345" t="s">
        <v>2495</v>
      </c>
    </row>
    <row r="346" spans="1:4">
      <c r="A346">
        <v>370</v>
      </c>
      <c r="B346" s="13">
        <v>45813</v>
      </c>
      <c r="C346" t="s">
        <v>1583</v>
      </c>
      <c r="D346" t="s">
        <v>2500</v>
      </c>
    </row>
    <row r="347" spans="1:4">
      <c r="A347">
        <v>371</v>
      </c>
      <c r="B347" s="13">
        <v>45813</v>
      </c>
      <c r="C347" t="s">
        <v>1583</v>
      </c>
      <c r="D347" t="s">
        <v>2501</v>
      </c>
    </row>
    <row r="348" spans="1:4">
      <c r="A348">
        <v>372</v>
      </c>
      <c r="B348" s="13">
        <v>45813</v>
      </c>
      <c r="C348" t="s">
        <v>1498</v>
      </c>
      <c r="D348" t="s">
        <v>2502</v>
      </c>
    </row>
    <row r="349" spans="1:4">
      <c r="A349">
        <v>373</v>
      </c>
      <c r="B349" s="13">
        <v>45813</v>
      </c>
      <c r="C349" t="s">
        <v>1180</v>
      </c>
      <c r="D349" t="s">
        <v>2505</v>
      </c>
    </row>
    <row r="350" spans="1:4">
      <c r="A350">
        <v>374</v>
      </c>
      <c r="B350" s="13">
        <v>45813</v>
      </c>
      <c r="C350" t="s">
        <v>2512</v>
      </c>
      <c r="D350" t="s">
        <v>2513</v>
      </c>
    </row>
    <row r="351" spans="1:4">
      <c r="A351">
        <v>375</v>
      </c>
      <c r="B351" s="13">
        <v>45814</v>
      </c>
      <c r="C351" t="s">
        <v>1785</v>
      </c>
      <c r="D351" t="s">
        <v>2514</v>
      </c>
    </row>
    <row r="352" spans="1:4">
      <c r="A352">
        <v>376</v>
      </c>
      <c r="B352" s="13">
        <v>45815</v>
      </c>
      <c r="C352" t="s">
        <v>1785</v>
      </c>
      <c r="D352" t="s">
        <v>2515</v>
      </c>
    </row>
    <row r="353" spans="1:4">
      <c r="A353">
        <v>377</v>
      </c>
      <c r="B353" s="13">
        <v>45817</v>
      </c>
      <c r="C353" t="s">
        <v>2517</v>
      </c>
      <c r="D353" t="s">
        <v>2518</v>
      </c>
    </row>
    <row r="354" spans="1:4">
      <c r="A354">
        <v>378</v>
      </c>
      <c r="B354" s="13">
        <v>45817</v>
      </c>
      <c r="C354" t="s">
        <v>994</v>
      </c>
      <c r="D354" t="s">
        <v>2519</v>
      </c>
    </row>
    <row r="355" spans="1:4">
      <c r="A355">
        <v>379</v>
      </c>
      <c r="B355" s="13">
        <v>45817</v>
      </c>
      <c r="C355" t="s">
        <v>1180</v>
      </c>
      <c r="D355" t="s">
        <v>2522</v>
      </c>
    </row>
    <row r="356" spans="1:4">
      <c r="A356">
        <v>380</v>
      </c>
      <c r="B356" s="13">
        <v>45817</v>
      </c>
      <c r="C356" t="s">
        <v>1785</v>
      </c>
      <c r="D356" t="s">
        <v>2523</v>
      </c>
    </row>
    <row r="357" spans="1:4">
      <c r="A357">
        <v>381</v>
      </c>
      <c r="B357" s="13">
        <v>45817</v>
      </c>
      <c r="C357" t="s">
        <v>1027</v>
      </c>
      <c r="D357" t="s">
        <v>2526</v>
      </c>
    </row>
    <row r="358" spans="1:4">
      <c r="A358">
        <v>382</v>
      </c>
      <c r="B358" s="13">
        <v>45817</v>
      </c>
      <c r="C358" t="s">
        <v>1486</v>
      </c>
      <c r="D358" t="s">
        <v>2527</v>
      </c>
    </row>
    <row r="359" spans="1:4">
      <c r="A359">
        <v>383</v>
      </c>
      <c r="B359" s="13">
        <v>45817</v>
      </c>
      <c r="C359" t="s">
        <v>1441</v>
      </c>
      <c r="D359" t="s">
        <v>2528</v>
      </c>
    </row>
    <row r="360" spans="1:4">
      <c r="A360">
        <v>384</v>
      </c>
      <c r="B360" s="13">
        <v>45817</v>
      </c>
      <c r="C360" t="s">
        <v>1625</v>
      </c>
      <c r="D360" t="s">
        <v>2529</v>
      </c>
    </row>
    <row r="361" spans="1:4">
      <c r="A361">
        <v>385</v>
      </c>
      <c r="B361" s="13">
        <v>45817</v>
      </c>
      <c r="C361" t="s">
        <v>1622</v>
      </c>
      <c r="D361" t="s">
        <v>2535</v>
      </c>
    </row>
    <row r="362" spans="1:4">
      <c r="A362">
        <v>386</v>
      </c>
      <c r="B362" s="13">
        <v>45817</v>
      </c>
      <c r="C362" t="s">
        <v>1785</v>
      </c>
      <c r="D362" t="s">
        <v>2550</v>
      </c>
    </row>
    <row r="363" spans="1:4">
      <c r="A363">
        <v>387</v>
      </c>
      <c r="B363" s="13">
        <v>45817</v>
      </c>
      <c r="C363" t="s">
        <v>1441</v>
      </c>
      <c r="D363" t="s">
        <v>2552</v>
      </c>
    </row>
    <row r="364" spans="1:4">
      <c r="A364">
        <v>388</v>
      </c>
      <c r="B364" s="13">
        <v>45818</v>
      </c>
      <c r="C364" t="s">
        <v>2468</v>
      </c>
      <c r="D364" t="s">
        <v>2568</v>
      </c>
    </row>
    <row r="365" spans="1:4">
      <c r="A365">
        <v>389</v>
      </c>
      <c r="B365" s="13">
        <v>45818</v>
      </c>
      <c r="C365" t="s">
        <v>1812</v>
      </c>
      <c r="D365" t="s">
        <v>2569</v>
      </c>
    </row>
    <row r="366" spans="1:4">
      <c r="A366">
        <v>390</v>
      </c>
      <c r="B366" s="13">
        <v>45818</v>
      </c>
      <c r="C366" t="s">
        <v>1441</v>
      </c>
      <c r="D366" t="s">
        <v>2570</v>
      </c>
    </row>
    <row r="367" spans="1:4">
      <c r="A367">
        <v>391</v>
      </c>
      <c r="B367" s="13">
        <v>45818</v>
      </c>
      <c r="C367" t="s">
        <v>1347</v>
      </c>
      <c r="D367" t="s">
        <v>2572</v>
      </c>
    </row>
    <row r="368" spans="1:4">
      <c r="A368">
        <v>392</v>
      </c>
      <c r="B368" s="13">
        <v>45818</v>
      </c>
      <c r="C368" t="s">
        <v>1622</v>
      </c>
      <c r="D368" t="s">
        <v>2573</v>
      </c>
    </row>
    <row r="369" spans="1:4">
      <c r="A369">
        <v>393</v>
      </c>
      <c r="B369" s="13">
        <v>45818</v>
      </c>
      <c r="C369" t="s">
        <v>1486</v>
      </c>
      <c r="D369" t="s">
        <v>2575</v>
      </c>
    </row>
    <row r="370" spans="1:4">
      <c r="A370">
        <v>394</v>
      </c>
      <c r="B370" s="13">
        <v>45818</v>
      </c>
      <c r="C370" t="s">
        <v>2411</v>
      </c>
      <c r="D370" t="s">
        <v>2579</v>
      </c>
    </row>
    <row r="371" spans="1:4">
      <c r="A371">
        <v>395</v>
      </c>
      <c r="B371" s="13">
        <v>45818</v>
      </c>
      <c r="C371" t="s">
        <v>1973</v>
      </c>
      <c r="D371" t="s">
        <v>2580</v>
      </c>
    </row>
    <row r="372" spans="1:4">
      <c r="A372">
        <v>396</v>
      </c>
      <c r="B372" s="13">
        <v>45819</v>
      </c>
      <c r="C372" t="s">
        <v>1491</v>
      </c>
      <c r="D372" t="s">
        <v>2583</v>
      </c>
    </row>
    <row r="373" spans="1:4">
      <c r="A373">
        <v>397</v>
      </c>
      <c r="B373" s="13">
        <v>45819</v>
      </c>
      <c r="C373" t="s">
        <v>2474</v>
      </c>
      <c r="D373" t="s">
        <v>2595</v>
      </c>
    </row>
    <row r="374" spans="1:4">
      <c r="A374">
        <v>398</v>
      </c>
      <c r="B374" s="13">
        <v>45819</v>
      </c>
      <c r="C374" t="s">
        <v>2596</v>
      </c>
      <c r="D374" t="s">
        <v>2597</v>
      </c>
    </row>
    <row r="375" spans="1:4">
      <c r="A375">
        <v>399</v>
      </c>
      <c r="B375" s="13">
        <v>45819</v>
      </c>
      <c r="C375" t="s">
        <v>1494</v>
      </c>
      <c r="D375" t="s">
        <v>2599</v>
      </c>
    </row>
    <row r="376" spans="1:4">
      <c r="A376">
        <v>400</v>
      </c>
      <c r="B376" s="13">
        <v>45819</v>
      </c>
      <c r="C376" t="s">
        <v>1414</v>
      </c>
      <c r="D376" t="s">
        <v>2600</v>
      </c>
    </row>
    <row r="377" spans="1:4">
      <c r="A377">
        <v>401</v>
      </c>
      <c r="B377" s="13">
        <v>45819</v>
      </c>
      <c r="C377" t="s">
        <v>2587</v>
      </c>
      <c r="D377" t="s">
        <v>2601</v>
      </c>
    </row>
    <row r="378" spans="1:4">
      <c r="A378">
        <v>402</v>
      </c>
      <c r="B378" s="13">
        <v>45819</v>
      </c>
      <c r="C378" t="s">
        <v>1491</v>
      </c>
      <c r="D378" t="s">
        <v>2602</v>
      </c>
    </row>
    <row r="379" spans="1:4">
      <c r="A379">
        <v>403</v>
      </c>
      <c r="B379" s="13">
        <v>45820</v>
      </c>
      <c r="C379" t="s">
        <v>1515</v>
      </c>
      <c r="D379" t="s">
        <v>2603</v>
      </c>
    </row>
    <row r="380" spans="1:4">
      <c r="A380">
        <v>404</v>
      </c>
      <c r="B380" s="13">
        <v>45820</v>
      </c>
      <c r="C380" t="s">
        <v>1515</v>
      </c>
      <c r="D380" t="s">
        <v>2605</v>
      </c>
    </row>
    <row r="381" spans="1:4">
      <c r="A381">
        <v>405</v>
      </c>
      <c r="B381" s="13">
        <v>45820</v>
      </c>
      <c r="C381" t="s">
        <v>1521</v>
      </c>
      <c r="D381" t="s">
        <v>2606</v>
      </c>
    </row>
    <row r="382" spans="1:4">
      <c r="A382">
        <v>406</v>
      </c>
      <c r="B382" s="13">
        <v>45821</v>
      </c>
      <c r="C382" t="s">
        <v>2607</v>
      </c>
      <c r="D382" t="s">
        <v>2613</v>
      </c>
    </row>
    <row r="383" spans="1:4">
      <c r="A383">
        <v>407</v>
      </c>
      <c r="B383" s="13">
        <v>45821</v>
      </c>
      <c r="C383" t="s">
        <v>1027</v>
      </c>
      <c r="D383" t="s">
        <v>2614</v>
      </c>
    </row>
    <row r="384" spans="1:4">
      <c r="A384">
        <v>408</v>
      </c>
      <c r="B384" s="13">
        <v>45821</v>
      </c>
      <c r="C384" t="s">
        <v>1880</v>
      </c>
      <c r="D384" t="s">
        <v>2615</v>
      </c>
    </row>
    <row r="385" spans="1:4">
      <c r="A385">
        <v>409</v>
      </c>
      <c r="B385" s="13">
        <v>45821</v>
      </c>
      <c r="C385" t="s">
        <v>2060</v>
      </c>
      <c r="D385" t="s">
        <v>2616</v>
      </c>
    </row>
    <row r="386" spans="1:4">
      <c r="A386">
        <v>410</v>
      </c>
      <c r="B386" s="13">
        <v>45821</v>
      </c>
      <c r="C386" t="s">
        <v>2617</v>
      </c>
      <c r="D386" t="s">
        <v>2618</v>
      </c>
    </row>
    <row r="387" spans="1:4">
      <c r="A387">
        <v>411</v>
      </c>
      <c r="B387" s="13">
        <v>45821</v>
      </c>
      <c r="C387" t="s">
        <v>1511</v>
      </c>
      <c r="D387" t="s">
        <v>2622</v>
      </c>
    </row>
    <row r="388" spans="1:4">
      <c r="A388">
        <v>412</v>
      </c>
      <c r="B388" s="13">
        <v>45821</v>
      </c>
      <c r="C388" t="s">
        <v>1536</v>
      </c>
      <c r="D388" t="s">
        <v>2629</v>
      </c>
    </row>
    <row r="389" spans="1:4">
      <c r="A389">
        <v>413</v>
      </c>
      <c r="B389" s="13">
        <v>45822</v>
      </c>
      <c r="C389" t="s">
        <v>1441</v>
      </c>
      <c r="D389" t="s">
        <v>2630</v>
      </c>
    </row>
    <row r="390" spans="1:4">
      <c r="A390">
        <v>414</v>
      </c>
      <c r="B390" s="13">
        <v>45822</v>
      </c>
      <c r="C390" t="s">
        <v>1583</v>
      </c>
      <c r="D390" t="s">
        <v>2631</v>
      </c>
    </row>
    <row r="391" spans="1:4">
      <c r="A391">
        <v>415</v>
      </c>
      <c r="B391" s="13">
        <v>45824</v>
      </c>
      <c r="C391" t="s">
        <v>1496</v>
      </c>
      <c r="D391" t="s">
        <v>2632</v>
      </c>
    </row>
    <row r="392" spans="1:4">
      <c r="A392">
        <v>416</v>
      </c>
      <c r="B392" s="13">
        <v>45824</v>
      </c>
      <c r="C392" t="s">
        <v>1027</v>
      </c>
      <c r="D392" t="s">
        <v>2637</v>
      </c>
    </row>
    <row r="393" spans="1:4">
      <c r="A393">
        <v>417</v>
      </c>
      <c r="B393" s="13">
        <v>45824</v>
      </c>
      <c r="C393" t="s">
        <v>1441</v>
      </c>
      <c r="D393" t="s">
        <v>2638</v>
      </c>
    </row>
    <row r="394" spans="1:4">
      <c r="A394">
        <v>418</v>
      </c>
      <c r="B394" s="13">
        <v>45825</v>
      </c>
      <c r="C394" t="s">
        <v>1420</v>
      </c>
      <c r="D394" t="s">
        <v>2639</v>
      </c>
    </row>
    <row r="395" spans="1:4">
      <c r="A395">
        <v>419</v>
      </c>
      <c r="B395" s="13">
        <v>45825</v>
      </c>
      <c r="C395" t="s">
        <v>1583</v>
      </c>
      <c r="D395" t="s">
        <v>2680</v>
      </c>
    </row>
    <row r="396" spans="1:4">
      <c r="A396">
        <v>420</v>
      </c>
      <c r="B396" s="13">
        <v>45825</v>
      </c>
      <c r="C396" t="s">
        <v>1441</v>
      </c>
      <c r="D396" t="s">
        <v>2683</v>
      </c>
    </row>
    <row r="397" spans="1:4">
      <c r="A397">
        <v>421</v>
      </c>
      <c r="B397" s="13">
        <v>45825</v>
      </c>
      <c r="C397" t="s">
        <v>2682</v>
      </c>
      <c r="D397" t="s">
        <v>2684</v>
      </c>
    </row>
    <row r="398" spans="1:4">
      <c r="A398">
        <v>422</v>
      </c>
      <c r="B398" s="13">
        <v>45826</v>
      </c>
      <c r="C398" t="s">
        <v>1027</v>
      </c>
      <c r="D398" t="s">
        <v>2690</v>
      </c>
    </row>
    <row r="399" spans="1:4">
      <c r="A399">
        <v>423</v>
      </c>
      <c r="B399" s="13">
        <v>45826</v>
      </c>
      <c r="C399" t="s">
        <v>1441</v>
      </c>
      <c r="D399" t="s">
        <v>2693</v>
      </c>
    </row>
    <row r="400" spans="1:4">
      <c r="A400">
        <v>424</v>
      </c>
      <c r="B400" s="13">
        <v>45826</v>
      </c>
      <c r="C400" t="s">
        <v>2596</v>
      </c>
      <c r="D400" t="s">
        <v>2694</v>
      </c>
    </row>
    <row r="401" spans="1:4">
      <c r="A401">
        <v>425</v>
      </c>
      <c r="B401" s="13">
        <v>45826</v>
      </c>
      <c r="C401" t="s">
        <v>2057</v>
      </c>
      <c r="D401" t="s">
        <v>2695</v>
      </c>
    </row>
    <row r="402" spans="1:4">
      <c r="A402">
        <v>426</v>
      </c>
      <c r="B402" s="13">
        <v>45826</v>
      </c>
      <c r="C402" t="s">
        <v>2384</v>
      </c>
      <c r="D402" t="s">
        <v>2696</v>
      </c>
    </row>
    <row r="403" spans="1:4">
      <c r="A403">
        <v>427</v>
      </c>
      <c r="B403" s="13">
        <v>45826</v>
      </c>
      <c r="C403" t="s">
        <v>1785</v>
      </c>
      <c r="D403" t="s">
        <v>2697</v>
      </c>
    </row>
    <row r="404" spans="1:4">
      <c r="A404">
        <v>428</v>
      </c>
      <c r="B404" s="13">
        <v>45826</v>
      </c>
      <c r="C404" t="s">
        <v>1441</v>
      </c>
      <c r="D404" t="s">
        <v>2698</v>
      </c>
    </row>
    <row r="405" spans="1:4">
      <c r="A405">
        <v>429</v>
      </c>
      <c r="B405" s="13">
        <v>45827</v>
      </c>
      <c r="C405" t="s">
        <v>2057</v>
      </c>
      <c r="D405" t="s">
        <v>2700</v>
      </c>
    </row>
    <row r="406" spans="1:4">
      <c r="A406">
        <v>430</v>
      </c>
      <c r="B406" s="13">
        <v>45827</v>
      </c>
      <c r="C406" t="s">
        <v>1491</v>
      </c>
      <c r="D406" t="s">
        <v>2701</v>
      </c>
    </row>
    <row r="407" spans="1:4">
      <c r="A407">
        <v>431</v>
      </c>
      <c r="B407" s="13">
        <v>45827</v>
      </c>
      <c r="C407" t="s">
        <v>2682</v>
      </c>
      <c r="D407" t="s">
        <v>2706</v>
      </c>
    </row>
    <row r="408" spans="1:4">
      <c r="A408">
        <v>432</v>
      </c>
      <c r="B408" s="13">
        <v>45827</v>
      </c>
      <c r="C408" t="s">
        <v>1441</v>
      </c>
      <c r="D408" t="s">
        <v>2709</v>
      </c>
    </row>
    <row r="409" spans="1:4">
      <c r="A409">
        <v>433</v>
      </c>
      <c r="B409" s="13">
        <v>45827</v>
      </c>
      <c r="C409" t="s">
        <v>1486</v>
      </c>
      <c r="D409" t="s">
        <v>2710</v>
      </c>
    </row>
    <row r="410" spans="1:4">
      <c r="A410">
        <v>434</v>
      </c>
      <c r="B410" s="13">
        <v>45827</v>
      </c>
      <c r="C410" t="s">
        <v>1785</v>
      </c>
      <c r="D410" t="s">
        <v>2711</v>
      </c>
    </row>
    <row r="411" spans="1:4">
      <c r="A411">
        <v>435</v>
      </c>
      <c r="B411" s="13">
        <v>45827</v>
      </c>
      <c r="C411" t="s">
        <v>2517</v>
      </c>
      <c r="D411" t="s">
        <v>2712</v>
      </c>
    </row>
    <row r="412" spans="1:4">
      <c r="A412">
        <v>436</v>
      </c>
      <c r="B412" s="13">
        <v>45827</v>
      </c>
      <c r="C412" t="s">
        <v>1622</v>
      </c>
      <c r="D412" t="s">
        <v>2714</v>
      </c>
    </row>
    <row r="413" spans="1:4">
      <c r="A413">
        <v>437</v>
      </c>
      <c r="B413" s="13">
        <v>45827</v>
      </c>
      <c r="C413" t="s">
        <v>1622</v>
      </c>
      <c r="D413" t="s">
        <v>2716</v>
      </c>
    </row>
    <row r="414" spans="1:4">
      <c r="A414">
        <v>438</v>
      </c>
      <c r="B414" s="13">
        <v>45828</v>
      </c>
      <c r="C414" t="s">
        <v>2723</v>
      </c>
      <c r="D414" t="s">
        <v>2724</v>
      </c>
    </row>
    <row r="415" spans="1:4">
      <c r="A415">
        <v>439</v>
      </c>
      <c r="B415" s="13">
        <v>45828</v>
      </c>
      <c r="C415" t="s">
        <v>1625</v>
      </c>
      <c r="D415" t="s">
        <v>2725</v>
      </c>
    </row>
    <row r="416" spans="1:4">
      <c r="A416">
        <v>440</v>
      </c>
      <c r="B416" s="13">
        <v>45828</v>
      </c>
      <c r="C416" t="s">
        <v>1024</v>
      </c>
      <c r="D416" t="s">
        <v>2726</v>
      </c>
    </row>
    <row r="417" spans="1:4">
      <c r="A417">
        <v>441</v>
      </c>
      <c r="B417" s="13">
        <v>45828</v>
      </c>
      <c r="C417" t="s">
        <v>1583</v>
      </c>
      <c r="D417" t="s">
        <v>2727</v>
      </c>
    </row>
    <row r="418" spans="1:4">
      <c r="A418">
        <v>442</v>
      </c>
      <c r="B418" s="13">
        <v>45828</v>
      </c>
      <c r="C418" t="s">
        <v>2728</v>
      </c>
      <c r="D418" t="s">
        <v>2729</v>
      </c>
    </row>
    <row r="419" spans="1:4">
      <c r="A419">
        <v>443</v>
      </c>
      <c r="B419" s="13">
        <v>45828</v>
      </c>
      <c r="C419" t="s">
        <v>1625</v>
      </c>
      <c r="D419" t="s">
        <v>2730</v>
      </c>
    </row>
    <row r="420" spans="1:4">
      <c r="A420">
        <v>444</v>
      </c>
      <c r="B420" s="13">
        <v>45828</v>
      </c>
      <c r="C420" t="s">
        <v>2736</v>
      </c>
      <c r="D420" t="s">
        <v>2737</v>
      </c>
    </row>
    <row r="421" spans="1:4">
      <c r="A421">
        <v>445</v>
      </c>
      <c r="B421" s="13">
        <v>45829</v>
      </c>
      <c r="C421" t="s">
        <v>1631</v>
      </c>
      <c r="D421" t="s">
        <v>2743</v>
      </c>
    </row>
    <row r="422" spans="1:4">
      <c r="A422">
        <v>446</v>
      </c>
      <c r="B422" s="13">
        <v>45829</v>
      </c>
      <c r="C422" t="s">
        <v>2623</v>
      </c>
      <c r="D422" t="s">
        <v>2744</v>
      </c>
    </row>
    <row r="423" spans="1:4">
      <c r="A423">
        <v>447</v>
      </c>
      <c r="B423" s="13">
        <v>45829</v>
      </c>
      <c r="C423" t="s">
        <v>1785</v>
      </c>
      <c r="D423" t="s">
        <v>2747</v>
      </c>
    </row>
    <row r="424" spans="1:4">
      <c r="A424">
        <v>448</v>
      </c>
      <c r="B424" s="13">
        <v>45831</v>
      </c>
      <c r="C424" t="s">
        <v>2748</v>
      </c>
      <c r="D424" t="s">
        <v>2749</v>
      </c>
    </row>
    <row r="425" spans="1:4">
      <c r="A425">
        <v>449</v>
      </c>
      <c r="B425" s="13">
        <v>45831</v>
      </c>
      <c r="C425" t="s">
        <v>2755</v>
      </c>
      <c r="D425" t="s">
        <v>2756</v>
      </c>
    </row>
    <row r="426" spans="1:4">
      <c r="A426">
        <v>450</v>
      </c>
      <c r="B426" s="13">
        <v>45832</v>
      </c>
      <c r="C426" t="s">
        <v>1180</v>
      </c>
      <c r="D426" t="s">
        <v>2762</v>
      </c>
    </row>
    <row r="427" spans="1:4">
      <c r="A427">
        <v>451</v>
      </c>
      <c r="B427" s="13">
        <v>45832</v>
      </c>
      <c r="C427" t="s">
        <v>1625</v>
      </c>
      <c r="D427" t="s">
        <v>2763</v>
      </c>
    </row>
    <row r="428" spans="1:4">
      <c r="A428">
        <v>452</v>
      </c>
      <c r="B428" s="13">
        <v>45832</v>
      </c>
      <c r="C428" t="s">
        <v>2596</v>
      </c>
      <c r="D428" t="s">
        <v>2771</v>
      </c>
    </row>
    <row r="429" spans="1:4">
      <c r="A429">
        <v>453</v>
      </c>
      <c r="B429" s="13">
        <v>45832</v>
      </c>
      <c r="C429" t="s">
        <v>2764</v>
      </c>
      <c r="D429" t="s">
        <v>2772</v>
      </c>
    </row>
    <row r="430" spans="1:4">
      <c r="A430">
        <v>454</v>
      </c>
      <c r="B430" s="13">
        <v>45832</v>
      </c>
      <c r="C430" t="s">
        <v>1785</v>
      </c>
      <c r="D430" t="s">
        <v>2773</v>
      </c>
    </row>
    <row r="431" spans="1:4">
      <c r="A431">
        <v>455</v>
      </c>
      <c r="B431" s="13">
        <v>45832</v>
      </c>
      <c r="C431" t="s">
        <v>1583</v>
      </c>
      <c r="D431" t="s">
        <v>2774</v>
      </c>
    </row>
    <row r="432" spans="1:4">
      <c r="A432">
        <v>456</v>
      </c>
      <c r="B432" s="13">
        <v>45833</v>
      </c>
      <c r="C432" t="s">
        <v>1057</v>
      </c>
      <c r="D432" t="s">
        <v>2781</v>
      </c>
    </row>
    <row r="433" spans="1:4">
      <c r="A433">
        <v>457</v>
      </c>
      <c r="B433" s="13">
        <v>45833</v>
      </c>
      <c r="C433" t="s">
        <v>986</v>
      </c>
      <c r="D433" t="s">
        <v>2782</v>
      </c>
    </row>
    <row r="434" spans="1:4">
      <c r="A434">
        <v>458</v>
      </c>
      <c r="B434" s="13">
        <v>45833</v>
      </c>
      <c r="C434" t="s">
        <v>1973</v>
      </c>
      <c r="D434" t="s">
        <v>2783</v>
      </c>
    </row>
    <row r="435" spans="1:4">
      <c r="A435">
        <v>459</v>
      </c>
      <c r="B435" s="13">
        <v>45833</v>
      </c>
      <c r="C435" t="s">
        <v>1643</v>
      </c>
      <c r="D435" t="s">
        <v>2785</v>
      </c>
    </row>
    <row r="436" spans="1:4">
      <c r="A436">
        <v>460</v>
      </c>
      <c r="B436" s="13">
        <v>45833</v>
      </c>
      <c r="C436" t="s">
        <v>2776</v>
      </c>
      <c r="D436" t="s">
        <v>2786</v>
      </c>
    </row>
    <row r="437" spans="1:4">
      <c r="A437">
        <v>461</v>
      </c>
      <c r="B437" s="13">
        <v>45833</v>
      </c>
      <c r="C437" t="s">
        <v>1066</v>
      </c>
      <c r="D437" t="s">
        <v>2791</v>
      </c>
    </row>
    <row r="438" spans="1:4">
      <c r="A438">
        <v>462</v>
      </c>
      <c r="B438" s="13">
        <v>45833</v>
      </c>
      <c r="C438" t="s">
        <v>1631</v>
      </c>
      <c r="D438" t="s">
        <v>2792</v>
      </c>
    </row>
    <row r="439" spans="1:4">
      <c r="A439">
        <v>463</v>
      </c>
      <c r="B439" s="13">
        <v>45833</v>
      </c>
      <c r="C439" t="s">
        <v>1521</v>
      </c>
      <c r="D439" t="s">
        <v>2798</v>
      </c>
    </row>
    <row r="440" spans="1:4">
      <c r="A440">
        <v>464</v>
      </c>
      <c r="B440" s="13">
        <v>45834</v>
      </c>
      <c r="C440" t="s">
        <v>1511</v>
      </c>
      <c r="D440" t="s">
        <v>2799</v>
      </c>
    </row>
    <row r="441" spans="1:4">
      <c r="A441">
        <v>465</v>
      </c>
      <c r="B441" s="13">
        <v>45834</v>
      </c>
      <c r="C441" t="s">
        <v>1785</v>
      </c>
      <c r="D441" t="s">
        <v>2804</v>
      </c>
    </row>
    <row r="442" spans="1:4">
      <c r="A442">
        <v>466</v>
      </c>
      <c r="B442" s="13">
        <v>45834</v>
      </c>
      <c r="C442" t="s">
        <v>1441</v>
      </c>
      <c r="D442" t="s">
        <v>2805</v>
      </c>
    </row>
    <row r="443" spans="1:4">
      <c r="A443">
        <v>467</v>
      </c>
      <c r="B443" s="13">
        <v>45834</v>
      </c>
      <c r="C443" t="s">
        <v>1441</v>
      </c>
      <c r="D443" t="s">
        <v>2808</v>
      </c>
    </row>
    <row r="444" spans="1:4">
      <c r="A444">
        <v>468</v>
      </c>
      <c r="B444" s="13">
        <v>45834</v>
      </c>
      <c r="C444" t="s">
        <v>1441</v>
      </c>
      <c r="D444" t="s">
        <v>2824</v>
      </c>
    </row>
    <row r="445" spans="1:4">
      <c r="A445">
        <v>469</v>
      </c>
      <c r="B445" s="13">
        <v>45834</v>
      </c>
      <c r="C445" t="s">
        <v>1066</v>
      </c>
      <c r="D445" t="s">
        <v>2827</v>
      </c>
    </row>
    <row r="446" spans="1:4">
      <c r="A446">
        <v>470</v>
      </c>
      <c r="B446" s="13">
        <v>45835</v>
      </c>
      <c r="C446" t="s">
        <v>1420</v>
      </c>
      <c r="D446" t="s">
        <v>2838</v>
      </c>
    </row>
    <row r="447" spans="1:4">
      <c r="A447">
        <v>471</v>
      </c>
      <c r="B447" s="13">
        <v>45835</v>
      </c>
      <c r="C447" t="s">
        <v>1509</v>
      </c>
      <c r="D447" t="s">
        <v>2839</v>
      </c>
    </row>
    <row r="448" spans="1:4">
      <c r="A448">
        <v>472</v>
      </c>
      <c r="B448" s="13">
        <v>45835</v>
      </c>
      <c r="C448" t="s">
        <v>1066</v>
      </c>
      <c r="D448" t="s">
        <v>2841</v>
      </c>
    </row>
    <row r="449" spans="1:4">
      <c r="A449">
        <v>473</v>
      </c>
      <c r="B449" s="13">
        <v>45835</v>
      </c>
      <c r="C449" t="s">
        <v>1622</v>
      </c>
      <c r="D449" t="s">
        <v>2842</v>
      </c>
    </row>
    <row r="450" spans="1:4">
      <c r="A450">
        <v>474</v>
      </c>
      <c r="B450" s="13">
        <v>45835</v>
      </c>
      <c r="C450" t="s">
        <v>1785</v>
      </c>
      <c r="D450" t="s">
        <v>2844</v>
      </c>
    </row>
    <row r="451" spans="1:4">
      <c r="A451">
        <v>475</v>
      </c>
      <c r="B451" s="13">
        <v>45835</v>
      </c>
      <c r="C451" t="s">
        <v>1515</v>
      </c>
      <c r="D451" t="s">
        <v>2845</v>
      </c>
    </row>
    <row r="452" spans="1:4">
      <c r="A452">
        <v>476</v>
      </c>
      <c r="B452" s="13">
        <v>45838</v>
      </c>
      <c r="C452" t="s">
        <v>2384</v>
      </c>
      <c r="D452" t="s">
        <v>2850</v>
      </c>
    </row>
    <row r="453" spans="1:4">
      <c r="A453">
        <v>477</v>
      </c>
      <c r="B453" s="13">
        <v>45838</v>
      </c>
      <c r="C453" t="s">
        <v>1785</v>
      </c>
      <c r="D453" t="s">
        <v>2858</v>
      </c>
    </row>
    <row r="454" spans="1:4">
      <c r="A454">
        <v>478</v>
      </c>
      <c r="B454" s="13">
        <v>45838</v>
      </c>
      <c r="C454" t="s">
        <v>1102</v>
      </c>
      <c r="D454" t="s">
        <v>2861</v>
      </c>
    </row>
    <row r="455" spans="1:4">
      <c r="A455">
        <v>479</v>
      </c>
      <c r="B455" s="13">
        <v>45838</v>
      </c>
      <c r="C455" t="s">
        <v>2851</v>
      </c>
      <c r="D455" t="s">
        <v>2862</v>
      </c>
    </row>
    <row r="456" spans="1:4">
      <c r="A456">
        <v>480</v>
      </c>
      <c r="B456" s="13">
        <v>45838</v>
      </c>
      <c r="C456" t="s">
        <v>1486</v>
      </c>
      <c r="D456" t="s">
        <v>2863</v>
      </c>
    </row>
    <row r="457" spans="1:4">
      <c r="A457">
        <v>481</v>
      </c>
      <c r="B457" s="13">
        <v>45838</v>
      </c>
      <c r="C457" t="s">
        <v>1785</v>
      </c>
      <c r="D457" t="s">
        <v>2864</v>
      </c>
    </row>
    <row r="458" spans="1:4">
      <c r="A458">
        <v>482</v>
      </c>
      <c r="B458" s="13">
        <v>45838</v>
      </c>
      <c r="C458" t="s">
        <v>2060</v>
      </c>
      <c r="D458" t="s">
        <v>2865</v>
      </c>
    </row>
    <row r="459" spans="1:4">
      <c r="A459">
        <v>483</v>
      </c>
      <c r="B459" s="13">
        <v>45838</v>
      </c>
      <c r="C459" t="s">
        <v>1509</v>
      </c>
      <c r="D459" t="s">
        <v>2869</v>
      </c>
    </row>
    <row r="460" spans="1:4">
      <c r="A460">
        <v>484</v>
      </c>
      <c r="B460" s="13">
        <v>45839</v>
      </c>
      <c r="C460" t="s">
        <v>2879</v>
      </c>
      <c r="D460" t="s">
        <v>2880</v>
      </c>
    </row>
    <row r="461" spans="1:4">
      <c r="A461">
        <v>485</v>
      </c>
      <c r="B461" s="13">
        <v>45839</v>
      </c>
      <c r="C461" t="s">
        <v>1521</v>
      </c>
      <c r="D461" t="s">
        <v>2881</v>
      </c>
    </row>
    <row r="462" spans="1:4">
      <c r="A462">
        <v>486</v>
      </c>
      <c r="B462" s="13">
        <v>45839</v>
      </c>
      <c r="C462" t="s">
        <v>1625</v>
      </c>
      <c r="D462" t="s">
        <v>2883</v>
      </c>
    </row>
    <row r="463" spans="1:4">
      <c r="A463">
        <v>487</v>
      </c>
      <c r="B463" s="13">
        <v>45839</v>
      </c>
      <c r="C463" t="s">
        <v>2888</v>
      </c>
      <c r="D463" t="s">
        <v>2891</v>
      </c>
    </row>
    <row r="464" spans="1:4">
      <c r="A464">
        <v>488</v>
      </c>
      <c r="B464" s="13">
        <v>45839</v>
      </c>
      <c r="C464" t="s">
        <v>1486</v>
      </c>
      <c r="D464" t="s">
        <v>2892</v>
      </c>
    </row>
    <row r="465" spans="1:4">
      <c r="A465">
        <v>489</v>
      </c>
      <c r="B465" s="13">
        <v>45840</v>
      </c>
      <c r="C465" t="s">
        <v>2897</v>
      </c>
      <c r="D465" t="s">
        <v>2898</v>
      </c>
    </row>
    <row r="466" spans="1:4">
      <c r="A466">
        <v>490</v>
      </c>
      <c r="B466" s="13">
        <v>45840</v>
      </c>
      <c r="C466" t="s">
        <v>2899</v>
      </c>
      <c r="D466" t="s">
        <v>2903</v>
      </c>
    </row>
    <row r="467" spans="1:4">
      <c r="A467">
        <v>491</v>
      </c>
      <c r="B467" s="13">
        <v>45840</v>
      </c>
      <c r="C467" t="s">
        <v>1625</v>
      </c>
      <c r="D467" t="s">
        <v>2910</v>
      </c>
    </row>
    <row r="468" spans="1:4">
      <c r="A468">
        <v>492</v>
      </c>
      <c r="B468" s="13">
        <v>45840</v>
      </c>
      <c r="C468" t="s">
        <v>2040</v>
      </c>
      <c r="D468" t="s">
        <v>2911</v>
      </c>
    </row>
    <row r="469" spans="1:4">
      <c r="A469">
        <v>493</v>
      </c>
      <c r="B469" s="13">
        <v>45840</v>
      </c>
      <c r="C469" t="s">
        <v>2186</v>
      </c>
      <c r="D469" t="s">
        <v>2912</v>
      </c>
    </row>
    <row r="470" spans="1:4">
      <c r="A470">
        <v>494</v>
      </c>
      <c r="B470" s="13">
        <v>45841</v>
      </c>
      <c r="C470" t="s">
        <v>1057</v>
      </c>
      <c r="D470" t="s">
        <v>2914</v>
      </c>
    </row>
    <row r="471" spans="1:4">
      <c r="A471">
        <v>495</v>
      </c>
      <c r="B471" s="13">
        <v>45841</v>
      </c>
      <c r="C471" t="s">
        <v>2920</v>
      </c>
      <c r="D471" t="s">
        <v>2923</v>
      </c>
    </row>
    <row r="472" spans="1:4">
      <c r="A472">
        <v>496</v>
      </c>
      <c r="B472" s="13">
        <v>45841</v>
      </c>
      <c r="C472" t="s">
        <v>1880</v>
      </c>
      <c r="D472" t="s">
        <v>2924</v>
      </c>
    </row>
    <row r="473" spans="1:4">
      <c r="A473">
        <v>497</v>
      </c>
      <c r="B473" s="13">
        <v>45841</v>
      </c>
      <c r="C473" t="s">
        <v>2353</v>
      </c>
      <c r="D473" t="s">
        <v>2925</v>
      </c>
    </row>
    <row r="474" spans="1:4">
      <c r="A474">
        <v>498</v>
      </c>
      <c r="B474" s="13">
        <v>45841</v>
      </c>
      <c r="C474" t="s">
        <v>1625</v>
      </c>
      <c r="D474" t="s">
        <v>2926</v>
      </c>
    </row>
    <row r="475" spans="1:4">
      <c r="A475">
        <v>499</v>
      </c>
      <c r="B475" s="13">
        <v>45842</v>
      </c>
      <c r="C475" t="s">
        <v>1643</v>
      </c>
      <c r="D475" t="s">
        <v>2938</v>
      </c>
    </row>
    <row r="476" spans="1:4">
      <c r="A476">
        <v>500</v>
      </c>
      <c r="B476" s="13">
        <v>45842</v>
      </c>
      <c r="C476" t="s">
        <v>1625</v>
      </c>
      <c r="D476" t="s">
        <v>2939</v>
      </c>
    </row>
    <row r="477" spans="1:4">
      <c r="A477">
        <v>501</v>
      </c>
      <c r="B477" s="13">
        <v>45842</v>
      </c>
      <c r="C477" t="s">
        <v>1509</v>
      </c>
      <c r="D477" t="s">
        <v>2941</v>
      </c>
    </row>
    <row r="478" spans="1:4">
      <c r="A478">
        <v>502</v>
      </c>
      <c r="B478" s="13">
        <v>45842</v>
      </c>
      <c r="C478" t="s">
        <v>1180</v>
      </c>
      <c r="D478" t="s">
        <v>2942</v>
      </c>
    </row>
    <row r="479" spans="1:4">
      <c r="A479">
        <v>503</v>
      </c>
      <c r="B479" s="13">
        <v>45843</v>
      </c>
      <c r="C479" t="s">
        <v>1583</v>
      </c>
      <c r="D479" t="s">
        <v>2944</v>
      </c>
    </row>
    <row r="480" spans="1:4">
      <c r="A480">
        <v>504</v>
      </c>
      <c r="B480" s="13">
        <v>45845</v>
      </c>
      <c r="C480" t="s">
        <v>1583</v>
      </c>
      <c r="D480" t="s">
        <v>2945</v>
      </c>
    </row>
    <row r="481" spans="1:4">
      <c r="A481">
        <v>505</v>
      </c>
      <c r="B481" s="13">
        <v>45845</v>
      </c>
      <c r="C481" t="s">
        <v>1486</v>
      </c>
      <c r="D481" t="s">
        <v>2946</v>
      </c>
    </row>
    <row r="482" spans="1:4">
      <c r="A482">
        <v>506</v>
      </c>
      <c r="B482" s="13">
        <v>45845</v>
      </c>
      <c r="C482" t="s">
        <v>1521</v>
      </c>
      <c r="D482" t="s">
        <v>2947</v>
      </c>
    </row>
    <row r="483" spans="1:4">
      <c r="A483">
        <v>507</v>
      </c>
      <c r="B483" s="13">
        <v>45845</v>
      </c>
      <c r="C483" t="s">
        <v>2954</v>
      </c>
      <c r="D483" t="s">
        <v>2958</v>
      </c>
    </row>
    <row r="484" spans="1:4">
      <c r="A484">
        <v>508</v>
      </c>
      <c r="B484" s="13">
        <v>45845</v>
      </c>
      <c r="C484" t="s">
        <v>2723</v>
      </c>
      <c r="D484" t="s">
        <v>2959</v>
      </c>
    </row>
    <row r="485" spans="1:4">
      <c r="A485">
        <v>509</v>
      </c>
      <c r="B485" s="13">
        <v>45845</v>
      </c>
      <c r="C485" t="s">
        <v>2948</v>
      </c>
      <c r="D485" t="s">
        <v>2960</v>
      </c>
    </row>
    <row r="486" spans="1:4">
      <c r="A486">
        <v>510</v>
      </c>
      <c r="B486" s="13">
        <v>45845</v>
      </c>
      <c r="C486" t="s">
        <v>1180</v>
      </c>
      <c r="D486" t="s">
        <v>2961</v>
      </c>
    </row>
    <row r="487" spans="1:4">
      <c r="A487">
        <v>511</v>
      </c>
      <c r="B487" s="13">
        <v>45845</v>
      </c>
      <c r="C487" t="s">
        <v>1949</v>
      </c>
      <c r="D487" t="s">
        <v>2962</v>
      </c>
    </row>
    <row r="488" spans="1:4">
      <c r="A488">
        <v>512</v>
      </c>
      <c r="B488" s="13">
        <v>45845</v>
      </c>
      <c r="C488" t="s">
        <v>1486</v>
      </c>
      <c r="D488" t="s">
        <v>2963</v>
      </c>
    </row>
    <row r="489" spans="1:4">
      <c r="A489">
        <v>513</v>
      </c>
      <c r="B489" s="13">
        <v>45845</v>
      </c>
      <c r="C489" t="s">
        <v>1785</v>
      </c>
      <c r="D489" t="s">
        <v>2965</v>
      </c>
    </row>
    <row r="490" spans="1:4">
      <c r="A490">
        <v>514</v>
      </c>
      <c r="B490" s="13">
        <v>45846</v>
      </c>
      <c r="C490" t="s">
        <v>1441</v>
      </c>
      <c r="D490" t="s">
        <v>2968</v>
      </c>
    </row>
    <row r="491" spans="1:4">
      <c r="A491">
        <v>515</v>
      </c>
      <c r="B491" s="13">
        <v>45846</v>
      </c>
      <c r="C491" t="s">
        <v>2954</v>
      </c>
      <c r="D491" t="s">
        <v>2971</v>
      </c>
    </row>
    <row r="492" spans="1:4">
      <c r="A492">
        <v>516</v>
      </c>
      <c r="B492" s="13">
        <v>45846</v>
      </c>
      <c r="C492" t="s">
        <v>1583</v>
      </c>
      <c r="D492" t="s">
        <v>2972</v>
      </c>
    </row>
    <row r="493" spans="1:4">
      <c r="A493">
        <v>517</v>
      </c>
      <c r="B493" s="13">
        <v>45846</v>
      </c>
      <c r="C493" t="s">
        <v>1880</v>
      </c>
      <c r="D493" t="s">
        <v>2973</v>
      </c>
    </row>
    <row r="494" spans="1:4">
      <c r="A494">
        <v>518</v>
      </c>
      <c r="B494" s="13">
        <v>45846</v>
      </c>
      <c r="C494" t="s">
        <v>2974</v>
      </c>
      <c r="D494" t="s">
        <v>2978</v>
      </c>
    </row>
    <row r="495" spans="1:4">
      <c r="A495">
        <v>519</v>
      </c>
      <c r="B495" s="13">
        <v>45846</v>
      </c>
      <c r="C495" t="s">
        <v>1024</v>
      </c>
      <c r="D495" t="s">
        <v>2980</v>
      </c>
    </row>
    <row r="496" spans="1:4">
      <c r="A496">
        <v>520</v>
      </c>
      <c r="B496" s="13">
        <v>45846</v>
      </c>
      <c r="C496" t="s">
        <v>1631</v>
      </c>
      <c r="D496" t="s">
        <v>2981</v>
      </c>
    </row>
    <row r="497" spans="1:4">
      <c r="A497">
        <v>521</v>
      </c>
      <c r="B497" s="13">
        <v>45846</v>
      </c>
      <c r="C497" t="s">
        <v>1622</v>
      </c>
      <c r="D497" t="s">
        <v>2982</v>
      </c>
    </row>
    <row r="498" spans="1:4">
      <c r="A498">
        <v>522</v>
      </c>
      <c r="B498" s="13">
        <v>45846</v>
      </c>
      <c r="C498" t="s">
        <v>1180</v>
      </c>
      <c r="D498" t="s">
        <v>2983</v>
      </c>
    </row>
    <row r="499" spans="1:4">
      <c r="A499">
        <v>523</v>
      </c>
      <c r="B499" s="13">
        <v>45847</v>
      </c>
      <c r="C499" t="s">
        <v>1441</v>
      </c>
      <c r="D499" t="s">
        <v>2984</v>
      </c>
    </row>
    <row r="500" spans="1:4">
      <c r="A500">
        <v>524</v>
      </c>
      <c r="B500" s="13">
        <v>45847</v>
      </c>
      <c r="C500" t="s">
        <v>2517</v>
      </c>
      <c r="D500" t="s">
        <v>2986</v>
      </c>
    </row>
    <row r="501" spans="1:4">
      <c r="A501">
        <v>525</v>
      </c>
      <c r="B501" s="13">
        <v>45847</v>
      </c>
      <c r="C501" t="s">
        <v>2350</v>
      </c>
      <c r="D501" t="s">
        <v>2990</v>
      </c>
    </row>
    <row r="502" spans="1:4">
      <c r="A502">
        <v>526</v>
      </c>
      <c r="B502" s="13">
        <v>45847</v>
      </c>
      <c r="C502" t="s">
        <v>1486</v>
      </c>
      <c r="D502" t="s">
        <v>2991</v>
      </c>
    </row>
    <row r="503" spans="1:4">
      <c r="A503">
        <v>527</v>
      </c>
      <c r="B503" s="13">
        <v>45847</v>
      </c>
      <c r="C503" t="s">
        <v>1785</v>
      </c>
      <c r="D503" t="s">
        <v>2992</v>
      </c>
    </row>
    <row r="504" spans="1:4">
      <c r="A504">
        <v>528</v>
      </c>
      <c r="B504" s="13">
        <v>45847</v>
      </c>
      <c r="C504" t="s">
        <v>1441</v>
      </c>
      <c r="D504" t="s">
        <v>2993</v>
      </c>
    </row>
    <row r="505" spans="1:4">
      <c r="A505">
        <v>529</v>
      </c>
      <c r="B505" s="13">
        <v>45847</v>
      </c>
      <c r="C505" t="s">
        <v>1812</v>
      </c>
      <c r="D505" t="s">
        <v>2994</v>
      </c>
    </row>
    <row r="506" spans="1:4">
      <c r="A506">
        <v>530</v>
      </c>
      <c r="B506" s="13">
        <v>45847</v>
      </c>
      <c r="C506" t="s">
        <v>2517</v>
      </c>
      <c r="D506" t="s">
        <v>2995</v>
      </c>
    </row>
    <row r="507" spans="1:4">
      <c r="A507">
        <v>531</v>
      </c>
      <c r="B507" s="13">
        <v>45848</v>
      </c>
      <c r="C507" t="s">
        <v>2879</v>
      </c>
      <c r="D507" t="s">
        <v>3000</v>
      </c>
    </row>
    <row r="508" spans="1:4">
      <c r="A508">
        <v>532</v>
      </c>
      <c r="B508" s="13">
        <v>45848</v>
      </c>
      <c r="C508" t="s">
        <v>2411</v>
      </c>
      <c r="D508" t="s">
        <v>3002</v>
      </c>
    </row>
    <row r="509" spans="1:4">
      <c r="A509">
        <v>533</v>
      </c>
      <c r="B509" s="13">
        <v>45848</v>
      </c>
      <c r="C509" t="s">
        <v>1441</v>
      </c>
      <c r="D509" t="s">
        <v>3003</v>
      </c>
    </row>
    <row r="510" spans="1:4">
      <c r="A510">
        <v>534</v>
      </c>
      <c r="B510" s="13">
        <v>45848</v>
      </c>
      <c r="C510" t="s">
        <v>1035</v>
      </c>
      <c r="D510" t="s">
        <v>3004</v>
      </c>
    </row>
    <row r="511" spans="1:4">
      <c r="A511">
        <v>535</v>
      </c>
      <c r="B511" s="13">
        <v>45848</v>
      </c>
      <c r="C511" t="s">
        <v>1024</v>
      </c>
      <c r="D511" t="s">
        <v>3006</v>
      </c>
    </row>
    <row r="512" spans="1:4">
      <c r="A512">
        <v>536</v>
      </c>
      <c r="B512" s="13">
        <v>45849</v>
      </c>
      <c r="C512" t="s">
        <v>1622</v>
      </c>
      <c r="D512" t="s">
        <v>3017</v>
      </c>
    </row>
    <row r="513" spans="1:4">
      <c r="A513">
        <v>537</v>
      </c>
      <c r="B513" s="13">
        <v>45849</v>
      </c>
      <c r="C513" t="s">
        <v>1625</v>
      </c>
      <c r="D513" t="s">
        <v>3018</v>
      </c>
    </row>
    <row r="514" spans="1:4">
      <c r="A514">
        <v>538</v>
      </c>
      <c r="B514" s="13">
        <v>45849</v>
      </c>
      <c r="C514" t="s">
        <v>1441</v>
      </c>
      <c r="D514" t="s">
        <v>3019</v>
      </c>
    </row>
    <row r="515" spans="1:4">
      <c r="A515">
        <v>539</v>
      </c>
      <c r="B515" s="13">
        <v>45849</v>
      </c>
      <c r="C515" t="s">
        <v>1500</v>
      </c>
      <c r="D515" t="s">
        <v>3020</v>
      </c>
    </row>
    <row r="516" spans="1:4">
      <c r="A516">
        <v>540</v>
      </c>
      <c r="B516" s="13">
        <v>45849</v>
      </c>
      <c r="C516" t="s">
        <v>1491</v>
      </c>
      <c r="D516" t="s">
        <v>3021</v>
      </c>
    </row>
    <row r="517" spans="1:4">
      <c r="A517">
        <v>541</v>
      </c>
      <c r="B517" s="13">
        <v>45849</v>
      </c>
      <c r="C517" t="s">
        <v>1631</v>
      </c>
      <c r="D517" t="s">
        <v>3022</v>
      </c>
    </row>
    <row r="518" spans="1:4">
      <c r="A518">
        <v>542</v>
      </c>
      <c r="B518" s="13">
        <v>45849</v>
      </c>
      <c r="C518" t="s">
        <v>1631</v>
      </c>
      <c r="D518" t="s">
        <v>3023</v>
      </c>
    </row>
    <row r="519" spans="1:4">
      <c r="A519">
        <v>543</v>
      </c>
      <c r="B519" s="13">
        <v>45849</v>
      </c>
      <c r="C519" t="s">
        <v>3024</v>
      </c>
      <c r="D519" t="s">
        <v>3025</v>
      </c>
    </row>
    <row r="520" spans="1:4">
      <c r="A520">
        <v>544</v>
      </c>
      <c r="B520" s="13">
        <v>45850</v>
      </c>
      <c r="C520" t="s">
        <v>1643</v>
      </c>
      <c r="D520" t="s">
        <v>3032</v>
      </c>
    </row>
    <row r="521" spans="1:4">
      <c r="A521">
        <v>545</v>
      </c>
      <c r="B521" s="13">
        <v>45850</v>
      </c>
      <c r="C521" t="s">
        <v>2879</v>
      </c>
      <c r="D521" t="s">
        <v>3036</v>
      </c>
    </row>
    <row r="522" spans="1:4">
      <c r="A522">
        <v>546</v>
      </c>
      <c r="B522" s="13">
        <v>45852</v>
      </c>
      <c r="C522" t="s">
        <v>3043</v>
      </c>
      <c r="D522" t="s">
        <v>3047</v>
      </c>
    </row>
    <row r="523" spans="1:4">
      <c r="A523">
        <v>547</v>
      </c>
      <c r="B523" s="13">
        <v>45852</v>
      </c>
      <c r="C523" t="s">
        <v>3048</v>
      </c>
      <c r="D523" t="s">
        <v>3052</v>
      </c>
    </row>
    <row r="524" spans="1:4">
      <c r="A524">
        <v>548</v>
      </c>
      <c r="B524" s="13">
        <v>45852</v>
      </c>
      <c r="C524" t="s">
        <v>1441</v>
      </c>
      <c r="D524" t="s">
        <v>3053</v>
      </c>
    </row>
    <row r="525" spans="1:4">
      <c r="A525">
        <v>549</v>
      </c>
      <c r="B525" s="13">
        <v>45852</v>
      </c>
      <c r="C525" t="s">
        <v>2517</v>
      </c>
      <c r="D525" t="s">
        <v>3054</v>
      </c>
    </row>
    <row r="526" spans="1:4">
      <c r="A526">
        <v>550</v>
      </c>
      <c r="B526" s="13">
        <v>45852</v>
      </c>
      <c r="C526" t="s">
        <v>2411</v>
      </c>
      <c r="D526" t="s">
        <v>3056</v>
      </c>
    </row>
    <row r="527" spans="1:4">
      <c r="A527">
        <v>551</v>
      </c>
      <c r="B527" s="13">
        <v>45852</v>
      </c>
      <c r="C527" t="s">
        <v>1643</v>
      </c>
      <c r="D527" t="s">
        <v>3057</v>
      </c>
    </row>
    <row r="528" spans="1:4">
      <c r="A528">
        <v>552</v>
      </c>
      <c r="B528" s="13">
        <v>45852</v>
      </c>
      <c r="C528" t="s">
        <v>1486</v>
      </c>
      <c r="D528" t="s">
        <v>3062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/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84</v>
      </c>
      <c r="J1" s="243">
        <v>159</v>
      </c>
      <c r="K1" s="297"/>
      <c r="L1" s="296"/>
    </row>
    <row r="2" spans="1:12">
      <c r="A2">
        <v>1</v>
      </c>
      <c r="B2" t="s">
        <v>1315</v>
      </c>
      <c r="C2" t="s">
        <v>1678</v>
      </c>
      <c r="F2" t="s">
        <v>1679</v>
      </c>
      <c r="G2" t="s">
        <v>1680</v>
      </c>
      <c r="H2" t="s">
        <v>1681</v>
      </c>
      <c r="I2" s="204">
        <f>SUMIF(주문_리스트!C:C,거래처!$B2,주문_리스트!K:K)+SUMIF(주문_리스트!C:C,거래처!B2,주문_리스트!L:L)-1543201</f>
        <v>2339999.5999999996</v>
      </c>
      <c r="J2" s="204" t="s">
        <v>3064</v>
      </c>
    </row>
    <row r="3" spans="1:12">
      <c r="A3">
        <v>2</v>
      </c>
      <c r="B3" t="s">
        <v>2718</v>
      </c>
      <c r="C3" t="s">
        <v>2719</v>
      </c>
      <c r="F3" t="s">
        <v>2720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1316</v>
      </c>
      <c r="C4" t="s">
        <v>1095</v>
      </c>
      <c r="F4" t="s">
        <v>1096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1192</v>
      </c>
      <c r="C5" t="s">
        <v>1193</v>
      </c>
      <c r="F5" t="s">
        <v>1194</v>
      </c>
      <c r="G5" t="s">
        <v>1195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1317</v>
      </c>
      <c r="C6" t="s">
        <v>2721</v>
      </c>
      <c r="F6" t="s">
        <v>2722</v>
      </c>
      <c r="G6" t="s">
        <v>1215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1318</v>
      </c>
      <c r="C7" t="s">
        <v>1081</v>
      </c>
      <c r="F7" t="s">
        <v>1082</v>
      </c>
      <c r="G7" t="s">
        <v>980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1332</v>
      </c>
      <c r="C8" t="s">
        <v>1107</v>
      </c>
      <c r="F8" t="s">
        <v>1108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1319</v>
      </c>
      <c r="C9" t="s">
        <v>1125</v>
      </c>
      <c r="F9" t="s">
        <v>1126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1320</v>
      </c>
      <c r="C10" t="s">
        <v>1862</v>
      </c>
      <c r="F10" t="s">
        <v>1321</v>
      </c>
      <c r="G10" t="s">
        <v>1858</v>
      </c>
      <c r="H10" t="s">
        <v>1863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1322</v>
      </c>
      <c r="C11" t="s">
        <v>1661</v>
      </c>
      <c r="F11" t="s">
        <v>1662</v>
      </c>
      <c r="G11" t="s">
        <v>969</v>
      </c>
      <c r="H11" t="s">
        <v>1663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1323</v>
      </c>
      <c r="C12" t="s">
        <v>2217</v>
      </c>
      <c r="F12" t="s">
        <v>2218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1324</v>
      </c>
      <c r="C13" t="s">
        <v>1246</v>
      </c>
      <c r="F13" t="s">
        <v>1247</v>
      </c>
      <c r="G13" t="s">
        <v>2463</v>
      </c>
      <c r="H13" t="s">
        <v>2464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1325</v>
      </c>
      <c r="C14" t="s">
        <v>2624</v>
      </c>
      <c r="F14" t="s">
        <v>2625</v>
      </c>
      <c r="G14" t="s">
        <v>969</v>
      </c>
      <c r="H14" t="s">
        <v>2626</v>
      </c>
      <c r="I14" s="204">
        <f>SUMIF(주문_리스트!C:C,거래처!B14,주문_리스트!K:K)+SUMIF(주문_리스트!C:C,거래처!B14,주문_리스트!L:L)-1280000</f>
        <v>90000</v>
      </c>
      <c r="J14" s="52" t="s">
        <v>3064</v>
      </c>
    </row>
    <row r="15" spans="1:12">
      <c r="A15">
        <v>14</v>
      </c>
      <c r="B15" t="s">
        <v>1326</v>
      </c>
      <c r="C15" t="s">
        <v>1103</v>
      </c>
      <c r="F15" t="s">
        <v>1104</v>
      </c>
      <c r="G15" t="s">
        <v>980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1327</v>
      </c>
      <c r="C16" t="s">
        <v>1093</v>
      </c>
      <c r="F16" t="s">
        <v>1094</v>
      </c>
      <c r="G16" t="s">
        <v>980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1328</v>
      </c>
      <c r="C17" t="s">
        <v>1030</v>
      </c>
      <c r="F17" t="s">
        <v>1031</v>
      </c>
      <c r="G17" t="s">
        <v>980</v>
      </c>
      <c r="I17" s="204">
        <f>SUMIF(주문_리스트!C:C,거래처!B17,주문_리스트!K:K)+SUMIF(주문_리스트!C:C,거래처!B17,주문_리스트!L:L)+13873000</f>
        <v>14556000.199999999</v>
      </c>
      <c r="J17" s="52" t="s">
        <v>3064</v>
      </c>
    </row>
    <row r="18" spans="1:14">
      <c r="A18">
        <v>17</v>
      </c>
      <c r="B18" t="s">
        <v>1329</v>
      </c>
      <c r="C18" t="s">
        <v>1211</v>
      </c>
      <c r="F18" t="s">
        <v>1212</v>
      </c>
      <c r="G18" t="s">
        <v>1213</v>
      </c>
      <c r="H18" t="s">
        <v>1214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1330</v>
      </c>
      <c r="C19" t="s">
        <v>1010</v>
      </c>
      <c r="F19" t="s">
        <v>1011</v>
      </c>
      <c r="G19" t="s">
        <v>980</v>
      </c>
      <c r="I19" s="204">
        <f>SUMIF(주문_리스트!C:C,거래처!B19,주문_리스트!K:K)+SUMIF(주문_리스트!C:C,거래처!B19,주문_리스트!L:L)+9970000</f>
        <v>7537000</v>
      </c>
      <c r="J19" s="52" t="s">
        <v>3064</v>
      </c>
      <c r="N19" s="296"/>
    </row>
    <row r="20" spans="1:14">
      <c r="A20">
        <v>19</v>
      </c>
      <c r="B20" t="s">
        <v>1331</v>
      </c>
      <c r="C20" t="s">
        <v>1271</v>
      </c>
      <c r="F20" t="s">
        <v>1272</v>
      </c>
      <c r="G20" t="s">
        <v>1265</v>
      </c>
      <c r="H20" t="s">
        <v>1142</v>
      </c>
      <c r="I20" s="204">
        <f>SUMIF(주문_리스트!C:C,거래처!B20,주문_리스트!K:K)+SUMIF(주문_리스트!C:C,거래처!B20,주문_리스트!L:L)-10000</f>
        <v>1699999.7000000002</v>
      </c>
      <c r="J20" s="52" t="s">
        <v>3064</v>
      </c>
    </row>
    <row r="21" spans="1:14">
      <c r="A21">
        <v>20</v>
      </c>
      <c r="B21" t="s">
        <v>1273</v>
      </c>
      <c r="C21" t="s">
        <v>1274</v>
      </c>
      <c r="F21" t="s">
        <v>1275</v>
      </c>
      <c r="G21" t="s">
        <v>1276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1333</v>
      </c>
      <c r="C22" t="s">
        <v>1077</v>
      </c>
      <c r="F22" t="s">
        <v>1078</v>
      </c>
      <c r="G22" t="s">
        <v>980</v>
      </c>
      <c r="I22" s="204">
        <f>SUMIF(주문_리스트!C:C,거래처!B22,주문_리스트!K:K)+SUMIF(주문_리스트!C:C,거래처!B22,주문_리스트!L:L)</f>
        <v>2400000</v>
      </c>
      <c r="J22" s="52" t="s">
        <v>3064</v>
      </c>
    </row>
    <row r="23" spans="1:14">
      <c r="A23">
        <v>22</v>
      </c>
      <c r="B23" t="s">
        <v>1334</v>
      </c>
      <c r="C23" t="s">
        <v>999</v>
      </c>
      <c r="F23" t="s">
        <v>1000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1335</v>
      </c>
      <c r="C24" t="s">
        <v>1091</v>
      </c>
      <c r="F24" t="s">
        <v>1092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1336</v>
      </c>
      <c r="C25" t="s">
        <v>1025</v>
      </c>
      <c r="F25" t="s">
        <v>1026</v>
      </c>
      <c r="G25" t="s">
        <v>980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1337</v>
      </c>
      <c r="C26" t="s">
        <v>1055</v>
      </c>
      <c r="F26" t="s">
        <v>1056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1338</v>
      </c>
      <c r="C27" t="s">
        <v>995</v>
      </c>
      <c r="F27" t="s">
        <v>996</v>
      </c>
      <c r="G27" t="s">
        <v>969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1657</v>
      </c>
      <c r="C28" t="s">
        <v>1658</v>
      </c>
      <c r="F28" t="s">
        <v>1659</v>
      </c>
      <c r="G28" t="s">
        <v>1660</v>
      </c>
      <c r="H28" t="s">
        <v>233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1983</v>
      </c>
      <c r="C29" t="s">
        <v>1984</v>
      </c>
      <c r="F29" t="s">
        <v>1985</v>
      </c>
      <c r="G29" t="s">
        <v>1978</v>
      </c>
      <c r="H29" t="s">
        <v>1986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1339</v>
      </c>
      <c r="C31" t="s">
        <v>1775</v>
      </c>
      <c r="F31" t="s">
        <v>1776</v>
      </c>
      <c r="G31" t="s">
        <v>969</v>
      </c>
      <c r="H31" t="s">
        <v>1777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4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1340</v>
      </c>
      <c r="C33" t="s">
        <v>1070</v>
      </c>
      <c r="F33" t="s">
        <v>1071</v>
      </c>
      <c r="I33" s="204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1341</v>
      </c>
      <c r="C34" t="s">
        <v>1123</v>
      </c>
      <c r="F34" t="s">
        <v>1124</v>
      </c>
      <c r="G34" t="s">
        <v>980</v>
      </c>
      <c r="I34" s="204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1342</v>
      </c>
      <c r="C35" t="s">
        <v>978</v>
      </c>
      <c r="F35" t="s">
        <v>979</v>
      </c>
      <c r="G35" t="s">
        <v>980</v>
      </c>
      <c r="I35" s="204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1614</v>
      </c>
      <c r="C36" t="s">
        <v>1594</v>
      </c>
      <c r="F36" t="s">
        <v>1595</v>
      </c>
      <c r="G36" t="s">
        <v>1615</v>
      </c>
      <c r="H36" t="s">
        <v>1616</v>
      </c>
      <c r="I36" s="204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1343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4510000</v>
      </c>
      <c r="J37" s="52" t="s">
        <v>3064</v>
      </c>
    </row>
    <row r="38" spans="1:10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1606</v>
      </c>
      <c r="I38" s="204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1344</v>
      </c>
      <c r="C39" t="s">
        <v>1434</v>
      </c>
      <c r="F39" t="s">
        <v>1435</v>
      </c>
      <c r="G39" t="s">
        <v>969</v>
      </c>
      <c r="H39" t="s">
        <v>1436</v>
      </c>
      <c r="I39" s="204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1345</v>
      </c>
      <c r="C40" t="s">
        <v>1004</v>
      </c>
      <c r="F40" t="s">
        <v>1005</v>
      </c>
      <c r="I40" s="204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1346</v>
      </c>
      <c r="C41" t="s">
        <v>1058</v>
      </c>
      <c r="F41" t="s">
        <v>1059</v>
      </c>
      <c r="G41" t="s">
        <v>980</v>
      </c>
      <c r="I41" s="204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4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1348</v>
      </c>
      <c r="C43" t="s">
        <v>1405</v>
      </c>
      <c r="F43" t="s">
        <v>1406</v>
      </c>
      <c r="G43" t="s">
        <v>2445</v>
      </c>
      <c r="H43" t="s">
        <v>2446</v>
      </c>
      <c r="I43" s="204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1349</v>
      </c>
      <c r="C44" t="s">
        <v>2777</v>
      </c>
      <c r="F44" t="s">
        <v>2778</v>
      </c>
      <c r="G44" t="s">
        <v>969</v>
      </c>
      <c r="H44" t="s">
        <v>2779</v>
      </c>
      <c r="I44" s="204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1350</v>
      </c>
      <c r="C45" t="s">
        <v>1100</v>
      </c>
      <c r="F45" t="s">
        <v>1101</v>
      </c>
      <c r="G45" t="s">
        <v>980</v>
      </c>
      <c r="I45" s="204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1351</v>
      </c>
      <c r="C46" t="s">
        <v>2558</v>
      </c>
      <c r="F46" t="s">
        <v>2560</v>
      </c>
      <c r="G46" t="s">
        <v>1215</v>
      </c>
      <c r="H46" t="s">
        <v>2559</v>
      </c>
      <c r="I46" s="204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1352</v>
      </c>
      <c r="C47" t="s">
        <v>1089</v>
      </c>
      <c r="F47" t="s">
        <v>1090</v>
      </c>
      <c r="G47" t="s">
        <v>980</v>
      </c>
      <c r="I47" s="204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1353</v>
      </c>
      <c r="C48" t="s">
        <v>974</v>
      </c>
      <c r="F48" t="s">
        <v>975</v>
      </c>
      <c r="G48" t="s">
        <v>976</v>
      </c>
      <c r="H48" t="s">
        <v>977</v>
      </c>
      <c r="I48" s="204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1354</v>
      </c>
      <c r="C49" t="s">
        <v>1263</v>
      </c>
      <c r="F49" t="s">
        <v>1264</v>
      </c>
      <c r="G49" t="s">
        <v>1265</v>
      </c>
      <c r="H49" t="s">
        <v>1266</v>
      </c>
      <c r="I49" s="204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1309</v>
      </c>
      <c r="C50" t="s">
        <v>1310</v>
      </c>
      <c r="F50" t="s">
        <v>1311</v>
      </c>
      <c r="I50" s="204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1312</v>
      </c>
      <c r="C51" t="s">
        <v>1313</v>
      </c>
      <c r="F51" t="s">
        <v>1314</v>
      </c>
      <c r="G51" t="s">
        <v>969</v>
      </c>
      <c r="H51" t="s">
        <v>1943</v>
      </c>
      <c r="I51" s="204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1355</v>
      </c>
      <c r="C52" t="s">
        <v>1438</v>
      </c>
      <c r="F52" t="s">
        <v>1439</v>
      </c>
      <c r="G52" t="s">
        <v>969</v>
      </c>
      <c r="H52" t="s">
        <v>1440</v>
      </c>
      <c r="I52" s="204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1356</v>
      </c>
      <c r="C53" t="s">
        <v>1047</v>
      </c>
      <c r="F53" t="s">
        <v>1048</v>
      </c>
      <c r="G53" t="s">
        <v>980</v>
      </c>
      <c r="I53" s="204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1181</v>
      </c>
      <c r="C54" t="s">
        <v>1860</v>
      </c>
      <c r="F54" t="s">
        <v>2758</v>
      </c>
      <c r="G54" t="s">
        <v>36</v>
      </c>
      <c r="H54" t="s">
        <v>2759</v>
      </c>
      <c r="I54" s="204">
        <f>SUMIF(주문_리스트!C:C,거래처!B54,주문_리스트!K:K)+SUMIF(주문_리스트!C:C,거래처!B54,주문_리스트!L:L)-4015000</f>
        <v>3350000</v>
      </c>
      <c r="J54" s="52" t="s">
        <v>3064</v>
      </c>
    </row>
    <row r="55" spans="1:10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4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1357</v>
      </c>
      <c r="C56" t="s">
        <v>1044</v>
      </c>
      <c r="F56" t="s">
        <v>1045</v>
      </c>
      <c r="G56" t="s">
        <v>980</v>
      </c>
      <c r="I56" s="204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1358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  <c r="J57" s="52" t="s">
        <v>3064</v>
      </c>
    </row>
    <row r="58" spans="1:10">
      <c r="A58">
        <v>57</v>
      </c>
      <c r="B58" t="s">
        <v>1359</v>
      </c>
      <c r="C58" t="s">
        <v>1281</v>
      </c>
      <c r="F58" t="s">
        <v>1282</v>
      </c>
      <c r="G58" t="s">
        <v>969</v>
      </c>
      <c r="H58" t="s">
        <v>1283</v>
      </c>
      <c r="I58" s="204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1360</v>
      </c>
      <c r="C59" t="s">
        <v>1014</v>
      </c>
      <c r="F59" t="s">
        <v>1015</v>
      </c>
      <c r="G59" t="s">
        <v>980</v>
      </c>
      <c r="I59" s="204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4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1361</v>
      </c>
      <c r="C61" t="s">
        <v>1054</v>
      </c>
      <c r="F61" t="s">
        <v>1669</v>
      </c>
      <c r="G61" t="s">
        <v>980</v>
      </c>
      <c r="I61" s="204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1362</v>
      </c>
      <c r="C62" t="s">
        <v>2731</v>
      </c>
      <c r="F62" t="s">
        <v>2732</v>
      </c>
      <c r="G62" t="s">
        <v>2733</v>
      </c>
      <c r="H62" t="s">
        <v>2734</v>
      </c>
      <c r="I62" s="204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1363</v>
      </c>
      <c r="C63" t="s">
        <v>1052</v>
      </c>
      <c r="F63" t="s">
        <v>1053</v>
      </c>
      <c r="G63" t="s">
        <v>980</v>
      </c>
      <c r="I63" s="204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1364</v>
      </c>
      <c r="C64" t="s">
        <v>1075</v>
      </c>
      <c r="F64" t="s">
        <v>1076</v>
      </c>
      <c r="G64" t="s">
        <v>980</v>
      </c>
      <c r="I64" s="204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1365</v>
      </c>
      <c r="C65" t="s">
        <v>2750</v>
      </c>
      <c r="F65" t="s">
        <v>2751</v>
      </c>
      <c r="G65" t="s">
        <v>2752</v>
      </c>
      <c r="H65" t="s">
        <v>2753</v>
      </c>
      <c r="I65" s="204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1222</v>
      </c>
      <c r="C66" t="s">
        <v>1223</v>
      </c>
      <c r="F66" t="s">
        <v>1224</v>
      </c>
      <c r="G66" t="s">
        <v>2127</v>
      </c>
      <c r="H66" t="s">
        <v>2128</v>
      </c>
      <c r="I66" s="204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1366</v>
      </c>
      <c r="C67" t="s">
        <v>1083</v>
      </c>
      <c r="F67" t="s">
        <v>1084</v>
      </c>
      <c r="G67" t="s">
        <v>980</v>
      </c>
      <c r="I67" s="204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1367</v>
      </c>
      <c r="C68" t="s">
        <v>1038</v>
      </c>
      <c r="F68" t="s">
        <v>1039</v>
      </c>
      <c r="G68" t="s">
        <v>980</v>
      </c>
      <c r="I68" s="204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1368</v>
      </c>
      <c r="C69" t="s">
        <v>1087</v>
      </c>
      <c r="F69" t="s">
        <v>1088</v>
      </c>
      <c r="I69" s="204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1369</v>
      </c>
      <c r="C70" t="s">
        <v>2187</v>
      </c>
      <c r="F70" t="s">
        <v>2188</v>
      </c>
      <c r="G70" t="s">
        <v>36</v>
      </c>
      <c r="H70" t="s">
        <v>2561</v>
      </c>
      <c r="I70" s="204">
        <f>SUMIF(주문_리스트!C:C,거래처!B70,주문_리스트!K:K)+SUMIF(주문_리스트!C:C,거래처!B70,주문_리스트!L:L)</f>
        <v>1320000</v>
      </c>
      <c r="J70" s="52" t="s">
        <v>3064</v>
      </c>
    </row>
    <row r="71" spans="1:10">
      <c r="A71">
        <v>70</v>
      </c>
      <c r="B71" t="s">
        <v>1370</v>
      </c>
      <c r="C71" t="s">
        <v>2627</v>
      </c>
      <c r="F71" t="s">
        <v>2628</v>
      </c>
      <c r="G71" t="s">
        <v>1215</v>
      </c>
      <c r="H71" t="s">
        <v>624</v>
      </c>
      <c r="I71" s="204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1371</v>
      </c>
      <c r="C72" t="s">
        <v>1050</v>
      </c>
      <c r="F72" t="s">
        <v>1051</v>
      </c>
      <c r="G72" t="s">
        <v>980</v>
      </c>
      <c r="I72" s="204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1530</v>
      </c>
      <c r="C73" t="s">
        <v>1531</v>
      </c>
      <c r="F73" t="s">
        <v>2054</v>
      </c>
      <c r="G73" t="s">
        <v>969</v>
      </c>
      <c r="H73" t="s">
        <v>1230</v>
      </c>
      <c r="I73" s="204">
        <f>SUMIF(주문_리스트!C:C,거래처!B73,주문_리스트!K:K)+SUMIF(주문_리스트!C:C,거래처!B73,주문_리스트!L:L)-3100000+1500000</f>
        <v>1550000</v>
      </c>
      <c r="J73" s="52" t="s">
        <v>3064</v>
      </c>
    </row>
    <row r="74" spans="1:10">
      <c r="A74">
        <v>73</v>
      </c>
      <c r="B74" t="s">
        <v>1415</v>
      </c>
      <c r="C74" t="s">
        <v>1416</v>
      </c>
      <c r="F74" t="s">
        <v>1417</v>
      </c>
      <c r="G74" t="s">
        <v>1418</v>
      </c>
      <c r="I74" s="204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1372</v>
      </c>
      <c r="C75" t="s">
        <v>1001</v>
      </c>
      <c r="F75" t="s">
        <v>1373</v>
      </c>
      <c r="I75" s="204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1374</v>
      </c>
      <c r="C76" t="s">
        <v>1112</v>
      </c>
      <c r="F76" t="s">
        <v>1113</v>
      </c>
      <c r="G76" t="s">
        <v>980</v>
      </c>
      <c r="I76" s="204">
        <f>SUMIF(주문_리스트!C:C,거래처!B76,주문_리스트!K:K)+SUMIF(주문_리스트!C:C,거래처!B76,주문_리스트!L:L)-8677000</f>
        <v>3100000</v>
      </c>
      <c r="J76" s="52" t="s">
        <v>3064</v>
      </c>
    </row>
    <row r="77" spans="1:10">
      <c r="A77">
        <v>76</v>
      </c>
      <c r="B77" t="s">
        <v>1375</v>
      </c>
      <c r="C77" t="s">
        <v>1019</v>
      </c>
      <c r="F77" t="s">
        <v>1020</v>
      </c>
      <c r="G77" t="s">
        <v>980</v>
      </c>
      <c r="I77" s="204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1376</v>
      </c>
      <c r="C78" t="s">
        <v>1064</v>
      </c>
      <c r="F78" t="s">
        <v>1065</v>
      </c>
      <c r="I78" s="204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1377</v>
      </c>
      <c r="C79" t="s">
        <v>60</v>
      </c>
      <c r="F79" t="s">
        <v>61</v>
      </c>
      <c r="G79" t="s">
        <v>980</v>
      </c>
      <c r="I79" s="204">
        <f>SUMIF(주문_리스트!C:C,거래처!B79,주문_리스트!K:K)+SUMIF(주문_리스트!C:C,거래처!B79,주문_리스트!L:L)+84700</f>
        <v>1400000</v>
      </c>
      <c r="J79" s="52" t="s">
        <v>3064</v>
      </c>
    </row>
    <row r="80" spans="1:10">
      <c r="A80">
        <v>79</v>
      </c>
      <c r="B80" t="s">
        <v>1378</v>
      </c>
      <c r="C80" t="s">
        <v>1117</v>
      </c>
      <c r="F80" t="s">
        <v>1118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1379</v>
      </c>
      <c r="C81" t="s">
        <v>1085</v>
      </c>
      <c r="F81" t="s">
        <v>1086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1380</v>
      </c>
      <c r="C82" t="s">
        <v>1002</v>
      </c>
      <c r="F82" t="s">
        <v>1003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1381</v>
      </c>
      <c r="C83" t="s">
        <v>1042</v>
      </c>
      <c r="F83" t="s">
        <v>1043</v>
      </c>
      <c r="G83" t="s">
        <v>969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1382</v>
      </c>
      <c r="C84" t="s">
        <v>1205</v>
      </c>
      <c r="F84" t="s">
        <v>1206</v>
      </c>
      <c r="G84" t="s">
        <v>969</v>
      </c>
      <c r="H84" t="s">
        <v>357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1383</v>
      </c>
      <c r="C85" t="s">
        <v>1040</v>
      </c>
      <c r="F85" t="s">
        <v>1041</v>
      </c>
      <c r="G85" t="s">
        <v>980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1384</v>
      </c>
      <c r="C86" t="s">
        <v>997</v>
      </c>
      <c r="F86" t="s">
        <v>998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1385</v>
      </c>
      <c r="C87" t="s">
        <v>1060</v>
      </c>
      <c r="F87" t="s">
        <v>1061</v>
      </c>
      <c r="G87" t="s">
        <v>983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1386</v>
      </c>
      <c r="C88" t="s">
        <v>2042</v>
      </c>
      <c r="F88" t="s">
        <v>2041</v>
      </c>
      <c r="G88" t="s">
        <v>969</v>
      </c>
      <c r="H88" t="s">
        <v>2047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1387</v>
      </c>
      <c r="C89" t="s">
        <v>1987</v>
      </c>
      <c r="F89" t="s">
        <v>1988</v>
      </c>
      <c r="G89" t="s">
        <v>969</v>
      </c>
      <c r="H89" t="s">
        <v>1989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1388</v>
      </c>
      <c r="C90" t="s">
        <v>1119</v>
      </c>
      <c r="F90" t="s">
        <v>1120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1389</v>
      </c>
      <c r="C91" t="s">
        <v>2497</v>
      </c>
      <c r="F91" t="s">
        <v>2498</v>
      </c>
      <c r="G91" t="s">
        <v>2499</v>
      </c>
      <c r="I91" s="204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1390</v>
      </c>
      <c r="C92" t="s">
        <v>1909</v>
      </c>
      <c r="F92" t="s">
        <v>1910</v>
      </c>
      <c r="G92" t="s">
        <v>1911</v>
      </c>
      <c r="H92" t="s">
        <v>1912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1391</v>
      </c>
      <c r="C93" t="s">
        <v>1062</v>
      </c>
      <c r="F93" t="s">
        <v>1063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2309</v>
      </c>
      <c r="C94" t="s">
        <v>2310</v>
      </c>
      <c r="F94" t="s">
        <v>2311</v>
      </c>
      <c r="G94" t="s">
        <v>2312</v>
      </c>
      <c r="I94" s="204">
        <f>SUMIF(주문_리스트!C:C,거래처!B94,주문_리스트!K:K)+SUMIF(주문_리스트!C:C,거래처!B94,주문_리스트!L:L)-1320000</f>
        <v>0</v>
      </c>
    </row>
    <row r="95" spans="1:9">
      <c r="A95">
        <v>94</v>
      </c>
      <c r="B95" t="s">
        <v>1392</v>
      </c>
      <c r="C95" t="s">
        <v>1884</v>
      </c>
      <c r="F95" t="s">
        <v>1885</v>
      </c>
      <c r="G95" t="s">
        <v>969</v>
      </c>
      <c r="H95" t="s">
        <v>1886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1393</v>
      </c>
      <c r="C96" t="s">
        <v>1079</v>
      </c>
      <c r="F96" t="s">
        <v>1080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1394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  <c r="J97" s="52" t="s">
        <v>3064</v>
      </c>
    </row>
    <row r="98" spans="1:15">
      <c r="A98">
        <v>97</v>
      </c>
      <c r="B98" t="s">
        <v>1395</v>
      </c>
      <c r="C98" t="s">
        <v>1962</v>
      </c>
      <c r="F98" t="s">
        <v>1963</v>
      </c>
      <c r="G98" t="s">
        <v>969</v>
      </c>
      <c r="H98" t="s">
        <v>1964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2557</v>
      </c>
      <c r="I99" s="204">
        <f>SUMIF(주문_리스트!C:C,거래처!B99,주문_리스트!K:K)+SUMIF(주문_리스트!C:C,거래처!B99,주문_리스트!L:L)</f>
        <v>1650000</v>
      </c>
      <c r="J99" s="52" t="s">
        <v>3064</v>
      </c>
    </row>
    <row r="100" spans="1:15">
      <c r="A100">
        <v>99</v>
      </c>
      <c r="B100" t="s">
        <v>2553</v>
      </c>
      <c r="C100" t="s">
        <v>2554</v>
      </c>
      <c r="F100" t="s">
        <v>2555</v>
      </c>
      <c r="G100" t="s">
        <v>2556</v>
      </c>
      <c r="H100" t="s">
        <v>221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4">
        <f>SUMIF(주문_리스트!C:C,거래처!B101,주문_리스트!K:K)+SUMIF(주문_리스트!C:C,거래처!B101,주문_리스트!L:L)-2824500</f>
        <v>-0.30000000074505806</v>
      </c>
      <c r="J101" s="52" t="s">
        <v>3035</v>
      </c>
    </row>
    <row r="102" spans="1:15">
      <c r="A102">
        <v>101</v>
      </c>
      <c r="B102" t="s">
        <v>1396</v>
      </c>
      <c r="C102" t="s">
        <v>981</v>
      </c>
      <c r="F102" t="s">
        <v>982</v>
      </c>
      <c r="G102" t="s">
        <v>969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1397</v>
      </c>
      <c r="C104" t="s">
        <v>1012</v>
      </c>
      <c r="F104" t="s">
        <v>1013</v>
      </c>
      <c r="G104" t="s">
        <v>980</v>
      </c>
      <c r="I104" s="204">
        <f>SUMIF(주문_리스트!C:C,거래처!B104,주문_리스트!K:K)+SUMIF(주문_리스트!C:C,거래처!B104,주문_리스트!L:L)-3050000</f>
        <v>199000</v>
      </c>
      <c r="J104" s="52" t="s">
        <v>3064</v>
      </c>
    </row>
    <row r="105" spans="1:15">
      <c r="A105">
        <v>104</v>
      </c>
      <c r="B105" t="s">
        <v>1398</v>
      </c>
      <c r="C105" t="s">
        <v>2385</v>
      </c>
      <c r="F105" t="s">
        <v>2386</v>
      </c>
      <c r="G105" t="s">
        <v>2387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1114</v>
      </c>
      <c r="C106" t="s">
        <v>1115</v>
      </c>
      <c r="F106" t="s">
        <v>1116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1035</v>
      </c>
      <c r="C107" t="s">
        <v>1036</v>
      </c>
      <c r="F107" t="s">
        <v>1037</v>
      </c>
      <c r="I107" s="204">
        <f>SUMIF(주문_리스트!C:C,거래처!B107,주문_리스트!K:K)+SUMIF(주문_리스트!C:C,거래처!B107,주문_리스트!L:L)-450000</f>
        <v>0</v>
      </c>
      <c r="J107" s="52" t="s">
        <v>3035</v>
      </c>
    </row>
    <row r="108" spans="1:15">
      <c r="A108">
        <v>107</v>
      </c>
      <c r="B108" t="s">
        <v>1032</v>
      </c>
      <c r="C108" t="s">
        <v>1033</v>
      </c>
      <c r="F108" t="s">
        <v>1034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4">
        <f>SUMIF(주문_리스트!C:C,거래처!B110,주문_리스트!K:K)+SUMIF(주문_리스트!C:C,거래처!B110,주문_리스트!L:L)-1200000</f>
        <v>0</v>
      </c>
      <c r="O110" t="s">
        <v>2192</v>
      </c>
    </row>
    <row r="111" spans="1:15">
      <c r="A111">
        <v>110</v>
      </c>
      <c r="B111" t="s">
        <v>1399</v>
      </c>
      <c r="C111" t="s">
        <v>1105</v>
      </c>
      <c r="F111" t="s">
        <v>1106</v>
      </c>
      <c r="G111" t="s">
        <v>980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1664</v>
      </c>
      <c r="C112" t="s">
        <v>1665</v>
      </c>
      <c r="F112" t="s">
        <v>1666</v>
      </c>
      <c r="G112" t="s">
        <v>1660</v>
      </c>
      <c r="H112" t="s">
        <v>1667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1855</v>
      </c>
      <c r="C113" t="s">
        <v>1856</v>
      </c>
      <c r="F113" t="s">
        <v>1857</v>
      </c>
      <c r="G113" t="s">
        <v>36</v>
      </c>
      <c r="H113" t="s">
        <v>1859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1400</v>
      </c>
      <c r="C114" t="s">
        <v>1185</v>
      </c>
      <c r="F114" t="s">
        <v>1186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1189</v>
      </c>
      <c r="C115" t="s">
        <v>1190</v>
      </c>
      <c r="F115" t="s">
        <v>1191</v>
      </c>
      <c r="G115" t="s">
        <v>969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1207</v>
      </c>
      <c r="C116" t="s">
        <v>1208</v>
      </c>
      <c r="F116" t="s">
        <v>1209</v>
      </c>
      <c r="G116" t="s">
        <v>969</v>
      </c>
      <c r="H116" t="s">
        <v>1210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1401</v>
      </c>
      <c r="C117" t="s">
        <v>1121</v>
      </c>
      <c r="F117" t="s">
        <v>1122</v>
      </c>
      <c r="G117" t="s">
        <v>1215</v>
      </c>
      <c r="H117" t="s">
        <v>1122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1225</v>
      </c>
      <c r="C118" t="s">
        <v>1226</v>
      </c>
      <c r="F118" t="s">
        <v>1227</v>
      </c>
      <c r="G118" t="s">
        <v>1228</v>
      </c>
      <c r="H118" t="s">
        <v>1229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1267</v>
      </c>
      <c r="C119" t="s">
        <v>1268</v>
      </c>
      <c r="F119" t="s">
        <v>1269</v>
      </c>
      <c r="G119" t="s">
        <v>969</v>
      </c>
      <c r="H119" t="s">
        <v>1270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1277</v>
      </c>
      <c r="C120" t="s">
        <v>1278</v>
      </c>
      <c r="F120" t="s">
        <v>1279</v>
      </c>
      <c r="G120" t="s">
        <v>980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2612</v>
      </c>
      <c r="C121" t="s">
        <v>1564</v>
      </c>
      <c r="F121" t="s">
        <v>1565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2375</v>
      </c>
      <c r="C122" t="s">
        <v>2376</v>
      </c>
      <c r="F122" t="s">
        <v>2377</v>
      </c>
      <c r="G122" t="s">
        <v>2378</v>
      </c>
      <c r="H122" t="s">
        <v>2379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1607</v>
      </c>
      <c r="C123" t="s">
        <v>1608</v>
      </c>
      <c r="F123" t="s">
        <v>1609</v>
      </c>
      <c r="G123" t="s">
        <v>969</v>
      </c>
      <c r="H123" t="s">
        <v>1266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1714</v>
      </c>
      <c r="C124" t="s">
        <v>1715</v>
      </c>
      <c r="F124" t="s">
        <v>1716</v>
      </c>
      <c r="G124" t="s">
        <v>1215</v>
      </c>
      <c r="H124" t="s">
        <v>1716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1729</v>
      </c>
      <c r="C125" t="s">
        <v>1730</v>
      </c>
      <c r="F125" t="s">
        <v>1731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1914</v>
      </c>
      <c r="C126" t="s">
        <v>1915</v>
      </c>
      <c r="F126" t="s">
        <v>1916</v>
      </c>
      <c r="G126" t="s">
        <v>969</v>
      </c>
      <c r="H126" t="s">
        <v>1917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1969</v>
      </c>
      <c r="C127" t="s">
        <v>1970</v>
      </c>
      <c r="F127" t="s">
        <v>1971</v>
      </c>
      <c r="G127" t="s">
        <v>980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2097</v>
      </c>
      <c r="C128" t="s">
        <v>2098</v>
      </c>
      <c r="F128" t="s">
        <v>2099</v>
      </c>
      <c r="G128" t="s">
        <v>969</v>
      </c>
      <c r="H128" t="s">
        <v>2100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2152</v>
      </c>
      <c r="C129" t="s">
        <v>2153</v>
      </c>
      <c r="F129" t="s">
        <v>2154</v>
      </c>
      <c r="G129" t="s">
        <v>969</v>
      </c>
      <c r="H129" t="s">
        <v>1989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2114</v>
      </c>
      <c r="C130" t="s">
        <v>2115</v>
      </c>
      <c r="F130" t="s">
        <v>2116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2119</v>
      </c>
      <c r="C131" t="s">
        <v>2120</v>
      </c>
      <c r="F131" t="s">
        <v>2121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2949</v>
      </c>
      <c r="C132" t="s">
        <v>2950</v>
      </c>
      <c r="F132" t="s">
        <v>2951</v>
      </c>
      <c r="G132" t="s">
        <v>2952</v>
      </c>
      <c r="H132" t="s">
        <v>2953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2180</v>
      </c>
      <c r="C133" t="s">
        <v>2181</v>
      </c>
      <c r="F133" t="s">
        <v>2182</v>
      </c>
      <c r="G133" t="s">
        <v>983</v>
      </c>
      <c r="H133" t="s">
        <v>2183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2399</v>
      </c>
      <c r="C134" t="s">
        <v>2206</v>
      </c>
      <c r="F134" t="s">
        <v>2207</v>
      </c>
      <c r="G134" t="s">
        <v>980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2219</v>
      </c>
      <c r="C135" t="s">
        <v>2220</v>
      </c>
      <c r="F135" t="s">
        <v>2221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2235</v>
      </c>
      <c r="C136" t="s">
        <v>2237</v>
      </c>
      <c r="F136" t="s">
        <v>2238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2369</v>
      </c>
      <c r="C137" t="s">
        <v>2370</v>
      </c>
      <c r="F137" t="s">
        <v>2371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2915</v>
      </c>
      <c r="C138" t="s">
        <v>2916</v>
      </c>
      <c r="F138" t="s">
        <v>2917</v>
      </c>
      <c r="G138" t="s">
        <v>2918</v>
      </c>
      <c r="H138" t="s">
        <v>2919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2478</v>
      </c>
      <c r="C139" t="s">
        <v>2479</v>
      </c>
      <c r="F139" t="s">
        <v>2480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2350</v>
      </c>
      <c r="C140" t="s">
        <v>2457</v>
      </c>
      <c r="F140" t="s">
        <v>2458</v>
      </c>
      <c r="G140" t="s">
        <v>969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2468</v>
      </c>
      <c r="C141" t="s">
        <v>2469</v>
      </c>
      <c r="F141" t="s">
        <v>2470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2474</v>
      </c>
      <c r="C142" t="s">
        <v>2475</v>
      </c>
      <c r="F142" t="s">
        <v>2476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2485</v>
      </c>
      <c r="C143" t="s">
        <v>2486</v>
      </c>
      <c r="F143" t="s">
        <v>2487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2588</v>
      </c>
      <c r="C144" t="s">
        <v>2589</v>
      </c>
      <c r="F144" t="s">
        <v>2591</v>
      </c>
      <c r="G144" t="s">
        <v>2590</v>
      </c>
      <c r="I144" s="204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2592</v>
      </c>
      <c r="C145" t="s">
        <v>2576</v>
      </c>
      <c r="F145" t="s">
        <v>2577</v>
      </c>
      <c r="I145" s="204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2608</v>
      </c>
      <c r="C146" t="s">
        <v>2609</v>
      </c>
      <c r="F146" t="s">
        <v>2610</v>
      </c>
      <c r="G146" t="s">
        <v>969</v>
      </c>
      <c r="H146" t="s">
        <v>2611</v>
      </c>
      <c r="I146" s="204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2823</v>
      </c>
      <c r="C147" t="s">
        <v>2821</v>
      </c>
      <c r="F147" t="s">
        <v>2822</v>
      </c>
      <c r="I147" s="204">
        <f>SUMIF(주문_리스트!C:C,거래처!B147,주문_리스트!K:K)+SUMIF(주문_리스트!C:C,거래처!B147,주문_리스트!L:L)</f>
        <v>0</v>
      </c>
    </row>
    <row r="148" spans="1:10">
      <c r="A148">
        <v>147</v>
      </c>
      <c r="B148" t="s">
        <v>2685</v>
      </c>
      <c r="C148" t="s">
        <v>2686</v>
      </c>
      <c r="F148" t="s">
        <v>2687</v>
      </c>
      <c r="G148" t="s">
        <v>983</v>
      </c>
      <c r="H148" t="s">
        <v>2688</v>
      </c>
      <c r="I148" s="204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2765</v>
      </c>
      <c r="C149" t="s">
        <v>2766</v>
      </c>
      <c r="E149" t="s">
        <v>2767</v>
      </c>
      <c r="F149" t="s">
        <v>2768</v>
      </c>
      <c r="G149" t="s">
        <v>2769</v>
      </c>
      <c r="H149" t="s">
        <v>2770</v>
      </c>
      <c r="I149" s="204">
        <f>SUMIF(주문_리스트!C:C,거래처!B149,주문_리스트!K:K)+SUMIF(주문_리스트!C:C,거래처!B149,주문_리스트!L:L)</f>
        <v>0</v>
      </c>
    </row>
    <row r="150" spans="1:10">
      <c r="A150">
        <v>149</v>
      </c>
      <c r="B150" t="s">
        <v>2851</v>
      </c>
      <c r="C150" t="s">
        <v>2852</v>
      </c>
      <c r="F150" t="s">
        <v>2853</v>
      </c>
      <c r="G150" t="s">
        <v>969</v>
      </c>
      <c r="H150" t="s">
        <v>2854</v>
      </c>
      <c r="I150" s="204">
        <f>SUMIF(주문_리스트!C:C,거래처!B150,주문_리스트!K:K)+SUMIF(주문_리스트!C:C,거래처!B150,주문_리스트!L:L)</f>
        <v>0</v>
      </c>
    </row>
    <row r="151" spans="1:10">
      <c r="A151">
        <v>150</v>
      </c>
      <c r="B151" t="s">
        <v>2888</v>
      </c>
      <c r="C151" t="s">
        <v>2889</v>
      </c>
      <c r="F151" t="s">
        <v>2890</v>
      </c>
      <c r="G151" t="s">
        <v>1215</v>
      </c>
      <c r="I151" s="204">
        <f>SUMIF(주문_리스트!C:C,거래처!B151,주문_리스트!K:K)+SUMIF(주문_리스트!C:C,거래처!B151,주문_리스트!L:L)</f>
        <v>0</v>
      </c>
    </row>
    <row r="152" spans="1:10">
      <c r="A152">
        <v>151</v>
      </c>
      <c r="B152" t="s">
        <v>2899</v>
      </c>
      <c r="C152" t="s">
        <v>2900</v>
      </c>
      <c r="F152" t="s">
        <v>2901</v>
      </c>
      <c r="G152" t="s">
        <v>969</v>
      </c>
      <c r="H152" t="s">
        <v>2902</v>
      </c>
      <c r="I152" s="204">
        <f>SUMIF(주문_리스트!C:C,거래처!B152,주문_리스트!K:K)+SUMIF(주문_리스트!C:C,거래처!B152,주문_리스트!L:L)</f>
        <v>0</v>
      </c>
    </row>
    <row r="153" spans="1:10">
      <c r="A153">
        <v>152</v>
      </c>
      <c r="B153" t="s">
        <v>2920</v>
      </c>
      <c r="C153" t="s">
        <v>2921</v>
      </c>
      <c r="F153" t="s">
        <v>2922</v>
      </c>
      <c r="G153" t="s">
        <v>1215</v>
      </c>
      <c r="I153" s="204">
        <f>SUMIF(주문_리스트!C:C,거래처!B153,주문_리스트!K:K)+SUMIF(주문_리스트!C:C,거래처!B153,주문_리스트!L:L)</f>
        <v>0</v>
      </c>
    </row>
    <row r="154" spans="1:10">
      <c r="A154">
        <v>153</v>
      </c>
      <c r="B154" t="s">
        <v>2930</v>
      </c>
      <c r="C154" t="s">
        <v>2935</v>
      </c>
      <c r="F154" t="s">
        <v>2936</v>
      </c>
      <c r="G154" t="s">
        <v>1215</v>
      </c>
      <c r="I154" s="204">
        <f>SUMIF(주문_리스트!C:C,거래처!B154,주문_리스트!K:K)+SUMIF(주문_리스트!C:C,거래처!B154,주문_리스트!L:L)</f>
        <v>0</v>
      </c>
    </row>
    <row r="155" spans="1:10">
      <c r="A155">
        <v>154</v>
      </c>
      <c r="B155" t="s">
        <v>2954</v>
      </c>
      <c r="C155" t="s">
        <v>2955</v>
      </c>
      <c r="F155" t="s">
        <v>2956</v>
      </c>
      <c r="G155" t="s">
        <v>1215</v>
      </c>
      <c r="H155" t="s">
        <v>2957</v>
      </c>
      <c r="I155" s="204">
        <f>SUMIF(주문_리스트!C:C,거래처!B155,주문_리스트!K:K)+SUMIF(주문_리스트!C:C,거래처!B155,주문_리스트!L:L)</f>
        <v>0</v>
      </c>
    </row>
    <row r="156" spans="1:10">
      <c r="A156">
        <v>155</v>
      </c>
      <c r="B156" t="s">
        <v>2974</v>
      </c>
      <c r="C156" t="s">
        <v>2975</v>
      </c>
      <c r="F156" t="s">
        <v>2976</v>
      </c>
      <c r="G156" t="s">
        <v>983</v>
      </c>
      <c r="H156" t="s">
        <v>2977</v>
      </c>
      <c r="I156" s="204">
        <f>SUMIF(주문_리스트!C:C,거래처!B156,주문_리스트!K:K)+SUMIF(주문_리스트!C:C,거래처!B156,주문_리스트!L:L)</f>
        <v>0</v>
      </c>
    </row>
    <row r="157" spans="1:10">
      <c r="A157">
        <v>156</v>
      </c>
      <c r="B157" t="s">
        <v>3039</v>
      </c>
      <c r="C157" t="s">
        <v>3040</v>
      </c>
      <c r="F157" t="s">
        <v>3041</v>
      </c>
      <c r="I157" s="204">
        <f>SUMIF(주문_리스트!C:C,거래처!B157,주문_리스트!K:K)+SUMIF(주문_리스트!C:C,거래처!B157,주문_리스트!L:L)</f>
        <v>0</v>
      </c>
    </row>
    <row r="158" spans="1:10">
      <c r="A158">
        <v>157</v>
      </c>
      <c r="B158" t="s">
        <v>3043</v>
      </c>
      <c r="C158" t="s">
        <v>3044</v>
      </c>
      <c r="F158" t="s">
        <v>3045</v>
      </c>
      <c r="G158" t="s">
        <v>1215</v>
      </c>
      <c r="H158" t="s">
        <v>3055</v>
      </c>
      <c r="I158" s="204">
        <f>SUMIF(주문_리스트!C:C,거래처!B158,주문_리스트!K:K)+SUMIF(주문_리스트!C:C,거래처!B158,주문_리스트!L:L)</f>
        <v>0</v>
      </c>
    </row>
    <row r="159" spans="1:10">
      <c r="A159">
        <v>158</v>
      </c>
      <c r="B159" t="s">
        <v>3048</v>
      </c>
      <c r="C159" t="s">
        <v>3049</v>
      </c>
      <c r="F159" t="s">
        <v>3050</v>
      </c>
      <c r="G159" t="s">
        <v>980</v>
      </c>
      <c r="I159" s="204">
        <f>SUMIF(주문_리스트!C:C,거래처!B159,주문_리스트!K:K)+SUMIF(주문_리스트!C:C,거래처!B159,주문_리스트!L:L)</f>
        <v>1100000</v>
      </c>
      <c r="J159" s="52" t="s">
        <v>3064</v>
      </c>
    </row>
    <row r="160" spans="1:10">
      <c r="I160" s="204">
        <f>SUMIF(주문_리스트!C:C,거래처!B160,주문_리스트!K:K)+SUMIF(주문_리스트!C:C,거래처!B160,주문_리스트!L:L)</f>
        <v>0</v>
      </c>
    </row>
    <row r="161" spans="9:9">
      <c r="I161" s="204">
        <f>SUMIF(주문_리스트!C:C,거래처!B161,주문_리스트!K:K)+SUMIF(주문_리스트!C:C,거래처!B161,주문_리스트!L:L)</f>
        <v>0</v>
      </c>
    </row>
    <row r="162" spans="9:9">
      <c r="I162" s="204">
        <f>SUMIF(주문_리스트!C:C,거래처!B162,주문_리스트!K:K)+SUMIF(주문_리스트!C:C,거래처!B162,주문_리스트!L:L)</f>
        <v>0</v>
      </c>
    </row>
    <row r="163" spans="9:9">
      <c r="I163" s="204">
        <f>SUMIF(주문_리스트!C:C,거래처!B163,주문_리스트!K:K)+SUMIF(주문_리스트!C:C,거래처!B163,주문_리스트!L:L)</f>
        <v>0</v>
      </c>
    </row>
    <row r="164" spans="9:9">
      <c r="I164" s="204">
        <f>SUMIF(주문_리스트!C:C,거래처!B164,주문_리스트!K:K)+SUMIF(주문_리스트!C:C,거래처!B164,주문_리스트!L:L)</f>
        <v>0</v>
      </c>
    </row>
    <row r="165" spans="9:9">
      <c r="I165" s="204">
        <f>SUMIF(주문_리스트!C:C,거래처!B165,주문_리스트!K:K)+SUMIF(주문_리스트!C:C,거래처!B165,주문_리스트!L:L)</f>
        <v>0</v>
      </c>
    </row>
    <row r="166" spans="9:9">
      <c r="I166" s="204">
        <f>SUMIF(주문_리스트!C:C,거래처!B166,주문_리스트!K:K)+SUMIF(주문_리스트!C:C,거래처!B166,주문_리스트!L:L)</f>
        <v>0</v>
      </c>
    </row>
    <row r="167" spans="9:9">
      <c r="I167" s="204">
        <f>SUMIF(주문_리스트!C:C,거래처!B167,주문_리스트!K:K)+SUMIF(주문_리스트!C:C,거래처!B167,주문_리스트!L:L)</f>
        <v>0</v>
      </c>
    </row>
    <row r="168" spans="9:9">
      <c r="I168" s="204">
        <f>SUMIF(주문_리스트!C:C,거래처!B168,주문_리스트!K:K)+SUMIF(주문_리스트!C:C,거래처!B168,주문_리스트!L:L)</f>
        <v>0</v>
      </c>
    </row>
    <row r="169" spans="9:9">
      <c r="I169" s="204">
        <f>SUMIF(주문_리스트!C:C,거래처!B169,주문_리스트!K:K)+SUMIF(주문_리스트!C:C,거래처!B169,주문_리스트!L:L)</f>
        <v>0</v>
      </c>
    </row>
    <row r="170" spans="9:9">
      <c r="I170" s="204">
        <f>SUMIF(주문_리스트!C:C,거래처!B170,주문_리스트!K:K)+SUMIF(주문_리스트!C:C,거래처!B170,주문_리스트!L:L)</f>
        <v>0</v>
      </c>
    </row>
    <row r="171" spans="9:9">
      <c r="I171" s="204">
        <f>SUMIF(주문_리스트!C:C,거래처!B171,주문_리스트!K:K)+SUMIF(주문_리스트!C:C,거래처!B171,주문_리스트!L:L)</f>
        <v>0</v>
      </c>
    </row>
    <row r="172" spans="9:9">
      <c r="I172" s="204">
        <f>SUMIF(주문_리스트!C:C,거래처!B172,주문_리스트!K:K)+SUMIF(주문_리스트!C:C,거래처!B172,주문_리스트!L:L)</f>
        <v>0</v>
      </c>
    </row>
    <row r="173" spans="9:9">
      <c r="I173" s="204">
        <f>SUMIF(주문_리스트!C:C,거래처!B173,주문_리스트!K:K)+SUMIF(주문_리스트!C:C,거래처!B173,주문_리스트!L:L)</f>
        <v>0</v>
      </c>
    </row>
    <row r="174" spans="9:9">
      <c r="I174" s="204">
        <f>SUMIF(주문_리스트!C:C,거래처!B174,주문_리스트!K:K)+SUMIF(주문_리스트!C:C,거래처!B174,주문_리스트!L:L)</f>
        <v>0</v>
      </c>
    </row>
    <row r="175" spans="9:9">
      <c r="I175" s="204">
        <f>SUMIF(주문_리스트!C:C,거래처!B175,주문_리스트!K:K)+SUMIF(주문_리스트!C:C,거래처!B175,주문_리스트!L:L)</f>
        <v>0</v>
      </c>
    </row>
    <row r="176" spans="9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51</v>
      </c>
      <c r="E1" s="61" t="s">
        <v>1143</v>
      </c>
      <c r="F1" s="61" t="s">
        <v>1144</v>
      </c>
      <c r="G1" s="61" t="s">
        <v>1151</v>
      </c>
      <c r="H1" s="61" t="s">
        <v>1145</v>
      </c>
      <c r="I1" s="61" t="s">
        <v>1146</v>
      </c>
      <c r="J1" s="61" t="s">
        <v>1147</v>
      </c>
      <c r="K1" s="516" t="s">
        <v>1148</v>
      </c>
      <c r="L1" s="516"/>
      <c r="M1" s="516"/>
      <c r="N1" s="516" t="s">
        <v>1149</v>
      </c>
      <c r="O1" s="516"/>
      <c r="P1" s="61" t="s">
        <v>1150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1613</v>
      </c>
      <c r="E1" s="31" t="s">
        <v>0</v>
      </c>
      <c r="F1" s="31" t="s">
        <v>51</v>
      </c>
      <c r="G1" s="65" t="s">
        <v>1144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5" t="s">
        <v>1145</v>
      </c>
      <c r="N1" s="65" t="s">
        <v>1146</v>
      </c>
      <c r="O1" s="65" t="s">
        <v>1147</v>
      </c>
      <c r="P1" s="64" t="s">
        <v>1152</v>
      </c>
      <c r="Q1" s="51" t="s">
        <v>1153</v>
      </c>
      <c r="R1" s="51" t="s">
        <v>1154</v>
      </c>
      <c r="S1" s="51" t="s">
        <v>1157</v>
      </c>
      <c r="T1" s="51" t="s">
        <v>1156</v>
      </c>
      <c r="U1" s="51" t="s">
        <v>1155</v>
      </c>
      <c r="V1" s="51" t="s">
        <v>1150</v>
      </c>
      <c r="W1" s="8">
        <v>1</v>
      </c>
    </row>
    <row r="2" spans="1:25">
      <c r="A2" s="49">
        <v>1</v>
      </c>
      <c r="B2" s="13">
        <v>45723</v>
      </c>
      <c r="C2" s="49" t="s">
        <v>1441</v>
      </c>
      <c r="D2" s="49"/>
      <c r="E2" s="49" t="s">
        <v>1168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1479</v>
      </c>
      <c r="D3" s="49"/>
      <c r="E3" s="49" t="s">
        <v>1238</v>
      </c>
      <c r="F3" s="49" t="s">
        <v>1402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1479</v>
      </c>
      <c r="D4" s="49"/>
      <c r="E4" s="49" t="s">
        <v>1178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1433</v>
      </c>
      <c r="D5" s="49"/>
      <c r="E5" s="49" t="s">
        <v>1169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1441</v>
      </c>
      <c r="D6" s="49"/>
      <c r="E6" s="49" t="s">
        <v>1170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1441</v>
      </c>
      <c r="D7" s="49"/>
      <c r="E7" s="49" t="s">
        <v>1171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1441</v>
      </c>
      <c r="D8" s="49"/>
      <c r="E8" s="49" t="s">
        <v>1177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1180</v>
      </c>
      <c r="D9" s="49"/>
      <c r="E9" s="49" t="s">
        <v>1172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1484</v>
      </c>
      <c r="D10" s="49"/>
      <c r="E10" s="49" t="s">
        <v>1238</v>
      </c>
      <c r="F10" s="49" t="s">
        <v>1402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1486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1441</v>
      </c>
      <c r="D12" s="49"/>
      <c r="E12" s="49" t="s">
        <v>1173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1486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1486</v>
      </c>
      <c r="D14" s="49"/>
      <c r="E14" s="49" t="s">
        <v>1158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1180</v>
      </c>
      <c r="D15" s="49"/>
      <c r="E15" s="49" t="s">
        <v>1182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1180</v>
      </c>
      <c r="D16" s="49"/>
      <c r="E16" s="49" t="s">
        <v>1168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1180</v>
      </c>
      <c r="D17" s="49"/>
      <c r="E17" s="49" t="s">
        <v>1176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1491</v>
      </c>
      <c r="D18" s="49"/>
      <c r="E18" s="49" t="s">
        <v>1183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1441</v>
      </c>
      <c r="D19" s="49"/>
      <c r="E19" s="49" t="s">
        <v>1172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1494</v>
      </c>
      <c r="D20" s="49"/>
      <c r="E20" s="49" t="s">
        <v>1184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1496</v>
      </c>
      <c r="D21" s="121"/>
      <c r="E21" s="52" t="s">
        <v>1172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1498</v>
      </c>
      <c r="D22" s="49"/>
      <c r="E22" s="49" t="s">
        <v>1187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1500</v>
      </c>
      <c r="D23" s="49"/>
      <c r="E23" s="49" t="s">
        <v>1163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1441</v>
      </c>
      <c r="D24" s="49"/>
      <c r="E24" s="49" t="s">
        <v>1238</v>
      </c>
      <c r="F24" s="49" t="s">
        <v>1402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1441</v>
      </c>
      <c r="D25" s="49"/>
      <c r="E25" s="49" t="s">
        <v>1170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1486</v>
      </c>
      <c r="D26" s="49"/>
      <c r="E26" s="49" t="s">
        <v>1165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1066</v>
      </c>
      <c r="D27" s="49"/>
      <c r="E27" s="49" t="s">
        <v>1164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1102</v>
      </c>
      <c r="D28" s="49"/>
      <c r="E28" s="49" t="s">
        <v>1163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1441</v>
      </c>
      <c r="D29" s="49"/>
      <c r="E29" s="49" t="s">
        <v>1172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1441</v>
      </c>
      <c r="E30" t="s">
        <v>1162</v>
      </c>
      <c r="F30" t="s">
        <v>1506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1189</v>
      </c>
      <c r="E31" t="s">
        <v>1238</v>
      </c>
      <c r="F31" t="s">
        <v>1402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1509</v>
      </c>
      <c r="E32" t="s">
        <v>1196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1509</v>
      </c>
      <c r="E33" t="s">
        <v>1196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1509</v>
      </c>
      <c r="E34" t="s">
        <v>1197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1509</v>
      </c>
      <c r="E35" t="s">
        <v>1198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1511</v>
      </c>
      <c r="E36" t="s">
        <v>1300</v>
      </c>
      <c r="F36" t="s">
        <v>1299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1511</v>
      </c>
      <c r="E37" t="s">
        <v>1512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1016</v>
      </c>
      <c r="E38" t="s">
        <v>1306</v>
      </c>
      <c r="F38" t="s">
        <v>1305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1515</v>
      </c>
      <c r="E39" t="s">
        <v>1238</v>
      </c>
      <c r="F39" t="s">
        <v>1402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1441</v>
      </c>
      <c r="E40" t="s">
        <v>1517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1441</v>
      </c>
      <c r="E41" t="s">
        <v>1518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1207</v>
      </c>
      <c r="E42" t="s">
        <v>1172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1521</v>
      </c>
      <c r="E43" t="s">
        <v>1522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1035</v>
      </c>
      <c r="E44" t="s">
        <v>1524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1180</v>
      </c>
      <c r="E45" t="s">
        <v>1524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1527</v>
      </c>
      <c r="E46" t="s">
        <v>1528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1057</v>
      </c>
      <c r="E47" t="s">
        <v>1532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1511</v>
      </c>
      <c r="E48" t="s">
        <v>1534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1536</v>
      </c>
      <c r="E49" t="s">
        <v>1537</v>
      </c>
      <c r="F49" t="s">
        <v>1402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1536</v>
      </c>
      <c r="E50" t="s">
        <v>1538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1540</v>
      </c>
      <c r="E51" t="s">
        <v>1238</v>
      </c>
      <c r="F51" t="s">
        <v>1402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1441</v>
      </c>
      <c r="E52" t="s">
        <v>1256</v>
      </c>
      <c r="F52" t="s">
        <v>1255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1441</v>
      </c>
      <c r="E53" t="s">
        <v>1543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1066</v>
      </c>
      <c r="E54" t="s">
        <v>1545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1420</v>
      </c>
      <c r="E55" t="s">
        <v>1547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1420</v>
      </c>
      <c r="E56" t="s">
        <v>1548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1486</v>
      </c>
      <c r="E57" t="s">
        <v>1550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1486</v>
      </c>
      <c r="E58" t="s">
        <v>1551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1486</v>
      </c>
      <c r="E59" t="s">
        <v>1552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1277</v>
      </c>
      <c r="E60" t="s">
        <v>1240</v>
      </c>
      <c r="F60" t="s">
        <v>1239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1511</v>
      </c>
      <c r="E61" t="s">
        <v>1238</v>
      </c>
      <c r="F61" t="s">
        <v>1402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1267</v>
      </c>
      <c r="E62" t="s">
        <v>1545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1557</v>
      </c>
      <c r="E63" t="s">
        <v>1172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1559</v>
      </c>
      <c r="E64" t="s">
        <v>1560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1559</v>
      </c>
      <c r="E65" t="s">
        <v>1561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1563</v>
      </c>
      <c r="E66" t="s">
        <v>1566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1486</v>
      </c>
      <c r="E67" t="s">
        <v>1243</v>
      </c>
      <c r="F67" t="s">
        <v>1242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1486</v>
      </c>
      <c r="E68" t="s">
        <v>1450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1347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1277</v>
      </c>
      <c r="E70" t="s">
        <v>1238</v>
      </c>
      <c r="F70" t="s">
        <v>1402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1414</v>
      </c>
      <c r="E71" t="s">
        <v>1188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1207</v>
      </c>
      <c r="E72" t="s">
        <v>1238</v>
      </c>
      <c r="F72" t="s">
        <v>1402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1016</v>
      </c>
      <c r="E73" t="s">
        <v>1183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1574</v>
      </c>
      <c r="E74" t="s">
        <v>1237</v>
      </c>
      <c r="F74" t="s">
        <v>1236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1491</v>
      </c>
      <c r="E75" t="s">
        <v>1577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1180</v>
      </c>
      <c r="E76" t="s">
        <v>1238</v>
      </c>
      <c r="F76" t="s">
        <v>1402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1027</v>
      </c>
      <c r="E77" t="s">
        <v>1580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1486</v>
      </c>
      <c r="E78" t="s">
        <v>1165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1486</v>
      </c>
      <c r="E79" t="s">
        <v>1165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1583</v>
      </c>
      <c r="E80" t="s">
        <v>1584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1586</v>
      </c>
      <c r="E81" t="s">
        <v>1256</v>
      </c>
      <c r="F81" t="s">
        <v>1255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1027</v>
      </c>
      <c r="E82" t="s">
        <v>1238</v>
      </c>
      <c r="F82" t="s">
        <v>1402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1027</v>
      </c>
      <c r="E83" t="s">
        <v>1538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1433</v>
      </c>
      <c r="E84" t="s">
        <v>1238</v>
      </c>
      <c r="F84" t="s">
        <v>1402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1437</v>
      </c>
      <c r="E85" t="s">
        <v>1172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1016</v>
      </c>
      <c r="E86" t="s">
        <v>1591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3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2" sqref="H12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1653</v>
      </c>
      <c r="H1" s="51" t="s">
        <v>1905</v>
      </c>
      <c r="I1" s="51" t="s">
        <v>4</v>
      </c>
      <c r="J1" s="104">
        <v>203</v>
      </c>
    </row>
    <row r="2" spans="1:11">
      <c r="A2">
        <v>1</v>
      </c>
      <c r="B2">
        <v>2</v>
      </c>
      <c r="C2" s="200">
        <v>28120504</v>
      </c>
      <c r="D2" s="200" t="s">
        <v>2642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2</v>
      </c>
      <c r="B3">
        <v>3</v>
      </c>
      <c r="C3" s="200"/>
      <c r="D3" s="200" t="s">
        <v>2283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3</v>
      </c>
      <c r="B4">
        <v>1</v>
      </c>
      <c r="C4" s="200"/>
      <c r="D4" s="200" t="s">
        <v>1174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4</v>
      </c>
      <c r="B5">
        <v>6</v>
      </c>
      <c r="C5" s="201" t="s">
        <v>2031</v>
      </c>
      <c r="D5" s="200" t="s">
        <v>2030</v>
      </c>
      <c r="E5" s="200" t="s">
        <v>2031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5</v>
      </c>
      <c r="B6">
        <v>1</v>
      </c>
      <c r="C6" s="200"/>
      <c r="D6" s="200" t="s">
        <v>1687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6</v>
      </c>
      <c r="B7">
        <v>8</v>
      </c>
      <c r="C7" s="200"/>
      <c r="D7" s="200" t="s">
        <v>1655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7</v>
      </c>
      <c r="C8" s="200"/>
      <c r="D8" s="200" t="s">
        <v>1808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>
      <c r="A9">
        <v>8</v>
      </c>
      <c r="B9">
        <v>2</v>
      </c>
      <c r="D9" s="200" t="s">
        <v>1173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9</v>
      </c>
      <c r="B10">
        <v>9</v>
      </c>
      <c r="D10" s="200" t="s">
        <v>2284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10</v>
      </c>
      <c r="B11">
        <v>7</v>
      </c>
      <c r="D11" s="200" t="s">
        <v>1176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0" t="s">
        <v>1177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12</v>
      </c>
      <c r="B13">
        <v>8</v>
      </c>
      <c r="D13" s="200" t="s">
        <v>1178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13</v>
      </c>
      <c r="B14">
        <v>9</v>
      </c>
      <c r="C14" s="201">
        <v>415054509</v>
      </c>
      <c r="D14" s="200" t="s">
        <v>2645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1691</v>
      </c>
      <c r="K14">
        <v>75000</v>
      </c>
    </row>
    <row r="15" spans="1:11">
      <c r="A15">
        <v>14</v>
      </c>
      <c r="B15">
        <v>2</v>
      </c>
      <c r="C15" s="201">
        <v>2830402</v>
      </c>
      <c r="D15" s="200" t="s">
        <v>1710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15</v>
      </c>
      <c r="B16">
        <v>2</v>
      </c>
      <c r="C16" s="201">
        <v>2830506</v>
      </c>
      <c r="D16" s="200" t="s">
        <v>2828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16</v>
      </c>
      <c r="B17">
        <v>3</v>
      </c>
      <c r="C17" s="201">
        <v>2820403</v>
      </c>
      <c r="D17" s="200" t="s">
        <v>2832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-7</v>
      </c>
    </row>
    <row r="18" spans="1:9">
      <c r="A18">
        <v>17</v>
      </c>
      <c r="D18" s="200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18</v>
      </c>
      <c r="B19">
        <v>8</v>
      </c>
      <c r="D19" s="200" t="s">
        <v>2292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19</v>
      </c>
      <c r="B20">
        <v>8</v>
      </c>
      <c r="D20" s="200" t="s">
        <v>2290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20</v>
      </c>
      <c r="B21">
        <v>8</v>
      </c>
      <c r="D21" s="200" t="s">
        <v>1707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21</v>
      </c>
      <c r="B22">
        <v>3</v>
      </c>
      <c r="D22" s="200" t="s">
        <v>2273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22</v>
      </c>
      <c r="B23">
        <v>4</v>
      </c>
      <c r="C23" s="201" t="s">
        <v>1233</v>
      </c>
      <c r="D23" s="200" t="s">
        <v>2286</v>
      </c>
      <c r="E23" s="200" t="s">
        <v>1233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23</v>
      </c>
      <c r="B24">
        <v>4</v>
      </c>
      <c r="C24" s="201" t="s">
        <v>1234</v>
      </c>
      <c r="D24" s="200" t="s">
        <v>2286</v>
      </c>
      <c r="E24" s="200" t="s">
        <v>1234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24</v>
      </c>
      <c r="B25">
        <v>3</v>
      </c>
      <c r="C25" s="201" t="s">
        <v>1235</v>
      </c>
      <c r="D25" s="200" t="s">
        <v>2274</v>
      </c>
      <c r="E25" s="200" t="s">
        <v>1235</v>
      </c>
      <c r="F25" s="52">
        <v>1400000</v>
      </c>
      <c r="H25">
        <f>SUMIF(재고!E:E,제품!D25,재고!H:H)-SUMIF(주문_리스트!E:E,제품!D25,주문_리스트!H:H)</f>
        <v>-7</v>
      </c>
    </row>
    <row r="26" spans="1:9">
      <c r="A26">
        <v>25</v>
      </c>
      <c r="B26">
        <v>3</v>
      </c>
      <c r="C26" s="201" t="s">
        <v>1236</v>
      </c>
      <c r="D26" s="200" t="s">
        <v>2268</v>
      </c>
      <c r="E26" s="200" t="s">
        <v>1236</v>
      </c>
      <c r="F26" s="52">
        <v>1500000</v>
      </c>
      <c r="H26">
        <f>SUMIF(재고!E:E,제품!D26,재고!H:H)-SUMIF(주문_리스트!E:E,제품!D26,주문_리스트!H:H)</f>
        <v>-28</v>
      </c>
    </row>
    <row r="27" spans="1:9">
      <c r="A27">
        <v>26</v>
      </c>
      <c r="B27">
        <v>3</v>
      </c>
      <c r="C27" s="201" t="s">
        <v>2074</v>
      </c>
      <c r="D27" s="200" t="s">
        <v>1698</v>
      </c>
      <c r="E27" s="200" t="s">
        <v>2074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27</v>
      </c>
      <c r="B28">
        <v>1</v>
      </c>
      <c r="C28" s="200" t="s">
        <v>1260</v>
      </c>
      <c r="D28" s="200" t="s">
        <v>1258</v>
      </c>
      <c r="E28" s="200" t="s">
        <v>1260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>
      <c r="A29">
        <v>28</v>
      </c>
      <c r="B29">
        <v>1</v>
      </c>
      <c r="C29" s="201" t="s">
        <v>1239</v>
      </c>
      <c r="D29" s="200" t="s">
        <v>1240</v>
      </c>
      <c r="E29" s="200" t="s">
        <v>1239</v>
      </c>
      <c r="F29" s="52">
        <v>1200000</v>
      </c>
      <c r="H29">
        <f>SUMIF(재고!E:E,제품!D29,재고!H:H)-SUMIF(주문_리스트!E:E,제품!D29,주문_리스트!H:H)</f>
        <v>-13</v>
      </c>
    </row>
    <row r="30" spans="1:9">
      <c r="A30">
        <v>29</v>
      </c>
      <c r="B30">
        <v>1</v>
      </c>
      <c r="C30" s="201" t="s">
        <v>1241</v>
      </c>
      <c r="D30" s="200" t="s">
        <v>1240</v>
      </c>
      <c r="E30" s="200" t="s">
        <v>1241</v>
      </c>
      <c r="F30" s="52">
        <v>1200000</v>
      </c>
      <c r="H30">
        <f>SUMIF(재고!E:E,제품!D30,재고!H:H)-SUMIF(주문_리스트!E:E,제품!D30,주문_리스트!H:H)</f>
        <v>-13</v>
      </c>
    </row>
    <row r="31" spans="1:9">
      <c r="A31">
        <v>30</v>
      </c>
      <c r="B31">
        <v>3</v>
      </c>
      <c r="C31" s="201" t="s">
        <v>1827</v>
      </c>
      <c r="D31" s="200" t="s">
        <v>2306</v>
      </c>
      <c r="E31" s="200" t="s">
        <v>1827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31</v>
      </c>
      <c r="B32">
        <v>1</v>
      </c>
      <c r="C32" s="200" t="s">
        <v>1245</v>
      </c>
      <c r="D32" s="200" t="s">
        <v>1244</v>
      </c>
      <c r="E32" s="200" t="s">
        <v>1245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32</v>
      </c>
      <c r="B33">
        <v>4</v>
      </c>
      <c r="C33" s="201" t="s">
        <v>1250</v>
      </c>
      <c r="D33" s="200" t="s">
        <v>2585</v>
      </c>
      <c r="E33" s="200" t="s">
        <v>1250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33</v>
      </c>
      <c r="B34">
        <v>4</v>
      </c>
      <c r="C34" s="201" t="s">
        <v>2702</v>
      </c>
      <c r="D34" s="200" t="s">
        <v>2703</v>
      </c>
      <c r="E34" s="200" t="s">
        <v>2702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34</v>
      </c>
      <c r="B35">
        <v>4</v>
      </c>
      <c r="C35" s="201" t="s">
        <v>1254</v>
      </c>
      <c r="D35" s="200" t="s">
        <v>2267</v>
      </c>
      <c r="E35" s="200" t="s">
        <v>1254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35</v>
      </c>
      <c r="B36">
        <v>4</v>
      </c>
      <c r="C36" s="201" t="s">
        <v>1255</v>
      </c>
      <c r="D36" s="200" t="s">
        <v>1699</v>
      </c>
      <c r="E36" s="200" t="s">
        <v>1255</v>
      </c>
      <c r="F36" s="52">
        <v>1500000</v>
      </c>
      <c r="H36">
        <f>SUMIF(재고!E:E,제품!D36,재고!H:H)-SUMIF(주문_리스트!E:E,제품!D36,주문_리스트!H:H)</f>
        <v>-6</v>
      </c>
    </row>
    <row r="37" spans="1:8">
      <c r="A37">
        <v>36</v>
      </c>
      <c r="B37">
        <v>1</v>
      </c>
      <c r="C37" s="200" t="s">
        <v>1262</v>
      </c>
      <c r="D37" s="200" t="s">
        <v>1407</v>
      </c>
      <c r="E37" s="200" t="s">
        <v>1408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37</v>
      </c>
      <c r="B38">
        <v>1</v>
      </c>
      <c r="C38" s="200" t="s">
        <v>1297</v>
      </c>
      <c r="D38" s="200" t="s">
        <v>1298</v>
      </c>
      <c r="E38" s="200" t="s">
        <v>1297</v>
      </c>
      <c r="F38" s="52">
        <v>770000</v>
      </c>
      <c r="H38">
        <f>SUMIF(재고!E:E,제품!D38,재고!H:H)-SUMIF(주문_리스트!E:E,제품!D38,주문_리스트!H:H)</f>
        <v>-2</v>
      </c>
    </row>
    <row r="39" spans="1:8">
      <c r="A39">
        <v>38</v>
      </c>
      <c r="B39">
        <v>3</v>
      </c>
      <c r="C39" s="201" t="s">
        <v>1736</v>
      </c>
      <c r="D39" s="200" t="s">
        <v>2276</v>
      </c>
      <c r="E39" s="200" t="s">
        <v>1736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39</v>
      </c>
      <c r="B40">
        <v>2</v>
      </c>
      <c r="C40" s="201" t="s">
        <v>1790</v>
      </c>
      <c r="D40" s="200" t="s">
        <v>1791</v>
      </c>
      <c r="E40" s="200" t="s">
        <v>1790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40</v>
      </c>
      <c r="B41">
        <v>2</v>
      </c>
      <c r="D41" s="200" t="s">
        <v>1422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41</v>
      </c>
      <c r="B42">
        <v>8</v>
      </c>
      <c r="D42" s="200" t="s">
        <v>1512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42</v>
      </c>
      <c r="B43">
        <v>8</v>
      </c>
      <c r="D43" s="200" t="s">
        <v>1522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43</v>
      </c>
      <c r="B44">
        <v>2</v>
      </c>
      <c r="D44" s="200" t="s">
        <v>1528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44</v>
      </c>
      <c r="B45">
        <v>7</v>
      </c>
      <c r="D45" s="200" t="s">
        <v>2293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45</v>
      </c>
      <c r="B46">
        <v>3</v>
      </c>
      <c r="D46" s="200" t="s">
        <v>2277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46</v>
      </c>
      <c r="B47">
        <v>1</v>
      </c>
      <c r="C47" s="201" t="s">
        <v>2868</v>
      </c>
      <c r="D47" s="200" t="s">
        <v>2430</v>
      </c>
      <c r="E47" s="200" t="s">
        <v>2868</v>
      </c>
      <c r="F47" s="52">
        <v>350000</v>
      </c>
      <c r="H47">
        <f>SUMIF(재고!E:E,제품!D47,재고!H:H)-SUMIF(주문_리스트!E:E,제품!D47,주문_리스트!H:H)</f>
        <v>-27</v>
      </c>
    </row>
    <row r="48" spans="1:8">
      <c r="A48">
        <v>47</v>
      </c>
      <c r="D48" s="200" t="s">
        <v>2294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48</v>
      </c>
      <c r="D49" s="200" t="s">
        <v>1548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49</v>
      </c>
      <c r="D50" s="200" t="s">
        <v>1561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50</v>
      </c>
      <c r="D51" s="200" t="s">
        <v>1566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51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52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53</v>
      </c>
      <c r="D54" s="200" t="s">
        <v>1577</v>
      </c>
      <c r="F54" s="52">
        <v>450000</v>
      </c>
      <c r="H54">
        <f>SUMIF(재고!E:E,제품!D54,재고!H:H)-SUMIF(주문_리스트!E:E,제품!D54,주문_리스트!H:H)</f>
        <v>-10</v>
      </c>
    </row>
    <row r="55" spans="1:9">
      <c r="A55">
        <v>54</v>
      </c>
      <c r="B55">
        <v>2</v>
      </c>
      <c r="C55" s="201">
        <v>24152333903</v>
      </c>
      <c r="D55" s="200" t="s">
        <v>1891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1892</v>
      </c>
    </row>
    <row r="56" spans="1:9">
      <c r="A56">
        <v>55</v>
      </c>
      <c r="B56">
        <v>10</v>
      </c>
      <c r="D56" s="200" t="s">
        <v>1597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56</v>
      </c>
      <c r="B57">
        <v>3</v>
      </c>
      <c r="C57" s="201" t="s">
        <v>1700</v>
      </c>
      <c r="D57" s="200" t="s">
        <v>2049</v>
      </c>
      <c r="E57" s="200" t="s">
        <v>1700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57</v>
      </c>
      <c r="C58" s="201" t="s">
        <v>1245</v>
      </c>
      <c r="D58" s="200" t="s">
        <v>1468</v>
      </c>
      <c r="E58" s="200" t="s">
        <v>1245</v>
      </c>
      <c r="F58" s="52">
        <v>1000000</v>
      </c>
      <c r="H58">
        <f>SUMIF(재고!E:E,제품!D58,재고!H:H)-SUMIF(주문_리스트!E:E,제품!D58,주문_리스트!H:H)</f>
        <v>-13</v>
      </c>
    </row>
    <row r="59" spans="1:9">
      <c r="A59">
        <v>58</v>
      </c>
      <c r="B59">
        <v>3</v>
      </c>
      <c r="C59" s="201" t="s">
        <v>2905</v>
      </c>
      <c r="D59" s="200" t="s">
        <v>2295</v>
      </c>
      <c r="E59" s="200" t="s">
        <v>2905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59</v>
      </c>
      <c r="B60">
        <v>1</v>
      </c>
      <c r="C60" s="201" t="s">
        <v>1704</v>
      </c>
      <c r="D60" s="200" t="s">
        <v>1703</v>
      </c>
      <c r="E60" s="200" t="s">
        <v>1704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60</v>
      </c>
      <c r="B61">
        <v>1</v>
      </c>
      <c r="C61" s="201" t="s">
        <v>1705</v>
      </c>
      <c r="D61" s="200" t="s">
        <v>1706</v>
      </c>
      <c r="E61" s="200" t="s">
        <v>1705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61</v>
      </c>
      <c r="B62">
        <v>3</v>
      </c>
      <c r="C62" s="201">
        <v>2820403</v>
      </c>
      <c r="D62" s="200" t="s">
        <v>2830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62</v>
      </c>
      <c r="B63">
        <v>9</v>
      </c>
      <c r="C63" s="201">
        <v>415090409</v>
      </c>
      <c r="D63" s="200" t="s">
        <v>2645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2646</v>
      </c>
    </row>
    <row r="64" spans="1:9">
      <c r="A64">
        <v>63</v>
      </c>
      <c r="C64" s="201" t="s">
        <v>1673</v>
      </c>
      <c r="D64" s="200" t="s">
        <v>1674</v>
      </c>
      <c r="E64" s="200" t="s">
        <v>1673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64</v>
      </c>
      <c r="D65" s="200" t="s">
        <v>1676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65</v>
      </c>
      <c r="B66">
        <v>2</v>
      </c>
      <c r="D66" s="200" t="s">
        <v>1683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66</v>
      </c>
      <c r="B67">
        <v>4</v>
      </c>
      <c r="C67" s="201">
        <v>50228</v>
      </c>
      <c r="D67" s="200" t="s">
        <v>2278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67</v>
      </c>
      <c r="B68">
        <v>4</v>
      </c>
      <c r="C68" s="201">
        <v>50229</v>
      </c>
      <c r="D68" s="200" t="s">
        <v>2278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68</v>
      </c>
      <c r="D69" s="200" t="s">
        <v>1709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69</v>
      </c>
      <c r="D70" s="200" t="s">
        <v>1709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70</v>
      </c>
      <c r="D71" s="200" t="s">
        <v>1717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71</v>
      </c>
      <c r="B72">
        <v>2</v>
      </c>
      <c r="D72" s="200" t="s">
        <v>1724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72</v>
      </c>
      <c r="B73">
        <v>4</v>
      </c>
      <c r="C73" s="201" t="s">
        <v>2704</v>
      </c>
      <c r="D73" s="200" t="s">
        <v>2705</v>
      </c>
      <c r="E73" s="200" t="s">
        <v>2704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73</v>
      </c>
      <c r="B74">
        <v>4</v>
      </c>
      <c r="C74" s="201" t="s">
        <v>1738</v>
      </c>
      <c r="D74" s="200" t="s">
        <v>2287</v>
      </c>
      <c r="E74" s="200" t="s">
        <v>1738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74</v>
      </c>
      <c r="B75">
        <v>13</v>
      </c>
      <c r="C75" s="201">
        <v>28111601</v>
      </c>
      <c r="D75" s="200" t="s">
        <v>1837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1843</v>
      </c>
    </row>
    <row r="76" spans="1:9">
      <c r="A76">
        <v>75</v>
      </c>
      <c r="D76" s="200" t="s">
        <v>1839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1838</v>
      </c>
    </row>
    <row r="77" spans="1:9">
      <c r="A77">
        <v>76</v>
      </c>
      <c r="D77" s="200" t="s">
        <v>2288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77</v>
      </c>
      <c r="B78">
        <v>2</v>
      </c>
      <c r="C78" s="201" t="s">
        <v>1755</v>
      </c>
      <c r="D78" s="200" t="s">
        <v>1771</v>
      </c>
      <c r="E78" s="200" t="s">
        <v>1755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1772</v>
      </c>
    </row>
    <row r="79" spans="1:9">
      <c r="A79">
        <v>78</v>
      </c>
      <c r="D79" s="200" t="s">
        <v>1742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79</v>
      </c>
      <c r="B80">
        <v>2</v>
      </c>
      <c r="C80" s="201">
        <v>1087298441</v>
      </c>
      <c r="D80" s="200" t="s">
        <v>1749</v>
      </c>
      <c r="E80" s="200">
        <v>1087298441</v>
      </c>
      <c r="F80" s="52">
        <v>35000</v>
      </c>
      <c r="G80" s="52">
        <v>13000</v>
      </c>
      <c r="H80" t="s">
        <v>1759</v>
      </c>
      <c r="I80" s="52" t="s">
        <v>1759</v>
      </c>
    </row>
    <row r="81" spans="1:9">
      <c r="A81">
        <v>80</v>
      </c>
      <c r="D81" s="200" t="s">
        <v>2289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D82" s="200" t="s">
        <v>1743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1744</v>
      </c>
    </row>
    <row r="83" spans="1:9">
      <c r="A83">
        <v>82</v>
      </c>
      <c r="B83">
        <v>2</v>
      </c>
      <c r="D83" s="200" t="s">
        <v>1753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C84" s="201">
        <v>24137542885</v>
      </c>
      <c r="D84" s="200" t="s">
        <v>1763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1764</v>
      </c>
    </row>
    <row r="85" spans="1:9">
      <c r="A85">
        <v>84</v>
      </c>
      <c r="B85">
        <v>2</v>
      </c>
      <c r="C85" s="201">
        <v>24137519344</v>
      </c>
      <c r="D85" s="200" t="s">
        <v>1769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1770</v>
      </c>
    </row>
    <row r="86" spans="1:9">
      <c r="A86">
        <v>85</v>
      </c>
      <c r="B86">
        <v>1</v>
      </c>
      <c r="C86" s="201" t="s">
        <v>2907</v>
      </c>
      <c r="D86" s="200" t="s">
        <v>2893</v>
      </c>
      <c r="E86" s="200" t="s">
        <v>2907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86</v>
      </c>
      <c r="B87">
        <v>1</v>
      </c>
      <c r="C87" s="201" t="s">
        <v>1767</v>
      </c>
      <c r="D87" s="200" t="s">
        <v>1768</v>
      </c>
      <c r="E87" s="200" t="s">
        <v>1767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87</v>
      </c>
      <c r="B88">
        <v>1</v>
      </c>
      <c r="C88" s="201" t="s">
        <v>1778</v>
      </c>
      <c r="D88" s="200" t="s">
        <v>1779</v>
      </c>
      <c r="E88" s="200" t="s">
        <v>1778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88</v>
      </c>
      <c r="B89">
        <v>2</v>
      </c>
      <c r="C89" s="201">
        <v>2800802</v>
      </c>
      <c r="D89" s="200" t="s">
        <v>1786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89</v>
      </c>
      <c r="B90">
        <v>2</v>
      </c>
      <c r="C90" s="201">
        <v>2800801</v>
      </c>
      <c r="D90" s="200" t="s">
        <v>1787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90</v>
      </c>
      <c r="B91">
        <v>3</v>
      </c>
      <c r="C91" s="201" t="s">
        <v>1781</v>
      </c>
      <c r="D91" s="200" t="s">
        <v>2314</v>
      </c>
      <c r="E91" s="200" t="s">
        <v>1781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2315</v>
      </c>
    </row>
    <row r="92" spans="1:9">
      <c r="A92">
        <v>91</v>
      </c>
      <c r="B92">
        <v>3</v>
      </c>
      <c r="C92" s="201" t="s">
        <v>1783</v>
      </c>
      <c r="D92" s="200" t="s">
        <v>2271</v>
      </c>
      <c r="E92" s="200" t="s">
        <v>1783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92</v>
      </c>
      <c r="D93" s="200" t="s">
        <v>1793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93</v>
      </c>
      <c r="B94">
        <v>3</v>
      </c>
      <c r="C94" s="201" t="s">
        <v>1795</v>
      </c>
      <c r="D94" s="200" t="s">
        <v>2279</v>
      </c>
      <c r="E94" s="200" t="s">
        <v>1795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94</v>
      </c>
      <c r="B95">
        <v>3</v>
      </c>
      <c r="C95" s="201" t="s">
        <v>1797</v>
      </c>
      <c r="D95" s="200" t="s">
        <v>2280</v>
      </c>
      <c r="E95" s="200" t="s">
        <v>1797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1851</v>
      </c>
    </row>
    <row r="96" spans="1:9">
      <c r="A96">
        <v>95</v>
      </c>
      <c r="B96">
        <v>3</v>
      </c>
      <c r="C96" s="201" t="s">
        <v>1852</v>
      </c>
      <c r="D96" s="200" t="s">
        <v>2281</v>
      </c>
      <c r="E96" s="200" t="s">
        <v>1852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96</v>
      </c>
      <c r="B97">
        <v>3</v>
      </c>
      <c r="C97" s="201" t="s">
        <v>1798</v>
      </c>
      <c r="D97" s="200" t="s">
        <v>1799</v>
      </c>
      <c r="E97" s="200" t="s">
        <v>1798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97</v>
      </c>
      <c r="B98">
        <v>6</v>
      </c>
      <c r="C98" s="201">
        <v>2850701</v>
      </c>
      <c r="D98" s="200" t="s">
        <v>1800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98</v>
      </c>
      <c r="B99">
        <v>1</v>
      </c>
      <c r="C99" s="201" t="s">
        <v>2999</v>
      </c>
      <c r="D99" s="200" t="s">
        <v>2619</v>
      </c>
      <c r="E99" s="200" t="s">
        <v>2999</v>
      </c>
      <c r="F99" s="52">
        <v>450000</v>
      </c>
      <c r="G99" s="52">
        <v>250000</v>
      </c>
      <c r="H99"/>
    </row>
    <row r="100" spans="1:9">
      <c r="A100">
        <v>99</v>
      </c>
      <c r="B100">
        <v>2</v>
      </c>
      <c r="C100" s="201">
        <v>2830701</v>
      </c>
      <c r="D100" s="200" t="s">
        <v>1802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1803</v>
      </c>
    </row>
    <row r="101" spans="1:9">
      <c r="A101">
        <v>100</v>
      </c>
      <c r="B101">
        <v>2</v>
      </c>
      <c r="C101" s="201">
        <v>2830701</v>
      </c>
      <c r="D101" s="200" t="s">
        <v>1802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101</v>
      </c>
      <c r="B102">
        <v>3</v>
      </c>
      <c r="C102" s="201">
        <v>2801701</v>
      </c>
      <c r="D102" s="200" t="s">
        <v>1805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1806</v>
      </c>
    </row>
    <row r="103" spans="1:9">
      <c r="A103">
        <v>102</v>
      </c>
      <c r="B103">
        <v>3</v>
      </c>
      <c r="C103" s="201">
        <v>2801702</v>
      </c>
      <c r="D103" s="200" t="s">
        <v>1805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1807</v>
      </c>
    </row>
    <row r="104" spans="1:9">
      <c r="A104">
        <v>103</v>
      </c>
      <c r="B104">
        <v>3</v>
      </c>
      <c r="C104" s="201" t="s">
        <v>1820</v>
      </c>
      <c r="D104" s="200" t="s">
        <v>2269</v>
      </c>
      <c r="E104" s="200" t="s">
        <v>1820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-28</v>
      </c>
      <c r="I104" s="52" t="s">
        <v>1822</v>
      </c>
    </row>
    <row r="105" spans="1:9">
      <c r="A105">
        <v>104</v>
      </c>
      <c r="B105">
        <v>2</v>
      </c>
      <c r="C105" s="201">
        <v>2830501</v>
      </c>
      <c r="D105" s="200" t="s">
        <v>1901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105</v>
      </c>
      <c r="B106">
        <v>1</v>
      </c>
      <c r="C106" s="201" t="s">
        <v>1817</v>
      </c>
      <c r="D106" s="200" t="s">
        <v>1238</v>
      </c>
      <c r="E106" s="200" t="s">
        <v>1817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1818</v>
      </c>
    </row>
    <row r="107" spans="1:9">
      <c r="A107">
        <v>106</v>
      </c>
      <c r="B107">
        <v>2</v>
      </c>
      <c r="C107" s="201">
        <v>24347544930</v>
      </c>
      <c r="D107" s="200" t="s">
        <v>1825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1824</v>
      </c>
    </row>
    <row r="108" spans="1:9">
      <c r="A108">
        <v>107</v>
      </c>
      <c r="B108">
        <v>14</v>
      </c>
      <c r="C108" s="201">
        <v>501220641</v>
      </c>
      <c r="D108" s="200" t="s">
        <v>2173</v>
      </c>
      <c r="E108" s="200">
        <v>501220641</v>
      </c>
      <c r="F108" s="52">
        <v>250000</v>
      </c>
      <c r="G108" s="52">
        <v>150000</v>
      </c>
      <c r="H108"/>
    </row>
    <row r="109" spans="1:9">
      <c r="A109">
        <v>108</v>
      </c>
      <c r="B109">
        <v>12</v>
      </c>
      <c r="C109" s="201" t="s">
        <v>1831</v>
      </c>
      <c r="D109" s="200" t="s">
        <v>1832</v>
      </c>
      <c r="E109" s="200" t="s">
        <v>1831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1833</v>
      </c>
    </row>
    <row r="110" spans="1:9">
      <c r="A110">
        <v>109</v>
      </c>
      <c r="B110">
        <v>12</v>
      </c>
      <c r="C110" s="201" t="s">
        <v>1834</v>
      </c>
      <c r="D110" s="200" t="s">
        <v>1832</v>
      </c>
      <c r="E110" s="200" t="s">
        <v>1834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1835</v>
      </c>
    </row>
    <row r="111" spans="1:9">
      <c r="A111">
        <v>110</v>
      </c>
      <c r="B111">
        <v>1</v>
      </c>
      <c r="C111" s="201" t="s">
        <v>1836</v>
      </c>
      <c r="D111" s="200" t="s">
        <v>1603</v>
      </c>
      <c r="E111" s="200" t="s">
        <v>1836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111</v>
      </c>
      <c r="B112">
        <v>2</v>
      </c>
      <c r="C112" s="201">
        <v>1068298046</v>
      </c>
      <c r="D112" s="200" t="s">
        <v>1889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1890</v>
      </c>
    </row>
    <row r="113" spans="1:9">
      <c r="A113">
        <v>112</v>
      </c>
      <c r="B113">
        <v>2</v>
      </c>
      <c r="C113" s="201">
        <v>1087298388</v>
      </c>
      <c r="D113" s="200" t="s">
        <v>2328</v>
      </c>
      <c r="E113" s="200">
        <v>1087298388</v>
      </c>
      <c r="F113" s="52">
        <v>550000</v>
      </c>
      <c r="G113" s="52">
        <v>340000</v>
      </c>
      <c r="H113" t="s">
        <v>3007</v>
      </c>
      <c r="I113" s="52" t="s">
        <v>2326</v>
      </c>
    </row>
    <row r="114" spans="1:9">
      <c r="A114">
        <v>113</v>
      </c>
      <c r="B114">
        <v>2</v>
      </c>
      <c r="C114" s="201">
        <v>1068298044</v>
      </c>
      <c r="D114" s="200" t="s">
        <v>1889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1894</v>
      </c>
    </row>
    <row r="115" spans="1:9">
      <c r="A115">
        <v>114</v>
      </c>
      <c r="B115">
        <v>2</v>
      </c>
      <c r="C115" s="201">
        <v>24152333907</v>
      </c>
      <c r="D115" s="200" t="s">
        <v>1591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1893</v>
      </c>
    </row>
    <row r="116" spans="1:9">
      <c r="A116">
        <v>115</v>
      </c>
      <c r="B116">
        <v>3</v>
      </c>
      <c r="C116" s="201">
        <v>6058008122</v>
      </c>
      <c r="D116" s="200" t="s">
        <v>1904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116</v>
      </c>
      <c r="B117">
        <v>1</v>
      </c>
      <c r="C117" s="201" t="s">
        <v>1930</v>
      </c>
      <c r="D117" s="200" t="s">
        <v>1931</v>
      </c>
      <c r="E117" s="200" t="s">
        <v>1930</v>
      </c>
      <c r="F117" s="52">
        <v>210000</v>
      </c>
      <c r="G117" s="52">
        <v>150000</v>
      </c>
      <c r="I117" s="52" t="s">
        <v>1933</v>
      </c>
    </row>
    <row r="118" spans="1:9">
      <c r="A118">
        <v>117</v>
      </c>
      <c r="B118">
        <v>9</v>
      </c>
      <c r="C118" s="201">
        <v>415062109</v>
      </c>
      <c r="D118" s="200" t="s">
        <v>2645</v>
      </c>
      <c r="E118" s="200">
        <v>415062109</v>
      </c>
      <c r="F118" s="52">
        <v>680000</v>
      </c>
    </row>
    <row r="119" spans="1:9">
      <c r="A119">
        <v>118</v>
      </c>
      <c r="B119">
        <v>12</v>
      </c>
      <c r="C119" s="201">
        <v>501218962</v>
      </c>
      <c r="D119" s="200" t="s">
        <v>2989</v>
      </c>
      <c r="E119" s="200">
        <v>501218962</v>
      </c>
      <c r="F119" s="52">
        <v>3500000</v>
      </c>
    </row>
    <row r="120" spans="1:9">
      <c r="A120">
        <v>119</v>
      </c>
      <c r="B120">
        <v>2</v>
      </c>
      <c r="C120" s="201" t="s">
        <v>1952</v>
      </c>
      <c r="D120" s="200" t="s">
        <v>1953</v>
      </c>
      <c r="E120" s="200" t="s">
        <v>1952</v>
      </c>
      <c r="F120" s="52">
        <v>10000</v>
      </c>
      <c r="G120" s="52">
        <v>0</v>
      </c>
      <c r="I120" s="52" t="s">
        <v>1954</v>
      </c>
    </row>
    <row r="121" spans="1:9">
      <c r="A121">
        <v>120</v>
      </c>
      <c r="B121">
        <v>3</v>
      </c>
      <c r="D121" s="200" t="s">
        <v>1972</v>
      </c>
      <c r="F121" s="52">
        <v>250000</v>
      </c>
    </row>
    <row r="122" spans="1:9">
      <c r="A122">
        <v>121</v>
      </c>
      <c r="B122">
        <v>2</v>
      </c>
      <c r="C122" s="201">
        <v>501215718</v>
      </c>
      <c r="D122" s="200" t="s">
        <v>1992</v>
      </c>
      <c r="E122" s="200">
        <v>501215718</v>
      </c>
      <c r="F122" s="52">
        <v>15000</v>
      </c>
      <c r="G122" s="52">
        <v>8000</v>
      </c>
      <c r="I122" s="52" t="s">
        <v>1990</v>
      </c>
    </row>
    <row r="123" spans="1:9">
      <c r="A123">
        <v>122</v>
      </c>
      <c r="B123">
        <v>2</v>
      </c>
      <c r="C123" s="201">
        <v>501215783</v>
      </c>
      <c r="D123" s="200" t="s">
        <v>1992</v>
      </c>
      <c r="E123" s="200">
        <v>501215783</v>
      </c>
      <c r="F123" s="52">
        <v>15000</v>
      </c>
      <c r="G123" s="52">
        <v>8000</v>
      </c>
      <c r="I123" s="52" t="s">
        <v>1991</v>
      </c>
    </row>
    <row r="124" spans="1:9">
      <c r="A124">
        <v>123</v>
      </c>
      <c r="B124">
        <v>4</v>
      </c>
      <c r="C124" s="201" t="s">
        <v>2136</v>
      </c>
      <c r="D124" s="200" t="s">
        <v>2137</v>
      </c>
      <c r="E124" s="200" t="s">
        <v>2136</v>
      </c>
      <c r="F124" s="52">
        <v>1000000</v>
      </c>
    </row>
    <row r="125" spans="1:9">
      <c r="A125">
        <v>124</v>
      </c>
      <c r="B125">
        <v>14</v>
      </c>
      <c r="D125" s="200" t="s">
        <v>1998</v>
      </c>
      <c r="F125" s="52">
        <v>2000000</v>
      </c>
    </row>
    <row r="126" spans="1:9">
      <c r="A126">
        <v>125</v>
      </c>
      <c r="B126">
        <v>1</v>
      </c>
      <c r="C126" s="201" t="s">
        <v>2002</v>
      </c>
      <c r="D126" s="200" t="s">
        <v>1626</v>
      </c>
      <c r="E126" s="200" t="s">
        <v>2002</v>
      </c>
      <c r="F126" s="52">
        <v>1400000</v>
      </c>
    </row>
    <row r="127" spans="1:9">
      <c r="A127">
        <v>126</v>
      </c>
      <c r="B127">
        <v>13</v>
      </c>
      <c r="D127" s="200" t="s">
        <v>2005</v>
      </c>
      <c r="F127" s="52">
        <v>1200000</v>
      </c>
    </row>
    <row r="128" spans="1:9">
      <c r="A128">
        <v>127</v>
      </c>
      <c r="B128">
        <v>12</v>
      </c>
      <c r="C128" s="201" t="s">
        <v>2018</v>
      </c>
      <c r="D128" s="200" t="s">
        <v>2019</v>
      </c>
      <c r="E128" s="200" t="s">
        <v>2018</v>
      </c>
      <c r="F128" s="52">
        <v>1200000</v>
      </c>
      <c r="G128" s="52">
        <v>400000</v>
      </c>
      <c r="I128" s="52" t="s">
        <v>2020</v>
      </c>
    </row>
    <row r="129" spans="1:7">
      <c r="A129">
        <v>128</v>
      </c>
      <c r="B129">
        <v>12</v>
      </c>
      <c r="C129" s="201" t="s">
        <v>2016</v>
      </c>
      <c r="D129" s="200" t="s">
        <v>2017</v>
      </c>
      <c r="E129" s="200" t="s">
        <v>2016</v>
      </c>
      <c r="F129" s="52">
        <v>1000000</v>
      </c>
      <c r="G129" s="52">
        <v>380000</v>
      </c>
    </row>
    <row r="130" spans="1:7">
      <c r="A130">
        <v>129</v>
      </c>
      <c r="B130">
        <v>9</v>
      </c>
      <c r="C130" s="201">
        <v>415072909</v>
      </c>
      <c r="D130" s="200" t="s">
        <v>2645</v>
      </c>
      <c r="E130" s="200">
        <v>415072909</v>
      </c>
      <c r="F130" s="52">
        <v>380000</v>
      </c>
    </row>
    <row r="131" spans="1:7">
      <c r="A131">
        <v>130</v>
      </c>
      <c r="B131">
        <v>3</v>
      </c>
      <c r="C131" s="201" t="s">
        <v>2029</v>
      </c>
      <c r="D131" s="200" t="s">
        <v>2028</v>
      </c>
      <c r="E131" s="200" t="s">
        <v>2029</v>
      </c>
      <c r="F131" s="52">
        <v>250000</v>
      </c>
      <c r="G131" s="52">
        <v>120000</v>
      </c>
    </row>
    <row r="132" spans="1:7">
      <c r="A132">
        <v>131</v>
      </c>
      <c r="D132" s="200" t="s">
        <v>2032</v>
      </c>
      <c r="F132" s="52">
        <v>50000</v>
      </c>
    </row>
    <row r="133" spans="1:7">
      <c r="A133">
        <v>132</v>
      </c>
      <c r="B133">
        <v>4</v>
      </c>
      <c r="D133" s="200" t="s">
        <v>2038</v>
      </c>
      <c r="F133" s="52">
        <v>1600000</v>
      </c>
    </row>
    <row r="134" spans="1:7">
      <c r="A134">
        <v>133</v>
      </c>
      <c r="B134">
        <v>3</v>
      </c>
      <c r="D134" s="200" t="s">
        <v>2282</v>
      </c>
      <c r="F134" s="52">
        <v>600000</v>
      </c>
    </row>
    <row r="135" spans="1:7">
      <c r="A135">
        <v>134</v>
      </c>
      <c r="B135">
        <v>2</v>
      </c>
      <c r="C135" s="201">
        <v>7583332</v>
      </c>
      <c r="D135" s="200" t="s">
        <v>2063</v>
      </c>
      <c r="E135" s="200">
        <v>7583332</v>
      </c>
      <c r="F135" s="52">
        <v>450000</v>
      </c>
    </row>
    <row r="136" spans="1:7">
      <c r="A136">
        <v>135</v>
      </c>
      <c r="D136" s="200" t="s">
        <v>2065</v>
      </c>
      <c r="F136" s="52">
        <v>150000</v>
      </c>
    </row>
    <row r="137" spans="1:7">
      <c r="A137">
        <v>136</v>
      </c>
      <c r="B137">
        <v>1</v>
      </c>
      <c r="C137" s="201" t="s">
        <v>2072</v>
      </c>
      <c r="D137" s="200" t="s">
        <v>1240</v>
      </c>
      <c r="E137" s="200" t="s">
        <v>2072</v>
      </c>
      <c r="F137" s="52">
        <v>1700000</v>
      </c>
    </row>
    <row r="138" spans="1:7">
      <c r="A138">
        <v>137</v>
      </c>
      <c r="B138">
        <v>14</v>
      </c>
      <c r="D138" s="200" t="s">
        <v>2090</v>
      </c>
      <c r="F138" s="52">
        <v>2000000</v>
      </c>
    </row>
    <row r="139" spans="1:7">
      <c r="A139">
        <v>138</v>
      </c>
      <c r="B139">
        <v>14</v>
      </c>
      <c r="C139" s="201" t="s">
        <v>2102</v>
      </c>
      <c r="D139" s="200" t="s">
        <v>2103</v>
      </c>
      <c r="E139" s="200" t="s">
        <v>2102</v>
      </c>
      <c r="F139" s="52">
        <v>550000</v>
      </c>
    </row>
    <row r="140" spans="1:7">
      <c r="A140">
        <v>139</v>
      </c>
      <c r="D140" s="200" t="s">
        <v>2109</v>
      </c>
      <c r="F140" s="52">
        <v>84000</v>
      </c>
    </row>
    <row r="141" spans="1:7">
      <c r="A141">
        <v>140</v>
      </c>
      <c r="D141" s="200" t="s">
        <v>2112</v>
      </c>
      <c r="F141" s="52">
        <v>1000000</v>
      </c>
    </row>
    <row r="142" spans="1:7">
      <c r="A142">
        <v>141</v>
      </c>
      <c r="B142">
        <v>2</v>
      </c>
      <c r="C142" s="201">
        <v>2830406</v>
      </c>
      <c r="D142" s="200" t="s">
        <v>2831</v>
      </c>
      <c r="E142" s="200">
        <v>2830406</v>
      </c>
      <c r="F142" s="52">
        <v>1200000</v>
      </c>
    </row>
    <row r="143" spans="1:7">
      <c r="A143">
        <v>142</v>
      </c>
      <c r="B143">
        <v>14</v>
      </c>
      <c r="C143" s="201">
        <v>2830301</v>
      </c>
      <c r="D143" s="200" t="s">
        <v>2829</v>
      </c>
      <c r="E143" s="200">
        <v>2830301</v>
      </c>
      <c r="F143" s="52">
        <v>1000000</v>
      </c>
    </row>
    <row r="144" spans="1:7">
      <c r="A144">
        <v>143</v>
      </c>
      <c r="D144" s="200" t="s">
        <v>2129</v>
      </c>
      <c r="F144" s="52">
        <v>900000</v>
      </c>
    </row>
    <row r="145" spans="1:9">
      <c r="A145">
        <v>144</v>
      </c>
      <c r="B145">
        <v>8</v>
      </c>
      <c r="C145" s="201" t="s">
        <v>1990</v>
      </c>
      <c r="D145" s="200" t="s">
        <v>2227</v>
      </c>
      <c r="E145" s="200" t="s">
        <v>1990</v>
      </c>
      <c r="F145" s="52">
        <v>20000</v>
      </c>
      <c r="G145" s="52">
        <v>14500</v>
      </c>
    </row>
    <row r="146" spans="1:9">
      <c r="A146">
        <v>145</v>
      </c>
      <c r="B146">
        <v>8</v>
      </c>
      <c r="C146" s="201">
        <v>24347588724</v>
      </c>
      <c r="D146" s="200" t="s">
        <v>2144</v>
      </c>
      <c r="E146" s="200">
        <v>24347588724</v>
      </c>
      <c r="F146" s="52">
        <v>20000</v>
      </c>
      <c r="G146" s="52">
        <v>14500</v>
      </c>
    </row>
    <row r="147" spans="1:9">
      <c r="A147">
        <v>146</v>
      </c>
      <c r="B147">
        <v>14</v>
      </c>
      <c r="C147" s="201">
        <v>501220522</v>
      </c>
      <c r="D147" s="200" t="s">
        <v>2172</v>
      </c>
      <c r="E147" s="200">
        <v>501220522</v>
      </c>
      <c r="F147" s="52">
        <v>450000</v>
      </c>
    </row>
    <row r="148" spans="1:9">
      <c r="A148">
        <v>147</v>
      </c>
      <c r="C148" s="201">
        <v>2830401</v>
      </c>
      <c r="D148" s="200" t="s">
        <v>2301</v>
      </c>
      <c r="E148" s="200">
        <v>2830401</v>
      </c>
      <c r="F148" s="52">
        <v>1100000</v>
      </c>
    </row>
    <row r="149" spans="1:9">
      <c r="A149">
        <v>148</v>
      </c>
      <c r="B149">
        <v>13</v>
      </c>
      <c r="C149" s="201">
        <v>36050661</v>
      </c>
      <c r="D149" s="200" t="s">
        <v>2194</v>
      </c>
      <c r="E149" s="200">
        <v>36050661</v>
      </c>
      <c r="F149" s="52">
        <v>1200000</v>
      </c>
      <c r="G149" s="52">
        <v>440000</v>
      </c>
    </row>
    <row r="150" spans="1:9">
      <c r="A150">
        <v>149</v>
      </c>
      <c r="B150">
        <v>14</v>
      </c>
      <c r="C150" s="201" t="s">
        <v>2708</v>
      </c>
      <c r="D150" s="200" t="s">
        <v>2434</v>
      </c>
      <c r="E150" s="200" t="s">
        <v>2708</v>
      </c>
      <c r="F150" s="52">
        <v>65000</v>
      </c>
      <c r="G150" s="52">
        <v>35000</v>
      </c>
    </row>
    <row r="151" spans="1:9">
      <c r="A151">
        <v>150</v>
      </c>
      <c r="B151">
        <v>14</v>
      </c>
      <c r="C151" s="201">
        <v>6058008211</v>
      </c>
      <c r="D151" s="200" t="s">
        <v>2123</v>
      </c>
      <c r="E151" s="200">
        <v>6058008211</v>
      </c>
    </row>
    <row r="152" spans="1:9">
      <c r="A152">
        <v>151</v>
      </c>
      <c r="B152">
        <v>2</v>
      </c>
      <c r="D152" s="200" t="s">
        <v>2212</v>
      </c>
      <c r="F152" s="52">
        <v>200000</v>
      </c>
    </row>
    <row r="153" spans="1:9">
      <c r="A153">
        <v>152</v>
      </c>
      <c r="B153">
        <v>2</v>
      </c>
      <c r="D153" s="200" t="s">
        <v>2213</v>
      </c>
      <c r="F153" s="52">
        <v>250000</v>
      </c>
    </row>
    <row r="154" spans="1:9">
      <c r="A154">
        <v>153</v>
      </c>
      <c r="B154">
        <v>2</v>
      </c>
      <c r="C154" s="201">
        <v>2830502</v>
      </c>
      <c r="D154" s="200" t="s">
        <v>2833</v>
      </c>
      <c r="E154" s="200">
        <v>2830502</v>
      </c>
      <c r="F154" s="52">
        <v>1650000</v>
      </c>
    </row>
    <row r="155" spans="1:9">
      <c r="A155">
        <v>154</v>
      </c>
      <c r="B155">
        <v>14</v>
      </c>
      <c r="C155" s="201">
        <v>28120505</v>
      </c>
      <c r="D155" s="200" t="s">
        <v>2641</v>
      </c>
      <c r="E155" s="200">
        <v>28120505</v>
      </c>
      <c r="F155" s="52">
        <v>1550000</v>
      </c>
    </row>
    <row r="156" spans="1:9">
      <c r="A156">
        <v>155</v>
      </c>
      <c r="B156">
        <v>4</v>
      </c>
      <c r="D156" s="200" t="s">
        <v>2243</v>
      </c>
      <c r="F156" s="52">
        <v>990000</v>
      </c>
      <c r="G156" s="52">
        <v>940000</v>
      </c>
      <c r="I156" s="52" t="s">
        <v>2840</v>
      </c>
    </row>
    <row r="157" spans="1:9">
      <c r="A157">
        <v>156</v>
      </c>
      <c r="B157">
        <v>3</v>
      </c>
      <c r="D157" s="200" t="s">
        <v>2245</v>
      </c>
      <c r="F157" s="52">
        <v>1000000</v>
      </c>
    </row>
    <row r="158" spans="1:9">
      <c r="A158">
        <v>157</v>
      </c>
      <c r="B158">
        <v>2</v>
      </c>
      <c r="D158" s="200" t="s">
        <v>2247</v>
      </c>
      <c r="F158" s="52">
        <v>1200000</v>
      </c>
    </row>
    <row r="159" spans="1:9">
      <c r="A159">
        <v>158</v>
      </c>
      <c r="C159" s="201">
        <v>2295001282</v>
      </c>
      <c r="D159" s="200" t="s">
        <v>2645</v>
      </c>
      <c r="E159" s="200">
        <v>2295001282</v>
      </c>
      <c r="F159" s="52">
        <v>422000</v>
      </c>
    </row>
    <row r="160" spans="1:9">
      <c r="A160">
        <v>159</v>
      </c>
      <c r="D160" s="200" t="s">
        <v>2707</v>
      </c>
      <c r="F160" s="52">
        <v>500000</v>
      </c>
      <c r="G160" s="52">
        <v>250000</v>
      </c>
    </row>
    <row r="161" spans="1:9">
      <c r="A161">
        <v>160</v>
      </c>
      <c r="D161" s="200" t="s">
        <v>2320</v>
      </c>
      <c r="F161" s="52">
        <v>150000</v>
      </c>
    </row>
    <row r="162" spans="1:9">
      <c r="A162">
        <v>161</v>
      </c>
      <c r="B162">
        <v>6</v>
      </c>
      <c r="D162" s="200" t="s">
        <v>2331</v>
      </c>
      <c r="F162" s="52">
        <v>800000</v>
      </c>
    </row>
    <row r="163" spans="1:9">
      <c r="A163">
        <v>162</v>
      </c>
      <c r="D163" s="200" t="s">
        <v>2337</v>
      </c>
      <c r="F163" s="52">
        <v>900000</v>
      </c>
    </row>
    <row r="164" spans="1:9">
      <c r="A164">
        <v>163</v>
      </c>
      <c r="D164" s="200" t="s">
        <v>2348</v>
      </c>
      <c r="F164" s="52">
        <v>900000</v>
      </c>
      <c r="G164" s="52">
        <v>600000</v>
      </c>
    </row>
    <row r="165" spans="1:9">
      <c r="A165">
        <v>164</v>
      </c>
      <c r="B165">
        <v>14</v>
      </c>
      <c r="C165" s="201">
        <v>1068327224</v>
      </c>
      <c r="D165" s="200" t="s">
        <v>2364</v>
      </c>
      <c r="E165" s="200">
        <v>1068327224</v>
      </c>
      <c r="F165" s="52">
        <v>80000</v>
      </c>
      <c r="G165" s="52">
        <v>45000</v>
      </c>
    </row>
    <row r="166" spans="1:9">
      <c r="A166">
        <v>165</v>
      </c>
      <c r="C166" s="201">
        <v>1087327175</v>
      </c>
      <c r="D166" s="200" t="s">
        <v>2362</v>
      </c>
      <c r="E166" s="200">
        <v>1087327175</v>
      </c>
      <c r="F166" s="52">
        <v>90000</v>
      </c>
      <c r="G166" s="52">
        <v>65000</v>
      </c>
      <c r="I166" s="52" t="s">
        <v>2363</v>
      </c>
    </row>
    <row r="167" spans="1:9">
      <c r="A167">
        <v>166</v>
      </c>
      <c r="B167">
        <v>3</v>
      </c>
      <c r="C167" s="201" t="s">
        <v>2365</v>
      </c>
      <c r="D167" s="200" t="s">
        <v>2366</v>
      </c>
      <c r="E167" s="200" t="s">
        <v>2365</v>
      </c>
      <c r="F167" s="52">
        <v>350000</v>
      </c>
      <c r="G167" s="52">
        <v>155000</v>
      </c>
    </row>
    <row r="168" spans="1:9">
      <c r="A168">
        <v>167</v>
      </c>
      <c r="C168" s="201" t="s">
        <v>2593</v>
      </c>
      <c r="D168" s="200" t="s">
        <v>2594</v>
      </c>
      <c r="E168" s="200" t="s">
        <v>2593</v>
      </c>
      <c r="F168" s="52">
        <v>450000</v>
      </c>
      <c r="G168" s="52">
        <v>260000</v>
      </c>
    </row>
    <row r="169" spans="1:9">
      <c r="A169">
        <v>168</v>
      </c>
      <c r="C169" s="201">
        <v>4150862090</v>
      </c>
      <c r="D169" s="200" t="s">
        <v>2645</v>
      </c>
      <c r="E169" s="200">
        <v>4150862090</v>
      </c>
      <c r="F169" s="52">
        <v>445000</v>
      </c>
    </row>
    <row r="170" spans="1:9">
      <c r="A170">
        <v>169</v>
      </c>
      <c r="B170">
        <v>3</v>
      </c>
      <c r="D170" s="200" t="s">
        <v>2382</v>
      </c>
      <c r="F170" s="52">
        <v>1600000</v>
      </c>
    </row>
    <row r="171" spans="1:9">
      <c r="A171">
        <v>170</v>
      </c>
      <c r="D171" s="200" t="s">
        <v>2410</v>
      </c>
      <c r="F171" s="52">
        <v>1200000</v>
      </c>
    </row>
    <row r="172" spans="1:9">
      <c r="A172">
        <v>171</v>
      </c>
      <c r="D172" s="200" t="s">
        <v>2391</v>
      </c>
      <c r="F172" s="52">
        <v>650000</v>
      </c>
    </row>
    <row r="173" spans="1:9">
      <c r="A173">
        <v>172</v>
      </c>
      <c r="C173" s="201">
        <v>415089709</v>
      </c>
      <c r="D173" s="200" t="s">
        <v>2645</v>
      </c>
      <c r="E173" s="200">
        <v>415089709</v>
      </c>
      <c r="F173" s="52">
        <v>498000</v>
      </c>
    </row>
    <row r="174" spans="1:9">
      <c r="A174">
        <v>173</v>
      </c>
      <c r="B174">
        <v>1</v>
      </c>
      <c r="C174" s="201" t="s">
        <v>2419</v>
      </c>
      <c r="D174" s="200" t="s">
        <v>2420</v>
      </c>
      <c r="E174" s="200" t="s">
        <v>2419</v>
      </c>
      <c r="F174" s="52">
        <v>990000</v>
      </c>
      <c r="G174" s="52">
        <v>900000</v>
      </c>
    </row>
    <row r="175" spans="1:9">
      <c r="A175">
        <v>174</v>
      </c>
      <c r="B175">
        <v>14</v>
      </c>
      <c r="C175" s="201">
        <v>28120411</v>
      </c>
      <c r="D175" s="200" t="s">
        <v>2422</v>
      </c>
      <c r="E175" s="200">
        <v>28120411</v>
      </c>
      <c r="F175" s="52">
        <v>1500000</v>
      </c>
    </row>
    <row r="176" spans="1:9">
      <c r="A176">
        <v>175</v>
      </c>
      <c r="B176">
        <v>9</v>
      </c>
      <c r="C176" s="201">
        <v>1087298437</v>
      </c>
      <c r="D176" s="200" t="s">
        <v>2807</v>
      </c>
      <c r="E176" s="200">
        <v>1087298437</v>
      </c>
      <c r="F176" s="52">
        <v>86000</v>
      </c>
      <c r="G176" s="52">
        <v>76000</v>
      </c>
    </row>
    <row r="177" spans="1:7">
      <c r="A177">
        <v>176</v>
      </c>
      <c r="D177" s="200" t="s">
        <v>2437</v>
      </c>
      <c r="F177" s="52">
        <v>150000</v>
      </c>
    </row>
    <row r="178" spans="1:7">
      <c r="A178">
        <v>177</v>
      </c>
      <c r="B178">
        <v>15</v>
      </c>
      <c r="C178" s="201">
        <v>24046895</v>
      </c>
      <c r="D178" s="200" t="s">
        <v>2441</v>
      </c>
      <c r="E178" s="200">
        <v>24046895</v>
      </c>
      <c r="F178" s="52">
        <v>120000</v>
      </c>
      <c r="G178" s="52">
        <v>55000</v>
      </c>
    </row>
    <row r="179" spans="1:7">
      <c r="A179">
        <v>178</v>
      </c>
      <c r="D179" s="200" t="s">
        <v>2503</v>
      </c>
      <c r="F179" s="52">
        <v>450000</v>
      </c>
    </row>
    <row r="180" spans="1:7">
      <c r="A180">
        <v>179</v>
      </c>
      <c r="D180" s="200" t="s">
        <v>2504</v>
      </c>
      <c r="F180" s="52">
        <v>600000</v>
      </c>
    </row>
    <row r="181" spans="1:7">
      <c r="A181">
        <v>180</v>
      </c>
      <c r="B181">
        <v>1</v>
      </c>
      <c r="C181" s="201" t="s">
        <v>2506</v>
      </c>
      <c r="D181" s="200" t="s">
        <v>2507</v>
      </c>
      <c r="E181" s="200" t="s">
        <v>2506</v>
      </c>
      <c r="F181" s="52">
        <v>850000</v>
      </c>
      <c r="G181" s="52">
        <v>520000</v>
      </c>
    </row>
    <row r="182" spans="1:7">
      <c r="A182">
        <v>181</v>
      </c>
      <c r="D182" s="200" t="s">
        <v>2511</v>
      </c>
      <c r="F182" s="52">
        <v>200000</v>
      </c>
    </row>
    <row r="183" spans="1:7">
      <c r="A183">
        <v>182</v>
      </c>
      <c r="B183">
        <v>1</v>
      </c>
      <c r="C183" s="201" t="s">
        <v>2524</v>
      </c>
      <c r="D183" s="200" t="s">
        <v>2488</v>
      </c>
      <c r="E183" s="200" t="s">
        <v>2524</v>
      </c>
      <c r="F183" s="52">
        <v>770000</v>
      </c>
    </row>
    <row r="184" spans="1:7">
      <c r="A184">
        <v>183</v>
      </c>
      <c r="B184">
        <v>3</v>
      </c>
      <c r="C184" s="201" t="s">
        <v>2531</v>
      </c>
      <c r="D184" s="200" t="s">
        <v>2532</v>
      </c>
      <c r="E184" s="200" t="s">
        <v>2531</v>
      </c>
      <c r="F184" s="52">
        <v>650000</v>
      </c>
      <c r="G184" s="52">
        <v>627000</v>
      </c>
    </row>
    <row r="185" spans="1:7">
      <c r="A185">
        <v>184</v>
      </c>
      <c r="B185">
        <v>3</v>
      </c>
      <c r="C185" s="201" t="s">
        <v>2533</v>
      </c>
      <c r="D185" s="200" t="s">
        <v>2534</v>
      </c>
      <c r="E185" s="200" t="s">
        <v>2533</v>
      </c>
      <c r="F185" s="52">
        <v>100000</v>
      </c>
      <c r="G185" s="52">
        <v>69000</v>
      </c>
    </row>
    <row r="186" spans="1:7">
      <c r="A186">
        <v>185</v>
      </c>
      <c r="D186" s="200" t="s">
        <v>2571</v>
      </c>
      <c r="F186" s="52">
        <v>850000</v>
      </c>
    </row>
    <row r="187" spans="1:7">
      <c r="A187">
        <v>186</v>
      </c>
      <c r="B187">
        <v>1</v>
      </c>
      <c r="D187" s="200" t="s">
        <v>2620</v>
      </c>
      <c r="F187" s="52">
        <v>500000</v>
      </c>
    </row>
    <row r="188" spans="1:7">
      <c r="A188">
        <v>187</v>
      </c>
      <c r="C188" s="201">
        <v>2463772400</v>
      </c>
      <c r="D188" s="200" t="s">
        <v>2636</v>
      </c>
      <c r="E188" s="200">
        <v>2463772400</v>
      </c>
      <c r="F188" s="52">
        <v>67500</v>
      </c>
    </row>
    <row r="189" spans="1:7">
      <c r="A189">
        <v>188</v>
      </c>
      <c r="C189" s="201">
        <v>2462500901</v>
      </c>
      <c r="D189" s="200" t="s">
        <v>2635</v>
      </c>
      <c r="E189" s="200">
        <v>2462500901</v>
      </c>
      <c r="F189" s="52">
        <v>1170000</v>
      </c>
    </row>
    <row r="190" spans="1:7">
      <c r="A190">
        <v>189</v>
      </c>
      <c r="B190">
        <v>3</v>
      </c>
      <c r="C190" s="201" t="s">
        <v>2691</v>
      </c>
      <c r="D190" s="200" t="s">
        <v>2692</v>
      </c>
      <c r="E190" s="200" t="s">
        <v>2691</v>
      </c>
      <c r="F190" s="52">
        <v>1000000</v>
      </c>
    </row>
    <row r="191" spans="1:7">
      <c r="A191">
        <v>190</v>
      </c>
      <c r="B191">
        <v>12</v>
      </c>
      <c r="C191" s="201" t="s">
        <v>2987</v>
      </c>
      <c r="D191" s="200" t="s">
        <v>2988</v>
      </c>
      <c r="E191" s="200" t="s">
        <v>2987</v>
      </c>
      <c r="F191" s="52">
        <v>1600000</v>
      </c>
      <c r="G191" s="52">
        <v>1250000</v>
      </c>
    </row>
    <row r="192" spans="1:7">
      <c r="A192">
        <v>191</v>
      </c>
      <c r="B192">
        <v>12</v>
      </c>
      <c r="C192" s="201" t="s">
        <v>2745</v>
      </c>
      <c r="D192" s="200" t="s">
        <v>2746</v>
      </c>
      <c r="E192" s="200" t="s">
        <v>2745</v>
      </c>
      <c r="F192" s="52">
        <v>1500000</v>
      </c>
      <c r="G192" s="52">
        <v>1250000</v>
      </c>
    </row>
    <row r="193" spans="1:9">
      <c r="A193">
        <v>192</v>
      </c>
      <c r="B193">
        <v>2</v>
      </c>
      <c r="D193" s="200" t="s">
        <v>2754</v>
      </c>
      <c r="F193" s="52">
        <v>1100000</v>
      </c>
    </row>
    <row r="194" spans="1:9">
      <c r="A194">
        <v>193</v>
      </c>
      <c r="D194" s="200" t="s">
        <v>2784</v>
      </c>
      <c r="F194" s="52">
        <v>1700000</v>
      </c>
    </row>
    <row r="195" spans="1:9">
      <c r="A195">
        <v>194</v>
      </c>
      <c r="C195" s="201" t="s">
        <v>2835</v>
      </c>
      <c r="D195" s="200" t="s">
        <v>2836</v>
      </c>
      <c r="E195" s="200" t="s">
        <v>2835</v>
      </c>
      <c r="F195" s="52">
        <v>400000</v>
      </c>
    </row>
    <row r="196" spans="1:9">
      <c r="A196">
        <v>195</v>
      </c>
      <c r="C196" s="201" t="s">
        <v>2859</v>
      </c>
      <c r="D196" s="200" t="s">
        <v>2860</v>
      </c>
      <c r="E196" s="200" t="s">
        <v>2859</v>
      </c>
      <c r="F196" s="52">
        <v>1500000</v>
      </c>
    </row>
    <row r="197" spans="1:9">
      <c r="A197">
        <v>196</v>
      </c>
      <c r="B197">
        <v>2</v>
      </c>
      <c r="D197" s="200" t="s">
        <v>2878</v>
      </c>
      <c r="F197" s="52">
        <v>150000</v>
      </c>
    </row>
    <row r="198" spans="1:9">
      <c r="A198">
        <v>197</v>
      </c>
      <c r="B198">
        <v>1</v>
      </c>
      <c r="C198" s="201">
        <v>7252703114</v>
      </c>
      <c r="D198" s="200" t="s">
        <v>2906</v>
      </c>
      <c r="E198" s="200">
        <v>7252703114</v>
      </c>
      <c r="F198" s="52">
        <v>198000</v>
      </c>
      <c r="G198" s="52">
        <v>135000</v>
      </c>
    </row>
    <row r="199" spans="1:9">
      <c r="A199">
        <v>198</v>
      </c>
      <c r="B199">
        <v>14</v>
      </c>
      <c r="C199" s="201">
        <v>1094302044</v>
      </c>
      <c r="D199" s="200" t="s">
        <v>2908</v>
      </c>
      <c r="E199" s="200">
        <v>1094302044</v>
      </c>
      <c r="F199" s="52">
        <v>300000</v>
      </c>
      <c r="G199" s="52">
        <v>150000</v>
      </c>
      <c r="I199" s="52" t="s">
        <v>2909</v>
      </c>
    </row>
    <row r="200" spans="1:9">
      <c r="A200">
        <v>199</v>
      </c>
      <c r="B200">
        <v>14</v>
      </c>
      <c r="C200" s="201" t="s">
        <v>3008</v>
      </c>
      <c r="D200" s="200" t="s">
        <v>3009</v>
      </c>
      <c r="E200" s="200" t="s">
        <v>3008</v>
      </c>
      <c r="F200" s="52">
        <v>300000</v>
      </c>
      <c r="G200" s="52">
        <v>150000</v>
      </c>
      <c r="H200" s="52" t="s">
        <v>3010</v>
      </c>
    </row>
    <row r="201" spans="1:9">
      <c r="A201">
        <v>200</v>
      </c>
      <c r="B201">
        <v>14</v>
      </c>
      <c r="C201" s="201">
        <v>501220639</v>
      </c>
      <c r="D201" s="200" t="s">
        <v>1826</v>
      </c>
      <c r="E201" s="200">
        <v>501220639</v>
      </c>
      <c r="F201" s="52">
        <v>250000</v>
      </c>
      <c r="G201" s="52">
        <v>150000</v>
      </c>
    </row>
    <row r="202" spans="1:9">
      <c r="A202">
        <v>201</v>
      </c>
      <c r="B202">
        <v>3</v>
      </c>
      <c r="C202" s="201" t="s">
        <v>3014</v>
      </c>
      <c r="D202" s="200" t="s">
        <v>3016</v>
      </c>
      <c r="E202" s="200" t="s">
        <v>3014</v>
      </c>
      <c r="F202" s="52">
        <v>75000</v>
      </c>
      <c r="G202" s="52">
        <v>67000</v>
      </c>
    </row>
    <row r="203" spans="1:9">
      <c r="A203">
        <v>202</v>
      </c>
      <c r="C203" s="201" t="s">
        <v>3012</v>
      </c>
      <c r="D203" s="200" t="s">
        <v>3013</v>
      </c>
      <c r="E203" s="200" t="s">
        <v>3012</v>
      </c>
      <c r="F203" s="52">
        <v>13000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4">
        <v>125</v>
      </c>
    </row>
    <row r="2" spans="1:10">
      <c r="A2">
        <v>1</v>
      </c>
      <c r="C2" s="13">
        <v>45778</v>
      </c>
      <c r="D2" s="200" t="s">
        <v>1260</v>
      </c>
      <c r="E2" s="200" t="s">
        <v>1249</v>
      </c>
      <c r="F2" s="200" t="s">
        <v>1260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1654</v>
      </c>
      <c r="G3" s="52">
        <v>1000000</v>
      </c>
    </row>
    <row r="4" spans="1:10">
      <c r="A4">
        <v>3</v>
      </c>
      <c r="C4" s="13"/>
      <c r="D4" s="200"/>
      <c r="E4" s="200" t="s">
        <v>1165</v>
      </c>
      <c r="G4" s="52">
        <v>300000</v>
      </c>
    </row>
    <row r="5" spans="1:10">
      <c r="A5">
        <v>4</v>
      </c>
      <c r="C5" s="13"/>
      <c r="D5" s="200"/>
      <c r="E5" s="200" t="s">
        <v>1174</v>
      </c>
      <c r="G5" s="52">
        <v>700000</v>
      </c>
    </row>
    <row r="6" spans="1:10">
      <c r="A6">
        <v>5</v>
      </c>
      <c r="E6" s="200" t="s">
        <v>1289</v>
      </c>
      <c r="G6" s="52">
        <v>1000000</v>
      </c>
    </row>
    <row r="7" spans="1:10">
      <c r="A7">
        <v>6</v>
      </c>
      <c r="D7" s="200"/>
      <c r="E7" s="200" t="s">
        <v>1687</v>
      </c>
      <c r="G7" s="52">
        <v>198000</v>
      </c>
    </row>
    <row r="8" spans="1:10">
      <c r="A8">
        <v>7</v>
      </c>
      <c r="D8" s="200"/>
      <c r="E8" s="200" t="s">
        <v>1655</v>
      </c>
      <c r="G8" s="52">
        <v>12000</v>
      </c>
    </row>
    <row r="9" spans="1:10">
      <c r="A9">
        <v>8</v>
      </c>
      <c r="D9" s="200"/>
      <c r="E9" s="200" t="s">
        <v>1808</v>
      </c>
      <c r="G9" s="52">
        <v>650000</v>
      </c>
    </row>
    <row r="10" spans="1:10">
      <c r="A10">
        <v>9</v>
      </c>
      <c r="E10" s="200" t="s">
        <v>1173</v>
      </c>
      <c r="G10" s="52">
        <v>1000000</v>
      </c>
    </row>
    <row r="11" spans="1:10">
      <c r="A11">
        <v>10</v>
      </c>
      <c r="E11" s="200" t="s">
        <v>1688</v>
      </c>
      <c r="F11" s="200">
        <v>602000700</v>
      </c>
      <c r="G11" s="52">
        <v>350000</v>
      </c>
    </row>
    <row r="12" spans="1:10">
      <c r="A12">
        <v>11</v>
      </c>
      <c r="E12" s="200" t="s">
        <v>1689</v>
      </c>
      <c r="G12" s="52">
        <v>55000</v>
      </c>
    </row>
    <row r="13" spans="1:10">
      <c r="A13">
        <v>12</v>
      </c>
      <c r="E13" s="200" t="s">
        <v>1176</v>
      </c>
      <c r="G13" s="52">
        <v>600000</v>
      </c>
    </row>
    <row r="14" spans="1:10">
      <c r="A14">
        <v>13</v>
      </c>
      <c r="E14" s="200" t="s">
        <v>1177</v>
      </c>
      <c r="G14" s="52">
        <v>25000</v>
      </c>
    </row>
    <row r="15" spans="1:10">
      <c r="A15">
        <v>14</v>
      </c>
      <c r="E15" s="200" t="s">
        <v>1178</v>
      </c>
      <c r="G15" s="52">
        <v>800000</v>
      </c>
    </row>
    <row r="16" spans="1:10">
      <c r="A16">
        <v>15</v>
      </c>
      <c r="E16" s="200" t="s">
        <v>1690</v>
      </c>
      <c r="G16" s="52">
        <v>330000</v>
      </c>
    </row>
    <row r="17" spans="1:7">
      <c r="A17">
        <v>16</v>
      </c>
      <c r="E17" s="200" t="s">
        <v>1710</v>
      </c>
      <c r="G17" s="52">
        <v>1100000</v>
      </c>
    </row>
    <row r="18" spans="1:7">
      <c r="A18">
        <v>17</v>
      </c>
      <c r="E18" s="200" t="s">
        <v>1184</v>
      </c>
      <c r="G18" s="52">
        <v>1650000</v>
      </c>
    </row>
    <row r="19" spans="1:7">
      <c r="A19">
        <v>18</v>
      </c>
      <c r="E19" s="200" t="s">
        <v>1188</v>
      </c>
      <c r="G19" s="52">
        <v>1500000</v>
      </c>
    </row>
    <row r="20" spans="1:7">
      <c r="A20">
        <v>19</v>
      </c>
      <c r="E20" s="200" t="s">
        <v>1128</v>
      </c>
      <c r="G20" s="52">
        <v>198000</v>
      </c>
    </row>
    <row r="21" spans="1:7">
      <c r="A21">
        <v>20</v>
      </c>
      <c r="E21" s="200" t="s">
        <v>1196</v>
      </c>
      <c r="G21" s="52">
        <v>150000</v>
      </c>
    </row>
    <row r="22" spans="1:7">
      <c r="A22">
        <v>21</v>
      </c>
      <c r="E22" s="200" t="s">
        <v>1197</v>
      </c>
      <c r="G22" s="52">
        <v>100000</v>
      </c>
    </row>
    <row r="23" spans="1:7">
      <c r="A23">
        <v>22</v>
      </c>
      <c r="E23" s="200" t="s">
        <v>1707</v>
      </c>
      <c r="G23" s="52">
        <v>230000</v>
      </c>
    </row>
    <row r="24" spans="1:7">
      <c r="A24">
        <v>23</v>
      </c>
      <c r="E24" s="200" t="s">
        <v>1708</v>
      </c>
      <c r="G24" s="52">
        <v>600000</v>
      </c>
    </row>
    <row r="25" spans="1:7">
      <c r="A25">
        <v>24</v>
      </c>
      <c r="D25" s="201">
        <v>927769</v>
      </c>
      <c r="E25" s="200" t="s">
        <v>1693</v>
      </c>
      <c r="F25" s="200">
        <v>927769</v>
      </c>
      <c r="G25" s="52">
        <v>1000000</v>
      </c>
    </row>
    <row r="26" spans="1:7">
      <c r="A26">
        <v>25</v>
      </c>
      <c r="D26" s="201" t="s">
        <v>1233</v>
      </c>
      <c r="E26" s="200" t="s">
        <v>1693</v>
      </c>
      <c r="F26" s="200" t="s">
        <v>1233</v>
      </c>
      <c r="G26" s="52">
        <v>1000000</v>
      </c>
    </row>
    <row r="27" spans="1:7">
      <c r="A27">
        <v>26</v>
      </c>
      <c r="D27" s="201" t="s">
        <v>1234</v>
      </c>
      <c r="E27" s="200" t="s">
        <v>1693</v>
      </c>
      <c r="F27" s="200" t="s">
        <v>1234</v>
      </c>
      <c r="G27" s="52">
        <v>1000000</v>
      </c>
    </row>
    <row r="28" spans="1:7">
      <c r="A28">
        <v>27</v>
      </c>
      <c r="D28" s="201" t="s">
        <v>1235</v>
      </c>
      <c r="E28" s="200" t="s">
        <v>1695</v>
      </c>
      <c r="F28" s="200" t="s">
        <v>1235</v>
      </c>
      <c r="G28" s="52">
        <v>1400000</v>
      </c>
    </row>
    <row r="29" spans="1:7">
      <c r="A29">
        <v>28</v>
      </c>
      <c r="D29" s="201" t="s">
        <v>1236</v>
      </c>
      <c r="E29" s="200" t="s">
        <v>1697</v>
      </c>
      <c r="F29" s="200" t="s">
        <v>1236</v>
      </c>
      <c r="G29" s="52">
        <v>1500000</v>
      </c>
    </row>
    <row r="30" spans="1:7">
      <c r="A30">
        <v>29</v>
      </c>
      <c r="D30" s="201">
        <v>927156</v>
      </c>
      <c r="E30" s="200" t="s">
        <v>1698</v>
      </c>
      <c r="F30" s="200">
        <v>927156</v>
      </c>
      <c r="G30" s="52">
        <v>1500000</v>
      </c>
    </row>
    <row r="31" spans="1:7">
      <c r="A31">
        <v>30</v>
      </c>
      <c r="D31" s="200" t="s">
        <v>1260</v>
      </c>
      <c r="E31" s="200" t="s">
        <v>1258</v>
      </c>
      <c r="F31" s="200" t="s">
        <v>1260</v>
      </c>
      <c r="G31" s="52">
        <v>1400000</v>
      </c>
    </row>
    <row r="32" spans="1:7">
      <c r="A32">
        <v>31</v>
      </c>
      <c r="D32" s="201" t="s">
        <v>1239</v>
      </c>
      <c r="E32" s="200" t="s">
        <v>1240</v>
      </c>
      <c r="F32" s="200" t="s">
        <v>1239</v>
      </c>
      <c r="G32" s="52">
        <v>1200000</v>
      </c>
    </row>
    <row r="33" spans="1:7">
      <c r="A33">
        <v>32</v>
      </c>
      <c r="D33" s="201" t="s">
        <v>1241</v>
      </c>
      <c r="E33" s="200" t="s">
        <v>1240</v>
      </c>
      <c r="F33" s="200" t="s">
        <v>1241</v>
      </c>
      <c r="G33" s="52">
        <v>1200000</v>
      </c>
    </row>
    <row r="34" spans="1:7">
      <c r="A34">
        <v>33</v>
      </c>
      <c r="D34" s="201" t="s">
        <v>1827</v>
      </c>
      <c r="E34" s="200" t="s">
        <v>1828</v>
      </c>
      <c r="F34" s="200" t="s">
        <v>1827</v>
      </c>
      <c r="G34" s="52">
        <v>549000</v>
      </c>
    </row>
    <row r="35" spans="1:7">
      <c r="A35">
        <v>34</v>
      </c>
      <c r="D35" s="200" t="s">
        <v>1245</v>
      </c>
      <c r="E35" s="200" t="s">
        <v>1244</v>
      </c>
      <c r="F35" s="200" t="s">
        <v>1245</v>
      </c>
      <c r="G35" s="52">
        <v>1300000</v>
      </c>
    </row>
    <row r="36" spans="1:7">
      <c r="A36">
        <v>35</v>
      </c>
      <c r="D36" s="201" t="s">
        <v>1251</v>
      </c>
      <c r="E36" s="200" t="s">
        <v>1249</v>
      </c>
      <c r="F36" s="200" t="s">
        <v>1250</v>
      </c>
      <c r="G36" s="52">
        <v>1500000</v>
      </c>
    </row>
    <row r="37" spans="1:7">
      <c r="A37">
        <v>36</v>
      </c>
      <c r="D37" s="201" t="s">
        <v>1251</v>
      </c>
      <c r="E37" s="200" t="s">
        <v>1252</v>
      </c>
      <c r="F37" s="200" t="s">
        <v>1251</v>
      </c>
      <c r="G37" s="52">
        <v>1600000</v>
      </c>
    </row>
    <row r="38" spans="1:7">
      <c r="A38">
        <v>37</v>
      </c>
      <c r="D38" s="201" t="s">
        <v>1254</v>
      </c>
      <c r="E38" s="200" t="s">
        <v>1253</v>
      </c>
      <c r="F38" s="200" t="s">
        <v>1254</v>
      </c>
      <c r="G38" s="52">
        <v>2200000</v>
      </c>
    </row>
    <row r="39" spans="1:7">
      <c r="A39">
        <v>38</v>
      </c>
      <c r="D39" s="201" t="s">
        <v>1255</v>
      </c>
      <c r="E39" s="200" t="s">
        <v>1699</v>
      </c>
      <c r="F39" s="200" t="s">
        <v>1255</v>
      </c>
      <c r="G39" s="52">
        <v>1500000</v>
      </c>
    </row>
    <row r="40" spans="1:7">
      <c r="A40">
        <v>39</v>
      </c>
      <c r="D40" s="200" t="s">
        <v>1262</v>
      </c>
      <c r="E40" s="200" t="s">
        <v>1407</v>
      </c>
      <c r="F40" s="200" t="s">
        <v>1408</v>
      </c>
      <c r="G40" s="52">
        <v>1600000</v>
      </c>
    </row>
    <row r="41" spans="1:7">
      <c r="A41">
        <v>40</v>
      </c>
      <c r="D41" s="200" t="s">
        <v>1297</v>
      </c>
      <c r="E41" s="200" t="s">
        <v>1298</v>
      </c>
      <c r="F41" s="200" t="s">
        <v>1297</v>
      </c>
    </row>
    <row r="42" spans="1:7">
      <c r="A42">
        <v>41</v>
      </c>
      <c r="D42" s="201" t="s">
        <v>1736</v>
      </c>
      <c r="E42" s="200" t="s">
        <v>1737</v>
      </c>
      <c r="F42" s="200" t="s">
        <v>1736</v>
      </c>
      <c r="G42" s="52">
        <v>130000</v>
      </c>
    </row>
    <row r="43" spans="1:7">
      <c r="A43">
        <v>42</v>
      </c>
      <c r="D43" s="201" t="s">
        <v>1790</v>
      </c>
      <c r="E43" s="200" t="s">
        <v>1791</v>
      </c>
      <c r="F43" s="200" t="s">
        <v>1790</v>
      </c>
      <c r="G43" s="52">
        <v>50000</v>
      </c>
    </row>
    <row r="44" spans="1:7">
      <c r="A44">
        <v>43</v>
      </c>
      <c r="D44" s="201">
        <v>2703900</v>
      </c>
      <c r="E44" s="200" t="s">
        <v>1307</v>
      </c>
      <c r="F44" s="200">
        <v>2703900</v>
      </c>
      <c r="G44" s="52">
        <v>1600000</v>
      </c>
    </row>
    <row r="45" spans="1:7">
      <c r="A45">
        <v>44</v>
      </c>
      <c r="E45" s="200" t="s">
        <v>1422</v>
      </c>
      <c r="G45" s="52">
        <v>1000000</v>
      </c>
    </row>
    <row r="46" spans="1:7">
      <c r="A46">
        <v>45</v>
      </c>
      <c r="E46" s="200" t="s">
        <v>1512</v>
      </c>
      <c r="G46" s="52">
        <v>10000</v>
      </c>
    </row>
    <row r="47" spans="1:7">
      <c r="A47">
        <v>46</v>
      </c>
      <c r="E47" s="200" t="s">
        <v>1522</v>
      </c>
      <c r="G47" s="52">
        <v>140000</v>
      </c>
    </row>
    <row r="48" spans="1:7">
      <c r="A48">
        <v>47</v>
      </c>
      <c r="E48" s="200" t="s">
        <v>1528</v>
      </c>
      <c r="G48" s="52">
        <v>1600000</v>
      </c>
    </row>
    <row r="49" spans="1:7">
      <c r="A49">
        <v>48</v>
      </c>
      <c r="E49" s="200" t="s">
        <v>1532</v>
      </c>
      <c r="G49" s="52">
        <v>1600000</v>
      </c>
    </row>
    <row r="50" spans="1:7">
      <c r="A50">
        <v>49</v>
      </c>
      <c r="E50" s="200" t="s">
        <v>1534</v>
      </c>
      <c r="G50" s="52">
        <v>100000</v>
      </c>
    </row>
    <row r="51" spans="1:7">
      <c r="A51">
        <v>50</v>
      </c>
      <c r="E51" s="200" t="s">
        <v>1538</v>
      </c>
      <c r="G51" s="52">
        <v>350000</v>
      </c>
    </row>
    <row r="52" spans="1:7">
      <c r="A52">
        <v>51</v>
      </c>
      <c r="E52" s="200" t="s">
        <v>1545</v>
      </c>
      <c r="G52" s="52">
        <v>1600000</v>
      </c>
    </row>
    <row r="53" spans="1:7">
      <c r="A53">
        <v>52</v>
      </c>
      <c r="E53" s="200" t="s">
        <v>1548</v>
      </c>
      <c r="G53" s="52">
        <v>200000</v>
      </c>
    </row>
    <row r="54" spans="1:7">
      <c r="A54">
        <v>53</v>
      </c>
      <c r="E54" s="200" t="s">
        <v>1561</v>
      </c>
      <c r="G54" s="52">
        <v>20000</v>
      </c>
    </row>
    <row r="55" spans="1:7">
      <c r="A55">
        <v>54</v>
      </c>
      <c r="E55" s="200" t="s">
        <v>1566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1577</v>
      </c>
      <c r="G58" s="52">
        <v>450000</v>
      </c>
    </row>
    <row r="59" spans="1:7">
      <c r="A59">
        <v>58</v>
      </c>
      <c r="D59" s="201">
        <v>24152333903</v>
      </c>
      <c r="E59" s="200" t="s">
        <v>1891</v>
      </c>
      <c r="F59" s="200">
        <v>24152333903</v>
      </c>
      <c r="G59" s="52">
        <v>50000</v>
      </c>
    </row>
    <row r="60" spans="1:7">
      <c r="A60">
        <v>59</v>
      </c>
      <c r="E60" s="200" t="s">
        <v>1597</v>
      </c>
      <c r="G60" s="52">
        <v>350000</v>
      </c>
    </row>
    <row r="61" spans="1:7">
      <c r="A61">
        <v>60</v>
      </c>
      <c r="D61" s="201" t="s">
        <v>1700</v>
      </c>
      <c r="E61" s="200" t="s">
        <v>1701</v>
      </c>
      <c r="F61" s="200" t="s">
        <v>1700</v>
      </c>
    </row>
    <row r="62" spans="1:7">
      <c r="A62">
        <v>61</v>
      </c>
      <c r="D62" s="201" t="s">
        <v>1245</v>
      </c>
      <c r="E62" s="200" t="s">
        <v>1468</v>
      </c>
      <c r="F62" s="200" t="s">
        <v>1245</v>
      </c>
      <c r="G62" s="52">
        <v>1300000</v>
      </c>
    </row>
    <row r="63" spans="1:7">
      <c r="A63">
        <v>62</v>
      </c>
      <c r="E63" s="200" t="s">
        <v>1620</v>
      </c>
      <c r="G63" s="52">
        <v>30000</v>
      </c>
    </row>
    <row r="64" spans="1:7">
      <c r="A64">
        <v>63</v>
      </c>
      <c r="E64" s="200" t="s">
        <v>1702</v>
      </c>
      <c r="G64" s="52">
        <v>1100000</v>
      </c>
    </row>
    <row r="65" spans="1:7">
      <c r="A65">
        <v>64</v>
      </c>
      <c r="D65" s="201" t="s">
        <v>1704</v>
      </c>
      <c r="E65" s="200" t="s">
        <v>1407</v>
      </c>
      <c r="F65" s="200" t="s">
        <v>1704</v>
      </c>
      <c r="G65" s="52">
        <v>1100000</v>
      </c>
    </row>
    <row r="66" spans="1:7">
      <c r="A66">
        <v>65</v>
      </c>
      <c r="D66" s="201" t="s">
        <v>1705</v>
      </c>
      <c r="E66" s="200" t="s">
        <v>1706</v>
      </c>
      <c r="F66" s="200" t="s">
        <v>1705</v>
      </c>
      <c r="G66" s="52">
        <v>3500000</v>
      </c>
    </row>
    <row r="67" spans="1:7">
      <c r="A67">
        <v>66</v>
      </c>
      <c r="E67" s="200" t="s">
        <v>1632</v>
      </c>
      <c r="G67" s="52">
        <v>800000</v>
      </c>
    </row>
    <row r="68" spans="1:7">
      <c r="A68">
        <v>67</v>
      </c>
      <c r="D68" s="201">
        <v>415090409</v>
      </c>
      <c r="E68" s="200" t="s">
        <v>1840</v>
      </c>
      <c r="F68" s="200">
        <v>415090409</v>
      </c>
      <c r="G68" s="52">
        <v>510000</v>
      </c>
    </row>
    <row r="69" spans="1:7">
      <c r="A69">
        <v>68</v>
      </c>
      <c r="D69" s="201" t="s">
        <v>1673</v>
      </c>
      <c r="E69" s="200" t="s">
        <v>1674</v>
      </c>
      <c r="F69" s="200" t="s">
        <v>1673</v>
      </c>
      <c r="G69" s="52">
        <v>12000</v>
      </c>
    </row>
    <row r="70" spans="1:7">
      <c r="A70">
        <v>69</v>
      </c>
      <c r="E70" s="200" t="s">
        <v>1676</v>
      </c>
      <c r="G70" s="52">
        <v>27000</v>
      </c>
    </row>
    <row r="71" spans="1:7">
      <c r="A71">
        <v>70</v>
      </c>
      <c r="E71" s="200" t="s">
        <v>1683</v>
      </c>
      <c r="G71" s="52">
        <v>850000</v>
      </c>
    </row>
    <row r="72" spans="1:7">
      <c r="A72">
        <v>71</v>
      </c>
      <c r="D72" s="201">
        <v>50228</v>
      </c>
      <c r="E72" s="200" t="s">
        <v>1692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1692</v>
      </c>
      <c r="F73" s="200">
        <v>50229</v>
      </c>
      <c r="G73" s="52">
        <v>75000</v>
      </c>
    </row>
    <row r="74" spans="1:7">
      <c r="A74">
        <v>73</v>
      </c>
      <c r="E74" s="200" t="s">
        <v>1709</v>
      </c>
      <c r="G74" s="52">
        <v>150000</v>
      </c>
    </row>
    <row r="75" spans="1:7">
      <c r="A75">
        <v>74</v>
      </c>
      <c r="E75" s="200" t="s">
        <v>1709</v>
      </c>
      <c r="G75" s="52">
        <v>200000</v>
      </c>
    </row>
    <row r="76" spans="1:7">
      <c r="A76">
        <v>75</v>
      </c>
      <c r="E76" s="200" t="s">
        <v>1717</v>
      </c>
      <c r="G76" s="52">
        <v>250000</v>
      </c>
    </row>
    <row r="77" spans="1:7">
      <c r="A77">
        <v>76</v>
      </c>
      <c r="E77" s="200" t="s">
        <v>1724</v>
      </c>
      <c r="G77" s="52">
        <v>1850000</v>
      </c>
    </row>
    <row r="78" spans="1:7">
      <c r="A78">
        <v>77</v>
      </c>
      <c r="D78" s="201" t="s">
        <v>1726</v>
      </c>
      <c r="E78" s="200" t="s">
        <v>1727</v>
      </c>
      <c r="F78" s="200" t="s">
        <v>1726</v>
      </c>
      <c r="G78" s="52">
        <v>1500000</v>
      </c>
    </row>
    <row r="79" spans="1:7">
      <c r="A79">
        <v>78</v>
      </c>
      <c r="D79" s="201" t="s">
        <v>1738</v>
      </c>
      <c r="E79" s="200" t="s">
        <v>1739</v>
      </c>
      <c r="F79" s="200" t="s">
        <v>1738</v>
      </c>
      <c r="G79" s="52">
        <v>50000</v>
      </c>
    </row>
    <row r="80" spans="1:7">
      <c r="A80">
        <v>79</v>
      </c>
      <c r="D80" s="201">
        <v>28111601</v>
      </c>
      <c r="E80" s="200" t="s">
        <v>1837</v>
      </c>
      <c r="F80" s="200">
        <v>28111601</v>
      </c>
      <c r="G80" s="52">
        <v>220000</v>
      </c>
    </row>
    <row r="81" spans="1:7">
      <c r="A81">
        <v>80</v>
      </c>
      <c r="E81" s="200" t="s">
        <v>1839</v>
      </c>
      <c r="G81" s="52">
        <v>200000</v>
      </c>
    </row>
    <row r="82" spans="1:7">
      <c r="A82">
        <v>81</v>
      </c>
      <c r="E82" s="200" t="s">
        <v>1740</v>
      </c>
      <c r="G82" s="52">
        <v>130000</v>
      </c>
    </row>
    <row r="83" spans="1:7">
      <c r="A83">
        <v>82</v>
      </c>
      <c r="D83" s="201" t="s">
        <v>1755</v>
      </c>
      <c r="E83" s="200" t="s">
        <v>1771</v>
      </c>
      <c r="F83" s="200" t="s">
        <v>1755</v>
      </c>
      <c r="G83" s="52">
        <v>20000</v>
      </c>
    </row>
    <row r="84" spans="1:7">
      <c r="A84">
        <v>83</v>
      </c>
      <c r="E84" s="200" t="s">
        <v>1742</v>
      </c>
      <c r="G84" s="52">
        <v>20000</v>
      </c>
    </row>
    <row r="85" spans="1:7">
      <c r="A85">
        <v>84</v>
      </c>
      <c r="E85" s="200" t="s">
        <v>1749</v>
      </c>
      <c r="G85" s="52">
        <v>35000</v>
      </c>
    </row>
    <row r="86" spans="1:7">
      <c r="A86">
        <v>85</v>
      </c>
      <c r="E86" s="200" t="s">
        <v>1741</v>
      </c>
      <c r="G86" s="52">
        <v>10000</v>
      </c>
    </row>
    <row r="87" spans="1:7">
      <c r="A87">
        <v>86</v>
      </c>
      <c r="E87" s="200" t="s">
        <v>1743</v>
      </c>
      <c r="G87" s="52">
        <v>130000</v>
      </c>
    </row>
    <row r="88" spans="1:7">
      <c r="A88">
        <v>87</v>
      </c>
      <c r="E88" s="200" t="s">
        <v>1753</v>
      </c>
      <c r="G88" s="52">
        <v>280000</v>
      </c>
    </row>
    <row r="89" spans="1:7">
      <c r="A89">
        <v>88</v>
      </c>
      <c r="D89" s="201">
        <v>24137542885</v>
      </c>
      <c r="E89" s="200" t="s">
        <v>1763</v>
      </c>
      <c r="F89" s="200">
        <v>24137542885</v>
      </c>
    </row>
    <row r="90" spans="1:7">
      <c r="A90">
        <v>89</v>
      </c>
      <c r="D90" s="201">
        <v>24137519344</v>
      </c>
      <c r="E90" s="200" t="s">
        <v>1769</v>
      </c>
      <c r="F90" s="200">
        <v>24137519344</v>
      </c>
    </row>
    <row r="91" spans="1:7">
      <c r="A91">
        <v>90</v>
      </c>
      <c r="D91" s="201">
        <v>7252703114</v>
      </c>
      <c r="E91" s="200" t="s">
        <v>1766</v>
      </c>
      <c r="F91" s="200">
        <v>7252703114</v>
      </c>
      <c r="G91" s="52">
        <v>129000</v>
      </c>
    </row>
    <row r="92" spans="1:7">
      <c r="A92">
        <v>91</v>
      </c>
      <c r="D92" s="201" t="s">
        <v>1767</v>
      </c>
      <c r="E92" s="200" t="s">
        <v>1768</v>
      </c>
      <c r="F92" s="200" t="s">
        <v>1767</v>
      </c>
      <c r="G92" s="52">
        <v>50000</v>
      </c>
    </row>
    <row r="93" spans="1:7">
      <c r="A93">
        <v>92</v>
      </c>
      <c r="D93" s="201" t="s">
        <v>1778</v>
      </c>
      <c r="E93" s="200" t="s">
        <v>1779</v>
      </c>
      <c r="F93" s="200" t="s">
        <v>1778</v>
      </c>
      <c r="G93" s="52">
        <v>20000</v>
      </c>
    </row>
    <row r="94" spans="1:7">
      <c r="A94">
        <v>93</v>
      </c>
      <c r="D94" s="201">
        <v>2800802</v>
      </c>
      <c r="E94" s="200" t="s">
        <v>1786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1787</v>
      </c>
      <c r="F95" s="200">
        <v>2800801</v>
      </c>
      <c r="G95" s="52">
        <v>150000</v>
      </c>
    </row>
    <row r="96" spans="1:7">
      <c r="A96">
        <v>95</v>
      </c>
      <c r="D96" s="201" t="s">
        <v>1781</v>
      </c>
      <c r="E96" s="200" t="s">
        <v>1782</v>
      </c>
      <c r="F96" s="200" t="s">
        <v>1781</v>
      </c>
      <c r="G96" s="52">
        <v>250000</v>
      </c>
    </row>
    <row r="97" spans="1:7">
      <c r="A97">
        <v>96</v>
      </c>
      <c r="D97" s="201" t="s">
        <v>1783</v>
      </c>
      <c r="E97" s="200" t="s">
        <v>1784</v>
      </c>
      <c r="F97" s="200" t="s">
        <v>1783</v>
      </c>
      <c r="G97" s="52">
        <v>60000</v>
      </c>
    </row>
    <row r="98" spans="1:7">
      <c r="A98">
        <v>97</v>
      </c>
      <c r="E98" s="200" t="s">
        <v>1793</v>
      </c>
      <c r="G98" s="52">
        <v>200000</v>
      </c>
    </row>
    <row r="99" spans="1:7">
      <c r="A99">
        <v>98</v>
      </c>
      <c r="D99" s="201" t="s">
        <v>1795</v>
      </c>
      <c r="E99" s="200" t="s">
        <v>1796</v>
      </c>
      <c r="F99" s="200" t="s">
        <v>1795</v>
      </c>
      <c r="G99" s="52">
        <v>30000</v>
      </c>
    </row>
    <row r="100" spans="1:7">
      <c r="A100">
        <v>99</v>
      </c>
      <c r="D100" s="201" t="s">
        <v>1797</v>
      </c>
      <c r="E100" s="200" t="s">
        <v>1850</v>
      </c>
      <c r="F100" s="200" t="s">
        <v>1797</v>
      </c>
      <c r="G100" s="52">
        <v>10000</v>
      </c>
    </row>
    <row r="101" spans="1:7">
      <c r="A101">
        <v>100</v>
      </c>
      <c r="D101" s="201" t="s">
        <v>1852</v>
      </c>
      <c r="E101" s="200" t="s">
        <v>1853</v>
      </c>
      <c r="F101" s="200" t="s">
        <v>1852</v>
      </c>
      <c r="G101" s="52">
        <v>10000</v>
      </c>
    </row>
    <row r="102" spans="1:7">
      <c r="A102">
        <v>101</v>
      </c>
      <c r="D102" s="201" t="s">
        <v>1798</v>
      </c>
      <c r="E102" s="200" t="s">
        <v>1799</v>
      </c>
      <c r="F102" s="200" t="s">
        <v>1798</v>
      </c>
      <c r="G102" s="52">
        <v>20000</v>
      </c>
    </row>
    <row r="103" spans="1:7">
      <c r="A103">
        <v>102</v>
      </c>
      <c r="D103" s="201">
        <v>2850701</v>
      </c>
      <c r="E103" s="200" t="s">
        <v>1800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1801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1802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1802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1805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1805</v>
      </c>
      <c r="F108" s="200">
        <v>2801702</v>
      </c>
      <c r="G108" s="52">
        <v>15000</v>
      </c>
    </row>
    <row r="109" spans="1:7">
      <c r="A109">
        <v>108</v>
      </c>
      <c r="D109" s="201" t="s">
        <v>1820</v>
      </c>
      <c r="E109" s="200" t="s">
        <v>1821</v>
      </c>
      <c r="F109" s="200" t="s">
        <v>1820</v>
      </c>
      <c r="G109" s="52">
        <v>50000</v>
      </c>
    </row>
    <row r="110" spans="1:7">
      <c r="A110">
        <v>109</v>
      </c>
      <c r="E110" s="200" t="s">
        <v>1809</v>
      </c>
      <c r="G110" s="52">
        <v>1550000</v>
      </c>
    </row>
    <row r="111" spans="1:7">
      <c r="A111">
        <v>110</v>
      </c>
      <c r="D111" s="201" t="s">
        <v>1817</v>
      </c>
      <c r="E111" s="200" t="s">
        <v>1238</v>
      </c>
      <c r="F111" s="200" t="s">
        <v>1817</v>
      </c>
      <c r="G111" s="52">
        <v>1200000</v>
      </c>
    </row>
    <row r="112" spans="1:7">
      <c r="A112">
        <v>111</v>
      </c>
      <c r="D112" s="201">
        <v>24347544930</v>
      </c>
      <c r="E112" s="200" t="s">
        <v>1825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1826</v>
      </c>
      <c r="F113" s="200">
        <v>501220641</v>
      </c>
      <c r="G113" s="52">
        <v>300000</v>
      </c>
    </row>
    <row r="114" spans="1:8">
      <c r="A114">
        <v>113</v>
      </c>
      <c r="D114" s="201" t="s">
        <v>1831</v>
      </c>
      <c r="E114" s="200" t="s">
        <v>1832</v>
      </c>
      <c r="F114" s="200" t="s">
        <v>1831</v>
      </c>
      <c r="G114" s="52">
        <v>25000</v>
      </c>
    </row>
    <row r="115" spans="1:8">
      <c r="A115">
        <v>114</v>
      </c>
      <c r="D115" s="201" t="s">
        <v>1834</v>
      </c>
      <c r="E115" s="200" t="s">
        <v>1832</v>
      </c>
      <c r="F115" s="200" t="s">
        <v>1834</v>
      </c>
      <c r="G115" s="52">
        <v>65000</v>
      </c>
    </row>
    <row r="116" spans="1:8">
      <c r="A116">
        <v>115</v>
      </c>
      <c r="D116" s="201" t="s">
        <v>1836</v>
      </c>
      <c r="E116" s="200" t="s">
        <v>1603</v>
      </c>
      <c r="F116" s="200" t="s">
        <v>1836</v>
      </c>
      <c r="G116" s="52">
        <v>1400000</v>
      </c>
    </row>
    <row r="117" spans="1:8">
      <c r="A117">
        <v>116</v>
      </c>
      <c r="D117" s="201">
        <v>1068298046</v>
      </c>
      <c r="E117" s="200" t="s">
        <v>1889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1888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1889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1591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1904</v>
      </c>
      <c r="F121" s="200">
        <v>6058008122</v>
      </c>
      <c r="G121" s="52">
        <v>2500000</v>
      </c>
    </row>
    <row r="122" spans="1:8">
      <c r="A122">
        <v>121</v>
      </c>
      <c r="D122" s="200" t="s">
        <v>1260</v>
      </c>
      <c r="E122" s="200" t="s">
        <v>1258</v>
      </c>
      <c r="F122" s="200" t="s">
        <v>1260</v>
      </c>
      <c r="G122" s="52">
        <v>1400000</v>
      </c>
      <c r="H122">
        <v>4</v>
      </c>
    </row>
    <row r="123" spans="1:8">
      <c r="A123">
        <v>122</v>
      </c>
      <c r="D123" s="200" t="s">
        <v>1913</v>
      </c>
      <c r="E123" s="200" t="s">
        <v>1258</v>
      </c>
      <c r="F123" s="200" t="s">
        <v>1913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1262</v>
      </c>
      <c r="E124" s="200" t="s">
        <v>1407</v>
      </c>
      <c r="F124" s="200" t="s">
        <v>1408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1700</v>
      </c>
      <c r="E125" s="200" t="s">
        <v>2049</v>
      </c>
      <c r="F125" s="201" t="s">
        <v>1700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51</v>
      </c>
      <c r="G1" s="7" t="s">
        <v>47</v>
      </c>
      <c r="H1" s="7" t="s">
        <v>56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45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2820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47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1131</v>
      </c>
    </row>
    <row r="4" spans="1:3">
      <c r="A4">
        <v>3</v>
      </c>
      <c r="B4" t="s">
        <v>1132</v>
      </c>
    </row>
    <row r="5" spans="1:3">
      <c r="A5">
        <v>4</v>
      </c>
      <c r="B5" t="s">
        <v>1794</v>
      </c>
    </row>
    <row r="6" spans="1:3">
      <c r="A6">
        <v>5</v>
      </c>
      <c r="B6" t="s">
        <v>1133</v>
      </c>
    </row>
    <row r="7" spans="1:3">
      <c r="A7">
        <v>6</v>
      </c>
      <c r="B7" t="s">
        <v>1134</v>
      </c>
    </row>
    <row r="8" spans="1:3">
      <c r="A8">
        <v>7</v>
      </c>
      <c r="B8" t="s">
        <v>1166</v>
      </c>
    </row>
    <row r="9" spans="1:3">
      <c r="A9">
        <v>8</v>
      </c>
      <c r="B9" t="s">
        <v>1167</v>
      </c>
    </row>
    <row r="10" spans="1:3">
      <c r="A10">
        <v>9</v>
      </c>
      <c r="B10" t="s">
        <v>1175</v>
      </c>
    </row>
    <row r="11" spans="1:3">
      <c r="A11">
        <v>12</v>
      </c>
      <c r="B11" t="s">
        <v>1830</v>
      </c>
    </row>
    <row r="12" spans="1:3">
      <c r="A12">
        <v>13</v>
      </c>
      <c r="B12" t="s">
        <v>1842</v>
      </c>
    </row>
    <row r="13" spans="1:3">
      <c r="A13">
        <v>14</v>
      </c>
      <c r="B13" t="s">
        <v>1997</v>
      </c>
    </row>
    <row r="14" spans="1:3">
      <c r="A14">
        <v>15</v>
      </c>
      <c r="B14" t="s">
        <v>2440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962</v>
      </c>
      <c r="B1" t="s">
        <v>10</v>
      </c>
      <c r="C1" t="s">
        <v>9</v>
      </c>
    </row>
    <row r="2" spans="1:3" ht="54.75" thickBot="1">
      <c r="A2" s="39" t="s">
        <v>97</v>
      </c>
      <c r="B2" s="39" t="s">
        <v>98</v>
      </c>
      <c r="C2" s="40" t="s">
        <v>99</v>
      </c>
    </row>
    <row r="3" spans="1:3" ht="54.75" thickBot="1">
      <c r="A3" s="41" t="s">
        <v>100</v>
      </c>
      <c r="B3" s="42" t="s">
        <v>101</v>
      </c>
      <c r="C3" s="43" t="s">
        <v>102</v>
      </c>
    </row>
    <row r="4" spans="1:3" ht="54.75" thickBot="1">
      <c r="A4" s="39" t="s">
        <v>103</v>
      </c>
      <c r="B4" s="39" t="s">
        <v>104</v>
      </c>
      <c r="C4" s="40" t="s">
        <v>105</v>
      </c>
    </row>
    <row r="5" spans="1:3" ht="54.75" thickBot="1">
      <c r="A5" s="41" t="s">
        <v>106</v>
      </c>
      <c r="B5" s="42" t="s">
        <v>107</v>
      </c>
      <c r="C5" s="43" t="s">
        <v>108</v>
      </c>
    </row>
    <row r="6" spans="1:3" ht="54.75" thickBot="1">
      <c r="A6" s="41" t="s">
        <v>109</v>
      </c>
      <c r="B6" s="39" t="s">
        <v>110</v>
      </c>
      <c r="C6" s="40" t="s">
        <v>111</v>
      </c>
    </row>
    <row r="7" spans="1:3" ht="54.75" thickBot="1">
      <c r="A7" s="41" t="s">
        <v>112</v>
      </c>
      <c r="B7" s="42" t="s">
        <v>113</v>
      </c>
      <c r="C7" s="43" t="s">
        <v>114</v>
      </c>
    </row>
    <row r="8" spans="1:3" ht="54.75" thickBot="1">
      <c r="A8" s="41" t="s">
        <v>115</v>
      </c>
      <c r="B8" s="39" t="s">
        <v>116</v>
      </c>
      <c r="C8" s="40" t="s">
        <v>117</v>
      </c>
    </row>
    <row r="9" spans="1:3" ht="68.25" thickBot="1">
      <c r="A9" s="41" t="s">
        <v>118</v>
      </c>
      <c r="B9" s="42" t="s">
        <v>119</v>
      </c>
      <c r="C9" s="43" t="s">
        <v>120</v>
      </c>
    </row>
    <row r="10" spans="1:3" ht="54.75" thickBot="1">
      <c r="A10" s="41" t="s">
        <v>103</v>
      </c>
      <c r="B10" s="39" t="s">
        <v>104</v>
      </c>
      <c r="C10" s="40" t="s">
        <v>105</v>
      </c>
    </row>
    <row r="11" spans="1:3" ht="54.75" thickBot="1">
      <c r="A11" s="41" t="s">
        <v>121</v>
      </c>
      <c r="B11" s="42" t="s">
        <v>122</v>
      </c>
      <c r="C11" s="43" t="s">
        <v>123</v>
      </c>
    </row>
    <row r="12" spans="1:3" ht="81.75" thickBot="1">
      <c r="A12" s="41" t="s">
        <v>124</v>
      </c>
      <c r="B12" s="39" t="s">
        <v>125</v>
      </c>
      <c r="C12" s="40" t="s">
        <v>126</v>
      </c>
    </row>
    <row r="13" spans="1:3" ht="68.25" thickBot="1">
      <c r="A13" s="41" t="s">
        <v>127</v>
      </c>
      <c r="B13" s="42" t="s">
        <v>128</v>
      </c>
      <c r="C13" s="43" t="s">
        <v>129</v>
      </c>
    </row>
    <row r="14" spans="1:3" ht="54.75" thickBot="1">
      <c r="A14" s="41" t="s">
        <v>130</v>
      </c>
      <c r="B14" s="39" t="s">
        <v>131</v>
      </c>
      <c r="C14" s="40" t="s">
        <v>132</v>
      </c>
    </row>
    <row r="15" spans="1:3" ht="54.75" thickBot="1">
      <c r="A15" s="41" t="s">
        <v>133</v>
      </c>
      <c r="B15" s="42" t="s">
        <v>134</v>
      </c>
      <c r="C15" s="43" t="s">
        <v>135</v>
      </c>
    </row>
    <row r="16" spans="1:3" ht="68.25" thickBot="1">
      <c r="A16" s="41" t="s">
        <v>136</v>
      </c>
      <c r="B16" s="39" t="s">
        <v>137</v>
      </c>
      <c r="C16" s="40" t="s">
        <v>138</v>
      </c>
    </row>
    <row r="17" spans="1:3" ht="54.75" thickBot="1">
      <c r="A17" s="41" t="s">
        <v>139</v>
      </c>
      <c r="B17" s="42" t="s">
        <v>140</v>
      </c>
      <c r="C17" s="43" t="s">
        <v>141</v>
      </c>
    </row>
    <row r="18" spans="1:3" ht="41.25" thickBot="1">
      <c r="A18" s="39" t="s">
        <v>142</v>
      </c>
      <c r="B18" s="39" t="s">
        <v>143</v>
      </c>
      <c r="C18" s="40" t="s">
        <v>144</v>
      </c>
    </row>
    <row r="19" spans="1:3" ht="41.25" thickBot="1">
      <c r="A19" s="41" t="s">
        <v>145</v>
      </c>
      <c r="B19" s="42" t="s">
        <v>146</v>
      </c>
      <c r="C19" s="43" t="s">
        <v>147</v>
      </c>
    </row>
    <row r="20" spans="1:3" ht="41.25" thickBot="1">
      <c r="A20" s="39" t="s">
        <v>148</v>
      </c>
      <c r="B20" s="39" t="s">
        <v>149</v>
      </c>
      <c r="C20" s="40" t="s">
        <v>150</v>
      </c>
    </row>
    <row r="21" spans="1:3" ht="41.25" thickBot="1">
      <c r="A21" s="41" t="s">
        <v>151</v>
      </c>
      <c r="B21" s="42" t="s">
        <v>152</v>
      </c>
      <c r="C21" s="43" t="s">
        <v>153</v>
      </c>
    </row>
    <row r="22" spans="1:3" ht="41.25" thickBot="1">
      <c r="A22" s="41" t="s">
        <v>154</v>
      </c>
      <c r="B22" s="39" t="s">
        <v>155</v>
      </c>
      <c r="C22" s="40" t="s">
        <v>156</v>
      </c>
    </row>
    <row r="23" spans="1:3" ht="41.25" thickBot="1">
      <c r="A23" s="42" t="s">
        <v>157</v>
      </c>
      <c r="B23" s="42" t="s">
        <v>158</v>
      </c>
      <c r="C23" s="43" t="s">
        <v>159</v>
      </c>
    </row>
    <row r="24" spans="1:3" ht="41.25" thickBot="1">
      <c r="A24" s="41" t="s">
        <v>160</v>
      </c>
      <c r="B24" s="39" t="s">
        <v>161</v>
      </c>
      <c r="C24" s="40" t="s">
        <v>162</v>
      </c>
    </row>
    <row r="25" spans="1:3" ht="41.25" thickBot="1">
      <c r="A25" s="41" t="s">
        <v>163</v>
      </c>
      <c r="B25" s="42" t="s">
        <v>164</v>
      </c>
      <c r="C25" s="43" t="s">
        <v>165</v>
      </c>
    </row>
    <row r="26" spans="1:3" ht="54.75" thickBot="1">
      <c r="A26" s="41" t="s">
        <v>166</v>
      </c>
      <c r="B26" s="39" t="s">
        <v>167</v>
      </c>
      <c r="C26" s="40" t="s">
        <v>168</v>
      </c>
    </row>
    <row r="27" spans="1:3" ht="41.25" thickBot="1">
      <c r="A27" s="41" t="s">
        <v>169</v>
      </c>
      <c r="B27" s="42" t="s">
        <v>170</v>
      </c>
      <c r="C27" s="43" t="s">
        <v>171</v>
      </c>
    </row>
    <row r="28" spans="1:3" ht="54.75" thickBot="1">
      <c r="A28" s="41" t="s">
        <v>172</v>
      </c>
      <c r="B28" s="39" t="s">
        <v>173</v>
      </c>
      <c r="C28" s="40" t="s">
        <v>174</v>
      </c>
    </row>
    <row r="29" spans="1:3" ht="54.75" thickBot="1">
      <c r="A29" s="41" t="s">
        <v>175</v>
      </c>
      <c r="B29" s="42" t="s">
        <v>176</v>
      </c>
      <c r="C29" s="43" t="s">
        <v>177</v>
      </c>
    </row>
    <row r="30" spans="1:3" ht="54.75" thickBot="1">
      <c r="A30" s="41" t="s">
        <v>178</v>
      </c>
      <c r="B30" s="39" t="s">
        <v>179</v>
      </c>
      <c r="C30" s="40" t="s">
        <v>180</v>
      </c>
    </row>
    <row r="31" spans="1:3" ht="54.75" thickBot="1">
      <c r="A31" s="41" t="s">
        <v>181</v>
      </c>
      <c r="B31" s="42" t="s">
        <v>182</v>
      </c>
      <c r="C31" s="43" t="s">
        <v>183</v>
      </c>
    </row>
    <row r="32" spans="1:3" ht="54.75" thickBot="1">
      <c r="A32" s="41" t="s">
        <v>184</v>
      </c>
      <c r="B32" s="39" t="s">
        <v>185</v>
      </c>
      <c r="C32" s="40" t="s">
        <v>186</v>
      </c>
    </row>
    <row r="33" spans="1:3" ht="41.25" thickBot="1">
      <c r="A33" s="41" t="s">
        <v>187</v>
      </c>
      <c r="B33" s="42" t="s">
        <v>188</v>
      </c>
      <c r="C33" s="43" t="s">
        <v>189</v>
      </c>
    </row>
    <row r="34" spans="1:3" ht="41.25" thickBot="1">
      <c r="A34" s="41" t="s">
        <v>190</v>
      </c>
      <c r="B34" s="39" t="s">
        <v>191</v>
      </c>
      <c r="C34" s="40" t="s">
        <v>192</v>
      </c>
    </row>
    <row r="35" spans="1:3" ht="54.75" thickBot="1">
      <c r="A35" s="41" t="s">
        <v>193</v>
      </c>
      <c r="B35" s="42" t="s">
        <v>194</v>
      </c>
      <c r="C35" s="43" t="s">
        <v>195</v>
      </c>
    </row>
    <row r="36" spans="1:3" ht="54.75" thickBot="1">
      <c r="A36" s="41" t="s">
        <v>196</v>
      </c>
      <c r="B36" s="39" t="s">
        <v>197</v>
      </c>
      <c r="C36" s="40" t="s">
        <v>198</v>
      </c>
    </row>
    <row r="37" spans="1:3" ht="54.75" thickBot="1">
      <c r="A37" s="41" t="s">
        <v>199</v>
      </c>
      <c r="B37" s="42" t="s">
        <v>200</v>
      </c>
      <c r="C37" s="43" t="s">
        <v>201</v>
      </c>
    </row>
    <row r="38" spans="1:3" ht="54.75" thickBot="1">
      <c r="A38" s="41" t="s">
        <v>202</v>
      </c>
      <c r="B38" s="39" t="s">
        <v>203</v>
      </c>
      <c r="C38" s="40" t="s">
        <v>204</v>
      </c>
    </row>
    <row r="39" spans="1:3" ht="54.75" thickBot="1">
      <c r="A39" s="41" t="s">
        <v>205</v>
      </c>
      <c r="B39" s="42" t="s">
        <v>206</v>
      </c>
      <c r="C39" s="43" t="s">
        <v>207</v>
      </c>
    </row>
    <row r="40" spans="1:3" ht="54.75" thickBot="1">
      <c r="A40" s="41" t="s">
        <v>202</v>
      </c>
      <c r="B40" s="39" t="s">
        <v>208</v>
      </c>
      <c r="C40" s="40" t="s">
        <v>204</v>
      </c>
    </row>
    <row r="41" spans="1:3" ht="41.25" thickBot="1">
      <c r="A41" s="41" t="s">
        <v>209</v>
      </c>
      <c r="B41" s="42" t="s">
        <v>210</v>
      </c>
      <c r="C41" s="43" t="s">
        <v>211</v>
      </c>
    </row>
    <row r="42" spans="1:3" ht="54.75" thickBot="1">
      <c r="A42" s="39" t="s">
        <v>212</v>
      </c>
      <c r="B42" s="39" t="s">
        <v>213</v>
      </c>
      <c r="C42" s="40" t="s">
        <v>214</v>
      </c>
    </row>
    <row r="43" spans="1:3" ht="54.75" thickBot="1">
      <c r="A43" s="41" t="s">
        <v>215</v>
      </c>
      <c r="B43" s="42" t="s">
        <v>216</v>
      </c>
      <c r="C43" s="43" t="s">
        <v>217</v>
      </c>
    </row>
    <row r="44" spans="1:3" ht="54.75" thickBot="1">
      <c r="A44" s="41" t="s">
        <v>218</v>
      </c>
      <c r="B44" s="39" t="s">
        <v>219</v>
      </c>
      <c r="C44" s="40" t="s">
        <v>220</v>
      </c>
    </row>
    <row r="45" spans="1:3" ht="41.25" thickBot="1">
      <c r="A45" s="42" t="s">
        <v>221</v>
      </c>
      <c r="B45" s="42" t="s">
        <v>222</v>
      </c>
      <c r="C45" s="43" t="s">
        <v>223</v>
      </c>
    </row>
    <row r="46" spans="1:3" ht="41.25" thickBot="1">
      <c r="A46" s="41" t="s">
        <v>224</v>
      </c>
      <c r="B46" s="39" t="s">
        <v>225</v>
      </c>
      <c r="C46" s="40" t="s">
        <v>226</v>
      </c>
    </row>
    <row r="47" spans="1:3" ht="41.25" thickBot="1">
      <c r="A47" s="41" t="s">
        <v>227</v>
      </c>
      <c r="B47" s="42" t="s">
        <v>228</v>
      </c>
      <c r="C47" s="43" t="s">
        <v>229</v>
      </c>
    </row>
    <row r="48" spans="1:3" ht="41.25" thickBot="1">
      <c r="A48" s="41" t="s">
        <v>230</v>
      </c>
      <c r="B48" s="39" t="s">
        <v>231</v>
      </c>
      <c r="C48" s="40" t="s">
        <v>232</v>
      </c>
    </row>
    <row r="49" spans="1:3" ht="41.25" thickBot="1">
      <c r="A49" s="41" t="s">
        <v>233</v>
      </c>
      <c r="B49" s="42" t="s">
        <v>234</v>
      </c>
      <c r="C49" s="43" t="s">
        <v>235</v>
      </c>
    </row>
    <row r="50" spans="1:3" ht="54.75" thickBot="1">
      <c r="A50" s="39" t="s">
        <v>236</v>
      </c>
      <c r="B50" s="39" t="s">
        <v>237</v>
      </c>
      <c r="C50" s="40" t="s">
        <v>238</v>
      </c>
    </row>
    <row r="51" spans="1:3" ht="41.25" thickBot="1">
      <c r="A51" s="41" t="s">
        <v>239</v>
      </c>
      <c r="B51" s="42" t="s">
        <v>240</v>
      </c>
      <c r="C51" s="43" t="s">
        <v>241</v>
      </c>
    </row>
    <row r="52" spans="1:3" ht="68.25" thickBot="1">
      <c r="A52" s="41" t="s">
        <v>242</v>
      </c>
      <c r="B52" s="39" t="s">
        <v>243</v>
      </c>
      <c r="C52" s="40" t="s">
        <v>244</v>
      </c>
    </row>
    <row r="53" spans="1:3" ht="41.25" thickBot="1">
      <c r="A53" s="41" t="s">
        <v>245</v>
      </c>
      <c r="B53" s="42" t="s">
        <v>246</v>
      </c>
      <c r="C53" s="43" t="s">
        <v>247</v>
      </c>
    </row>
    <row r="54" spans="1:3" ht="54.75" thickBot="1">
      <c r="A54" s="41" t="s">
        <v>248</v>
      </c>
      <c r="B54" s="39" t="s">
        <v>249</v>
      </c>
      <c r="C54" s="40" t="s">
        <v>250</v>
      </c>
    </row>
    <row r="55" spans="1:3" ht="54.75" thickBot="1">
      <c r="A55" s="41" t="s">
        <v>251</v>
      </c>
      <c r="B55" s="42" t="s">
        <v>252</v>
      </c>
      <c r="C55" s="43" t="s">
        <v>253</v>
      </c>
    </row>
    <row r="56" spans="1:3" ht="54.75" thickBot="1">
      <c r="A56" s="41" t="s">
        <v>254</v>
      </c>
      <c r="B56" s="39" t="s">
        <v>255</v>
      </c>
      <c r="C56" s="40" t="s">
        <v>256</v>
      </c>
    </row>
    <row r="57" spans="1:3" ht="54.75" thickBot="1">
      <c r="A57" s="41" t="s">
        <v>257</v>
      </c>
      <c r="B57" s="42" t="s">
        <v>258</v>
      </c>
      <c r="C57" s="43" t="s">
        <v>259</v>
      </c>
    </row>
    <row r="58" spans="1:3" ht="54.75" thickBot="1">
      <c r="A58" s="41" t="s">
        <v>260</v>
      </c>
      <c r="B58" s="39" t="s">
        <v>261</v>
      </c>
      <c r="C58" s="40" t="s">
        <v>262</v>
      </c>
    </row>
    <row r="59" spans="1:3" ht="54.75" thickBot="1">
      <c r="A59" s="41" t="s">
        <v>263</v>
      </c>
      <c r="B59" s="42" t="s">
        <v>264</v>
      </c>
      <c r="C59" s="43" t="s">
        <v>265</v>
      </c>
    </row>
    <row r="60" spans="1:3" ht="54.75" thickBot="1">
      <c r="A60" s="41" t="s">
        <v>266</v>
      </c>
      <c r="B60" s="39" t="s">
        <v>267</v>
      </c>
      <c r="C60" s="40" t="s">
        <v>268</v>
      </c>
    </row>
    <row r="61" spans="1:3" ht="68.25" thickBot="1">
      <c r="A61" s="41" t="s">
        <v>269</v>
      </c>
      <c r="B61" s="42" t="s">
        <v>270</v>
      </c>
      <c r="C61" s="43" t="s">
        <v>271</v>
      </c>
    </row>
    <row r="62" spans="1:3" ht="68.25" thickBot="1">
      <c r="A62" s="41" t="s">
        <v>272</v>
      </c>
      <c r="B62" s="39" t="s">
        <v>273</v>
      </c>
      <c r="C62" s="40" t="s">
        <v>274</v>
      </c>
    </row>
    <row r="63" spans="1:3" ht="68.25" thickBot="1">
      <c r="A63" s="41" t="s">
        <v>275</v>
      </c>
      <c r="B63" s="42" t="s">
        <v>276</v>
      </c>
      <c r="C63" s="43" t="s">
        <v>277</v>
      </c>
    </row>
    <row r="64" spans="1:3" ht="54.75" thickBot="1">
      <c r="A64" s="41" t="s">
        <v>278</v>
      </c>
      <c r="B64" s="39" t="s">
        <v>279</v>
      </c>
      <c r="C64" s="40" t="s">
        <v>280</v>
      </c>
    </row>
    <row r="65" spans="1:3" ht="54.75" thickBot="1">
      <c r="A65" s="41" t="s">
        <v>281</v>
      </c>
      <c r="B65" s="42" t="s">
        <v>282</v>
      </c>
      <c r="C65" s="43" t="s">
        <v>283</v>
      </c>
    </row>
    <row r="66" spans="1:3" ht="68.25" thickBot="1">
      <c r="A66" s="41" t="s">
        <v>284</v>
      </c>
      <c r="B66" s="39" t="s">
        <v>285</v>
      </c>
      <c r="C66" s="40" t="s">
        <v>286</v>
      </c>
    </row>
    <row r="67" spans="1:3" ht="54.75" thickBot="1">
      <c r="A67" s="41" t="s">
        <v>287</v>
      </c>
      <c r="B67" s="42" t="s">
        <v>288</v>
      </c>
      <c r="C67" s="43" t="s">
        <v>289</v>
      </c>
    </row>
    <row r="68" spans="1:3" ht="68.25" thickBot="1">
      <c r="A68" s="41" t="s">
        <v>290</v>
      </c>
      <c r="B68" s="39" t="s">
        <v>291</v>
      </c>
      <c r="C68" s="40" t="s">
        <v>292</v>
      </c>
    </row>
    <row r="69" spans="1:3" ht="54.75" thickBot="1">
      <c r="A69" s="41" t="s">
        <v>293</v>
      </c>
      <c r="B69" s="42" t="s">
        <v>294</v>
      </c>
      <c r="C69" s="43" t="s">
        <v>295</v>
      </c>
    </row>
    <row r="70" spans="1:3" ht="54.75" thickBot="1">
      <c r="A70" s="41" t="s">
        <v>296</v>
      </c>
      <c r="B70" s="39" t="s">
        <v>297</v>
      </c>
      <c r="C70" s="40" t="s">
        <v>298</v>
      </c>
    </row>
    <row r="71" spans="1:3" ht="54.75" thickBot="1">
      <c r="A71" s="41" t="s">
        <v>299</v>
      </c>
      <c r="B71" s="42" t="s">
        <v>300</v>
      </c>
      <c r="C71" s="43" t="s">
        <v>301</v>
      </c>
    </row>
    <row r="72" spans="1:3" ht="54.75" thickBot="1">
      <c r="A72" s="41" t="s">
        <v>302</v>
      </c>
      <c r="B72" s="39" t="s">
        <v>303</v>
      </c>
      <c r="C72" s="40" t="s">
        <v>304</v>
      </c>
    </row>
    <row r="73" spans="1:3" ht="54.75" thickBot="1">
      <c r="A73" s="41" t="s">
        <v>305</v>
      </c>
      <c r="B73" s="42" t="s">
        <v>306</v>
      </c>
      <c r="C73" s="43" t="s">
        <v>307</v>
      </c>
    </row>
    <row r="74" spans="1:3" ht="54.75" thickBot="1">
      <c r="A74" s="41" t="s">
        <v>308</v>
      </c>
      <c r="B74" s="39" t="s">
        <v>309</v>
      </c>
      <c r="C74" s="40" t="s">
        <v>310</v>
      </c>
    </row>
    <row r="75" spans="1:3" ht="54.75" thickBot="1">
      <c r="A75" s="41" t="s">
        <v>311</v>
      </c>
      <c r="B75" s="42" t="s">
        <v>312</v>
      </c>
      <c r="C75" s="43" t="s">
        <v>313</v>
      </c>
    </row>
    <row r="76" spans="1:3" ht="54.75" thickBot="1">
      <c r="A76" s="41" t="s">
        <v>314</v>
      </c>
      <c r="B76" s="39" t="s">
        <v>315</v>
      </c>
      <c r="C76" s="40" t="s">
        <v>316</v>
      </c>
    </row>
    <row r="77" spans="1:3" ht="54.75" thickBot="1">
      <c r="A77" s="41" t="s">
        <v>317</v>
      </c>
      <c r="B77" s="42" t="s">
        <v>318</v>
      </c>
      <c r="C77" s="43" t="s">
        <v>319</v>
      </c>
    </row>
    <row r="78" spans="1:3" ht="68.25" thickBot="1">
      <c r="A78" s="41" t="s">
        <v>308</v>
      </c>
      <c r="B78" s="39" t="s">
        <v>320</v>
      </c>
      <c r="C78" s="40" t="s">
        <v>310</v>
      </c>
    </row>
    <row r="79" spans="1:3" ht="54.75" thickBot="1">
      <c r="A79" s="42" t="s">
        <v>321</v>
      </c>
      <c r="B79" s="42" t="s">
        <v>322</v>
      </c>
      <c r="C79" s="43" t="s">
        <v>323</v>
      </c>
    </row>
    <row r="80" spans="1:3" ht="54.75" thickBot="1">
      <c r="A80" s="41" t="s">
        <v>324</v>
      </c>
      <c r="B80" s="39" t="s">
        <v>325</v>
      </c>
      <c r="C80" s="40" t="s">
        <v>326</v>
      </c>
    </row>
    <row r="81" spans="1:3" ht="54.75" thickBot="1">
      <c r="A81" s="41" t="s">
        <v>324</v>
      </c>
      <c r="B81" s="42" t="s">
        <v>325</v>
      </c>
      <c r="C81" s="43" t="s">
        <v>326</v>
      </c>
    </row>
    <row r="82" spans="1:3" ht="54.75" thickBot="1">
      <c r="A82" s="41" t="s">
        <v>327</v>
      </c>
      <c r="B82" s="39" t="s">
        <v>328</v>
      </c>
      <c r="C82" s="40" t="s">
        <v>329</v>
      </c>
    </row>
    <row r="83" spans="1:3" ht="68.25" thickBot="1">
      <c r="A83" s="41" t="s">
        <v>330</v>
      </c>
      <c r="B83" s="42" t="s">
        <v>331</v>
      </c>
      <c r="C83" s="43" t="s">
        <v>332</v>
      </c>
    </row>
    <row r="84" spans="1:3" ht="54.75" thickBot="1">
      <c r="A84" s="41" t="s">
        <v>333</v>
      </c>
      <c r="B84" s="39" t="s">
        <v>334</v>
      </c>
      <c r="C84" s="40" t="s">
        <v>335</v>
      </c>
    </row>
    <row r="85" spans="1:3" ht="68.25" thickBot="1">
      <c r="A85" s="41" t="s">
        <v>336</v>
      </c>
      <c r="B85" s="42" t="s">
        <v>337</v>
      </c>
      <c r="C85" s="43" t="s">
        <v>338</v>
      </c>
    </row>
    <row r="86" spans="1:3" ht="81.75" thickBot="1">
      <c r="A86" s="41" t="s">
        <v>339</v>
      </c>
      <c r="B86" s="39" t="s">
        <v>340</v>
      </c>
      <c r="C86" s="40" t="s">
        <v>341</v>
      </c>
    </row>
    <row r="87" spans="1:3" ht="81.75" thickBot="1">
      <c r="A87" s="41" t="s">
        <v>342</v>
      </c>
      <c r="B87" s="42" t="s">
        <v>343</v>
      </c>
      <c r="C87" s="43" t="s">
        <v>344</v>
      </c>
    </row>
    <row r="88" spans="1:3" ht="68.25" thickBot="1">
      <c r="A88" s="41" t="s">
        <v>345</v>
      </c>
      <c r="B88" s="39" t="s">
        <v>346</v>
      </c>
      <c r="C88" s="40" t="s">
        <v>347</v>
      </c>
    </row>
    <row r="89" spans="1:3" ht="68.25" thickBot="1">
      <c r="A89" s="41" t="s">
        <v>348</v>
      </c>
      <c r="B89" s="42" t="s">
        <v>349</v>
      </c>
      <c r="C89" s="43" t="s">
        <v>350</v>
      </c>
    </row>
    <row r="90" spans="1:3" ht="68.25" thickBot="1">
      <c r="A90" s="41" t="s">
        <v>351</v>
      </c>
      <c r="B90" s="39" t="s">
        <v>352</v>
      </c>
      <c r="C90" s="40" t="s">
        <v>353</v>
      </c>
    </row>
    <row r="91" spans="1:3" ht="68.25" thickBot="1">
      <c r="A91" s="41" t="s">
        <v>354</v>
      </c>
      <c r="B91" s="42" t="s">
        <v>355</v>
      </c>
      <c r="C91" s="43" t="s">
        <v>356</v>
      </c>
    </row>
    <row r="92" spans="1:3" ht="54.75" thickBot="1">
      <c r="A92" s="41" t="s">
        <v>357</v>
      </c>
      <c r="B92" s="39" t="s">
        <v>358</v>
      </c>
      <c r="C92" s="40" t="s">
        <v>359</v>
      </c>
    </row>
    <row r="93" spans="1:3" ht="68.25" thickBot="1">
      <c r="A93" s="41" t="s">
        <v>360</v>
      </c>
      <c r="B93" s="42" t="s">
        <v>361</v>
      </c>
      <c r="C93" s="43" t="s">
        <v>362</v>
      </c>
    </row>
    <row r="94" spans="1:3" ht="41.25" thickBot="1">
      <c r="A94" s="41" t="s">
        <v>363</v>
      </c>
      <c r="B94" s="39" t="s">
        <v>364</v>
      </c>
      <c r="C94" s="40" t="s">
        <v>365</v>
      </c>
    </row>
    <row r="95" spans="1:3" ht="68.25" thickBot="1">
      <c r="A95" s="41" t="s">
        <v>327</v>
      </c>
      <c r="B95" s="42" t="s">
        <v>366</v>
      </c>
      <c r="C95" s="43" t="s">
        <v>329</v>
      </c>
    </row>
    <row r="96" spans="1:3" ht="68.25" thickBot="1">
      <c r="A96" s="41" t="s">
        <v>367</v>
      </c>
      <c r="B96" s="39" t="s">
        <v>368</v>
      </c>
      <c r="C96" s="40" t="s">
        <v>369</v>
      </c>
    </row>
    <row r="97" spans="1:3" ht="41.25" thickBot="1">
      <c r="A97" s="42" t="s">
        <v>370</v>
      </c>
      <c r="B97" s="42" t="s">
        <v>371</v>
      </c>
      <c r="C97" s="43" t="s">
        <v>372</v>
      </c>
    </row>
    <row r="98" spans="1:3" ht="41.25" thickBot="1">
      <c r="A98" s="39" t="s">
        <v>373</v>
      </c>
      <c r="B98" s="39" t="s">
        <v>374</v>
      </c>
      <c r="C98" s="40" t="s">
        <v>375</v>
      </c>
    </row>
    <row r="99" spans="1:3" ht="41.25" thickBot="1">
      <c r="A99" s="41" t="s">
        <v>376</v>
      </c>
      <c r="B99" s="42" t="s">
        <v>377</v>
      </c>
      <c r="C99" s="43" t="s">
        <v>378</v>
      </c>
    </row>
    <row r="100" spans="1:3" ht="54.75" thickBot="1">
      <c r="A100" s="41" t="s">
        <v>379</v>
      </c>
      <c r="B100" s="39" t="s">
        <v>380</v>
      </c>
      <c r="C100" s="40" t="s">
        <v>381</v>
      </c>
    </row>
    <row r="101" spans="1:3" ht="41.25" thickBot="1">
      <c r="A101" s="41" t="s">
        <v>382</v>
      </c>
      <c r="B101" s="42" t="s">
        <v>383</v>
      </c>
      <c r="C101" s="43" t="s">
        <v>384</v>
      </c>
    </row>
    <row r="102" spans="1:3" ht="54.75" thickBot="1">
      <c r="A102" s="41" t="s">
        <v>385</v>
      </c>
      <c r="B102" s="39" t="s">
        <v>386</v>
      </c>
      <c r="C102" s="40" t="s">
        <v>387</v>
      </c>
    </row>
    <row r="103" spans="1:3" ht="54.75" thickBot="1">
      <c r="A103" s="41" t="s">
        <v>388</v>
      </c>
      <c r="B103" s="42" t="s">
        <v>389</v>
      </c>
      <c r="C103" s="43" t="s">
        <v>390</v>
      </c>
    </row>
    <row r="104" spans="1:3" ht="54.75" thickBot="1">
      <c r="A104" s="41" t="s">
        <v>391</v>
      </c>
      <c r="B104" s="39" t="s">
        <v>392</v>
      </c>
      <c r="C104" s="40" t="s">
        <v>393</v>
      </c>
    </row>
    <row r="105" spans="1:3" ht="54.75" thickBot="1">
      <c r="A105" s="41" t="s">
        <v>394</v>
      </c>
      <c r="B105" s="42" t="s">
        <v>395</v>
      </c>
      <c r="C105" s="43" t="s">
        <v>396</v>
      </c>
    </row>
    <row r="106" spans="1:3" ht="54.75" thickBot="1">
      <c r="A106" s="39" t="s">
        <v>397</v>
      </c>
      <c r="B106" s="39" t="s">
        <v>398</v>
      </c>
      <c r="C106" s="40" t="s">
        <v>399</v>
      </c>
    </row>
    <row r="107" spans="1:3" ht="54.75" thickBot="1">
      <c r="A107" s="41" t="s">
        <v>400</v>
      </c>
      <c r="B107" s="42" t="s">
        <v>401</v>
      </c>
      <c r="C107" s="43" t="s">
        <v>402</v>
      </c>
    </row>
    <row r="108" spans="1:3" ht="54.75" thickBot="1">
      <c r="A108" s="41" t="s">
        <v>403</v>
      </c>
      <c r="B108" s="39" t="s">
        <v>404</v>
      </c>
      <c r="C108" s="40" t="s">
        <v>405</v>
      </c>
    </row>
    <row r="109" spans="1:3" ht="54.75" thickBot="1">
      <c r="A109" s="41" t="s">
        <v>406</v>
      </c>
      <c r="B109" s="42" t="s">
        <v>404</v>
      </c>
      <c r="C109" s="43" t="s">
        <v>407</v>
      </c>
    </row>
    <row r="110" spans="1:3" ht="54.75" thickBot="1">
      <c r="A110" s="41" t="s">
        <v>408</v>
      </c>
      <c r="B110" s="39" t="s">
        <v>409</v>
      </c>
      <c r="C110" s="40" t="s">
        <v>405</v>
      </c>
    </row>
    <row r="111" spans="1:3" ht="54.75" thickBot="1">
      <c r="A111" s="41" t="s">
        <v>410</v>
      </c>
      <c r="B111" s="42" t="s">
        <v>409</v>
      </c>
      <c r="C111" s="43" t="s">
        <v>411</v>
      </c>
    </row>
    <row r="112" spans="1:3" ht="54.75" thickBot="1">
      <c r="A112" s="41" t="s">
        <v>412</v>
      </c>
      <c r="B112" s="39" t="s">
        <v>409</v>
      </c>
      <c r="C112" s="40" t="s">
        <v>399</v>
      </c>
    </row>
    <row r="113" spans="1:3" ht="54.75" thickBot="1">
      <c r="A113" s="41" t="s">
        <v>413</v>
      </c>
      <c r="B113" s="42" t="s">
        <v>409</v>
      </c>
      <c r="C113" s="43" t="s">
        <v>405</v>
      </c>
    </row>
    <row r="114" spans="1:3" ht="54.75" thickBot="1">
      <c r="A114" s="41" t="s">
        <v>414</v>
      </c>
      <c r="B114" s="39" t="s">
        <v>415</v>
      </c>
      <c r="C114" s="40" t="s">
        <v>416</v>
      </c>
    </row>
    <row r="115" spans="1:3" ht="68.25" thickBot="1">
      <c r="A115" s="41" t="s">
        <v>417</v>
      </c>
      <c r="B115" s="42" t="s">
        <v>418</v>
      </c>
      <c r="C115" s="43" t="s">
        <v>419</v>
      </c>
    </row>
    <row r="116" spans="1:3" ht="54.75" thickBot="1">
      <c r="A116" s="41" t="s">
        <v>397</v>
      </c>
      <c r="B116" s="39" t="s">
        <v>398</v>
      </c>
      <c r="C116" s="40" t="s">
        <v>399</v>
      </c>
    </row>
    <row r="117" spans="1:3" ht="54.75" thickBot="1">
      <c r="A117" s="41" t="s">
        <v>400</v>
      </c>
      <c r="B117" s="42" t="s">
        <v>401</v>
      </c>
      <c r="C117" s="43" t="s">
        <v>402</v>
      </c>
    </row>
    <row r="118" spans="1:3" ht="54.75" thickBot="1">
      <c r="A118" s="39" t="s">
        <v>420</v>
      </c>
      <c r="B118" s="39" t="s">
        <v>421</v>
      </c>
      <c r="C118" s="40" t="s">
        <v>422</v>
      </c>
    </row>
    <row r="119" spans="1:3" ht="54.75" thickBot="1">
      <c r="A119" s="41" t="s">
        <v>423</v>
      </c>
      <c r="B119" s="42" t="s">
        <v>424</v>
      </c>
      <c r="C119" s="43" t="s">
        <v>425</v>
      </c>
    </row>
    <row r="120" spans="1:3" ht="54.75" thickBot="1">
      <c r="A120" s="41" t="s">
        <v>426</v>
      </c>
      <c r="B120" s="39" t="s">
        <v>427</v>
      </c>
      <c r="C120" s="40" t="s">
        <v>428</v>
      </c>
    </row>
    <row r="121" spans="1:3" ht="68.25" thickBot="1">
      <c r="A121" s="41" t="s">
        <v>429</v>
      </c>
      <c r="B121" s="42" t="s">
        <v>430</v>
      </c>
      <c r="C121" s="43" t="s">
        <v>431</v>
      </c>
    </row>
    <row r="122" spans="1:3" ht="54.75" thickBot="1">
      <c r="A122" s="41" t="s">
        <v>432</v>
      </c>
      <c r="B122" s="39" t="s">
        <v>433</v>
      </c>
      <c r="C122" s="40" t="s">
        <v>434</v>
      </c>
    </row>
    <row r="123" spans="1:3" ht="68.25" thickBot="1">
      <c r="A123" s="41" t="s">
        <v>435</v>
      </c>
      <c r="B123" s="42" t="s">
        <v>436</v>
      </c>
      <c r="C123" s="43" t="s">
        <v>437</v>
      </c>
    </row>
    <row r="124" spans="1:3" ht="54.75" thickBot="1">
      <c r="A124" s="39" t="s">
        <v>438</v>
      </c>
      <c r="B124" s="39" t="s">
        <v>439</v>
      </c>
      <c r="C124" s="40" t="s">
        <v>440</v>
      </c>
    </row>
    <row r="125" spans="1:3" ht="41.25" thickBot="1">
      <c r="A125" s="41" t="s">
        <v>441</v>
      </c>
      <c r="B125" s="42" t="s">
        <v>442</v>
      </c>
      <c r="C125" s="43" t="s">
        <v>443</v>
      </c>
    </row>
    <row r="126" spans="1:3" ht="41.25" thickBot="1">
      <c r="A126" s="41" t="s">
        <v>444</v>
      </c>
      <c r="B126" s="39" t="s">
        <v>445</v>
      </c>
      <c r="C126" s="40" t="s">
        <v>446</v>
      </c>
    </row>
    <row r="127" spans="1:3" ht="54.75" thickBot="1">
      <c r="A127" s="41" t="s">
        <v>447</v>
      </c>
      <c r="B127" s="42" t="s">
        <v>448</v>
      </c>
      <c r="C127" s="43" t="s">
        <v>449</v>
      </c>
    </row>
    <row r="128" spans="1:3" ht="68.25" thickBot="1">
      <c r="A128" s="41" t="s">
        <v>450</v>
      </c>
      <c r="B128" s="39" t="s">
        <v>451</v>
      </c>
      <c r="C128" s="40" t="s">
        <v>452</v>
      </c>
    </row>
    <row r="129" spans="1:3" ht="41.25" thickBot="1">
      <c r="A129" s="41" t="s">
        <v>453</v>
      </c>
      <c r="B129" s="42" t="s">
        <v>454</v>
      </c>
      <c r="C129" s="43" t="s">
        <v>455</v>
      </c>
    </row>
    <row r="130" spans="1:3" ht="68.25" thickBot="1">
      <c r="A130" s="41" t="s">
        <v>456</v>
      </c>
      <c r="B130" s="39" t="s">
        <v>457</v>
      </c>
      <c r="C130" s="40" t="s">
        <v>458</v>
      </c>
    </row>
    <row r="131" spans="1:3" ht="41.25" thickBot="1">
      <c r="A131" s="41" t="s">
        <v>459</v>
      </c>
      <c r="B131" s="42" t="s">
        <v>460</v>
      </c>
      <c r="C131" s="43" t="s">
        <v>461</v>
      </c>
    </row>
    <row r="132" spans="1:3" ht="68.25" thickBot="1">
      <c r="A132" s="41" t="s">
        <v>462</v>
      </c>
      <c r="B132" s="39" t="s">
        <v>463</v>
      </c>
      <c r="C132" s="40" t="s">
        <v>464</v>
      </c>
    </row>
    <row r="133" spans="1:3" ht="54.75" thickBot="1">
      <c r="A133" s="41" t="s">
        <v>465</v>
      </c>
      <c r="B133" s="42" t="s">
        <v>466</v>
      </c>
      <c r="C133" s="43" t="s">
        <v>467</v>
      </c>
    </row>
    <row r="134" spans="1:3" ht="54.75" thickBot="1">
      <c r="A134" s="41" t="s">
        <v>468</v>
      </c>
      <c r="B134" s="39" t="s">
        <v>469</v>
      </c>
      <c r="C134" s="40" t="s">
        <v>470</v>
      </c>
    </row>
    <row r="135" spans="1:3" ht="68.25" thickBot="1">
      <c r="A135" s="41" t="s">
        <v>471</v>
      </c>
      <c r="B135" s="42" t="s">
        <v>472</v>
      </c>
      <c r="C135" s="43" t="s">
        <v>473</v>
      </c>
    </row>
    <row r="136" spans="1:3" ht="54.75" thickBot="1">
      <c r="A136" s="41" t="s">
        <v>474</v>
      </c>
      <c r="B136" s="39" t="s">
        <v>475</v>
      </c>
      <c r="C136" s="40" t="s">
        <v>476</v>
      </c>
    </row>
    <row r="137" spans="1:3" ht="68.25" thickBot="1">
      <c r="A137" s="41" t="s">
        <v>477</v>
      </c>
      <c r="B137" s="42" t="s">
        <v>478</v>
      </c>
      <c r="C137" s="43" t="s">
        <v>479</v>
      </c>
    </row>
    <row r="138" spans="1:3" ht="54.75" thickBot="1">
      <c r="A138" s="39" t="s">
        <v>480</v>
      </c>
      <c r="B138" s="39" t="s">
        <v>481</v>
      </c>
      <c r="C138" s="40" t="s">
        <v>482</v>
      </c>
    </row>
    <row r="139" spans="1:3" ht="54.75" thickBot="1">
      <c r="A139" s="41" t="s">
        <v>483</v>
      </c>
      <c r="B139" s="42" t="s">
        <v>484</v>
      </c>
      <c r="C139" s="43" t="s">
        <v>485</v>
      </c>
    </row>
    <row r="140" spans="1:3" ht="54.75" thickBot="1">
      <c r="A140" s="41" t="s">
        <v>486</v>
      </c>
      <c r="B140" s="39" t="s">
        <v>487</v>
      </c>
      <c r="C140" s="40" t="s">
        <v>488</v>
      </c>
    </row>
    <row r="141" spans="1:3" ht="81.75" thickBot="1">
      <c r="A141" s="41" t="s">
        <v>489</v>
      </c>
      <c r="B141" s="42" t="s">
        <v>490</v>
      </c>
      <c r="C141" s="43" t="s">
        <v>491</v>
      </c>
    </row>
    <row r="142" spans="1:3" ht="54.75" thickBot="1">
      <c r="A142" s="41" t="s">
        <v>492</v>
      </c>
      <c r="B142" s="39" t="s">
        <v>493</v>
      </c>
      <c r="C142" s="40" t="s">
        <v>494</v>
      </c>
    </row>
    <row r="143" spans="1:3" ht="81.75" thickBot="1">
      <c r="A143" s="41" t="s">
        <v>495</v>
      </c>
      <c r="B143" s="42" t="s">
        <v>496</v>
      </c>
      <c r="C143" s="43" t="s">
        <v>497</v>
      </c>
    </row>
    <row r="144" spans="1:3" ht="68.25" thickBot="1">
      <c r="A144" s="41" t="s">
        <v>498</v>
      </c>
      <c r="B144" s="39" t="s">
        <v>499</v>
      </c>
      <c r="C144" s="40" t="s">
        <v>500</v>
      </c>
    </row>
    <row r="145" spans="1:3" ht="68.25" thickBot="1">
      <c r="A145" s="41" t="s">
        <v>501</v>
      </c>
      <c r="B145" s="42" t="s">
        <v>499</v>
      </c>
      <c r="C145" s="43" t="s">
        <v>500</v>
      </c>
    </row>
    <row r="146" spans="1:3" ht="81.75" thickBot="1">
      <c r="A146" s="41" t="s">
        <v>502</v>
      </c>
      <c r="B146" s="39" t="s">
        <v>503</v>
      </c>
      <c r="C146" s="40" t="s">
        <v>504</v>
      </c>
    </row>
    <row r="147" spans="1:3" ht="68.25" thickBot="1">
      <c r="A147" s="41" t="s">
        <v>505</v>
      </c>
      <c r="B147" s="42" t="s">
        <v>506</v>
      </c>
      <c r="C147" s="43" t="s">
        <v>507</v>
      </c>
    </row>
    <row r="148" spans="1:3" ht="68.25" thickBot="1">
      <c r="A148" s="41" t="s">
        <v>508</v>
      </c>
      <c r="B148" s="39" t="s">
        <v>509</v>
      </c>
      <c r="C148" s="40" t="s">
        <v>510</v>
      </c>
    </row>
    <row r="149" spans="1:3" ht="81.75" thickBot="1">
      <c r="A149" s="41" t="s">
        <v>480</v>
      </c>
      <c r="B149" s="42" t="s">
        <v>511</v>
      </c>
      <c r="C149" s="43" t="s">
        <v>482</v>
      </c>
    </row>
    <row r="150" spans="1:3" ht="95.25" thickBot="1">
      <c r="A150" s="41" t="s">
        <v>512</v>
      </c>
      <c r="B150" s="39" t="s">
        <v>513</v>
      </c>
      <c r="C150" s="40" t="s">
        <v>514</v>
      </c>
    </row>
    <row r="151" spans="1:3" ht="108.75" thickBot="1">
      <c r="A151" s="41" t="s">
        <v>515</v>
      </c>
      <c r="B151" s="42" t="s">
        <v>516</v>
      </c>
      <c r="C151" s="43" t="s">
        <v>517</v>
      </c>
    </row>
    <row r="152" spans="1:3" ht="54.75" thickBot="1">
      <c r="A152" s="41" t="s">
        <v>518</v>
      </c>
      <c r="B152" s="39" t="s">
        <v>519</v>
      </c>
      <c r="C152" s="40" t="s">
        <v>520</v>
      </c>
    </row>
    <row r="153" spans="1:3" ht="54.75" thickBot="1">
      <c r="A153" s="41" t="s">
        <v>521</v>
      </c>
      <c r="B153" s="42" t="s">
        <v>522</v>
      </c>
      <c r="C153" s="43" t="s">
        <v>523</v>
      </c>
    </row>
    <row r="154" spans="1:3" ht="54.75" thickBot="1">
      <c r="A154" s="41" t="s">
        <v>524</v>
      </c>
      <c r="B154" s="39" t="s">
        <v>525</v>
      </c>
      <c r="C154" s="40" t="s">
        <v>526</v>
      </c>
    </row>
    <row r="155" spans="1:3" ht="54.75" thickBot="1">
      <c r="A155" s="41" t="s">
        <v>527</v>
      </c>
      <c r="B155" s="42" t="s">
        <v>528</v>
      </c>
      <c r="C155" s="43" t="s">
        <v>529</v>
      </c>
    </row>
    <row r="156" spans="1:3" ht="68.25" thickBot="1">
      <c r="A156" s="39" t="s">
        <v>530</v>
      </c>
      <c r="B156" s="39" t="s">
        <v>531</v>
      </c>
      <c r="C156" s="40" t="s">
        <v>532</v>
      </c>
    </row>
    <row r="157" spans="1:3" ht="54.75" thickBot="1">
      <c r="A157" s="41" t="s">
        <v>533</v>
      </c>
      <c r="B157" s="42" t="s">
        <v>534</v>
      </c>
      <c r="C157" s="43" t="s">
        <v>535</v>
      </c>
    </row>
    <row r="158" spans="1:3" ht="54.75" thickBot="1">
      <c r="A158" s="41" t="s">
        <v>524</v>
      </c>
      <c r="B158" s="39" t="s">
        <v>525</v>
      </c>
      <c r="C158" s="40" t="s">
        <v>526</v>
      </c>
    </row>
    <row r="159" spans="1:3" ht="68.25" thickBot="1">
      <c r="A159" s="41" t="s">
        <v>536</v>
      </c>
      <c r="B159" s="42" t="s">
        <v>537</v>
      </c>
      <c r="C159" s="43" t="s">
        <v>538</v>
      </c>
    </row>
    <row r="160" spans="1:3" ht="54.75" thickBot="1">
      <c r="A160" s="41" t="s">
        <v>539</v>
      </c>
      <c r="B160" s="39" t="s">
        <v>540</v>
      </c>
      <c r="C160" s="40" t="s">
        <v>541</v>
      </c>
    </row>
    <row r="161" spans="1:3" ht="54.75" thickBot="1">
      <c r="A161" s="41" t="s">
        <v>542</v>
      </c>
      <c r="B161" s="42" t="s">
        <v>543</v>
      </c>
      <c r="C161" s="43" t="s">
        <v>544</v>
      </c>
    </row>
    <row r="162" spans="1:3" ht="54.75" thickBot="1">
      <c r="A162" s="41" t="s">
        <v>545</v>
      </c>
      <c r="B162" s="39" t="s">
        <v>546</v>
      </c>
      <c r="C162" s="40" t="s">
        <v>547</v>
      </c>
    </row>
    <row r="163" spans="1:3" ht="54.75" thickBot="1">
      <c r="A163" s="41" t="s">
        <v>548</v>
      </c>
      <c r="B163" s="42" t="s">
        <v>549</v>
      </c>
      <c r="C163" s="43" t="s">
        <v>550</v>
      </c>
    </row>
    <row r="164" spans="1:3" ht="54.75" thickBot="1">
      <c r="A164" s="41" t="s">
        <v>527</v>
      </c>
      <c r="B164" s="39" t="s">
        <v>528</v>
      </c>
      <c r="C164" s="40" t="s">
        <v>529</v>
      </c>
    </row>
    <row r="165" spans="1:3" ht="41.25" thickBot="1">
      <c r="A165" s="41" t="s">
        <v>551</v>
      </c>
      <c r="B165" s="42" t="s">
        <v>552</v>
      </c>
      <c r="C165" s="43" t="s">
        <v>553</v>
      </c>
    </row>
    <row r="166" spans="1:3" ht="54.75" thickBot="1">
      <c r="A166" s="39" t="s">
        <v>554</v>
      </c>
      <c r="B166" s="39" t="s">
        <v>555</v>
      </c>
      <c r="C166" s="40" t="s">
        <v>556</v>
      </c>
    </row>
    <row r="167" spans="1:3" ht="68.25" thickBot="1">
      <c r="A167" s="41" t="s">
        <v>557</v>
      </c>
      <c r="B167" s="42" t="s">
        <v>558</v>
      </c>
      <c r="C167" s="43" t="s">
        <v>559</v>
      </c>
    </row>
    <row r="168" spans="1:3" ht="68.25" thickBot="1">
      <c r="A168" s="41" t="s">
        <v>560</v>
      </c>
      <c r="B168" s="39" t="s">
        <v>561</v>
      </c>
      <c r="C168" s="40" t="s">
        <v>562</v>
      </c>
    </row>
    <row r="169" spans="1:3" ht="54.75" thickBot="1">
      <c r="A169" s="41" t="s">
        <v>563</v>
      </c>
      <c r="B169" s="42" t="s">
        <v>564</v>
      </c>
      <c r="C169" s="43" t="s">
        <v>565</v>
      </c>
    </row>
    <row r="170" spans="1:3" ht="54.75" thickBot="1">
      <c r="A170" s="41" t="s">
        <v>566</v>
      </c>
      <c r="B170" s="39" t="s">
        <v>567</v>
      </c>
      <c r="C170" s="40" t="s">
        <v>568</v>
      </c>
    </row>
    <row r="171" spans="1:3" ht="54.75" thickBot="1">
      <c r="A171" s="42" t="s">
        <v>569</v>
      </c>
      <c r="B171" s="42" t="s">
        <v>570</v>
      </c>
      <c r="C171" s="43" t="s">
        <v>571</v>
      </c>
    </row>
    <row r="172" spans="1:3" ht="81.75" thickBot="1">
      <c r="A172" s="41" t="s">
        <v>572</v>
      </c>
      <c r="B172" s="39" t="s">
        <v>573</v>
      </c>
      <c r="C172" s="40" t="s">
        <v>574</v>
      </c>
    </row>
    <row r="173" spans="1:3" ht="54.75" thickBot="1">
      <c r="A173" s="41" t="s">
        <v>575</v>
      </c>
      <c r="B173" s="42" t="s">
        <v>576</v>
      </c>
      <c r="C173" s="43" t="s">
        <v>577</v>
      </c>
    </row>
    <row r="174" spans="1:3" ht="54.75" thickBot="1">
      <c r="A174" s="41" t="s">
        <v>578</v>
      </c>
      <c r="B174" s="39" t="s">
        <v>579</v>
      </c>
      <c r="C174" s="40" t="s">
        <v>580</v>
      </c>
    </row>
    <row r="175" spans="1:3" ht="54.75" thickBot="1">
      <c r="A175" s="41" t="s">
        <v>581</v>
      </c>
      <c r="B175" s="42" t="s">
        <v>582</v>
      </c>
      <c r="C175" s="43" t="s">
        <v>583</v>
      </c>
    </row>
    <row r="176" spans="1:3" ht="54.75" thickBot="1">
      <c r="A176" s="41" t="s">
        <v>584</v>
      </c>
      <c r="B176" s="39" t="s">
        <v>585</v>
      </c>
      <c r="C176" s="40" t="s">
        <v>586</v>
      </c>
    </row>
    <row r="177" spans="1:3" ht="41.25" thickBot="1">
      <c r="A177" s="41" t="s">
        <v>587</v>
      </c>
      <c r="B177" s="42" t="s">
        <v>588</v>
      </c>
      <c r="C177" s="43" t="s">
        <v>589</v>
      </c>
    </row>
    <row r="178" spans="1:3" ht="54.75" thickBot="1">
      <c r="A178" s="41" t="s">
        <v>590</v>
      </c>
      <c r="B178" s="39" t="s">
        <v>591</v>
      </c>
      <c r="C178" s="40" t="s">
        <v>592</v>
      </c>
    </row>
    <row r="179" spans="1:3" ht="54.75" thickBot="1">
      <c r="A179" s="41" t="s">
        <v>593</v>
      </c>
      <c r="B179" s="42" t="s">
        <v>594</v>
      </c>
      <c r="C179" s="43" t="s">
        <v>595</v>
      </c>
    </row>
    <row r="180" spans="1:3" ht="54.75" thickBot="1">
      <c r="A180" s="41" t="s">
        <v>596</v>
      </c>
      <c r="B180" s="39" t="s">
        <v>597</v>
      </c>
      <c r="C180" s="40" t="s">
        <v>598</v>
      </c>
    </row>
    <row r="181" spans="1:3" ht="41.25" thickBot="1">
      <c r="A181" s="41" t="s">
        <v>587</v>
      </c>
      <c r="B181" s="42" t="s">
        <v>599</v>
      </c>
      <c r="C181" s="43" t="s">
        <v>589</v>
      </c>
    </row>
    <row r="182" spans="1:3" ht="54.75" thickBot="1">
      <c r="A182" s="39" t="s">
        <v>600</v>
      </c>
      <c r="B182" s="39" t="s">
        <v>601</v>
      </c>
      <c r="C182" s="40" t="s">
        <v>602</v>
      </c>
    </row>
    <row r="183" spans="1:3" ht="54.75" thickBot="1">
      <c r="A183" s="41" t="s">
        <v>603</v>
      </c>
      <c r="B183" s="42" t="s">
        <v>604</v>
      </c>
      <c r="C183" s="43" t="s">
        <v>605</v>
      </c>
    </row>
    <row r="184" spans="1:3" ht="41.25" thickBot="1">
      <c r="A184" s="39" t="s">
        <v>606</v>
      </c>
      <c r="B184" s="39" t="s">
        <v>607</v>
      </c>
      <c r="C184" s="40" t="s">
        <v>608</v>
      </c>
    </row>
    <row r="185" spans="1:3" ht="54.75" thickBot="1">
      <c r="A185" s="41" t="s">
        <v>609</v>
      </c>
      <c r="B185" s="42" t="s">
        <v>610</v>
      </c>
      <c r="C185" s="43" t="s">
        <v>611</v>
      </c>
    </row>
    <row r="186" spans="1:3" ht="54.75" thickBot="1">
      <c r="A186" s="41" t="s">
        <v>612</v>
      </c>
      <c r="B186" s="39" t="s">
        <v>613</v>
      </c>
      <c r="C186" s="40" t="s">
        <v>614</v>
      </c>
    </row>
    <row r="187" spans="1:3" ht="54.75" thickBot="1">
      <c r="A187" s="42" t="s">
        <v>615</v>
      </c>
      <c r="B187" s="42" t="s">
        <v>616</v>
      </c>
      <c r="C187" s="43" t="s">
        <v>617</v>
      </c>
    </row>
    <row r="188" spans="1:3" ht="54.75" thickBot="1">
      <c r="A188" s="39" t="s">
        <v>618</v>
      </c>
      <c r="B188" s="39" t="s">
        <v>619</v>
      </c>
      <c r="C188" s="40" t="s">
        <v>620</v>
      </c>
    </row>
    <row r="189" spans="1:3" ht="41.25" thickBot="1">
      <c r="A189" s="41" t="s">
        <v>621</v>
      </c>
      <c r="B189" s="42" t="s">
        <v>622</v>
      </c>
      <c r="C189" s="43" t="s">
        <v>623</v>
      </c>
    </row>
    <row r="190" spans="1:3" ht="54.75" thickBot="1">
      <c r="A190" s="39" t="s">
        <v>624</v>
      </c>
      <c r="B190" s="39" t="s">
        <v>625</v>
      </c>
      <c r="C190" s="40" t="s">
        <v>626</v>
      </c>
    </row>
    <row r="191" spans="1:3" ht="54.75" thickBot="1">
      <c r="A191" s="41" t="s">
        <v>627</v>
      </c>
      <c r="B191" s="42" t="s">
        <v>628</v>
      </c>
      <c r="C191" s="43" t="s">
        <v>629</v>
      </c>
    </row>
    <row r="192" spans="1:3" ht="68.25" thickBot="1">
      <c r="A192" s="41" t="s">
        <v>630</v>
      </c>
      <c r="B192" s="39" t="s">
        <v>631</v>
      </c>
      <c r="C192" s="40" t="s">
        <v>632</v>
      </c>
    </row>
    <row r="193" spans="1:3" ht="68.25" thickBot="1">
      <c r="A193" s="41" t="s">
        <v>633</v>
      </c>
      <c r="B193" s="42" t="s">
        <v>634</v>
      </c>
      <c r="C193" s="43" t="s">
        <v>635</v>
      </c>
    </row>
    <row r="194" spans="1:3" ht="68.25" thickBot="1">
      <c r="A194" s="41" t="s">
        <v>636</v>
      </c>
      <c r="B194" s="39" t="s">
        <v>637</v>
      </c>
      <c r="C194" s="40" t="s">
        <v>638</v>
      </c>
    </row>
    <row r="195" spans="1:3" ht="54.75" thickBot="1">
      <c r="A195" s="41" t="s">
        <v>639</v>
      </c>
      <c r="B195" s="42" t="s">
        <v>640</v>
      </c>
      <c r="C195" s="43" t="s">
        <v>641</v>
      </c>
    </row>
    <row r="196" spans="1:3" ht="54.75" thickBot="1">
      <c r="A196" s="41" t="s">
        <v>642</v>
      </c>
      <c r="B196" s="39" t="s">
        <v>643</v>
      </c>
      <c r="C196" s="40" t="s">
        <v>644</v>
      </c>
    </row>
    <row r="197" spans="1:3" ht="68.25" thickBot="1">
      <c r="A197" s="41" t="s">
        <v>645</v>
      </c>
      <c r="B197" s="42" t="s">
        <v>646</v>
      </c>
      <c r="C197" s="43" t="s">
        <v>647</v>
      </c>
    </row>
    <row r="198" spans="1:3" ht="68.25" thickBot="1">
      <c r="A198" s="41" t="s">
        <v>648</v>
      </c>
      <c r="B198" s="39" t="s">
        <v>649</v>
      </c>
      <c r="C198" s="40" t="s">
        <v>650</v>
      </c>
    </row>
    <row r="199" spans="1:3" ht="68.25" thickBot="1">
      <c r="A199" s="41" t="s">
        <v>651</v>
      </c>
      <c r="B199" s="42" t="s">
        <v>652</v>
      </c>
      <c r="C199" s="43" t="s">
        <v>653</v>
      </c>
    </row>
    <row r="200" spans="1:3" ht="68.25" thickBot="1">
      <c r="A200" s="41" t="s">
        <v>654</v>
      </c>
      <c r="B200" s="39" t="s">
        <v>655</v>
      </c>
      <c r="C200" s="40" t="s">
        <v>656</v>
      </c>
    </row>
    <row r="201" spans="1:3" ht="41.25" thickBot="1">
      <c r="A201" s="42" t="s">
        <v>657</v>
      </c>
      <c r="B201" s="42" t="s">
        <v>658</v>
      </c>
      <c r="C201" s="43" t="s">
        <v>659</v>
      </c>
    </row>
    <row r="202" spans="1:3" ht="41.25" thickBot="1">
      <c r="A202" s="41" t="s">
        <v>660</v>
      </c>
      <c r="B202" s="39" t="s">
        <v>661</v>
      </c>
      <c r="C202" s="40" t="s">
        <v>662</v>
      </c>
    </row>
    <row r="203" spans="1:3" ht="54.75" thickBot="1">
      <c r="A203" s="42" t="s">
        <v>663</v>
      </c>
      <c r="B203" s="42" t="s">
        <v>664</v>
      </c>
      <c r="C203" s="43" t="s">
        <v>665</v>
      </c>
    </row>
    <row r="204" spans="1:3" ht="54.75" thickBot="1">
      <c r="A204" s="41" t="s">
        <v>666</v>
      </c>
      <c r="B204" s="39" t="s">
        <v>667</v>
      </c>
      <c r="C204" s="40" t="s">
        <v>668</v>
      </c>
    </row>
    <row r="205" spans="1:3" ht="41.25" thickBot="1">
      <c r="A205" s="41" t="s">
        <v>669</v>
      </c>
      <c r="B205" s="42" t="s">
        <v>670</v>
      </c>
      <c r="C205" s="43" t="s">
        <v>671</v>
      </c>
    </row>
    <row r="206" spans="1:3" ht="41.25" thickBot="1">
      <c r="A206" s="41" t="s">
        <v>672</v>
      </c>
      <c r="B206" s="39" t="s">
        <v>673</v>
      </c>
      <c r="C206" s="40" t="s">
        <v>674</v>
      </c>
    </row>
    <row r="207" spans="1:3" ht="54.75" thickBot="1">
      <c r="A207" s="42" t="s">
        <v>675</v>
      </c>
      <c r="B207" s="42" t="s">
        <v>676</v>
      </c>
      <c r="C207" s="43" t="s">
        <v>677</v>
      </c>
    </row>
    <row r="208" spans="1:3" ht="54.75" thickBot="1">
      <c r="A208" s="41" t="s">
        <v>678</v>
      </c>
      <c r="B208" s="39" t="s">
        <v>679</v>
      </c>
      <c r="C208" s="40" t="s">
        <v>680</v>
      </c>
    </row>
    <row r="209" spans="1:3" ht="54.75" thickBot="1">
      <c r="A209" s="41" t="s">
        <v>681</v>
      </c>
      <c r="B209" s="42" t="s">
        <v>682</v>
      </c>
      <c r="C209" s="43" t="s">
        <v>683</v>
      </c>
    </row>
    <row r="210" spans="1:3" ht="68.25" thickBot="1">
      <c r="A210" s="41" t="s">
        <v>684</v>
      </c>
      <c r="B210" s="39" t="s">
        <v>685</v>
      </c>
      <c r="C210" s="40" t="s">
        <v>686</v>
      </c>
    </row>
    <row r="211" spans="1:3" ht="54.75" thickBot="1">
      <c r="A211" s="42" t="s">
        <v>687</v>
      </c>
      <c r="B211" s="42" t="s">
        <v>688</v>
      </c>
      <c r="C211" s="43" t="s">
        <v>689</v>
      </c>
    </row>
    <row r="212" spans="1:3" ht="54.75" thickBot="1">
      <c r="A212" s="41" t="s">
        <v>690</v>
      </c>
      <c r="B212" s="39" t="s">
        <v>691</v>
      </c>
      <c r="C212" s="40" t="s">
        <v>692</v>
      </c>
    </row>
    <row r="213" spans="1:3" ht="54.75" thickBot="1">
      <c r="A213" s="41" t="s">
        <v>687</v>
      </c>
      <c r="B213" s="42" t="s">
        <v>693</v>
      </c>
      <c r="C213" s="43" t="s">
        <v>689</v>
      </c>
    </row>
    <row r="214" spans="1:3" ht="54.75" thickBot="1">
      <c r="A214" s="41" t="s">
        <v>694</v>
      </c>
      <c r="B214" s="39" t="s">
        <v>695</v>
      </c>
      <c r="C214" s="40" t="s">
        <v>696</v>
      </c>
    </row>
    <row r="215" spans="1:3" ht="41.25" thickBot="1">
      <c r="A215" s="41" t="s">
        <v>697</v>
      </c>
      <c r="B215" s="42" t="s">
        <v>698</v>
      </c>
      <c r="C215" s="43" t="s">
        <v>699</v>
      </c>
    </row>
    <row r="216" spans="1:3" ht="54.75" thickBot="1">
      <c r="A216" s="41" t="s">
        <v>700</v>
      </c>
      <c r="B216" s="39" t="s">
        <v>701</v>
      </c>
      <c r="C216" s="40" t="s">
        <v>702</v>
      </c>
    </row>
    <row r="217" spans="1:3" ht="54.75" thickBot="1">
      <c r="A217" s="41" t="s">
        <v>703</v>
      </c>
      <c r="B217" s="42" t="s">
        <v>704</v>
      </c>
      <c r="C217" s="43" t="s">
        <v>705</v>
      </c>
    </row>
    <row r="218" spans="1:3" ht="54.75" thickBot="1">
      <c r="A218" s="41" t="s">
        <v>706</v>
      </c>
      <c r="B218" s="39" t="s">
        <v>707</v>
      </c>
      <c r="C218" s="40" t="s">
        <v>708</v>
      </c>
    </row>
    <row r="219" spans="1:3" ht="41.25" thickBot="1">
      <c r="A219" s="41" t="s">
        <v>709</v>
      </c>
      <c r="B219" s="42" t="s">
        <v>710</v>
      </c>
      <c r="C219" s="43" t="s">
        <v>711</v>
      </c>
    </row>
    <row r="220" spans="1:3" ht="41.25" thickBot="1">
      <c r="A220" s="41" t="s">
        <v>712</v>
      </c>
      <c r="B220" s="39" t="s">
        <v>713</v>
      </c>
      <c r="C220" s="40" t="s">
        <v>714</v>
      </c>
    </row>
    <row r="221" spans="1:3" ht="54.75" thickBot="1">
      <c r="A221" s="41" t="s">
        <v>715</v>
      </c>
      <c r="B221" s="42" t="s">
        <v>716</v>
      </c>
      <c r="C221" s="43" t="s">
        <v>717</v>
      </c>
    </row>
    <row r="222" spans="1:3" ht="54.75" thickBot="1">
      <c r="A222" s="41" t="s">
        <v>718</v>
      </c>
      <c r="B222" s="39" t="s">
        <v>719</v>
      </c>
      <c r="C222" s="40" t="s">
        <v>720</v>
      </c>
    </row>
    <row r="223" spans="1:3" ht="54.75" thickBot="1">
      <c r="A223" s="41" t="s">
        <v>721</v>
      </c>
      <c r="B223" s="42" t="s">
        <v>722</v>
      </c>
      <c r="C223" s="43" t="s">
        <v>723</v>
      </c>
    </row>
    <row r="224" spans="1:3" ht="54.75" thickBot="1">
      <c r="A224" s="41" t="s">
        <v>724</v>
      </c>
      <c r="B224" s="39" t="s">
        <v>725</v>
      </c>
      <c r="C224" s="40" t="s">
        <v>726</v>
      </c>
    </row>
    <row r="225" spans="1:3" ht="54.75" thickBot="1">
      <c r="A225" s="41" t="s">
        <v>727</v>
      </c>
      <c r="B225" s="42" t="s">
        <v>728</v>
      </c>
      <c r="C225" s="43" t="s">
        <v>729</v>
      </c>
    </row>
    <row r="226" spans="1:3" ht="54.75" thickBot="1">
      <c r="A226" s="41" t="s">
        <v>730</v>
      </c>
      <c r="B226" s="39" t="s">
        <v>731</v>
      </c>
      <c r="C226" s="40" t="s">
        <v>732</v>
      </c>
    </row>
    <row r="227" spans="1:3" ht="54.75" thickBot="1">
      <c r="A227" s="41" t="s">
        <v>733</v>
      </c>
      <c r="B227" s="42" t="s">
        <v>734</v>
      </c>
      <c r="C227" s="43" t="s">
        <v>735</v>
      </c>
    </row>
    <row r="228" spans="1:3" ht="54.75" thickBot="1">
      <c r="A228" s="41" t="s">
        <v>736</v>
      </c>
      <c r="B228" s="39" t="s">
        <v>737</v>
      </c>
      <c r="C228" s="40" t="s">
        <v>738</v>
      </c>
    </row>
    <row r="229" spans="1:3" ht="41.25" thickBot="1">
      <c r="A229" s="42" t="s">
        <v>739</v>
      </c>
      <c r="B229" s="42" t="s">
        <v>740</v>
      </c>
      <c r="C229" s="43" t="s">
        <v>741</v>
      </c>
    </row>
    <row r="230" spans="1:3" ht="41.25" thickBot="1">
      <c r="A230" s="41" t="s">
        <v>742</v>
      </c>
      <c r="B230" s="39" t="s">
        <v>743</v>
      </c>
      <c r="C230" s="40" t="s">
        <v>744</v>
      </c>
    </row>
    <row r="231" spans="1:3" ht="54.75" thickBot="1">
      <c r="A231" s="41" t="s">
        <v>745</v>
      </c>
      <c r="B231" s="42" t="s">
        <v>746</v>
      </c>
      <c r="C231" s="43" t="s">
        <v>747</v>
      </c>
    </row>
    <row r="232" spans="1:3" ht="54.75" thickBot="1">
      <c r="A232" s="41" t="s">
        <v>748</v>
      </c>
      <c r="B232" s="39" t="s">
        <v>749</v>
      </c>
      <c r="C232" s="40" t="s">
        <v>750</v>
      </c>
    </row>
    <row r="233" spans="1:3" ht="54.75" thickBot="1">
      <c r="A233" s="41" t="s">
        <v>751</v>
      </c>
      <c r="B233" s="42" t="s">
        <v>752</v>
      </c>
      <c r="C233" s="43" t="s">
        <v>753</v>
      </c>
    </row>
    <row r="234" spans="1:3" ht="54.75" thickBot="1">
      <c r="A234" s="41" t="s">
        <v>754</v>
      </c>
      <c r="B234" s="39" t="s">
        <v>755</v>
      </c>
      <c r="C234" s="40" t="s">
        <v>756</v>
      </c>
    </row>
    <row r="235" spans="1:3" ht="41.25" thickBot="1">
      <c r="A235" s="41" t="s">
        <v>757</v>
      </c>
      <c r="B235" s="42" t="s">
        <v>758</v>
      </c>
      <c r="C235" s="43" t="s">
        <v>759</v>
      </c>
    </row>
    <row r="236" spans="1:3" ht="54.75" thickBot="1">
      <c r="A236" s="41" t="s">
        <v>760</v>
      </c>
      <c r="B236" s="39" t="s">
        <v>761</v>
      </c>
      <c r="C236" s="40" t="s">
        <v>762</v>
      </c>
    </row>
    <row r="237" spans="1:3" ht="54.75" thickBot="1">
      <c r="A237" s="41" t="s">
        <v>763</v>
      </c>
      <c r="B237" s="42" t="s">
        <v>764</v>
      </c>
      <c r="C237" s="43" t="s">
        <v>765</v>
      </c>
    </row>
    <row r="238" spans="1:3" ht="54.75" thickBot="1">
      <c r="A238" s="41" t="s">
        <v>766</v>
      </c>
      <c r="B238" s="39" t="s">
        <v>767</v>
      </c>
      <c r="C238" s="40" t="s">
        <v>768</v>
      </c>
    </row>
    <row r="239" spans="1:3" ht="41.25" thickBot="1">
      <c r="A239" s="41" t="s">
        <v>742</v>
      </c>
      <c r="B239" s="42" t="s">
        <v>769</v>
      </c>
      <c r="C239" s="43" t="s">
        <v>744</v>
      </c>
    </row>
    <row r="240" spans="1:3" ht="54.75" thickBot="1">
      <c r="A240" s="41" t="s">
        <v>770</v>
      </c>
      <c r="B240" s="39" t="s">
        <v>771</v>
      </c>
      <c r="C240" s="40" t="s">
        <v>772</v>
      </c>
    </row>
    <row r="241" spans="1:3" ht="54.75" thickBot="1">
      <c r="A241" s="41" t="s">
        <v>773</v>
      </c>
      <c r="B241" s="42" t="s">
        <v>774</v>
      </c>
      <c r="C241" s="43" t="s">
        <v>775</v>
      </c>
    </row>
    <row r="242" spans="1:3" ht="54.75" thickBot="1">
      <c r="A242" s="41" t="s">
        <v>776</v>
      </c>
      <c r="B242" s="39" t="s">
        <v>777</v>
      </c>
      <c r="C242" s="40" t="s">
        <v>778</v>
      </c>
    </row>
    <row r="243" spans="1:3" ht="54.75" thickBot="1">
      <c r="A243" s="41" t="s">
        <v>779</v>
      </c>
      <c r="B243" s="42" t="s">
        <v>780</v>
      </c>
      <c r="C243" s="43" t="s">
        <v>781</v>
      </c>
    </row>
    <row r="244" spans="1:3" ht="54.75" thickBot="1">
      <c r="A244" s="41" t="s">
        <v>782</v>
      </c>
      <c r="B244" s="39" t="s">
        <v>783</v>
      </c>
      <c r="C244" s="40" t="s">
        <v>784</v>
      </c>
    </row>
    <row r="245" spans="1:3" ht="54.75" thickBot="1">
      <c r="A245" s="41" t="s">
        <v>745</v>
      </c>
      <c r="B245" s="42" t="s">
        <v>746</v>
      </c>
      <c r="C245" s="43" t="s">
        <v>747</v>
      </c>
    </row>
    <row r="246" spans="1:3" ht="54.75" thickBot="1">
      <c r="A246" s="41" t="s">
        <v>748</v>
      </c>
      <c r="B246" s="39" t="s">
        <v>749</v>
      </c>
      <c r="C246" s="40" t="s">
        <v>750</v>
      </c>
    </row>
    <row r="247" spans="1:3" ht="54.75" thickBot="1">
      <c r="A247" s="42" t="s">
        <v>785</v>
      </c>
      <c r="B247" s="42" t="s">
        <v>786</v>
      </c>
      <c r="C247" s="43" t="s">
        <v>665</v>
      </c>
    </row>
    <row r="248" spans="1:3" ht="54.75" thickBot="1">
      <c r="A248" s="41" t="s">
        <v>787</v>
      </c>
      <c r="B248" s="39" t="s">
        <v>788</v>
      </c>
      <c r="C248" s="40" t="s">
        <v>789</v>
      </c>
    </row>
    <row r="249" spans="1:3" ht="54.75" thickBot="1">
      <c r="A249" s="41" t="s">
        <v>790</v>
      </c>
      <c r="B249" s="42" t="s">
        <v>791</v>
      </c>
      <c r="C249" s="43" t="s">
        <v>792</v>
      </c>
    </row>
    <row r="250" spans="1:3" ht="68.25" thickBot="1">
      <c r="A250" s="41" t="s">
        <v>793</v>
      </c>
      <c r="B250" s="39" t="s">
        <v>794</v>
      </c>
      <c r="C250" s="40" t="s">
        <v>795</v>
      </c>
    </row>
    <row r="251" spans="1:3" ht="54.75" thickBot="1">
      <c r="A251" s="41" t="s">
        <v>796</v>
      </c>
      <c r="B251" s="42" t="s">
        <v>797</v>
      </c>
      <c r="C251" s="43" t="s">
        <v>798</v>
      </c>
    </row>
    <row r="252" spans="1:3" ht="54.75" thickBot="1">
      <c r="A252" s="41" t="s">
        <v>799</v>
      </c>
      <c r="B252" s="39" t="s">
        <v>800</v>
      </c>
      <c r="C252" s="40" t="s">
        <v>801</v>
      </c>
    </row>
    <row r="253" spans="1:3" ht="54.75" thickBot="1">
      <c r="A253" s="41" t="s">
        <v>802</v>
      </c>
      <c r="B253" s="42" t="s">
        <v>803</v>
      </c>
      <c r="C253" s="43" t="s">
        <v>804</v>
      </c>
    </row>
    <row r="254" spans="1:3" ht="54.75" thickBot="1">
      <c r="A254" s="41" t="s">
        <v>805</v>
      </c>
      <c r="B254" s="39" t="s">
        <v>806</v>
      </c>
      <c r="C254" s="40" t="s">
        <v>807</v>
      </c>
    </row>
    <row r="255" spans="1:3" ht="54.75" thickBot="1">
      <c r="A255" s="41" t="s">
        <v>808</v>
      </c>
      <c r="B255" s="42" t="s">
        <v>809</v>
      </c>
      <c r="C255" s="43" t="s">
        <v>810</v>
      </c>
    </row>
    <row r="256" spans="1:3" ht="41.25" thickBot="1">
      <c r="A256" s="41" t="s">
        <v>811</v>
      </c>
      <c r="B256" s="39" t="s">
        <v>812</v>
      </c>
      <c r="C256" s="40" t="s">
        <v>813</v>
      </c>
    </row>
    <row r="257" spans="1:3" ht="54.75" thickBot="1">
      <c r="A257" s="41" t="s">
        <v>814</v>
      </c>
      <c r="B257" s="42" t="s">
        <v>815</v>
      </c>
      <c r="C257" s="43" t="s">
        <v>816</v>
      </c>
    </row>
    <row r="258" spans="1:3" ht="41.25" thickBot="1">
      <c r="A258" s="39" t="s">
        <v>817</v>
      </c>
      <c r="B258" s="39" t="s">
        <v>818</v>
      </c>
      <c r="C258" s="40" t="s">
        <v>819</v>
      </c>
    </row>
    <row r="259" spans="1:3" ht="41.25" thickBot="1">
      <c r="A259" s="41" t="s">
        <v>820</v>
      </c>
      <c r="B259" s="42" t="s">
        <v>821</v>
      </c>
      <c r="C259" s="43" t="s">
        <v>822</v>
      </c>
    </row>
    <row r="260" spans="1:3" ht="54.75" thickBot="1">
      <c r="A260" s="41" t="s">
        <v>823</v>
      </c>
      <c r="B260" s="39" t="s">
        <v>824</v>
      </c>
      <c r="C260" s="40" t="s">
        <v>825</v>
      </c>
    </row>
    <row r="261" spans="1:3" ht="41.25" thickBot="1">
      <c r="A261" s="41" t="s">
        <v>826</v>
      </c>
      <c r="B261" s="42" t="s">
        <v>827</v>
      </c>
      <c r="C261" s="43" t="s">
        <v>828</v>
      </c>
    </row>
    <row r="262" spans="1:3" ht="41.25" thickBot="1">
      <c r="A262" s="41" t="s">
        <v>829</v>
      </c>
      <c r="B262" s="39" t="s">
        <v>830</v>
      </c>
      <c r="C262" s="40" t="s">
        <v>831</v>
      </c>
    </row>
    <row r="263" spans="1:3" ht="41.25" thickBot="1">
      <c r="A263" s="41" t="s">
        <v>832</v>
      </c>
      <c r="B263" s="42" t="s">
        <v>833</v>
      </c>
      <c r="C263" s="43" t="s">
        <v>834</v>
      </c>
    </row>
    <row r="264" spans="1:3" ht="41.25" thickBot="1">
      <c r="A264" s="39" t="s">
        <v>835</v>
      </c>
      <c r="B264" s="39" t="s">
        <v>836</v>
      </c>
      <c r="C264" s="40" t="s">
        <v>837</v>
      </c>
    </row>
    <row r="265" spans="1:3" ht="54.75" thickBot="1">
      <c r="A265" s="41" t="s">
        <v>838</v>
      </c>
      <c r="B265" s="42" t="s">
        <v>839</v>
      </c>
      <c r="C265" s="43" t="s">
        <v>840</v>
      </c>
    </row>
    <row r="266" spans="1:3" ht="41.25" thickBot="1">
      <c r="A266" s="41" t="s">
        <v>841</v>
      </c>
      <c r="B266" s="39" t="s">
        <v>842</v>
      </c>
      <c r="C266" s="40" t="s">
        <v>843</v>
      </c>
    </row>
    <row r="267" spans="1:3" ht="54.75" thickBot="1">
      <c r="A267" s="41" t="s">
        <v>844</v>
      </c>
      <c r="B267" s="42" t="s">
        <v>845</v>
      </c>
      <c r="C267" s="43" t="s">
        <v>846</v>
      </c>
    </row>
    <row r="268" spans="1:3" ht="54.75" thickBot="1">
      <c r="A268" s="41" t="s">
        <v>847</v>
      </c>
      <c r="B268" s="39" t="s">
        <v>848</v>
      </c>
      <c r="C268" s="40" t="s">
        <v>849</v>
      </c>
    </row>
    <row r="269" spans="1:3" ht="54.75" thickBot="1">
      <c r="A269" s="41" t="s">
        <v>850</v>
      </c>
      <c r="B269" s="42" t="s">
        <v>851</v>
      </c>
      <c r="C269" s="43" t="s">
        <v>852</v>
      </c>
    </row>
    <row r="270" spans="1:3" ht="68.25" thickBot="1">
      <c r="A270" s="41" t="s">
        <v>853</v>
      </c>
      <c r="B270" s="39" t="s">
        <v>854</v>
      </c>
      <c r="C270" s="40" t="s">
        <v>855</v>
      </c>
    </row>
    <row r="271" spans="1:3" ht="54.75" thickBot="1">
      <c r="A271" s="41" t="s">
        <v>856</v>
      </c>
      <c r="B271" s="42" t="s">
        <v>857</v>
      </c>
      <c r="C271" s="43" t="s">
        <v>858</v>
      </c>
    </row>
    <row r="272" spans="1:3" ht="54.75" thickBot="1">
      <c r="A272" s="41" t="s">
        <v>859</v>
      </c>
      <c r="B272" s="39" t="s">
        <v>860</v>
      </c>
      <c r="C272" s="40" t="s">
        <v>861</v>
      </c>
    </row>
    <row r="273" spans="1:3" ht="54.75" thickBot="1">
      <c r="A273" s="41" t="s">
        <v>862</v>
      </c>
      <c r="B273" s="42" t="s">
        <v>863</v>
      </c>
      <c r="C273" s="43" t="s">
        <v>864</v>
      </c>
    </row>
    <row r="274" spans="1:3" ht="54.75" thickBot="1">
      <c r="A274" s="41" t="s">
        <v>865</v>
      </c>
      <c r="B274" s="39" t="s">
        <v>866</v>
      </c>
      <c r="C274" s="40" t="s">
        <v>867</v>
      </c>
    </row>
    <row r="275" spans="1:3" ht="54.75" thickBot="1">
      <c r="A275" s="41" t="s">
        <v>868</v>
      </c>
      <c r="B275" s="42" t="s">
        <v>869</v>
      </c>
      <c r="C275" s="43" t="s">
        <v>870</v>
      </c>
    </row>
    <row r="276" spans="1:3" ht="54.75" thickBot="1">
      <c r="A276" s="41" t="s">
        <v>871</v>
      </c>
      <c r="B276" s="39" t="s">
        <v>872</v>
      </c>
      <c r="C276" s="40" t="s">
        <v>873</v>
      </c>
    </row>
    <row r="277" spans="1:3" ht="54.75" thickBot="1">
      <c r="A277" s="41" t="s">
        <v>838</v>
      </c>
      <c r="B277" s="42" t="s">
        <v>874</v>
      </c>
      <c r="C277" s="43" t="s">
        <v>840</v>
      </c>
    </row>
    <row r="278" spans="1:3" ht="41.25" thickBot="1">
      <c r="A278" s="41" t="s">
        <v>875</v>
      </c>
      <c r="B278" s="39" t="s">
        <v>876</v>
      </c>
      <c r="C278" s="40" t="s">
        <v>877</v>
      </c>
    </row>
    <row r="279" spans="1:3" ht="54.75" thickBot="1">
      <c r="A279" s="41" t="s">
        <v>878</v>
      </c>
      <c r="B279" s="42" t="s">
        <v>879</v>
      </c>
      <c r="C279" s="43" t="s">
        <v>880</v>
      </c>
    </row>
    <row r="280" spans="1:3" ht="54.75" thickBot="1">
      <c r="A280" s="41" t="s">
        <v>881</v>
      </c>
      <c r="B280" s="39" t="s">
        <v>882</v>
      </c>
      <c r="C280" s="40" t="s">
        <v>883</v>
      </c>
    </row>
    <row r="281" spans="1:3" ht="68.25" thickBot="1">
      <c r="A281" s="41" t="s">
        <v>884</v>
      </c>
      <c r="B281" s="42" t="s">
        <v>885</v>
      </c>
      <c r="C281" s="43" t="s">
        <v>886</v>
      </c>
    </row>
    <row r="282" spans="1:3" ht="54.75" thickBot="1">
      <c r="A282" s="41" t="s">
        <v>887</v>
      </c>
      <c r="B282" s="39" t="s">
        <v>888</v>
      </c>
      <c r="C282" s="40" t="s">
        <v>889</v>
      </c>
    </row>
    <row r="283" spans="1:3" ht="68.25" thickBot="1">
      <c r="A283" s="41" t="s">
        <v>890</v>
      </c>
      <c r="B283" s="42" t="s">
        <v>891</v>
      </c>
      <c r="C283" s="43" t="s">
        <v>892</v>
      </c>
    </row>
    <row r="284" spans="1:3" ht="41.25" thickBot="1">
      <c r="A284" s="41" t="s">
        <v>893</v>
      </c>
      <c r="B284" s="39" t="s">
        <v>894</v>
      </c>
      <c r="C284" s="40" t="s">
        <v>895</v>
      </c>
    </row>
    <row r="285" spans="1:3" ht="54.75" thickBot="1">
      <c r="A285" s="41" t="s">
        <v>896</v>
      </c>
      <c r="B285" s="42" t="s">
        <v>897</v>
      </c>
      <c r="C285" s="43" t="s">
        <v>898</v>
      </c>
    </row>
    <row r="286" spans="1:3" ht="54.75" thickBot="1">
      <c r="A286" s="41" t="s">
        <v>899</v>
      </c>
      <c r="B286" s="39" t="s">
        <v>900</v>
      </c>
      <c r="C286" s="40" t="s">
        <v>901</v>
      </c>
    </row>
    <row r="287" spans="1:3" ht="54.75" thickBot="1">
      <c r="A287" s="41" t="s">
        <v>902</v>
      </c>
      <c r="B287" s="42" t="s">
        <v>903</v>
      </c>
      <c r="C287" s="43" t="s">
        <v>904</v>
      </c>
    </row>
    <row r="288" spans="1:3" ht="54.75" thickBot="1">
      <c r="A288" s="41" t="s">
        <v>905</v>
      </c>
      <c r="B288" s="39" t="s">
        <v>906</v>
      </c>
      <c r="C288" s="40" t="s">
        <v>907</v>
      </c>
    </row>
    <row r="289" spans="1:3" ht="54.75" thickBot="1">
      <c r="A289" s="41" t="s">
        <v>908</v>
      </c>
      <c r="B289" s="42" t="s">
        <v>909</v>
      </c>
      <c r="C289" s="43" t="s">
        <v>910</v>
      </c>
    </row>
    <row r="290" spans="1:3" ht="54.75" thickBot="1">
      <c r="A290" s="41" t="s">
        <v>911</v>
      </c>
      <c r="B290" s="39" t="s">
        <v>912</v>
      </c>
      <c r="C290" s="40" t="s">
        <v>913</v>
      </c>
    </row>
    <row r="291" spans="1:3" ht="54.75" thickBot="1">
      <c r="A291" s="41" t="s">
        <v>914</v>
      </c>
      <c r="B291" s="42" t="s">
        <v>915</v>
      </c>
      <c r="C291" s="43" t="s">
        <v>916</v>
      </c>
    </row>
    <row r="292" spans="1:3" ht="54.75" thickBot="1">
      <c r="A292" s="41" t="s">
        <v>917</v>
      </c>
      <c r="B292" s="39" t="s">
        <v>918</v>
      </c>
      <c r="C292" s="40" t="s">
        <v>919</v>
      </c>
    </row>
    <row r="293" spans="1:3" ht="54.75" thickBot="1">
      <c r="A293" s="41" t="s">
        <v>920</v>
      </c>
      <c r="B293" s="42" t="s">
        <v>921</v>
      </c>
      <c r="C293" s="43" t="s">
        <v>922</v>
      </c>
    </row>
    <row r="294" spans="1:3" ht="54.75" thickBot="1">
      <c r="A294" s="41" t="s">
        <v>923</v>
      </c>
      <c r="B294" s="39" t="s">
        <v>924</v>
      </c>
      <c r="C294" s="40" t="s">
        <v>925</v>
      </c>
    </row>
    <row r="295" spans="1:3" ht="54.75" thickBot="1">
      <c r="A295" s="41" t="s">
        <v>926</v>
      </c>
      <c r="B295" s="42" t="s">
        <v>927</v>
      </c>
      <c r="C295" s="43" t="s">
        <v>928</v>
      </c>
    </row>
    <row r="296" spans="1:3" ht="54.75" thickBot="1">
      <c r="A296" s="41" t="s">
        <v>929</v>
      </c>
      <c r="B296" s="39" t="s">
        <v>930</v>
      </c>
      <c r="C296" s="40" t="s">
        <v>931</v>
      </c>
    </row>
    <row r="297" spans="1:3" ht="68.25" thickBot="1">
      <c r="A297" s="41" t="s">
        <v>932</v>
      </c>
      <c r="B297" s="42" t="s">
        <v>933</v>
      </c>
      <c r="C297" s="43" t="s">
        <v>934</v>
      </c>
    </row>
    <row r="298" spans="1:3" ht="54.75" thickBot="1">
      <c r="A298" s="41" t="s">
        <v>935</v>
      </c>
      <c r="B298" s="39" t="s">
        <v>936</v>
      </c>
      <c r="C298" s="40" t="s">
        <v>937</v>
      </c>
    </row>
    <row r="299" spans="1:3" ht="54.75" thickBot="1">
      <c r="A299" s="41" t="s">
        <v>938</v>
      </c>
      <c r="B299" s="42" t="s">
        <v>939</v>
      </c>
      <c r="C299" s="43" t="s">
        <v>940</v>
      </c>
    </row>
    <row r="300" spans="1:3" ht="68.25" thickBot="1">
      <c r="A300" s="41" t="s">
        <v>941</v>
      </c>
      <c r="B300" s="39" t="s">
        <v>942</v>
      </c>
      <c r="C300" s="40" t="s">
        <v>943</v>
      </c>
    </row>
    <row r="301" spans="1:3" ht="68.25" thickBot="1">
      <c r="A301" s="41" t="s">
        <v>944</v>
      </c>
      <c r="B301" s="42" t="s">
        <v>945</v>
      </c>
      <c r="C301" s="43" t="s">
        <v>946</v>
      </c>
    </row>
    <row r="302" spans="1:3" ht="68.25" thickBot="1">
      <c r="A302" s="41" t="s">
        <v>947</v>
      </c>
      <c r="B302" s="39" t="s">
        <v>948</v>
      </c>
      <c r="C302" s="40" t="s">
        <v>949</v>
      </c>
    </row>
    <row r="303" spans="1:3" ht="54.75" thickBot="1">
      <c r="A303" s="41" t="s">
        <v>950</v>
      </c>
      <c r="B303" s="42" t="s">
        <v>951</v>
      </c>
      <c r="C303" s="43" t="s">
        <v>952</v>
      </c>
    </row>
    <row r="304" spans="1:3" ht="68.25" thickBot="1">
      <c r="A304" s="41" t="s">
        <v>953</v>
      </c>
      <c r="B304" s="39" t="s">
        <v>954</v>
      </c>
      <c r="C304" s="40" t="s">
        <v>955</v>
      </c>
    </row>
    <row r="305" spans="1:3" ht="54.75" thickBot="1">
      <c r="A305" s="41" t="s">
        <v>956</v>
      </c>
      <c r="B305" s="42" t="s">
        <v>957</v>
      </c>
      <c r="C305" s="43" t="s">
        <v>958</v>
      </c>
    </row>
    <row r="306" spans="1:3" ht="54.75" thickBot="1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1129</v>
      </c>
      <c r="B1" t="s">
        <v>1130</v>
      </c>
    </row>
    <row r="2" spans="1:2">
      <c r="A2" s="48">
        <v>45722.801747685182</v>
      </c>
      <c r="B2" t="s">
        <v>1127</v>
      </c>
    </row>
    <row r="3" spans="1:2">
      <c r="A3" s="48">
        <v>45723.400613425925</v>
      </c>
      <c r="B3" t="s">
        <v>1127</v>
      </c>
    </row>
    <row r="4" spans="1:2">
      <c r="A4" s="48">
        <v>45723.658148148148</v>
      </c>
      <c r="B4" t="s">
        <v>1135</v>
      </c>
    </row>
    <row r="5" spans="1:2">
      <c r="A5" s="48">
        <v>45723.662939814814</v>
      </c>
      <c r="B5" t="s">
        <v>1136</v>
      </c>
    </row>
    <row r="6" spans="1:2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1139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1140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49</v>
      </c>
      <c r="C8" s="34" t="s">
        <v>1141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1477</v>
      </c>
      <c r="B1" t="s">
        <v>47</v>
      </c>
      <c r="C1" t="s">
        <v>1477</v>
      </c>
      <c r="D1" t="s">
        <v>1442</v>
      </c>
      <c r="F1" t="s">
        <v>1444</v>
      </c>
      <c r="H1" t="s">
        <v>1445</v>
      </c>
      <c r="L1" t="s">
        <v>1452</v>
      </c>
      <c r="N1" t="s">
        <v>1456</v>
      </c>
      <c r="P1" t="s">
        <v>1761</v>
      </c>
      <c r="R1" t="s">
        <v>1760</v>
      </c>
    </row>
    <row r="2" spans="1:20">
      <c r="A2">
        <v>1</v>
      </c>
      <c r="B2" t="s">
        <v>32</v>
      </c>
      <c r="C2">
        <v>1</v>
      </c>
      <c r="D2" t="s">
        <v>1444</v>
      </c>
      <c r="E2">
        <v>1</v>
      </c>
      <c r="F2" t="s">
        <v>1459</v>
      </c>
      <c r="G2">
        <v>1</v>
      </c>
      <c r="H2" t="s">
        <v>1468</v>
      </c>
      <c r="I2">
        <v>1</v>
      </c>
      <c r="J2" t="s">
        <v>1216</v>
      </c>
      <c r="K2">
        <v>1</v>
      </c>
      <c r="L2" t="s">
        <v>1472</v>
      </c>
      <c r="M2">
        <v>1</v>
      </c>
      <c r="N2" t="s">
        <v>1475</v>
      </c>
      <c r="O2">
        <v>1</v>
      </c>
      <c r="Q2">
        <v>1</v>
      </c>
    </row>
    <row r="3" spans="1:20">
      <c r="A3">
        <v>2</v>
      </c>
      <c r="B3" t="s">
        <v>1132</v>
      </c>
      <c r="C3">
        <v>2</v>
      </c>
      <c r="D3" t="s">
        <v>1445</v>
      </c>
      <c r="E3">
        <v>2</v>
      </c>
      <c r="F3" t="s">
        <v>1460</v>
      </c>
      <c r="G3">
        <v>2</v>
      </c>
      <c r="H3" t="s">
        <v>1258</v>
      </c>
      <c r="I3">
        <v>2</v>
      </c>
      <c r="J3" t="s">
        <v>1217</v>
      </c>
      <c r="K3">
        <v>2</v>
      </c>
      <c r="L3" t="s">
        <v>1473</v>
      </c>
      <c r="M3">
        <v>2</v>
      </c>
      <c r="N3" t="s">
        <v>1476</v>
      </c>
      <c r="O3">
        <v>2</v>
      </c>
      <c r="Q3">
        <v>2</v>
      </c>
    </row>
    <row r="4" spans="1:20">
      <c r="A4">
        <v>3</v>
      </c>
      <c r="B4" t="s">
        <v>1131</v>
      </c>
      <c r="C4">
        <v>3</v>
      </c>
      <c r="D4" t="s">
        <v>1446</v>
      </c>
      <c r="E4">
        <v>3</v>
      </c>
      <c r="F4" t="s">
        <v>1461</v>
      </c>
      <c r="G4">
        <v>3</v>
      </c>
      <c r="H4" t="s">
        <v>1407</v>
      </c>
      <c r="I4">
        <v>3</v>
      </c>
      <c r="J4" t="s">
        <v>1469</v>
      </c>
      <c r="M4">
        <v>3</v>
      </c>
      <c r="N4" t="s">
        <v>1474</v>
      </c>
      <c r="O4">
        <v>3</v>
      </c>
      <c r="Q4">
        <v>3</v>
      </c>
    </row>
    <row r="5" spans="1:20">
      <c r="A5">
        <v>4</v>
      </c>
      <c r="B5" t="s">
        <v>1794</v>
      </c>
      <c r="C5">
        <v>4</v>
      </c>
      <c r="D5" t="s">
        <v>1447</v>
      </c>
      <c r="E5">
        <v>4</v>
      </c>
      <c r="F5" t="s">
        <v>1462</v>
      </c>
      <c r="I5">
        <v>4</v>
      </c>
      <c r="J5" t="s">
        <v>1471</v>
      </c>
    </row>
    <row r="6" spans="1:20">
      <c r="A6">
        <v>5</v>
      </c>
      <c r="B6" t="s">
        <v>1443</v>
      </c>
      <c r="C6">
        <v>5</v>
      </c>
      <c r="D6" t="s">
        <v>1448</v>
      </c>
      <c r="E6">
        <v>5</v>
      </c>
      <c r="F6" t="s">
        <v>1463</v>
      </c>
      <c r="I6">
        <v>5</v>
      </c>
      <c r="J6" t="s">
        <v>1218</v>
      </c>
    </row>
    <row r="7" spans="1:20">
      <c r="A7">
        <v>6</v>
      </c>
      <c r="B7" t="s">
        <v>1844</v>
      </c>
      <c r="C7">
        <v>6</v>
      </c>
      <c r="D7" t="s">
        <v>1449</v>
      </c>
      <c r="E7">
        <v>6</v>
      </c>
      <c r="F7" t="s">
        <v>1464</v>
      </c>
      <c r="I7">
        <v>6</v>
      </c>
      <c r="J7" t="s">
        <v>1219</v>
      </c>
    </row>
    <row r="8" spans="1:20">
      <c r="A8">
        <v>7</v>
      </c>
      <c r="B8" t="s">
        <v>1845</v>
      </c>
      <c r="C8">
        <v>7</v>
      </c>
      <c r="D8" t="s">
        <v>1451</v>
      </c>
      <c r="E8">
        <v>7</v>
      </c>
      <c r="F8" t="s">
        <v>1465</v>
      </c>
      <c r="I8">
        <v>7</v>
      </c>
      <c r="J8" t="s">
        <v>1220</v>
      </c>
      <c r="L8">
        <v>2830405</v>
      </c>
    </row>
    <row r="9" spans="1:20">
      <c r="A9">
        <v>8</v>
      </c>
      <c r="B9" t="s">
        <v>1846</v>
      </c>
      <c r="C9">
        <v>8</v>
      </c>
      <c r="D9" t="s">
        <v>1452</v>
      </c>
      <c r="E9">
        <v>8</v>
      </c>
      <c r="F9" t="s">
        <v>1432</v>
      </c>
      <c r="I9">
        <v>8</v>
      </c>
      <c r="J9" t="s">
        <v>1221</v>
      </c>
    </row>
    <row r="10" spans="1:20">
      <c r="A10">
        <v>9</v>
      </c>
      <c r="B10" t="s">
        <v>1847</v>
      </c>
      <c r="C10">
        <v>9</v>
      </c>
      <c r="D10" t="s">
        <v>1453</v>
      </c>
      <c r="E10">
        <v>9</v>
      </c>
      <c r="F10" t="s">
        <v>1466</v>
      </c>
      <c r="I10">
        <v>9</v>
      </c>
      <c r="J10" t="s">
        <v>1470</v>
      </c>
    </row>
    <row r="11" spans="1:20">
      <c r="A11">
        <v>10</v>
      </c>
      <c r="B11" t="s">
        <v>1848</v>
      </c>
      <c r="C11">
        <v>10</v>
      </c>
      <c r="D11" t="s">
        <v>1454</v>
      </c>
      <c r="E11">
        <v>10</v>
      </c>
      <c r="F11" t="s">
        <v>1467</v>
      </c>
      <c r="I11">
        <v>10</v>
      </c>
      <c r="J11" t="s">
        <v>1994</v>
      </c>
    </row>
    <row r="12" spans="1:20">
      <c r="A12">
        <v>11</v>
      </c>
      <c r="B12" t="s">
        <v>1849</v>
      </c>
      <c r="C12">
        <v>11</v>
      </c>
      <c r="D12" t="s">
        <v>1455</v>
      </c>
      <c r="I12">
        <v>11</v>
      </c>
      <c r="J12" t="s">
        <v>2421</v>
      </c>
    </row>
    <row r="13" spans="1:20">
      <c r="A13">
        <v>12</v>
      </c>
      <c r="B13" t="s">
        <v>1993</v>
      </c>
      <c r="C13">
        <v>12</v>
      </c>
      <c r="D13" t="s">
        <v>1456</v>
      </c>
      <c r="I13">
        <v>12</v>
      </c>
      <c r="J13" t="s">
        <v>2566</v>
      </c>
    </row>
    <row r="14" spans="1:20">
      <c r="B14" t="s">
        <v>2240</v>
      </c>
      <c r="C14">
        <v>13</v>
      </c>
      <c r="D14" t="s">
        <v>1457</v>
      </c>
      <c r="I14">
        <v>13</v>
      </c>
      <c r="J14" t="s">
        <v>2775</v>
      </c>
    </row>
    <row r="15" spans="1:20">
      <c r="C15">
        <v>14</v>
      </c>
      <c r="D15" t="s">
        <v>1458</v>
      </c>
      <c r="T15">
        <v>28122</v>
      </c>
    </row>
    <row r="16" spans="1:20">
      <c r="C16">
        <v>15</v>
      </c>
      <c r="D16" t="s">
        <v>1760</v>
      </c>
    </row>
    <row r="17" spans="3:12">
      <c r="C17">
        <v>16</v>
      </c>
      <c r="D17" t="s">
        <v>1762</v>
      </c>
    </row>
    <row r="18" spans="3:12">
      <c r="C18">
        <v>17</v>
      </c>
      <c r="D18" t="s">
        <v>1804</v>
      </c>
    </row>
    <row r="19" spans="3:12">
      <c r="C19">
        <v>18</v>
      </c>
      <c r="D19" t="s">
        <v>1819</v>
      </c>
      <c r="H19">
        <v>2830513</v>
      </c>
      <c r="L19">
        <v>2830506</v>
      </c>
    </row>
    <row r="20" spans="3:12">
      <c r="C20">
        <v>19</v>
      </c>
      <c r="D20" t="s">
        <v>2003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2508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2509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2510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1284</v>
      </c>
      <c r="D1" s="114" t="s">
        <v>1285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1295</v>
      </c>
      <c r="D2" s="117" t="s">
        <v>1294</v>
      </c>
      <c r="E2" s="110"/>
    </row>
    <row r="3" spans="1:6" ht="49.5">
      <c r="B3" s="106">
        <v>45737</v>
      </c>
      <c r="C3" s="107" t="s">
        <v>1286</v>
      </c>
      <c r="D3" s="116" t="s">
        <v>1301</v>
      </c>
    </row>
    <row r="4" spans="1:6" ht="33">
      <c r="B4" s="106">
        <v>45737</v>
      </c>
      <c r="C4" s="107" t="s">
        <v>1287</v>
      </c>
      <c r="D4" s="116" t="s">
        <v>1291</v>
      </c>
    </row>
    <row r="5" spans="1:6">
      <c r="B5" s="106">
        <v>45737</v>
      </c>
      <c r="C5" s="107" t="s">
        <v>1288</v>
      </c>
      <c r="D5" s="107" t="s">
        <v>1290</v>
      </c>
    </row>
    <row r="6" spans="1:6">
      <c r="B6" s="106">
        <v>45737</v>
      </c>
      <c r="C6" s="107" t="s">
        <v>1288</v>
      </c>
      <c r="D6" s="107" t="s">
        <v>1293</v>
      </c>
    </row>
    <row r="7" spans="1:6">
      <c r="B7" s="106">
        <v>45737</v>
      </c>
      <c r="C7" s="107" t="s">
        <v>1288</v>
      </c>
      <c r="D7" s="107" t="s">
        <v>1292</v>
      </c>
    </row>
    <row r="8" spans="1:6">
      <c r="B8" s="106"/>
      <c r="D8" s="107" t="s">
        <v>1296</v>
      </c>
    </row>
    <row r="9" spans="1:6">
      <c r="D9" s="107" t="s">
        <v>1302</v>
      </c>
    </row>
    <row r="10" spans="1:6">
      <c r="D10" s="107" t="s">
        <v>1303</v>
      </c>
    </row>
    <row r="11" spans="1:6" ht="33">
      <c r="B11" s="106">
        <v>45740</v>
      </c>
      <c r="C11" s="107" t="s">
        <v>1308</v>
      </c>
      <c r="D11" s="116" t="s">
        <v>1412</v>
      </c>
    </row>
    <row r="12" spans="1:6">
      <c r="B12" s="106">
        <v>45740</v>
      </c>
      <c r="C12" s="107" t="s">
        <v>1413</v>
      </c>
      <c r="D12" s="107" t="s">
        <v>1411</v>
      </c>
    </row>
    <row r="13" spans="1:6">
      <c r="C13" s="107" t="s">
        <v>1423</v>
      </c>
      <c r="D13" s="107" t="s">
        <v>1424</v>
      </c>
    </row>
    <row r="14" spans="1:6">
      <c r="C14" s="107" t="s">
        <v>1426</v>
      </c>
      <c r="D14" s="107" t="s">
        <v>1427</v>
      </c>
    </row>
    <row r="15" spans="1:6">
      <c r="B15" s="106">
        <v>45742</v>
      </c>
      <c r="C15" s="107" t="s">
        <v>1428</v>
      </c>
      <c r="D15" s="107" t="s">
        <v>1429</v>
      </c>
    </row>
    <row r="16" spans="1:6">
      <c r="B16" s="106">
        <v>45742</v>
      </c>
      <c r="C16" s="107" t="s">
        <v>1430</v>
      </c>
      <c r="D16" s="107" t="s">
        <v>1431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2025-07-14T09:06:44Z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