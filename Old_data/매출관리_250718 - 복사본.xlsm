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3EEF309-1058-479D-8D44-6FC727D34898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재고!$A$1:$I$1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" l="1"/>
  <c r="H75" i="1"/>
  <c r="H76" i="1"/>
  <c r="H77" i="1"/>
  <c r="H78" i="1"/>
  <c r="H79" i="1"/>
  <c r="H80" i="1"/>
  <c r="H81" i="1"/>
  <c r="H82" i="1"/>
  <c r="H83" i="1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<sst xmlns="http://schemas.openxmlformats.org/spreadsheetml/2006/main" count="7606" uniqueCount="3137">
  <si>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</si>
  <si>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</si>
  <si>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</si>
  <si>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</si>
  <si>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</si>
  <si>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</si>
  <si>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</si>
  <si>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</si>
  <si>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</si>
  <si>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</si>
  <si>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</si>
  <si>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</si>
  <si>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</si>
  <si>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</si>
  <si>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</si>
  <si>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</si>
  <si>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</si>
  <si>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</si>
  <si>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</si>
  <si>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</si>
  <si>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</si>
  <si>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</si>
  <si>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</si>
  <si>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</si>
  <si>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</si>
  <si>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</si>
  <si>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</si>
  <si>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</si>
  <si>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</si>
  <si>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</si>
  <si>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</si>
  <si>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</si>
  <si>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</si>
  <si>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</si>
  <si>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</si>
  <si>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</si>
  <si>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</si>
  <si>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</si>
  <si>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</si>
  <si>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</si>
  <si>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</si>
  <si>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</si>
  <si>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</si>
  <si>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</si>
  <si>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</si>
  <si>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</si>
  <si>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</si>
  <si>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</si>
  <si>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</si>
  <si>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</si>
  <si>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</si>
  <si>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</si>
  <si>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</si>
  <si>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</si>
  <si>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</si>
  <si>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</si>
  <si>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</si>
  <si>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</si>
  <si>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</si>
  <si>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</si>
  <si>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</si>
  <si>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</si>
  <si>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</si>
  <si>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</si>
  <si>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</si>
  <si>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</si>
  <si>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</si>
  <si>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</si>
  <si>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</si>
  <si>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</si>
  <si>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</si>
  <si>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</si>
  <si>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</si>
  <si>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</si>
  <si>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</si>
  <si>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</si>
  <si>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</si>
  <si>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</si>
  <si>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</si>
  <si>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</si>
  <si>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</si>
  <si>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</si>
  <si>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</si>
  <si>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</si>
  <si>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</si>
  <si>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</si>
  <si>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</si>
  <si>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</si>
  <si>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</si>
  <si>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</si>
  <si>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</si>
  <si>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</si>
  <si>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</si>
  <si>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</si>
  <si>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</si>
  <si>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</si>
  <si>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</si>
  <si>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</si>
  <si>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</si>
  <si>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</si>
  <si>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</si>
  <si>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</si>
  <si>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</si>
  <si>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</si>
  <si>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</si>
  <si>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</si>
  <si>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</si>
  <si>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</si>
  <si>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</si>
  <si>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</si>
  <si>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</si>
  <si>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</si>
  <si>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</si>
  <si>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</si>
  <si>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</si>
  <si>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</si>
  <si>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</si>
  <si>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</si>
  <si>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</si>
  <si>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</si>
  <si>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</si>
  <si>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</si>
  <si>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</si>
  <si>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</si>
  <si>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</si>
  <si>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</si>
  <si>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</si>
  <si>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</si>
  <si>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</si>
  <si>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</si>
  <si>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</si>
  <si>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</si>
  <si>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</si>
  <si>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</si>
  <si>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</si>
  <si>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</si>
  <si>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</si>
  <si>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</si>
  <si>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</si>
  <si>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</si>
  <si>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</si>
  <si>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</si>
  <si>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</si>
  <si>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</si>
  <si>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</si>
  <si>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</si>
  <si>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</si>
  <si>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</si>
  <si>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</si>
  <si>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</si>
  <si>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</si>
  <si>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</si>
  <si>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</si>
  <si>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</si>
  <si>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</si>
  <si>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</si>
  <si>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</si>
  <si>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</si>
  <si>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</si>
  <si>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</si>
  <si>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</si>
  <si>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</si>
  <si>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</si>
  <si>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</si>
  <si>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</si>
  <si>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</si>
  <si>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</si>
  <si>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</si>
  <si>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</si>
  <si>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</si>
  <si>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</si>
  <si>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</si>
  <si>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</si>
  <si>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</si>
  <si>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</si>
  <si>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</si>
  <si>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</si>
  <si>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</si>
  <si>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</si>
  <si>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</si>
  <si>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</si>
  <si>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</si>
  <si>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</si>
  <si>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</si>
  <si>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</si>
  <si>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</si>
  <si>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</si>
  <si>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</si>
  <si>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</si>
  <si>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</si>
  <si>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</si>
  <si>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</si>
  <si>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</si>
  <si>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</si>
  <si>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</si>
  <si>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</si>
  <si>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</si>
  <si>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</si>
  <si>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</si>
  <si>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</si>
  <si>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</si>
  <si>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</si>
  <si>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</si>
  <si>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</si>
  <si>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</si>
  <si>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</si>
  <si>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</si>
  <si>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</si>
  <si>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</si>
  <si>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</si>
  <si>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</si>
  <si>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</si>
  <si>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</si>
  <si>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</si>
  <si>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</si>
  <si>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</si>
  <si>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</si>
  <si>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</si>
  <si>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</si>
  <si>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</si>
  <si>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</si>
  <si>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</si>
  <si>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</si>
  <si>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</si>
  <si>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</si>
  <si>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</si>
  <si>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</si>
  <si>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</si>
  <si>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</si>
  <si>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</si>
  <si>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</si>
  <si>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</si>
  <si>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</si>
  <si>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</si>
  <si>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</si>
  <si>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</si>
  <si>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</si>
  <si>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</si>
  <si>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</si>
  <si>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</si>
  <si>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</si>
  <si>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</si>
  <si>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</si>
  <si>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</si>
  <si>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</si>
  <si>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</si>
  <si>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</si>
  <si>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</si>
  <si>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</si>
  <si>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</si>
  <si>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</si>
  <si>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</si>
  <si>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</si>
  <si>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</si>
  <si>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</si>
  <si>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</si>
  <si>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</si>
  <si>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</si>
  <si>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</si>
  <si>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</si>
  <si>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</si>
  <si>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</si>
  <si>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</si>
  <si>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</si>
  <si>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</si>
  <si>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</si>
  <si>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</si>
  <si>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</si>
  <si>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</si>
  <si>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</si>
  <si>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</si>
  <si>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</si>
  <si>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</si>
  <si>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</si>
  <si>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</si>
  <si>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</si>
  <si>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</si>
  <si>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</si>
  <si>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</si>
  <si>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</si>
  <si>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</si>
  <si>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</si>
  <si>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</si>
  <si>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</si>
  <si>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</si>
  <si>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</si>
  <si>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</si>
  <si>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</si>
  <si>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</si>
  <si>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</si>
  <si>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</si>
  <si>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</si>
  <si>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</si>
  <si>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</si>
  <si>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</si>
  <si>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</si>
  <si>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</si>
  <si>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</si>
  <si>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</si>
  <si>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</si>
  <si>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</si>
  <si>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</si>
  <si>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</si>
  <si>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</si>
  <si>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</si>
  <si>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</si>
  <si>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</si>
  <si>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</si>
  <si>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</si>
  <si>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</si>
  <si>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</si>
  <si>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</si>
  <si>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</si>
  <si>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</si>
  <si>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</si>
  <si>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</si>
  <si>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</si>
  <si>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</si>
  <si>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</si>
  <si>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</si>
  <si>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</si>
  <si>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</si>
  <si>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</si>
  <si>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</si>
  <si>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</si>
  <si>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</si>
  <si>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</si>
  <si>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</si>
  <si>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</si>
  <si>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</si>
  <si>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</si>
  <si>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</si>
  <si>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</si>
  <si>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</si>
  <si>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</si>
  <si>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</si>
  <si>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</si>
  <si>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</si>
  <si>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</si>
  <si>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</si>
  <si>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</si>
  <si>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</si>
  <si>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</si>
  <si>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</si>
  <si>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</si>
  <si>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</si>
  <si>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</si>
  <si>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</si>
  <si>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</si>
  <si>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</si>
  <si>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</si>
  <si>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</si>
  <si>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</si>
  <si>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</si>
  <si>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</si>
  <si>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</si>
  <si>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</si>
  <si>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</si>
  <si>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</si>
  <si>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</si>
  <si>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</si>
  <si>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</si>
  <si>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</si>
  <si>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</si>
  <si>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</si>
  <si>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</si>
  <si>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</si>
  <si>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</si>
  <si>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</si>
  <si>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</si>
  <si>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</si>
  <si>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</si>
  <si>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</si>
  <si>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</si>
  <si>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</si>
  <si>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</si>
  <si>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</si>
  <si>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</si>
  <si>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</si>
  <si>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</si>
  <si>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</si>
  <si>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</si>
  <si>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</si>
  <si>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</si>
  <si>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</si>
  <si>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</si>
  <si>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</si>
  <si>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</si>
  <si>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</si>
  <si>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</si>
  <si>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</si>
  <si>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</si>
  <si>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</si>
  <si>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</si>
  <si>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</si>
  <si>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</si>
  <si>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</si>
  <si>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</si>
  <si>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</si>
  <si>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</si>
  <si>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</si>
  <si>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</si>
  <si>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</si>
  <si>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</si>
  <si>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</si>
  <si>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</si>
  <si>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</si>
  <si>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</si>
  <si>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</si>
  <si>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</si>
  <si>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</si>
  <si>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</si>
  <si>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</si>
  <si>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</si>
  <si>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</si>
  <si>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</si>
  <si>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</si>
  <si>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</si>
  <si>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</si>
  <si>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</si>
  <si>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</si>
  <si>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</si>
  <si>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</si>
  <si>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</si>
  <si>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</si>
  <si>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</si>
  <si>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</si>
  <si>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</si>
  <si>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</si>
  <si>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</si>
  <si>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</si>
  <si>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</si>
  <si>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</si>
  <si>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</si>
  <si>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</si>
  <si>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</si>
  <si>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</si>
  <si>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</si>
  <si>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</si>
  <si>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</si>
  <si>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</si>
  <si>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</si>
  <si>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</si>
  <si>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</si>
  <si>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</si>
  <si>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</si>
  <si>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</si>
  <si>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</si>
  <si>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</si>
  <si>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</si>
  <si>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</si>
  <si>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</si>
  <si>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</si>
  <si>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</si>
  <si>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</si>
  <si>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</si>
  <si>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</si>
  <si>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</si>
  <si>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</si>
  <si>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</si>
  <si>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</si>
  <si>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</si>
  <si>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</si>
  <si>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</si>
  <si>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</si>
  <si>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</si>
  <si>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</si>
  <si>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</si>
  <si>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</si>
  <si>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</si>
  <si>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</si>
  <si>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</si>
  <si>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</si>
  <si>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</si>
  <si>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</si>
  <si>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</si>
  <si>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</si>
  <si>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</si>
  <si>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</si>
  <si>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</si>
  <si>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</si>
  <si>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</si>
  <si>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</si>
  <si>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</si>
  <si>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</si>
  <si>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</si>
  <si>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</si>
  <si>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</si>
  <si>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</si>
  <si>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</si>
  <si>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</si>
  <si>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</si>
  <si>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</si>
  <si>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</si>
  <si>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</si>
  <si>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</si>
  <si>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</si>
  <si>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</si>
  <si>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</si>
  <si>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</si>
  <si>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</si>
  <si>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</si>
  <si>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</si>
  <si>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</si>
  <si>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</si>
  <si>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</si>
  <si>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</si>
  <si>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</si>
  <si>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</si>
  <si>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</si>
  <si>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</si>
  <si>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</si>
  <si>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</si>
  <si>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</si>
  <si>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</si>
  <si>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</si>
  <si>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</si>
  <si>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</si>
  <si>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</si>
  <si>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</si>
  <si>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</si>
  <si>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</si>
  <si>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</si>
  <si>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</si>
  <si>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</si>
  <si>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</si>
  <si>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</si>
  <si>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</si>
  <si>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</si>
  <si>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</si>
  <si>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</si>
  <si>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</si>
  <si>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</si>
  <si>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</si>
  <si>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</si>
  <si>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</si>
  <si>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</si>
  <si>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</si>
  <si>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</si>
  <si>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</si>
  <si>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</si>
  <si>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</si>
  <si>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</si>
  <si>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</si>
  <si>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</si>
  <si>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</si>
  <si>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</si>
  <si>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</si>
  <si>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</si>
  <si>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</si>
  <si>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</si>
  <si>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</si>
  <si>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</si>
  <si>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</si>
  <si>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</si>
  <si>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</si>
  <si>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</si>
  <si>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</si>
  <si>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</si>
  <si>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</si>
  <si>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</si>
  <si>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</si>
  <si>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</si>
  <si>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</si>
  <si>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</si>
  <si>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</si>
  <si>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</si>
  <si>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</si>
  <si>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</si>
  <si>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</si>
  <si>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</si>
  <si>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</si>
  <si>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</si>
  <si>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</si>
  <si>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</si>
  <si>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</si>
  <si>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</si>
  <si>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</si>
  <si>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</si>
  <si>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</si>
  <si>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</si>
  <si>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</si>
  <si>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</si>
  <si>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</si>
  <si>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</si>
  <si>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</si>
  <si>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</si>
  <si>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</si>
  <si>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</si>
  <si>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</si>
  <si>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</si>
  <si>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</si>
  <si>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</si>
  <si>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</si>
  <si>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</si>
  <si>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</si>
  <si>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</si>
  <si>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</si>
  <si>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</si>
  <si>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</si>
  <si>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</si>
  <si>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</si>
  <si>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</si>
  <si>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</si>
  <si>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</si>
  <si>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</si>
  <si>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</si>
  <si>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</si>
  <si>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</si>
  <si>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</si>
  <si>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</si>
  <si>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</si>
  <si>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</si>
  <si>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</si>
  <si>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</si>
  <si>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</si>
  <si>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</si>
  <si>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</si>
  <si>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</si>
  <si>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</si>
  <si>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</si>
  <si>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</si>
  <si>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</si>
  <si>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</si>
  <si>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</si>
  <si>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</si>
  <si>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</si>
  <si>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</si>
  <si>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</si>
  <si>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</si>
  <si>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</si>
  <si>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</si>
  <si>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</si>
  <si>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</si>
  <si>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</si>
  <si>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</si>
  <si>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</si>
  <si>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</si>
  <si>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</si>
  <si>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</si>
  <si>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</si>
  <si>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</si>
  <si>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</si>
  <si>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</si>
  <si>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</si>
  <si>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</si>
  <si>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</si>
  <si>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</si>
  <si>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</si>
  <si>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</si>
  <si>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</si>
  <si>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</si>
  <si>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</si>
  <si>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</si>
  <si>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</si>
  <si>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</si>
  <si>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</si>
  <si>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</si>
  <si>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</si>
  <si>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</si>
  <si>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</si>
  <si>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</si>
  <si>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</si>
  <si>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</si>
  <si>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</si>
  <si>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</si>
  <si>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</si>
  <si>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</si>
  <si>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</si>
  <si>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</si>
  <si>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</si>
  <si>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</si>
  <si>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</si>
  <si>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</si>
  <si>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</si>
  <si>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</si>
  <si>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</si>
  <si>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</si>
  <si>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</si>
  <si>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</si>
  <si>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</si>
  <si>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</si>
  <si>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</si>
  <si>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</si>
  <si>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</si>
  <si>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</si>
  <si>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</si>
  <si>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</si>
  <si>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</si>
  <si>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</si>
  <si>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</si>
  <si>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</si>
  <si>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</si>
  <si>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</si>
  <si>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</si>
  <si>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</si>
  <si>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</si>
  <si>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</si>
  <si>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</si>
  <si>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</si>
  <si>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</si>
  <si>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</si>
  <si>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</si>
  <si>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</si>
  <si>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</si>
  <si>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</si>
  <si>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</si>
  <si>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</si>
  <si>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</si>
  <si>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</si>
  <si>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</si>
  <si>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</si>
  <si>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</si>
  <si>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</si>
  <si>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</si>
  <si>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</si>
  <si>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</si>
  <si>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</si>
  <si>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</si>
  <si>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</si>
  <si>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</si>
  <si>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</si>
  <si>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</si>
  <si>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</si>
  <si>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</si>
  <si>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</si>
  <si>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</si>
  <si>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</si>
  <si>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</si>
  <si>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</si>
  <si>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</si>
  <si>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</si>
  <si>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</si>
  <si>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</si>
  <si>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</si>
  <si>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</si>
  <si>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</si>
  <si>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</si>
  <si>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</si>
  <si>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</si>
  <si>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</si>
  <si>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</si>
  <si>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</si>
  <si>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</si>
  <si>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</si>
  <si>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</si>
  <si>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</si>
  <si>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</si>
  <si>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</si>
  <si>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</si>
  <si>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</si>
  <si>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</si>
  <si>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</si>
  <si>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</si>
  <si>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</si>
  <si>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</si>
  <si>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</si>
  <si>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</si>
  <si>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</si>
  <si>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</si>
  <si>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</si>
  <si>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</si>
  <si>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</si>
  <si>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</si>
  <si>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</si>
  <si>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</si>
  <si>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</si>
  <si>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</si>
  <si>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</si>
  <si>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</si>
  <si>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</si>
  <si>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</si>
  <si>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</si>
  <si>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</si>
  <si>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</si>
  <si>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</si>
  <si>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</si>
  <si>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</si>
  <si>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</si>
  <si>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</si>
  <si>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</si>
  <si>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</si>
  <si>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</si>
  <si>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</si>
  <si>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</si>
  <si>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</si>
  <si>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</si>
  <si>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</si>
  <si>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</si>
  <si>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</si>
  <si>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</si>
  <si>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</si>
  <si>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</si>
  <si>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</si>
  <si>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</si>
  <si>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</si>
  <si>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</si>
  <si>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</si>
  <si>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</si>
  <si>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</si>
  <si>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</si>
  <si>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</si>
  <si>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</si>
  <si>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</si>
  <si>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</si>
  <si>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</si>
  <si>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</si>
  <si>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</si>
  <si>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</si>
  <si>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</si>
  <si>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</si>
  <si>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</si>
  <si>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</si>
  <si>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</si>
  <si>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</si>
  <si>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</si>
  <si>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</si>
  <si>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</si>
  <si>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</si>
  <si>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</si>
  <si>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</si>
  <si>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</si>
  <si>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</si>
  <si>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</si>
  <si>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</si>
  <si>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</si>
  <si>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</si>
  <si>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</si>
  <si>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</si>
  <si>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</si>
  <si>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</si>
  <si>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</si>
  <si>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</si>
  <si>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</si>
  <si>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</si>
  <si>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</si>
  <si>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</si>
  <si>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</si>
  <si>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</si>
  <si>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</si>
  <si>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</si>
  <si>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</si>
  <si>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</si>
  <si>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</si>
  <si>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</si>
  <si>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</si>
  <si>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</si>
  <si>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</si>
  <si>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</si>
  <si>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</si>
  <si>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</si>
  <si>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</si>
  <si>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</si>
  <si>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</si>
  <si>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</si>
  <si>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</si>
  <si>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</si>
  <si>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</si>
  <si>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</si>
  <si>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</si>
  <si>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</si>
  <si>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</si>
  <si>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</si>
  <si>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</si>
  <si>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</si>
  <si>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</si>
  <si>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</si>
  <si>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</si>
  <si>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</si>
  <si>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</si>
  <si>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</si>
  <si>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</si>
  <si>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</si>
  <si>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</si>
  <si>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</si>
  <si>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</si>
  <si>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</si>
  <si>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</si>
  <si>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</si>
  <si>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</si>
  <si>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</si>
  <si>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</si>
  <si>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</si>
  <si>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</si>
  <si>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</si>
  <si>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</si>
  <si>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</si>
  <si>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</si>
  <si>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</si>
  <si>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</si>
  <si>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</si>
  <si>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</si>
  <si>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</si>
  <si>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</si>
  <si>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</si>
  <si>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</si>
  <si>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</si>
  <si>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</si>
  <si>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</si>
  <si>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</si>
  <si>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</si>
  <si>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</si>
  <si>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</si>
  <si>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</si>
  <si>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</si>
  <si>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</si>
  <si>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</si>
  <si>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</si>
  <si>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</si>
  <si>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</si>
  <si>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</si>
  <si>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</si>
  <si>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</si>
  <si>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</si>
  <si>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</si>
  <si>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</si>
  <si>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</si>
  <si>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</si>
  <si>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</si>
  <si>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</si>
  <si>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</si>
  <si>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</si>
  <si>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</si>
  <si>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</si>
  <si>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</si>
  <si>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</si>
  <si>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</si>
  <si>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</si>
  <si>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</si>
  <si>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</si>
  <si>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</si>
  <si>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</si>
  <si>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</si>
  <si>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</si>
  <si>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</si>
  <si>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</si>
  <si>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</si>
  <si>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</si>
  <si>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</si>
  <si>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</si>
  <si>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</si>
  <si>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</si>
  <si>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</si>
  <si>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</si>
  <si>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</si>
  <si>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</si>
  <si>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</si>
  <si>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</si>
  <si>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</si>
  <si>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</si>
  <si>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</si>
  <si>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</si>
  <si>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</si>
  <si>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</si>
  <si>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</si>
  <si>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</si>
  <si>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</si>
  <si>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</si>
  <si>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</si>
  <si>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</si>
  <si>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</si>
  <si>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</si>
  <si>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</si>
  <si>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</si>
  <si>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</si>
  <si>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</si>
  <si>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</si>
  <si>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</si>
  <si>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</si>
  <si>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</si>
  <si>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</si>
  <si>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</si>
  <si>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</si>
  <si>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</si>
  <si>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</si>
  <si>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</si>
  <si>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</si>
  <si>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</si>
  <si>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</si>
  <si>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</si>
  <si>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</si>
  <si>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</si>
  <si>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</si>
  <si>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</si>
  <si>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</si>
  <si>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</si>
  <si>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</si>
  <si>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</si>
  <si>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</si>
  <si>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</si>
  <si>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</si>
  <si>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</si>
  <si>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</si>
  <si>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</si>
  <si>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</si>
  <si>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</si>
  <si>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</si>
  <si>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</si>
  <si>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</si>
  <si>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</si>
  <si>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</si>
  <si>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</si>
  <si>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</si>
  <si>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</si>
  <si>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</si>
  <si>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</si>
  <si>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</si>
  <si>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</si>
  <si>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</si>
  <si>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</si>
  <si>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</si>
  <si>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</si>
  <si>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</si>
  <si>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</si>
  <si>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</si>
  <si>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</si>
  <si>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</si>
  <si>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</si>
  <si>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</si>
  <si>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</si>
  <si>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</si>
  <si>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</si>
  <si>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</si>
  <si>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</si>
  <si>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</si>
  <si>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</si>
  <si>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</si>
  <si>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</si>
  <si>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</si>
  <si>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</si>
  <si>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</si>
  <si>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</si>
  <si>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</si>
  <si>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</si>
  <si>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</si>
  <si>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</si>
  <si>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</si>
  <si>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</si>
  <si>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</si>
  <si>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</si>
  <si>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</si>
  <si>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</si>
  <si>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</si>
  <si>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</si>
  <si>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</si>
  <si>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</si>
  <si>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</si>
  <si>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</si>
  <si>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</si>
  <si>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</si>
  <si>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</si>
  <si>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</si>
  <si>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</si>
  <si>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</si>
  <si>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</si>
  <si>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</si>
  <si>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</si>
  <si>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</si>
  <si>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</si>
  <si>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</si>
  <si>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</si>
  <si>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</si>
  <si>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</si>
  <si>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</si>
  <si>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</si>
  <si>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</si>
  <si>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</si>
  <si>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</si>
  <si>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</si>
  <si>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</si>
  <si>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</si>
  <si>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</si>
  <si>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</si>
  <si>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</si>
  <si>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</si>
  <si>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</si>
  <si>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</si>
  <si>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</si>
  <si>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</si>
  <si>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</si>
  <si>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</si>
  <si>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</si>
  <si>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</si>
  <si>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</si>
  <si>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</si>
  <si>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</si>
  <si>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</si>
  <si>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</si>
  <si>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</si>
  <si>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</si>
  <si>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</si>
  <si>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</si>
  <si>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</si>
  <si>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</si>
  <si>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</si>
  <si>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</si>
  <si>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</si>
  <si>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</si>
  <si>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</si>
  <si>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</si>
  <si>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</si>
  <si>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</si>
  <si>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</si>
  <si>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</si>
  <si>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</si>
  <si>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</si>
  <si>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</si>
  <si>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</si>
  <si>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</si>
  <si>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</si>
  <si>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</si>
  <si>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</si>
  <si>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</si>
  <si>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</si>
  <si>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</si>
  <si>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</si>
  <si>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</si>
  <si>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</si>
  <si>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</si>
  <si>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</si>
  <si>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</si>
  <si>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</si>
  <si>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</si>
  <si>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</si>
  <si>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</si>
  <si>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</si>
  <si>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</si>
  <si>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</si>
  <si>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</si>
  <si>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</si>
  <si>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</si>
  <si>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</si>
  <si>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</si>
  <si>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</si>
  <si>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</si>
  <si>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</si>
  <si>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</si>
  <si>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</si>
  <si>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</si>
  <si>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</si>
  <si>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</si>
  <si>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</si>
  <si>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</si>
  <si>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</si>
  <si>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</si>
  <si>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</si>
  <si>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</si>
  <si>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</si>
  <si>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</si>
  <si>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</si>
  <si>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</si>
  <si>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</si>
  <si>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</si>
  <si>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</si>
  <si>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</si>
  <si>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</si>
  <si>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</si>
  <si>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</si>
  <si>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</si>
  <si>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</si>
  <si>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</si>
  <si>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</si>
  <si>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</si>
  <si>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</si>
  <si>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</si>
  <si>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</si>
  <si>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</si>
  <si>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</si>
  <si>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</si>
  <si>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</si>
  <si>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</si>
  <si>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</si>
  <si>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</si>
  <si>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</si>
  <si>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</si>
  <si>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</si>
  <si>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</si>
  <si>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</si>
  <si>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</si>
  <si>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</si>
  <si>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</si>
  <si>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</si>
  <si>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</si>
  <si>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</si>
  <si>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</si>
  <si>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</si>
  <si>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</si>
  <si>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</si>
  <si>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</si>
  <si>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</si>
  <si>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</si>
  <si>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</si>
  <si>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</si>
  <si>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</si>
  <si>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</si>
  <si>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</si>
  <si>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</si>
  <si>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</si>
  <si>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</si>
  <si>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</si>
  <si>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</si>
  <si>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</si>
  <si>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</si>
  <si>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</si>
  <si>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</si>
  <si>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</si>
  <si>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</si>
  <si>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</si>
  <si>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</si>
  <si>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</si>
  <si>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</si>
  <si>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</si>
  <si>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</si>
  <si>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</si>
  <si>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</si>
  <si>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</si>
  <si>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</si>
  <si>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</si>
  <si>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</si>
  <si>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</si>
  <si>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</si>
  <si>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</si>
  <si>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</si>
  <si>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</si>
  <si>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</si>
  <si>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</si>
  <si>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</si>
  <si>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</si>
  <si>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</si>
  <si>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</si>
  <si>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</si>
  <si>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</si>
  <si>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</si>
  <si>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</si>
  <si>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</si>
  <si>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</si>
  <si>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</si>
  <si>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</si>
  <si>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</si>
  <si>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</si>
  <si>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</si>
  <si>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</si>
  <si>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</si>
  <si>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</si>
  <si>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</si>
  <si>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</si>
  <si>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</si>
  <si>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</si>
  <si>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</si>
  <si>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</si>
  <si>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</si>
  <si>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</si>
  <si>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</si>
  <si>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</si>
  <si>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</si>
  <si>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</si>
  <si>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</si>
  <si>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</si>
  <si>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</si>
  <si>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</si>
  <si>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</si>
  <si>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</si>
  <si>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</si>
  <si>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</si>
  <si>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</si>
  <si>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</si>
  <si>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</si>
  <si>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</si>
  <si>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</si>
  <si>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</si>
  <si>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</si>
  <si>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</si>
  <si>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</si>
  <si>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</si>
  <si>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</si>
  <si>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</si>
  <si>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</si>
  <si>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</si>
  <si>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</si>
  <si>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</si>
  <si>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</si>
  <si>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</si>
  <si>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</si>
  <si>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</si>
  <si>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</si>
  <si>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</si>
  <si>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</si>
  <si>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</si>
  <si>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</si>
  <si>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</si>
  <si>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</si>
  <si>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</si>
  <si>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</si>
  <si>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</si>
  <si>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</si>
  <si>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</si>
  <si>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</si>
  <si>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</si>
  <si>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</si>
  <si>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</si>
  <si>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</si>
  <si>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</si>
  <si>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</si>
  <si>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</si>
  <si>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</si>
  <si>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</si>
  <si>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</si>
  <si>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</si>
  <si>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</si>
  <si>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</si>
  <si>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</si>
  <si>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</si>
  <si>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</si>
  <si>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</si>
  <si>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</si>
  <si>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</si>
  <si>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</si>
  <si>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</si>
  <si>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</si>
  <si>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</si>
  <si>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</si>
  <si>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</si>
  <si>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</si>
  <si>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</si>
  <si>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</si>
  <si>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</si>
  <si>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</si>
  <si>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</si>
  <si>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</si>
  <si>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</si>
  <si>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</si>
  <si>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</si>
  <si>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</si>
  <si>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</si>
  <si>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</si>
  <si>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</si>
  <si>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</si>
  <si>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</si>
  <si>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</si>
  <si>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</si>
  <si>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</si>
  <si>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</si>
  <si>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</si>
  <si>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</si>
  <si>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</si>
  <si>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</si>
  <si>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</si>
  <si>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</si>
  <si>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</si>
  <si>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</si>
  <si>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</si>
  <si>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</si>
  <si>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</si>
  <si>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</si>
  <si>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</si>
  <si>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</si>
  <si>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</si>
  <si>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</si>
  <si>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</si>
  <si>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</si>
  <si>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</si>
  <si>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</si>
  <si>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</si>
  <si>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</si>
  <si>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</si>
  <si>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</si>
  <si>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</si>
  <si>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</si>
  <si>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</si>
  <si>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</si>
  <si>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</si>
  <si>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</si>
  <si>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</si>
  <si>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</si>
  <si>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</si>
  <si>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</si>
  <si>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</si>
  <si>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</si>
  <si>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</si>
  <si>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</si>
  <si>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</si>
  <si>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</si>
  <si>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</si>
  <si>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</si>
  <si>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</si>
  <si>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</si>
  <si>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</si>
  <si>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</si>
  <si>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</si>
  <si>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</si>
  <si>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</si>
  <si>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</si>
  <si>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</si>
  <si>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</si>
  <si>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</si>
  <si>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</si>
  <si>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</si>
  <si>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</si>
  <si>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</si>
  <si>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</si>
  <si>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</si>
  <si>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</si>
  <si>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</si>
  <si>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</si>
  <si>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</si>
  <si>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</si>
  <si>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</si>
  <si>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</si>
  <si>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</si>
  <si>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</si>
  <si>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</si>
  <si>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</si>
  <si>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</si>
  <si>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</si>
  <si>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</si>
  <si>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</si>
  <si>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</si>
  <si>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</si>
  <si>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</si>
  <si>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</si>
  <si>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</si>
  <si>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</si>
  <si>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</si>
  <si>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</si>
  <si>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</si>
  <si>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</si>
  <si>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</si>
  <si>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</si>
  <si>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</si>
  <si>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</si>
  <si>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</si>
  <si>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</si>
  <si>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</si>
  <si>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</si>
  <si>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</si>
  <si>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</si>
  <si>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</si>
  <si>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</si>
  <si>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</si>
  <si>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</si>
  <si>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</si>
  <si>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</si>
  <si>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</si>
  <si>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</si>
  <si>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</si>
  <si>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</si>
  <si>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</si>
  <si>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</si>
  <si>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</si>
  <si>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</si>
  <si>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</si>
  <si>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</si>
  <si>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</si>
  <si>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</si>
  <si>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</si>
  <si>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</si>
  <si>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</si>
  <si>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</si>
  <si>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</si>
  <si>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</si>
  <si>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</si>
  <si>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</si>
  <si>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</si>
  <si>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</si>
  <si>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</si>
  <si>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</si>
  <si>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</si>
  <si>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</si>
  <si>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</si>
  <si>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</si>
  <si>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</si>
  <si>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</si>
  <si>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</si>
  <si>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</si>
  <si>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</si>
  <si>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</si>
  <si>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</si>
  <si>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</si>
  <si>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</si>
  <si>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</si>
  <si>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</si>
  <si>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</si>
  <si>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</si>
  <si>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</si>
  <si>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</si>
  <si>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</si>
  <si>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</si>
  <si>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</si>
  <si>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</si>
  <si>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</si>
  <si>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</si>
  <si>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</si>
  <si>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</si>
  <si>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</si>
  <si>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</si>
  <si>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</si>
  <si>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</si>
  <si>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</si>
  <si>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</si>
  <si>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</si>
  <si>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</si>
  <si>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</si>
  <si>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</si>
  <si>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</si>
  <si>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</si>
  <si>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</si>
  <si>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</si>
  <si>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</si>
  <si>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</si>
  <si>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</si>
  <si>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</si>
  <si>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</si>
  <si>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</si>
  <si>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</si>
  <si>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</si>
  <si>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</si>
  <si>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</si>
  <si>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</si>
  <si>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</si>
  <si>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</si>
  <si>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</si>
  <si>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</si>
  <si>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</si>
  <si>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</si>
  <si>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</si>
  <si>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</si>
  <si>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</si>
  <si>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</si>
  <si>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</si>
  <si>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</si>
  <si>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</si>
  <si>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</si>
  <si>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</si>
  <si>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</si>
  <si>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</si>
  <si>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</si>
  <si>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</si>
  <si>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</si>
  <si>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</si>
  <si>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</si>
  <si>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</si>
  <si>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</si>
  <si>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</si>
  <si>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</si>
  <si>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</si>
  <si>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</si>
  <si>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</si>
  <si>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</si>
  <si>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</si>
  <si>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</si>
  <si>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</si>
  <si>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</si>
  <si>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</si>
  <si>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</si>
  <si>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</si>
  <si>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</si>
  <si>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</si>
  <si>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</si>
  <si>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</si>
  <si>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</si>
  <si>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</si>
  <si>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</si>
  <si>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</si>
  <si>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</si>
  <si>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</si>
  <si>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</si>
  <si>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</si>
  <si>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</si>
  <si>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</si>
  <si>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</si>
  <si>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</si>
  <si>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</si>
  <si>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</si>
  <si>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</si>
  <si>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</si>
  <si>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</si>
  <si>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</si>
  <si>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</si>
  <si>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</si>
  <si>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</si>
  <si>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</si>
  <si>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</si>
  <si>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</si>
  <si>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</si>
  <si>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</si>
  <si>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</si>
  <si>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</si>
  <si>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</si>
  <si>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</si>
  <si>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</si>
  <si>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</si>
  <si>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</si>
  <si>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</si>
  <si>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</si>
  <si>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</si>
  <si>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</si>
  <si>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</si>
  <si>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</si>
  <si>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</si>
  <si>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</si>
  <si>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</si>
  <si>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</si>
  <si>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</si>
  <si>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</si>
  <si>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</si>
  <si>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</si>
  <si>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</si>
  <si>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</si>
  <si>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</si>
  <si>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</si>
  <si>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</si>
  <si>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</si>
  <si>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</si>
  <si>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</si>
  <si>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</si>
  <si>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</si>
  <si>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</si>
  <si>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</si>
  <si>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</si>
  <si>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</si>
  <si>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</si>
  <si>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</si>
  <si>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</si>
  <si>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</si>
  <si>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</si>
  <si>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</si>
  <si>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</si>
  <si>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</si>
  <si>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</si>
  <si>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</si>
  <si>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</si>
  <si>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</si>
  <si>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</si>
  <si>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</si>
  <si>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</si>
  <si>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</si>
  <si>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</si>
  <si>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</si>
  <si>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</si>
  <si>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</si>
  <si>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</si>
  <si>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</si>
  <si>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</si>
  <si>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</si>
  <si>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</si>
  <si>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</si>
  <si>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</si>
  <si>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</si>
  <si>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</si>
  <si>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</si>
  <si>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</si>
  <si>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</si>
  <si>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</si>
  <si>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</si>
  <si>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</si>
  <si>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</si>
  <si>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</si>
  <si>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</si>
  <si>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</si>
  <si>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</si>
  <si>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</si>
  <si>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</si>
  <si>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</si>
  <si>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</si>
  <si>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</si>
  <si>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</si>
  <si>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</si>
  <si>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</si>
  <si>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</si>
  <si>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</si>
  <si>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</si>
  <si>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</si>
  <si>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</si>
  <si>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</si>
  <si>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</si>
  <si>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</si>
  <si>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</si>
  <si>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</si>
  <si>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</si>
  <si>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</si>
  <si>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</si>
  <si>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</si>
  <si>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</si>
  <si>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</si>
  <si>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</si>
  <si>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</si>
  <si>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</si>
  <si>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</si>
  <si>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</si>
  <si>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</si>
  <si>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</si>
  <si>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</si>
  <si>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</si>
  <si>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</si>
  <si>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</si>
  <si>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</si>
  <si>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</si>
  <si>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</si>
  <si>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</si>
  <si>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</si>
  <si>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</si>
  <si>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</si>
  <si>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</si>
  <si>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</si>
  <si>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</si>
  <si>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</si>
  <si>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</si>
  <si>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</si>
  <si>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</si>
  <si>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</si>
  <si>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</si>
  <si>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</si>
  <si>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</si>
  <si>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</si>
  <si>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</si>
  <si>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</si>
  <si>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</si>
  <si>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</si>
  <si>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</si>
  <si>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</si>
  <si>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</si>
  <si>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</si>
  <si>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</si>
  <si>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</si>
  <si>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</si>
  <si>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</si>
  <si>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</si>
  <si>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</si>
  <si>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</si>
  <si>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</si>
  <si>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</si>
  <si>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</si>
  <si>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</si>
  <si>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</si>
  <si>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</si>
  <si>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</si>
  <si>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</si>
  <si>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</si>
  <si>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</si>
  <si>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</si>
  <si>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</si>
  <si>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</si>
  <si>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</si>
  <si>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</si>
  <si>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</si>
  <si>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</si>
  <si>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</si>
  <si>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</si>
  <si>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</si>
  <si>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</si>
  <si>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</si>
  <si>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</si>
  <si>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</si>
  <si>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</si>
  <si>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</si>
  <si>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</si>
  <si>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</si>
  <si>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</si>
  <si>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</si>
  <si>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</si>
  <si>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</si>
  <si>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</si>
  <si>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</si>
  <si>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</si>
  <si>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</si>
  <si>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</si>
  <si>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</si>
  <si>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</si>
  <si>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</si>
  <si>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</si>
  <si>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</si>
  <si>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</si>
  <si>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</si>
  <si>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</si>
  <si>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</si>
  <si>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</si>
  <si>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</si>
  <si>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</si>
  <si>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</si>
  <si>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</si>
  <si>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</si>
  <si>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</si>
  <si>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</si>
  <si>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</si>
  <si>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</si>
  <si>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</si>
  <si>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</si>
  <si>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</si>
  <si>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</si>
  <si>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</si>
  <si>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</si>
  <si>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</si>
  <si>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</si>
  <si>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</si>
  <si>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</si>
  <si>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</si>
  <si>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</si>
  <si>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</si>
  <si>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</si>
  <si>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</si>
  <si>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</si>
  <si>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</si>
  <si>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</si>
  <si>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</si>
  <si>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</si>
  <si>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</si>
  <si>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</si>
  <si>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</si>
  <si>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</si>
  <si>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</si>
  <si>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</si>
  <si>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</si>
  <si>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</si>
  <si>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</si>
  <si>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</si>
  <si>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</si>
  <si>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</si>
  <si>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</si>
  <si>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</si>
  <si>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</si>
  <si>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</si>
  <si>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</si>
  <si>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</si>
  <si>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</si>
  <si>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</si>
  <si>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</si>
  <si>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</si>
  <si>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</si>
  <si>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</si>
  <si>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</si>
  <si>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</si>
  <si>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</si>
  <si>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</si>
  <si>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</si>
  <si>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</si>
  <si>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</si>
  <si>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</si>
  <si>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</si>
  <si>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</si>
  <si>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</si>
  <si>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</si>
  <si>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</si>
  <si>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</si>
  <si>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</si>
  <si>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</si>
  <si>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</si>
  <si>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</si>
  <si>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</si>
  <si>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</si>
  <si>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</si>
  <si>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</si>
  <si>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</si>
  <si>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</si>
  <si>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</si>
  <si>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</si>
  <si>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</si>
  <si>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</si>
  <si>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</si>
  <si>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</si>
  <si>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</si>
  <si>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</si>
  <si>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</si>
  <si>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</si>
  <si>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</si>
  <si>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</si>
  <si>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</si>
  <si>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</si>
  <si>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</si>
  <si>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</si>
  <si>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</si>
  <si>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</si>
  <si>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</si>
  <si>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</si>
  <si>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</si>
  <si>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</si>
  <si>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</si>
  <si>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</si>
  <si>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</si>
  <si>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</si>
  <si>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</si>
  <si>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</si>
  <si>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</si>
  <si>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</si>
  <si>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</si>
  <si>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</si>
  <si>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</si>
  <si>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</si>
  <si>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</si>
  <si>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</si>
  <si>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</si>
  <si>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</si>
  <si>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</si>
  <si>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</si>
  <si>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</si>
  <si>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</si>
  <si>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</si>
  <si>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</si>
  <si>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</si>
  <si>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</si>
  <si>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</si>
  <si>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</si>
  <si>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</si>
  <si>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</si>
  <si>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</si>
  <si>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</si>
  <si>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</si>
  <si>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</si>
  <si>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</si>
  <si>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</si>
  <si>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</si>
  <si>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</si>
  <si>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</si>
  <si>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</si>
  <si>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</si>
  <si>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</si>
  <si>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</si>
  <si>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</si>
  <si>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</si>
  <si>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</si>
  <si>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</si>
  <si>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</si>
  <si>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</si>
  <si>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</si>
  <si>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</si>
  <si>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</si>
  <si>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</si>
  <si>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</si>
  <si>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</si>
  <si>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</si>
  <si>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</si>
  <si>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</si>
  <si>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</si>
  <si>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</si>
  <si>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</si>
  <si>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</si>
  <si>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</si>
  <si>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</si>
  <si>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</si>
  <si>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</si>
  <si>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</si>
  <si>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</si>
  <si>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</si>
  <si>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</si>
  <si>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</si>
  <si>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</si>
  <si>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</si>
  <si>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</si>
  <si>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</si>
  <si>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</si>
  <si>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</si>
  <si>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</si>
  <si>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</si>
  <si>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</si>
  <si>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</si>
  <si>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</si>
  <si>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</si>
  <si>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</si>
  <si>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</si>
  <si>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</si>
  <si>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</si>
  <si>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</si>
  <si>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</si>
  <si>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</si>
  <si>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</si>
  <si>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</si>
  <si>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</si>
  <si>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</si>
  <si>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</si>
  <si>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</si>
  <si>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</si>
  <si>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</si>
  <si>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</si>
  <si>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</si>
  <si>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</si>
  <si>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</si>
  <si>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</si>
  <si>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</si>
  <si>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</si>
  <si>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</si>
  <si>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</si>
  <si>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</si>
  <si>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</si>
  <si>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</si>
  <si>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</si>
  <si>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</si>
  <si>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</si>
  <si>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</si>
  <si>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</si>
  <si>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</si>
  <si>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</si>
  <si>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</si>
  <si>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</si>
  <si>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</si>
  <si>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</si>
  <si>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</si>
  <si>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</si>
  <si>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</si>
  <si>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</si>
  <si>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</si>
  <si>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</si>
  <si>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</si>
  <si>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</si>
  <si>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</si>
  <si>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</si>
  <si>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</si>
  <si>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</si>
  <si>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</si>
  <si>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</si>
  <si>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</si>
  <si>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</si>
  <si>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</si>
  <si>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</si>
  <si>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</si>
  <si>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</si>
  <si>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</si>
  <si>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</si>
  <si>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</si>
  <si>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</si>
  <si>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</si>
  <si>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</si>
  <si>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</si>
  <si>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</si>
  <si>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</si>
  <si>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</si>
  <si>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</si>
  <si>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</si>
  <si>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</si>
  <si>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</si>
  <si>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</si>
  <si>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</si>
  <si>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</si>
  <si>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</si>
  <si>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</si>
  <si>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</si>
  <si>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</si>
  <si>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</si>
  <si>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</si>
  <si>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</si>
  <si>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</si>
  <si>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</si>
  <si>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</si>
  <si>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</si>
  <si>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</si>
  <si>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</si>
  <si>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</si>
  <si>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</si>
  <si>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</si>
  <si>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</si>
  <si>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</si>
  <si>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</si>
  <si>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</si>
  <si>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</si>
  <si>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</si>
  <si>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</si>
  <si>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</si>
  <si>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</si>
  <si>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</si>
  <si>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</si>
  <si>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</si>
  <si>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</si>
  <si>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</si>
  <si>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</si>
  <si>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</si>
  <si>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</si>
  <si>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</si>
  <si>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</si>
  <si>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</si>
  <si>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</si>
  <si>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</si>
  <si>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</si>
  <si>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</si>
  <si>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</si>
  <si>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</si>
  <si>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</si>
  <si>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</si>
  <si>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</si>
  <si>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</si>
  <si>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</si>
  <si>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</si>
  <si>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</si>
  <si>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</si>
  <si>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</si>
  <si>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</si>
  <si>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</si>
  <si>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</si>
  <si>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</si>
  <si>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</si>
  <si>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</si>
  <si>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</si>
  <si>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</si>
  <si>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</si>
  <si>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</si>
  <si>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</si>
  <si>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</si>
  <si>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</si>
  <si>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</si>
  <si>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</si>
  <si>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</si>
  <si>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</si>
  <si>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</si>
  <si>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</si>
  <si>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</si>
  <si>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</si>
  <si>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</si>
  <si>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</si>
  <si>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</si>
  <si>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</si>
  <si>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</si>
  <si>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</si>
  <si>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</si>
  <si>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</si>
  <si>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</si>
  <si>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</si>
  <si>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</si>
  <si>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</si>
  <si>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</si>
  <si>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</si>
  <si>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</si>
  <si>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</si>
  <si>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</si>
  <si>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</si>
  <si>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</si>
  <si>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</si>
  <si>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</si>
  <si>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</si>
  <si>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</si>
  <si>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</si>
  <si>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</si>
  <si>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</si>
  <si>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</si>
  <si>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</si>
  <si>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</si>
  <si>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</si>
  <si>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</si>
  <si>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</si>
  <si>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</si>
  <si>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</si>
  <si>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</si>
  <si>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</si>
  <si>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</si>
  <si>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</si>
  <si>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</si>
  <si>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</si>
  <si>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</si>
  <si>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</si>
  <si>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</si>
  <si>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</si>
  <si>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</si>
  <si>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</si>
  <si>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</si>
  <si>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</si>
  <si>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</si>
  <si>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</si>
  <si>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</si>
  <si>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</si>
  <si>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</si>
  <si>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</si>
  <si>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</si>
  <si>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</si>
  <si>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</si>
  <si>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</si>
  <si>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</si>
  <si>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</si>
  <si>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</si>
  <si>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</si>
  <si>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</si>
  <si>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</si>
  <si>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</si>
  <si>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</si>
  <si>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</si>
  <si>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</si>
  <si>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</si>
  <si>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</si>
  <si>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</si>
  <si>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</si>
  <si>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</si>
  <si>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</si>
  <si>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</si>
  <si>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</si>
  <si>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</si>
  <si>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</si>
  <si>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</si>
  <si>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</si>
  <si>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</si>
  <si>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</si>
  <si>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</si>
  <si>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</si>
  <si>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</si>
  <si>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</si>
  <si>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</si>
  <si>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</si>
  <si>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</si>
  <si>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</si>
  <si>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</si>
  <si>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</si>
  <si>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</si>
  <si>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</si>
  <si>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</si>
  <si>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</si>
  <si>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</si>
  <si>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</si>
  <si>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</si>
  <si>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</si>
  <si>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</si>
  <si>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</si>
  <si>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</si>
  <si>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</si>
  <si>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</si>
  <si>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</si>
  <si>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</si>
  <si>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</si>
  <si>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</si>
  <si>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</si>
  <si>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</si>
  <si>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</si>
  <si>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</si>
  <si>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</si>
  <si>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</si>
  <si>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</si>
  <si>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</si>
  <si>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</si>
  <si>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</si>
  <si>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</si>
  <si>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</si>
  <si>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</si>
  <si>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</si>
  <si>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</si>
  <si>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</si>
  <si>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</si>
  <si>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</si>
  <si>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</si>
  <si>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</si>
  <si>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</si>
  <si>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</si>
  <si>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</si>
  <si>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</si>
  <si>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</si>
  <si>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</si>
  <si>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</si>
  <si>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</si>
  <si>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</si>
  <si>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</si>
  <si>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</si>
  <si>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</si>
  <si>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</si>
  <si>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</si>
  <si>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</si>
  <si>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</si>
  <si>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</si>
  <si>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</si>
  <si>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</si>
  <si>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</si>
  <si>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</si>
  <si>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</si>
  <si>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</si>
  <si>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</si>
  <si>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</si>
  <si>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</si>
  <si>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</si>
  <si>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</si>
  <si>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</si>
  <si>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</si>
  <si>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</si>
  <si>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</si>
  <si>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</si>
  <si>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</si>
  <si>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</si>
  <si>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</si>
  <si>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</si>
  <si>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</si>
  <si>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</si>
  <si>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</si>
  <si>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</si>
  <si>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</si>
  <si>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</si>
  <si>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</si>
  <si>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</si>
  <si>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</si>
  <si>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</si>
  <si>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</si>
  <si>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</si>
  <si>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</si>
  <si>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</si>
  <si>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</si>
  <si>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</si>
  <si>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</si>
  <si>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</si>
  <si>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</si>
  <si>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</si>
  <si>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</si>
  <si>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</si>
  <si>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</si>
  <si>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</si>
  <si>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</si>
  <si>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</si>
  <si>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</si>
  <si>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</si>
  <si>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</si>
  <si>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</si>
  <si>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</si>
  <si>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</si>
  <si>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</si>
  <si>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</si>
  <si>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</si>
  <si>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</si>
  <si>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</si>
  <si>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</si>
  <si>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</si>
  <si>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</si>
  <si>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</si>
  <si>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</si>
  <si>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</si>
  <si>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</si>
  <si>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</si>
  <si>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</si>
  <si>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</si>
  <si>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</si>
  <si>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</si>
  <si>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</si>
  <si>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</si>
  <si>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</si>
  <si>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</si>
  <si>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</si>
  <si>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</si>
  <si>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</si>
  <si>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</si>
  <si>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</si>
  <si>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</si>
  <si>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</si>
  <si>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</si>
  <si>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</si>
  <si>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</si>
  <si>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</si>
  <si>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</si>
  <si>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</si>
  <si>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</si>
  <si>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</si>
  <si>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</si>
  <si>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</si>
  <si>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</si>
  <si>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</si>
  <si>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</si>
  <si>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</si>
  <si>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</si>
  <si>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</si>
  <si>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</si>
  <si>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</si>
  <si>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</si>
  <si>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</si>
  <si>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</si>
  <si>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</si>
  <si>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</si>
  <si>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</si>
  <si>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</si>
  <si>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</si>
  <si>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</si>
  <si>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</si>
  <si>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</si>
  <si>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</si>
  <si>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</si>
  <si>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</si>
  <si>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</si>
  <si>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</si>
  <si>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</si>
  <si>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</si>
  <si>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</si>
  <si>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</si>
  <si>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</si>
  <si>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</si>
  <si>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</si>
  <si>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</si>
  <si>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</si>
  <si>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</si>
  <si>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</si>
  <si>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</si>
  <si>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</si>
  <si>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</si>
  <si>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</si>
  <si>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</si>
  <si>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</si>
  <si>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</si>
  <si>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</si>
  <si>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</si>
  <si>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</si>
  <si>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</si>
  <si>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</si>
  <si>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</si>
  <si>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</si>
  <si>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</si>
  <si>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</si>
  <si>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</si>
  <si>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</si>
  <si>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</si>
  <si>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</si>
  <si>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</si>
  <si>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</si>
  <si>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</si>
  <si>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</si>
  <si>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</si>
  <si>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</si>
  <si>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</si>
  <si>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</si>
  <si>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</si>
  <si>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</si>
  <si>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</si>
  <si>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</si>
  <si>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</si>
  <si>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</si>
  <si>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</si>
  <si>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</si>
  <si>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</si>
  <si>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</si>
  <si>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</si>
  <si>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</si>
  <si>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</si>
  <si>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</si>
  <si>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</si>
  <si>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</si>
  <si>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</si>
  <si>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</si>
  <si>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</si>
  <si>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</si>
  <si>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</si>
  <si>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</si>
  <si>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</si>
  <si>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</si>
  <si>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</si>
  <si>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</si>
  <si>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</si>
  <si>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</si>
  <si>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</si>
  <si>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</si>
  <si>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</si>
  <si>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</si>
  <si>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</si>
  <si>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</si>
  <si>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</si>
  <si>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</si>
  <si>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</si>
  <si>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</si>
  <si>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</si>
  <si>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</si>
  <si>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</si>
  <si>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</si>
  <si>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</si>
  <si>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</si>
  <si>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</si>
  <si>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</si>
  <si>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</si>
  <si>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</si>
  <si>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</si>
  <si>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</si>
  <si>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</si>
  <si>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</si>
  <si>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</si>
  <si>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</si>
  <si>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</si>
  <si>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</si>
  <si>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</si>
  <si>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</si>
  <si>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</si>
  <si>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</si>
  <si>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</si>
  <si>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</si>
  <si>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</si>
  <si>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</si>
  <si>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</si>
  <si>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</si>
  <si>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</si>
  <si>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</si>
  <si>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</si>
  <si>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</si>
  <si>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</si>
  <si>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</si>
  <si>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</si>
  <si>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</si>
  <si>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</si>
  <si>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</si>
  <si>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</si>
  <si>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</si>
  <si>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</si>
  <si>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</si>
  <si>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</si>
  <si>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</si>
  <si>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</si>
  <si>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</si>
  <si>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</si>
  <si>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</si>
  <si>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</si>
  <si>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</si>
  <si>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</si>
  <si>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</si>
  <si>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</si>
  <si>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</si>
  <si>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</si>
  <si>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</si>
  <si>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</si>
  <si>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</si>
  <si>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</si>
  <si>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</si>
  <si>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</si>
  <si>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</si>
  <si>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</si>
  <si>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</si>
  <si>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</si>
  <si>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</si>
  <si>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</si>
  <si>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</si>
  <si>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</si>
  <si>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</si>
  <si>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</si>
  <si>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</si>
  <si>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</si>
  <si>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</si>
  <si>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</si>
  <si>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</si>
  <si>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</si>
  <si>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</si>
  <si>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</si>
  <si>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</si>
  <si>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</si>
  <si>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</si>
  <si>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</si>
  <si>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</si>
  <si>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</si>
  <si>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</si>
  <si>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</si>
  <si>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</si>
  <si>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</si>
  <si>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</si>
  <si>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</si>
  <si>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</si>
  <si>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</si>
  <si>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</si>
  <si>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</si>
  <si>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</si>
  <si>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</si>
  <si>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</si>
  <si>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</si>
  <si>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</si>
  <si>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</si>
  <si>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</si>
  <si>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</si>
  <si>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</si>
  <si>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</si>
  <si>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</si>
  <si>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</si>
  <si>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</si>
  <si>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</si>
  <si>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</si>
  <si>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</si>
  <si>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</si>
  <si>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</si>
  <si>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</si>
  <si>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</si>
  <si>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</si>
  <si>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</si>
  <si>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</si>
  <si>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</si>
  <si>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</si>
  <si>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</si>
  <si>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</si>
  <si>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</si>
  <si>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</si>
  <si>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</si>
  <si>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</si>
  <si>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</si>
  <si>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</si>
  <si>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</si>
  <si>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</si>
  <si>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</si>
  <si>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</si>
  <si>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</si>
  <si>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</si>
  <si>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</si>
  <si>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</si>
  <si>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</si>
  <si>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</si>
  <si>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</si>
  <si>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</si>
  <si>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</si>
  <si>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</si>
  <si>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</si>
  <si>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</si>
  <si>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</si>
  <si>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</si>
  <si>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</si>
  <si>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</si>
  <si>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</si>
  <si>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</si>
  <si>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</si>
  <si>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</si>
  <si>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</si>
  <si>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</si>
  <si>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</si>
  <si>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</si>
  <si>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</si>
  <si>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</si>
  <si>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</si>
  <si>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</si>
  <si>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</si>
  <si>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</si>
  <si>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</si>
  <si>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</si>
  <si>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</si>
  <si>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</si>
  <si>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</si>
  <si>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</si>
  <si>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</si>
  <si>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</si>
  <si>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</si>
  <si>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</si>
  <si>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</si>
  <si>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</si>
  <si>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</si>
  <si>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</si>
  <si>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</si>
  <si>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</si>
  <si>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</si>
  <si>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</si>
  <si>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</si>
  <si>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</si>
  <si>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</si>
  <si>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</si>
  <si>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</si>
  <si>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</si>
  <si>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</si>
  <si>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</si>
  <si>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</si>
  <si>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</si>
  <si>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</si>
  <si>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</si>
  <si>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</si>
  <si>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</si>
  <si>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</si>
  <si>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</si>
  <si>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</si>
  <si>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</si>
  <si>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</si>
  <si>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</si>
  <si>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</si>
  <si>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</si>
  <si>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</si>
  <si>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</si>
  <si>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</si>
  <si>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</si>
  <si>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</si>
  <si>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</si>
  <si>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</si>
  <si>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</si>
  <si>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</si>
  <si>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</si>
  <si>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</si>
  <si>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</si>
  <si>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</si>
  <si>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</si>
  <si>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</si>
  <si>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</si>
  <si>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</si>
  <si>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</si>
  <si>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</si>
  <si>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</si>
  <si>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</si>
  <si>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</si>
  <si>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</si>
  <si>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</si>
  <si>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</si>
  <si>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</si>
  <si>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</si>
  <si>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</si>
  <si>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</si>
  <si>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</si>
  <si>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</si>
  <si>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</si>
  <si>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</si>
  <si>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</si>
  <si>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</si>
  <si>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</si>
  <si>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</si>
  <si>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</si>
  <si>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</si>
  <si>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</si>
  <si>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</si>
  <si>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</si>
  <si>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</si>
  <si>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</si>
  <si>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</si>
  <si>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</si>
  <si>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</si>
  <si>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</si>
  <si>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</si>
  <si>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</si>
  <si>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</si>
  <si>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</si>
  <si>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</si>
  <si>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</si>
  <si>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</si>
  <si>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</si>
  <si>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</si>
  <si>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</si>
  <si>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</si>
  <si>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</si>
  <si>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</si>
  <si>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</si>
  <si>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</si>
  <si>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</si>
  <si>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</si>
  <si>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</si>
  <si>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</si>
  <si>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</si>
  <si>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</si>
  <si>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</si>
  <si>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</si>
  <si>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</si>
  <si>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</si>
  <si>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</si>
  <si>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</si>
  <si>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</si>
  <si>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</si>
  <si>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</si>
  <si>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</si>
  <si>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</si>
  <si>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</si>
  <si>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</si>
  <si>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</si>
  <si>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</si>
  <si>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</si>
  <si>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</si>
  <si>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</si>
  <si>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</si>
  <si>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</si>
  <si>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</si>
  <si>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</si>
  <si>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</si>
  <si>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</si>
  <si>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</si>
  <si>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</si>
  <si>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</si>
  <si>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</si>
  <si>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</si>
  <si>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</si>
  <si>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</si>
  <si>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</si>
  <si>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</si>
  <si>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</si>
  <si>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</si>
  <si>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</si>
  <si>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</si>
  <si>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</si>
  <si>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</si>
  <si>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</si>
  <si>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</si>
  <si>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</si>
  <si>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</si>
  <si>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</si>
  <si>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</si>
  <si>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</si>
  <si>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</si>
  <si>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</si>
  <si>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</si>
  <si>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</si>
  <si>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</si>
  <si>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</si>
  <si>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</si>
  <si>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</si>
  <si>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</si>
  <si>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</si>
  <si>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</si>
  <si>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</si>
  <si>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</si>
  <si>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</si>
  <si>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</si>
  <si>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</si>
  <si>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</si>
  <si>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</si>
  <si>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</si>
  <si>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</si>
  <si>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</si>
  <si>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</si>
  <si>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</si>
  <si>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</si>
  <si>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</si>
  <si>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</si>
  <si>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</si>
  <si>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</si>
  <si>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</si>
  <si>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</si>
  <si>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</si>
  <si>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</si>
  <si>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</si>
  <si>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</si>
  <si>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</si>
  <si>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</si>
  <si>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</si>
  <si>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</si>
  <si>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</si>
  <si>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</si>
  <si>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</si>
  <si>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</si>
  <si>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</si>
  <si>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</si>
  <si>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</si>
  <si>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</si>
  <si>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</si>
  <si>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</si>
  <si>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</si>
  <si>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</si>
  <si>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</si>
  <si>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</si>
  <si>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</si>
  <si>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</si>
  <si>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</si>
  <si>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</si>
  <si>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</si>
  <si>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</si>
  <si>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</si>
  <si>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</si>
  <si>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</si>
  <si>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</si>
  <si>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</si>
  <si>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</si>
  <si>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</si>
  <si>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</si>
  <si>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</si>
  <si>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</si>
  <si>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</si>
  <si>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</si>
  <si>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</si>
  <si>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</si>
  <si>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</si>
  <si>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</si>
  <si>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</si>
  <si>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</si>
  <si>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</si>
  <si>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</si>
  <si>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</si>
  <si>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</si>
  <si>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</si>
  <si>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</si>
  <si>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</si>
  <si>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</si>
  <si>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</si>
  <si>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</si>
  <si>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</si>
  <si>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</si>
  <si>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</si>
  <si>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</si>
  <si>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</si>
  <si>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</si>
  <si>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</si>
  <si>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</si>
  <si>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</si>
  <si>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</si>
  <si>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</si>
  <si>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</si>
  <si>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</si>
  <si>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</si>
  <si>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</si>
  <si>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</si>
  <si>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</si>
  <si>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</si>
  <si>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</si>
  <si>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</si>
  <si>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</si>
  <si>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</si>
  <si>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</si>
  <si>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</si>
  <si>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</si>
  <si>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</si>
  <si>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</si>
  <si>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</si>
  <si>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</si>
  <si>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</si>
  <si>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</si>
  <si>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</si>
  <si>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</si>
  <si>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</si>
  <si>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</si>
  <si>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</si>
  <si>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</si>
  <si>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</si>
  <si>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</si>
  <si>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</si>
  <si>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</si>
  <si>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</si>
  <si>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</si>
  <si>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</si>
  <si>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</si>
  <si>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</si>
  <si>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</si>
  <si>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</si>
  <si>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</si>
  <si>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</si>
  <si>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</si>
  <si>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</si>
  <si>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</si>
  <si>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</si>
  <si>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</si>
  <si>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</si>
  <si>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</si>
  <si>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</si>
  <si>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</si>
  <si>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</si>
  <si>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</si>
  <si>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</si>
  <si>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</si>
  <si>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</si>
  <si>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</si>
  <si>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</si>
  <si>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</si>
  <si>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</si>
  <si>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</si>
  <si>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</si>
  <si>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</si>
  <si>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</si>
  <si>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</si>
  <si>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</si>
  <si>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</si>
  <si>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</si>
  <si>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</si>
  <si>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</si>
  <si>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</si>
  <si>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</si>
  <si>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</si>
  <si>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</si>
  <si>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</si>
  <si>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</si>
  <si>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</si>
  <si>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</si>
  <si>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</si>
  <si>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</si>
  <si>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</si>
  <si>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</si>
  <si>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</si>
  <si>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</si>
  <si>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</si>
  <si>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</si>
  <si>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</si>
  <si>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</si>
  <si>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</si>
  <si>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</si>
  <si>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</si>
  <si>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</si>
  <si>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</si>
  <si>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</si>
  <si>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</si>
  <si>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</si>
  <si>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</si>
  <si>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</si>
  <si>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</si>
  <si>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</si>
  <si>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</si>
  <si>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</si>
  <si>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</si>
  <si>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</si>
  <si>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</si>
  <si>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</si>
  <si>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</si>
  <si>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</si>
  <si>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</si>
  <si>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</si>
  <si>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</si>
  <si>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</si>
  <si>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</si>
  <si>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</si>
  <si>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</si>
  <si>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</si>
  <si>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</si>
  <si>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</si>
  <si>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</si>
  <si>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</si>
  <si>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</si>
  <si>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</si>
  <si>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</si>
  <si>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</si>
  <si>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</si>
  <si>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</si>
  <si>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</si>
  <si>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</si>
  <si>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</si>
  <si>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</si>
  <si>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</si>
  <si>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</si>
  <si>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</si>
  <si>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</si>
  <si>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</si>
  <si>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</si>
  <si>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</si>
  <si>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</si>
  <si>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</si>
  <si>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</si>
  <si>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</si>
  <si>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</si>
  <si>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</si>
  <si>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</si>
  <si>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</si>
  <si>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</si>
  <si>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</si>
  <si>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</si>
  <si>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</si>
  <si>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</si>
  <si>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</si>
  <si>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</si>
  <si>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</si>
  <si>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</si>
  <si>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</si>
  <si>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</si>
  <si>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</si>
  <si>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</si>
  <si>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</si>
  <si>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</si>
  <si>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</si>
  <si>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</si>
  <si>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</si>
  <si>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</si>
  <si>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</si>
  <si>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</si>
  <si>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</si>
  <si>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</si>
  <si>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</si>
  <si>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</si>
  <si>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</si>
  <si>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</si>
  <si>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</si>
  <si>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</si>
  <si>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</si>
  <si>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</si>
  <si>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</si>
  <si>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</si>
  <si>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</si>
  <si>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</si>
  <si>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</si>
  <si>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</si>
  <si>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</si>
  <si>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</si>
  <si>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</si>
  <si>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</si>
  <si>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</si>
  <si>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</si>
  <si>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</si>
  <si>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</si>
  <si>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</si>
  <si>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</si>
  <si>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</si>
  <si>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</si>
  <si>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</si>
  <si>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</si>
  <si>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</si>
  <si>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</si>
  <si>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</si>
  <si>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</si>
  <si>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</si>
  <si>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</si>
  <si>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</si>
  <si>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</si>
  <si>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</si>
  <si>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</si>
  <si>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</si>
  <si>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</si>
  <si>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</si>
  <si>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</si>
  <si>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</si>
  <si>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</si>
  <si>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</si>
  <si>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</si>
  <si>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</si>
  <si>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</si>
  <si>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</si>
  <si>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</si>
  <si>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</si>
  <si>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</si>
  <si>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</si>
  <si>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</si>
  <si>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</si>
  <si>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</si>
  <si>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</si>
  <si>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</si>
  <si>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</si>
  <si>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</si>
  <si>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</si>
  <si>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</si>
  <si>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</si>
  <si>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</si>
  <si>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</si>
  <si>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</si>
  <si>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</si>
  <si>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</si>
  <si>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</si>
  <si>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농협 3520106511413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</si>
  <si>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</si>
  <si>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</si>
  <si>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</si>
  <si>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</si>
  <si>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</si>
  <si>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</si>
  <si>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</si>
  <si>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</si>
  <si>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</si>
  <si>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</si>
  <si>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</si>
  <si>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</si>
  <si>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</si>
  <si>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</si>
  <si>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</si>
  <si>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</si>
  <si>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</si>
  <si>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</si>
  <si>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</si>
  <si>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</si>
  <si>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</si>
  <si>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</si>
  <si>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</si>
  <si>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</si>
  <si>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</si>
  <si>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</si>
  <si>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</si>
  <si>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</si>
  <si>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</si>
  <si>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</si>
  <si>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</si>
  <si>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</si>
  <si>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</si>
  <si>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</si>
  <si>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</si>
  <si>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</si>
  <si>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</si>
  <si>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WDDZF0FB6HA283319</t>
  </si>
  <si>
    <t>대전서구가장21</t>
    <phoneticPr fontId="2" type="noConversion"/>
  </si>
  <si>
    <t>P07b700</t>
  </si>
  <si>
    <t>코리아탑오토샵(대전)_250718_171520.xlsx</t>
  </si>
  <si>
    <t>코리아탑오토샵(대전)_250718_171520.xlsx</t>
    <phoneticPr fontId="2" type="noConversion"/>
  </si>
  <si>
    <t>결재</t>
    <phoneticPr fontId="2" type="noConversion"/>
  </si>
  <si>
    <t>ㅎ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</si>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</sst>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3500000</c:v>
                </c:pt>
                <c:pt idx="7">
                  <c:v>4140000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9</c:v>
                      </c:pt>
                      <c:pt idx="7">
                        <c:v>5</c:v>
                      </c:pt>
                      <c:pt idx="8">
                        <c:v>10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4</xdr:row>
      <xdr:rowOff>123825</xdr:rowOff>
    </xdr:from>
    <xdr:to>
      <xdr:col>11</xdr:col>
      <xdr:colOff>409575</xdr:colOff>
      <xdr:row>5</xdr:row>
      <xdr:rowOff>133350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4820900" y="97155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2468</v>
      </c>
    </row>
    <row r="4" spans="14:17" x14ac:dyDescent="0.3">
      <c r="Q4" s="99" t="s">
        <v>3087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2468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2468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1667</v>
      </c>
      <c r="D1" s="187" t="s">
        <v>40</v>
      </c>
      <c r="E1" s="187" t="s">
        <v>1668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2082</v>
      </c>
      <c r="D2" t="s">
        <v>2076</v>
      </c>
      <c r="E2" s="233">
        <v>21000</v>
      </c>
    </row>
    <row r="3" spans="1:7" x14ac:dyDescent="0.3">
      <c r="A3">
        <v>2</v>
      </c>
      <c r="B3" s="13">
        <v>45747</v>
      </c>
      <c r="C3" t="s">
        <v>2083</v>
      </c>
      <c r="D3" t="s">
        <v>2080</v>
      </c>
      <c r="E3" s="233">
        <v>48210</v>
      </c>
    </row>
    <row r="4" spans="1:7" x14ac:dyDescent="0.3">
      <c r="A4">
        <v>3</v>
      </c>
      <c r="B4" s="13">
        <v>45749</v>
      </c>
      <c r="C4" t="s">
        <v>2079</v>
      </c>
      <c r="D4" t="s">
        <v>2079</v>
      </c>
      <c r="E4" s="233">
        <v>16600</v>
      </c>
      <c r="F4" t="s">
        <v>2084</v>
      </c>
    </row>
    <row r="5" spans="1:7" x14ac:dyDescent="0.3">
      <c r="A5">
        <v>4</v>
      </c>
      <c r="B5" s="13">
        <v>45749</v>
      </c>
      <c r="C5" t="s">
        <v>1681</v>
      </c>
      <c r="D5" t="s">
        <v>2077</v>
      </c>
      <c r="E5">
        <v>19500</v>
      </c>
    </row>
    <row r="6" spans="1:7" x14ac:dyDescent="0.3">
      <c r="A6">
        <v>5</v>
      </c>
      <c r="B6" s="13">
        <v>45749</v>
      </c>
      <c r="C6" t="s">
        <v>2079</v>
      </c>
      <c r="D6" t="s">
        <v>1678</v>
      </c>
      <c r="E6">
        <v>8000</v>
      </c>
      <c r="F6" t="s">
        <v>2085</v>
      </c>
    </row>
    <row r="7" spans="1:7" x14ac:dyDescent="0.3">
      <c r="A7">
        <v>6</v>
      </c>
      <c r="B7" s="13">
        <v>45750</v>
      </c>
      <c r="C7" t="s">
        <v>1681</v>
      </c>
      <c r="D7" t="s">
        <v>2077</v>
      </c>
      <c r="E7">
        <v>22000</v>
      </c>
    </row>
    <row r="8" spans="1:7" x14ac:dyDescent="0.3">
      <c r="A8">
        <v>7</v>
      </c>
      <c r="B8" s="13">
        <v>45751</v>
      </c>
      <c r="C8" t="s">
        <v>1752</v>
      </c>
      <c r="D8" t="s">
        <v>2077</v>
      </c>
      <c r="E8">
        <v>7900</v>
      </c>
    </row>
    <row r="9" spans="1:7" x14ac:dyDescent="0.3">
      <c r="A9">
        <v>8</v>
      </c>
      <c r="B9" s="13">
        <v>45751</v>
      </c>
      <c r="C9" t="s">
        <v>1769</v>
      </c>
      <c r="D9" t="s">
        <v>2077</v>
      </c>
      <c r="E9">
        <v>5400</v>
      </c>
      <c r="F9" t="s">
        <v>1770</v>
      </c>
    </row>
    <row r="10" spans="1:7" x14ac:dyDescent="0.3">
      <c r="A10">
        <v>9</v>
      </c>
      <c r="B10" s="13">
        <v>45754</v>
      </c>
      <c r="C10" t="s">
        <v>1557</v>
      </c>
      <c r="D10" t="s">
        <v>2079</v>
      </c>
      <c r="E10">
        <v>8000</v>
      </c>
      <c r="F10" t="s">
        <v>1812</v>
      </c>
    </row>
    <row r="11" spans="1:7" x14ac:dyDescent="0.3">
      <c r="A11">
        <v>10</v>
      </c>
      <c r="B11" s="13">
        <v>45754</v>
      </c>
      <c r="C11" t="s">
        <v>1681</v>
      </c>
      <c r="D11" t="s">
        <v>2077</v>
      </c>
      <c r="E11">
        <v>11000</v>
      </c>
    </row>
    <row r="12" spans="1:7" x14ac:dyDescent="0.3">
      <c r="A12">
        <v>11</v>
      </c>
      <c r="B12" s="13">
        <v>45754</v>
      </c>
      <c r="C12" t="s">
        <v>1666</v>
      </c>
      <c r="D12" t="s">
        <v>2081</v>
      </c>
      <c r="E12">
        <v>47970</v>
      </c>
    </row>
    <row r="13" spans="1:7" x14ac:dyDescent="0.3">
      <c r="A13">
        <v>12</v>
      </c>
      <c r="B13" s="13">
        <v>45755</v>
      </c>
      <c r="C13" t="s">
        <v>1769</v>
      </c>
      <c r="D13" t="s">
        <v>2077</v>
      </c>
      <c r="E13">
        <v>5400</v>
      </c>
      <c r="F13" t="s">
        <v>1868</v>
      </c>
    </row>
    <row r="14" spans="1:7" x14ac:dyDescent="0.3">
      <c r="A14">
        <v>13</v>
      </c>
      <c r="B14" s="13">
        <v>45756</v>
      </c>
      <c r="C14" t="s">
        <v>1895</v>
      </c>
      <c r="D14" t="s">
        <v>2078</v>
      </c>
      <c r="E14">
        <v>44600</v>
      </c>
    </row>
    <row r="15" spans="1:7" x14ac:dyDescent="0.3">
      <c r="A15">
        <v>14</v>
      </c>
      <c r="B15" s="13">
        <v>45756</v>
      </c>
      <c r="C15" t="s">
        <v>1681</v>
      </c>
      <c r="D15" t="s">
        <v>2077</v>
      </c>
      <c r="E15">
        <v>11000</v>
      </c>
    </row>
    <row r="16" spans="1:7" x14ac:dyDescent="0.3">
      <c r="A16">
        <v>15</v>
      </c>
      <c r="B16" s="13">
        <v>45758</v>
      </c>
      <c r="C16" t="s">
        <v>1752</v>
      </c>
      <c r="D16" t="s">
        <v>2077</v>
      </c>
      <c r="E16">
        <v>7900</v>
      </c>
    </row>
    <row r="17" spans="1:6" x14ac:dyDescent="0.3">
      <c r="A17">
        <v>16</v>
      </c>
      <c r="B17" s="13">
        <v>45762</v>
      </c>
      <c r="C17" t="s">
        <v>1666</v>
      </c>
      <c r="D17" t="s">
        <v>2081</v>
      </c>
      <c r="E17">
        <v>47550</v>
      </c>
    </row>
    <row r="18" spans="1:6" x14ac:dyDescent="0.3">
      <c r="A18">
        <v>17</v>
      </c>
      <c r="B18" s="13">
        <v>45762</v>
      </c>
      <c r="C18" t="s">
        <v>1666</v>
      </c>
      <c r="D18" t="s">
        <v>2081</v>
      </c>
      <c r="E18">
        <v>5000</v>
      </c>
      <c r="F18" t="s">
        <v>1956</v>
      </c>
    </row>
    <row r="19" spans="1:6" x14ac:dyDescent="0.3">
      <c r="A19">
        <v>18</v>
      </c>
      <c r="B19" s="13">
        <v>45762</v>
      </c>
      <c r="C19" t="s">
        <v>1957</v>
      </c>
      <c r="D19" t="s">
        <v>2077</v>
      </c>
      <c r="E19">
        <v>40600</v>
      </c>
    </row>
    <row r="20" spans="1:6" x14ac:dyDescent="0.3">
      <c r="A20">
        <v>19</v>
      </c>
      <c r="B20" s="13">
        <v>45771</v>
      </c>
      <c r="C20" t="s">
        <v>1666</v>
      </c>
      <c r="D20" t="s">
        <v>2081</v>
      </c>
      <c r="E20">
        <v>47550</v>
      </c>
    </row>
    <row r="21" spans="1:6" x14ac:dyDescent="0.3">
      <c r="A21">
        <v>20</v>
      </c>
      <c r="B21" s="13">
        <v>45771</v>
      </c>
      <c r="C21" t="s">
        <v>2046</v>
      </c>
      <c r="D21" t="s">
        <v>2081</v>
      </c>
      <c r="E21">
        <v>5000</v>
      </c>
      <c r="F21" t="s">
        <v>1956</v>
      </c>
    </row>
    <row r="22" spans="1:6" x14ac:dyDescent="0.3">
      <c r="A22">
        <v>21</v>
      </c>
      <c r="B22" s="13">
        <v>45772</v>
      </c>
      <c r="C22" t="s">
        <v>1557</v>
      </c>
      <c r="D22" t="s">
        <v>2079</v>
      </c>
      <c r="E22">
        <v>7000</v>
      </c>
      <c r="F22" t="s">
        <v>2064</v>
      </c>
    </row>
    <row r="23" spans="1:6" x14ac:dyDescent="0.3">
      <c r="A23">
        <v>22</v>
      </c>
      <c r="B23" s="13">
        <v>45775</v>
      </c>
      <c r="C23" t="s">
        <v>2072</v>
      </c>
      <c r="D23" t="s">
        <v>2077</v>
      </c>
      <c r="E23">
        <v>8000</v>
      </c>
    </row>
    <row r="24" spans="1:6" x14ac:dyDescent="0.3">
      <c r="A24">
        <v>23</v>
      </c>
      <c r="B24" s="13">
        <v>45775</v>
      </c>
      <c r="C24" t="s">
        <v>1557</v>
      </c>
      <c r="D24" t="s">
        <v>2079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2136</v>
      </c>
      <c r="D25" t="s">
        <v>1850</v>
      </c>
      <c r="E25">
        <v>2000</v>
      </c>
      <c r="F25" t="s">
        <v>2137</v>
      </c>
    </row>
    <row r="26" spans="1:6" x14ac:dyDescent="0.3">
      <c r="A26">
        <v>25</v>
      </c>
      <c r="B26" s="13">
        <v>45778</v>
      </c>
      <c r="C26" t="s">
        <v>2136</v>
      </c>
      <c r="D26" t="s">
        <v>1850</v>
      </c>
      <c r="E26">
        <v>2000</v>
      </c>
      <c r="F26" t="s">
        <v>2137</v>
      </c>
    </row>
    <row r="27" spans="1:6" x14ac:dyDescent="0.3">
      <c r="A27">
        <v>26</v>
      </c>
      <c r="B27" s="13">
        <v>45777</v>
      </c>
      <c r="C27" t="s">
        <v>2139</v>
      </c>
      <c r="D27" t="s">
        <v>2076</v>
      </c>
      <c r="E27">
        <v>32000</v>
      </c>
    </row>
    <row r="28" spans="1:6" x14ac:dyDescent="0.3">
      <c r="A28">
        <v>27</v>
      </c>
      <c r="B28" s="13">
        <v>45778</v>
      </c>
      <c r="C28" t="s">
        <v>2072</v>
      </c>
      <c r="D28" t="s">
        <v>2076</v>
      </c>
      <c r="E28" s="233">
        <v>8000</v>
      </c>
    </row>
    <row r="29" spans="1:6" x14ac:dyDescent="0.3">
      <c r="A29">
        <v>28</v>
      </c>
      <c r="B29" s="13">
        <v>45779</v>
      </c>
      <c r="C29" t="s">
        <v>2136</v>
      </c>
      <c r="D29" t="s">
        <v>1850</v>
      </c>
      <c r="E29">
        <v>6000</v>
      </c>
      <c r="F29" t="s">
        <v>2142</v>
      </c>
    </row>
    <row r="30" spans="1:6" x14ac:dyDescent="0.3">
      <c r="A30">
        <v>29</v>
      </c>
      <c r="B30" s="13">
        <v>45779</v>
      </c>
      <c r="C30" t="s">
        <v>2153</v>
      </c>
      <c r="D30" t="s">
        <v>2075</v>
      </c>
      <c r="E30">
        <v>74100</v>
      </c>
      <c r="F30" t="s">
        <v>2154</v>
      </c>
    </row>
    <row r="31" spans="1:6" x14ac:dyDescent="0.3">
      <c r="A31">
        <v>30</v>
      </c>
      <c r="B31" s="13">
        <v>45780</v>
      </c>
      <c r="C31" t="s">
        <v>2151</v>
      </c>
      <c r="D31" t="s">
        <v>2075</v>
      </c>
      <c r="E31">
        <v>7000</v>
      </c>
      <c r="F31" t="s">
        <v>2152</v>
      </c>
    </row>
    <row r="32" spans="1:6" x14ac:dyDescent="0.3">
      <c r="A32">
        <v>31</v>
      </c>
      <c r="B32" s="13">
        <v>45780</v>
      </c>
      <c r="C32" t="s">
        <v>2136</v>
      </c>
      <c r="D32" t="s">
        <v>1850</v>
      </c>
      <c r="E32">
        <v>7000</v>
      </c>
      <c r="F32" t="s">
        <v>1964</v>
      </c>
    </row>
    <row r="33" spans="1:6" x14ac:dyDescent="0.3">
      <c r="A33">
        <v>32</v>
      </c>
      <c r="B33" s="13">
        <v>45784</v>
      </c>
      <c r="C33" t="s">
        <v>1681</v>
      </c>
      <c r="D33" t="s">
        <v>2076</v>
      </c>
      <c r="E33">
        <v>9500</v>
      </c>
    </row>
    <row r="34" spans="1:6" x14ac:dyDescent="0.3">
      <c r="A34">
        <v>33</v>
      </c>
      <c r="B34" s="13">
        <v>45785</v>
      </c>
      <c r="C34" t="s">
        <v>2198</v>
      </c>
      <c r="D34" t="s">
        <v>2076</v>
      </c>
      <c r="E34">
        <v>14000</v>
      </c>
    </row>
    <row r="35" spans="1:6" x14ac:dyDescent="0.3">
      <c r="A35">
        <v>34</v>
      </c>
      <c r="B35" s="13">
        <v>45786</v>
      </c>
      <c r="C35" t="s">
        <v>2198</v>
      </c>
      <c r="D35" t="s">
        <v>2076</v>
      </c>
      <c r="E35">
        <v>14000</v>
      </c>
    </row>
    <row r="36" spans="1:6" x14ac:dyDescent="0.3">
      <c r="A36">
        <v>35</v>
      </c>
      <c r="B36" s="13">
        <v>45789</v>
      </c>
      <c r="C36" t="s">
        <v>2136</v>
      </c>
      <c r="D36" t="s">
        <v>1850</v>
      </c>
      <c r="E36">
        <v>2000</v>
      </c>
      <c r="F36" t="s">
        <v>2200</v>
      </c>
    </row>
    <row r="37" spans="1:6" x14ac:dyDescent="0.3">
      <c r="A37">
        <v>36</v>
      </c>
      <c r="B37" s="13">
        <v>45789</v>
      </c>
      <c r="C37" t="s">
        <v>2136</v>
      </c>
      <c r="D37" t="s">
        <v>1850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2198</v>
      </c>
      <c r="D39" t="s">
        <v>2076</v>
      </c>
      <c r="E39">
        <v>14000</v>
      </c>
    </row>
    <row r="40" spans="1:6" x14ac:dyDescent="0.3">
      <c r="A40">
        <v>39</v>
      </c>
      <c r="B40" s="13">
        <v>45790</v>
      </c>
      <c r="C40" t="s">
        <v>1769</v>
      </c>
      <c r="D40" t="s">
        <v>2076</v>
      </c>
      <c r="E40">
        <v>9600</v>
      </c>
    </row>
    <row r="41" spans="1:6" x14ac:dyDescent="0.3">
      <c r="A41">
        <v>40</v>
      </c>
      <c r="B41" s="13">
        <v>45790</v>
      </c>
      <c r="C41" t="s">
        <v>2253</v>
      </c>
      <c r="D41" t="s">
        <v>2079</v>
      </c>
      <c r="E41">
        <v>7000</v>
      </c>
      <c r="F41" t="s">
        <v>2254</v>
      </c>
    </row>
    <row r="42" spans="1:6" x14ac:dyDescent="0.3">
      <c r="A42">
        <v>41</v>
      </c>
      <c r="B42" s="13">
        <v>45790</v>
      </c>
      <c r="C42" t="s">
        <v>2251</v>
      </c>
      <c r="D42" t="s">
        <v>1850</v>
      </c>
      <c r="E42">
        <v>14000</v>
      </c>
      <c r="F42" t="s">
        <v>2252</v>
      </c>
    </row>
    <row r="43" spans="1:6" x14ac:dyDescent="0.3">
      <c r="A43">
        <v>42</v>
      </c>
      <c r="B43" s="13">
        <v>45791</v>
      </c>
      <c r="C43" t="s">
        <v>2136</v>
      </c>
      <c r="D43" t="s">
        <v>1850</v>
      </c>
      <c r="E43">
        <v>6000</v>
      </c>
      <c r="F43" t="s">
        <v>2255</v>
      </c>
    </row>
    <row r="44" spans="1:6" x14ac:dyDescent="0.3">
      <c r="A44">
        <v>43</v>
      </c>
      <c r="B44" s="13">
        <v>45791</v>
      </c>
      <c r="C44" t="s">
        <v>2136</v>
      </c>
      <c r="D44" t="s">
        <v>1850</v>
      </c>
      <c r="E44">
        <v>6000</v>
      </c>
      <c r="F44" t="s">
        <v>2256</v>
      </c>
    </row>
    <row r="45" spans="1:6" x14ac:dyDescent="0.3">
      <c r="A45">
        <v>44</v>
      </c>
      <c r="B45" s="13">
        <v>45791</v>
      </c>
      <c r="C45" t="s">
        <v>2259</v>
      </c>
      <c r="D45" t="s">
        <v>2080</v>
      </c>
      <c r="E45">
        <v>46590</v>
      </c>
    </row>
    <row r="46" spans="1:6" x14ac:dyDescent="0.3">
      <c r="A46">
        <v>45</v>
      </c>
      <c r="B46" s="13">
        <v>45791</v>
      </c>
      <c r="C46" t="s">
        <v>1557</v>
      </c>
      <c r="D46" t="s">
        <v>1678</v>
      </c>
      <c r="E46">
        <v>7000</v>
      </c>
      <c r="F46" t="s">
        <v>2250</v>
      </c>
    </row>
    <row r="47" spans="1:6" x14ac:dyDescent="0.3">
      <c r="A47">
        <v>46</v>
      </c>
      <c r="B47" s="13">
        <v>45791</v>
      </c>
      <c r="C47" t="s">
        <v>2136</v>
      </c>
      <c r="D47" t="s">
        <v>1850</v>
      </c>
      <c r="E47">
        <v>4100</v>
      </c>
      <c r="F47" t="s">
        <v>2255</v>
      </c>
    </row>
    <row r="48" spans="1:6" x14ac:dyDescent="0.3">
      <c r="A48">
        <v>47</v>
      </c>
      <c r="B48" s="13">
        <v>45792</v>
      </c>
      <c r="C48" t="s">
        <v>2136</v>
      </c>
      <c r="D48" t="s">
        <v>1850</v>
      </c>
      <c r="E48">
        <v>6000</v>
      </c>
      <c r="F48" t="s">
        <v>2291</v>
      </c>
    </row>
    <row r="49" spans="1:6" x14ac:dyDescent="0.3">
      <c r="A49">
        <v>48</v>
      </c>
      <c r="B49" s="13">
        <v>45793</v>
      </c>
      <c r="C49" t="s">
        <v>1769</v>
      </c>
      <c r="D49" t="s">
        <v>2076</v>
      </c>
      <c r="E49">
        <v>5400</v>
      </c>
    </row>
    <row r="50" spans="1:6" x14ac:dyDescent="0.3">
      <c r="A50">
        <v>49</v>
      </c>
      <c r="B50" s="13">
        <v>45794</v>
      </c>
      <c r="C50" t="s">
        <v>2319</v>
      </c>
      <c r="D50" t="s">
        <v>1850</v>
      </c>
      <c r="E50">
        <v>8000</v>
      </c>
      <c r="F50" t="s">
        <v>2320</v>
      </c>
    </row>
    <row r="51" spans="1:6" x14ac:dyDescent="0.3">
      <c r="A51">
        <v>50</v>
      </c>
      <c r="B51" s="13">
        <v>45796</v>
      </c>
      <c r="C51" t="s">
        <v>2072</v>
      </c>
      <c r="D51" t="s">
        <v>2076</v>
      </c>
      <c r="E51">
        <v>8000</v>
      </c>
    </row>
    <row r="52" spans="1:6" x14ac:dyDescent="0.3">
      <c r="A52">
        <v>51</v>
      </c>
      <c r="B52" s="13">
        <v>45796</v>
      </c>
      <c r="C52" t="s">
        <v>2259</v>
      </c>
      <c r="D52" t="s">
        <v>2080</v>
      </c>
      <c r="E52">
        <v>46300</v>
      </c>
    </row>
    <row r="53" spans="1:6" x14ac:dyDescent="0.3">
      <c r="A53">
        <v>52</v>
      </c>
      <c r="B53" s="13">
        <v>45796</v>
      </c>
      <c r="C53" t="s">
        <v>2334</v>
      </c>
      <c r="D53" t="s">
        <v>2076</v>
      </c>
      <c r="E53">
        <v>1800</v>
      </c>
    </row>
    <row r="54" spans="1:6" x14ac:dyDescent="0.3">
      <c r="A54">
        <v>53</v>
      </c>
      <c r="B54" s="13">
        <v>45797</v>
      </c>
      <c r="C54" t="s">
        <v>2072</v>
      </c>
      <c r="D54" t="s">
        <v>2076</v>
      </c>
      <c r="E54" s="233">
        <v>8000</v>
      </c>
    </row>
    <row r="55" spans="1:6" x14ac:dyDescent="0.3">
      <c r="A55">
        <v>54</v>
      </c>
      <c r="B55" s="13">
        <v>45798</v>
      </c>
      <c r="C55" t="s">
        <v>2072</v>
      </c>
      <c r="D55" t="s">
        <v>2076</v>
      </c>
      <c r="E55">
        <v>8000</v>
      </c>
    </row>
    <row r="56" spans="1:6" x14ac:dyDescent="0.3">
      <c r="A56">
        <v>55</v>
      </c>
      <c r="B56" s="13">
        <v>45798</v>
      </c>
      <c r="C56" t="s">
        <v>2136</v>
      </c>
      <c r="D56" t="s">
        <v>1850</v>
      </c>
      <c r="E56">
        <v>6500</v>
      </c>
    </row>
    <row r="57" spans="1:6" x14ac:dyDescent="0.3">
      <c r="A57">
        <v>56</v>
      </c>
      <c r="B57" s="13">
        <v>45799</v>
      </c>
      <c r="C57" t="s">
        <v>2390</v>
      </c>
      <c r="D57" t="s">
        <v>2077</v>
      </c>
      <c r="E57">
        <v>9500</v>
      </c>
    </row>
    <row r="58" spans="1:6" x14ac:dyDescent="0.3">
      <c r="A58">
        <v>57</v>
      </c>
      <c r="B58" s="13">
        <v>45800</v>
      </c>
      <c r="C58" t="s">
        <v>2072</v>
      </c>
      <c r="D58" t="s">
        <v>2076</v>
      </c>
      <c r="E58">
        <v>8000</v>
      </c>
    </row>
    <row r="59" spans="1:6" x14ac:dyDescent="0.3">
      <c r="A59">
        <v>58</v>
      </c>
      <c r="B59" s="13">
        <v>45803</v>
      </c>
      <c r="C59" t="s">
        <v>2391</v>
      </c>
      <c r="D59" t="s">
        <v>2076</v>
      </c>
      <c r="E59">
        <v>7500</v>
      </c>
    </row>
    <row r="60" spans="1:6" x14ac:dyDescent="0.3">
      <c r="A60">
        <v>59</v>
      </c>
      <c r="B60" s="13">
        <v>45804</v>
      </c>
      <c r="C60" t="s">
        <v>1681</v>
      </c>
      <c r="D60" t="s">
        <v>2076</v>
      </c>
      <c r="E60">
        <v>10000</v>
      </c>
    </row>
    <row r="61" spans="1:6" x14ac:dyDescent="0.3">
      <c r="A61">
        <v>60</v>
      </c>
      <c r="B61" s="13">
        <v>45805</v>
      </c>
      <c r="C61" t="s">
        <v>2072</v>
      </c>
      <c r="D61" t="s">
        <v>2076</v>
      </c>
      <c r="E61">
        <v>8000</v>
      </c>
    </row>
    <row r="62" spans="1:6" x14ac:dyDescent="0.3">
      <c r="A62">
        <v>61</v>
      </c>
      <c r="B62" s="13">
        <v>45806</v>
      </c>
      <c r="C62" t="s">
        <v>2136</v>
      </c>
      <c r="D62" t="s">
        <v>1850</v>
      </c>
      <c r="E62">
        <v>11000</v>
      </c>
    </row>
    <row r="63" spans="1:6" x14ac:dyDescent="0.3">
      <c r="A63">
        <v>62</v>
      </c>
      <c r="B63" s="13">
        <v>45806</v>
      </c>
      <c r="C63" t="s">
        <v>2072</v>
      </c>
      <c r="D63" t="s">
        <v>2076</v>
      </c>
      <c r="E63">
        <v>8000</v>
      </c>
    </row>
    <row r="64" spans="1:6" x14ac:dyDescent="0.3">
      <c r="A64">
        <v>63</v>
      </c>
      <c r="B64" s="13">
        <v>45807</v>
      </c>
      <c r="C64" t="s">
        <v>1666</v>
      </c>
      <c r="D64" t="s">
        <v>2080</v>
      </c>
      <c r="E64">
        <v>46950</v>
      </c>
    </row>
    <row r="65" spans="1:6" x14ac:dyDescent="0.3">
      <c r="A65">
        <v>64</v>
      </c>
      <c r="B65" s="13">
        <v>45807</v>
      </c>
      <c r="C65" t="s">
        <v>2418</v>
      </c>
      <c r="D65" t="s">
        <v>1850</v>
      </c>
      <c r="E65">
        <v>6000</v>
      </c>
      <c r="F65" t="s">
        <v>2256</v>
      </c>
    </row>
    <row r="66" spans="1:6" x14ac:dyDescent="0.3">
      <c r="A66">
        <v>65</v>
      </c>
      <c r="B66" s="13">
        <v>45807</v>
      </c>
      <c r="C66" t="s">
        <v>2136</v>
      </c>
      <c r="D66" t="s">
        <v>1850</v>
      </c>
      <c r="E66">
        <v>6000</v>
      </c>
      <c r="F66" t="s">
        <v>2030</v>
      </c>
    </row>
    <row r="67" spans="1:6" x14ac:dyDescent="0.3">
      <c r="A67">
        <v>66</v>
      </c>
      <c r="B67" s="13">
        <v>45812</v>
      </c>
      <c r="C67" t="s">
        <v>2136</v>
      </c>
      <c r="D67" t="s">
        <v>1850</v>
      </c>
      <c r="E67">
        <v>6000</v>
      </c>
    </row>
    <row r="68" spans="1:6" x14ac:dyDescent="0.3">
      <c r="A68">
        <v>67</v>
      </c>
      <c r="B68" s="13">
        <v>45811</v>
      </c>
      <c r="C68" t="s">
        <v>2072</v>
      </c>
      <c r="D68" t="s">
        <v>2076</v>
      </c>
      <c r="E68">
        <v>8000</v>
      </c>
    </row>
    <row r="69" spans="1:6" x14ac:dyDescent="0.3">
      <c r="A69">
        <v>68</v>
      </c>
      <c r="B69" s="13">
        <v>45817</v>
      </c>
      <c r="C69" t="s">
        <v>2136</v>
      </c>
      <c r="D69" t="s">
        <v>1850</v>
      </c>
      <c r="E69">
        <v>6000</v>
      </c>
      <c r="F69" t="s">
        <v>2511</v>
      </c>
    </row>
    <row r="70" spans="1:6" x14ac:dyDescent="0.3">
      <c r="A70">
        <v>69</v>
      </c>
      <c r="B70" s="13">
        <v>45815</v>
      </c>
      <c r="C70" t="s">
        <v>2136</v>
      </c>
      <c r="D70" t="s">
        <v>1850</v>
      </c>
      <c r="E70">
        <v>6000</v>
      </c>
      <c r="F70" t="s">
        <v>2511</v>
      </c>
    </row>
    <row r="71" spans="1:6" x14ac:dyDescent="0.3">
      <c r="A71">
        <v>70</v>
      </c>
      <c r="B71" s="13">
        <v>45813</v>
      </c>
      <c r="C71" t="s">
        <v>2136</v>
      </c>
      <c r="D71" t="s">
        <v>1850</v>
      </c>
      <c r="E71">
        <v>4000</v>
      </c>
      <c r="F71" t="s">
        <v>2256</v>
      </c>
    </row>
    <row r="72" spans="1:6" x14ac:dyDescent="0.3">
      <c r="A72">
        <v>71</v>
      </c>
      <c r="B72" s="13">
        <v>45817</v>
      </c>
      <c r="C72" t="s">
        <v>2136</v>
      </c>
      <c r="D72" t="s">
        <v>1850</v>
      </c>
      <c r="E72">
        <v>4600</v>
      </c>
      <c r="F72" t="s">
        <v>2557</v>
      </c>
    </row>
    <row r="73" spans="1:6" x14ac:dyDescent="0.3">
      <c r="A73">
        <v>72</v>
      </c>
      <c r="B73" s="13">
        <v>45817</v>
      </c>
      <c r="C73" t="s">
        <v>2136</v>
      </c>
      <c r="D73" t="s">
        <v>1850</v>
      </c>
      <c r="E73">
        <v>9600</v>
      </c>
      <c r="F73" t="s">
        <v>2558</v>
      </c>
    </row>
    <row r="74" spans="1:6" x14ac:dyDescent="0.3">
      <c r="A74">
        <v>73</v>
      </c>
      <c r="B74" s="13">
        <v>45818</v>
      </c>
      <c r="C74" t="s">
        <v>2136</v>
      </c>
      <c r="D74" t="s">
        <v>1850</v>
      </c>
      <c r="E74">
        <v>6000</v>
      </c>
      <c r="F74" t="s">
        <v>2559</v>
      </c>
    </row>
    <row r="75" spans="1:6" x14ac:dyDescent="0.3">
      <c r="A75">
        <v>74</v>
      </c>
      <c r="B75" s="13">
        <v>45818</v>
      </c>
      <c r="C75" t="s">
        <v>2334</v>
      </c>
      <c r="D75" t="s">
        <v>2076</v>
      </c>
      <c r="E75">
        <v>2200</v>
      </c>
    </row>
    <row r="76" spans="1:6" x14ac:dyDescent="0.3">
      <c r="A76">
        <v>75</v>
      </c>
      <c r="B76" s="13">
        <v>45818</v>
      </c>
      <c r="C76" t="s">
        <v>2319</v>
      </c>
      <c r="D76" t="s">
        <v>1678</v>
      </c>
      <c r="E76">
        <v>10000</v>
      </c>
      <c r="F76" t="s">
        <v>2560</v>
      </c>
    </row>
    <row r="77" spans="1:6" x14ac:dyDescent="0.3">
      <c r="A77">
        <v>76</v>
      </c>
      <c r="B77" s="13">
        <v>45818</v>
      </c>
      <c r="C77" t="s">
        <v>2136</v>
      </c>
      <c r="D77" t="s">
        <v>1850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2251</v>
      </c>
      <c r="D78" t="s">
        <v>1850</v>
      </c>
      <c r="E78">
        <v>6000</v>
      </c>
      <c r="F78" t="s">
        <v>2593</v>
      </c>
    </row>
    <row r="79" spans="1:6" x14ac:dyDescent="0.3">
      <c r="A79">
        <v>78</v>
      </c>
      <c r="B79" s="13">
        <v>45820</v>
      </c>
      <c r="C79" t="s">
        <v>2136</v>
      </c>
      <c r="D79" t="s">
        <v>1850</v>
      </c>
      <c r="E79" s="233">
        <v>6000</v>
      </c>
      <c r="F79" t="s">
        <v>1891</v>
      </c>
    </row>
    <row r="80" spans="1:6" x14ac:dyDescent="0.3">
      <c r="A80">
        <v>79</v>
      </c>
      <c r="B80" s="13">
        <v>45820</v>
      </c>
      <c r="C80" t="s">
        <v>2136</v>
      </c>
      <c r="D80" t="s">
        <v>1850</v>
      </c>
      <c r="E80">
        <v>7600</v>
      </c>
      <c r="F80" t="s">
        <v>2512</v>
      </c>
    </row>
    <row r="81" spans="1:6" x14ac:dyDescent="0.3">
      <c r="A81">
        <v>80</v>
      </c>
      <c r="B81" s="13">
        <v>45824</v>
      </c>
      <c r="C81" t="s">
        <v>2259</v>
      </c>
      <c r="D81" t="s">
        <v>2080</v>
      </c>
      <c r="E81">
        <v>47970</v>
      </c>
    </row>
    <row r="82" spans="1:6" x14ac:dyDescent="0.3">
      <c r="A82">
        <v>81</v>
      </c>
      <c r="B82" s="13">
        <v>45824</v>
      </c>
      <c r="C82" t="s">
        <v>2072</v>
      </c>
      <c r="D82" t="s">
        <v>2076</v>
      </c>
      <c r="E82">
        <v>8000</v>
      </c>
    </row>
    <row r="83" spans="1:6" x14ac:dyDescent="0.3">
      <c r="A83">
        <v>82</v>
      </c>
      <c r="B83" s="13">
        <v>45824</v>
      </c>
      <c r="C83" t="s">
        <v>2136</v>
      </c>
      <c r="D83" t="s">
        <v>1850</v>
      </c>
      <c r="E83">
        <v>4600</v>
      </c>
      <c r="F83" t="s">
        <v>2628</v>
      </c>
    </row>
    <row r="84" spans="1:6" x14ac:dyDescent="0.3">
      <c r="A84">
        <v>83</v>
      </c>
      <c r="B84" s="13">
        <v>45825</v>
      </c>
      <c r="C84" t="s">
        <v>1416</v>
      </c>
      <c r="D84" t="s">
        <v>1850</v>
      </c>
      <c r="E84">
        <v>7000</v>
      </c>
      <c r="F84" t="s">
        <v>2635</v>
      </c>
    </row>
    <row r="85" spans="1:6" x14ac:dyDescent="0.3">
      <c r="A85">
        <v>84</v>
      </c>
      <c r="B85" s="13">
        <v>45825</v>
      </c>
      <c r="C85" t="s">
        <v>2319</v>
      </c>
      <c r="D85" t="s">
        <v>1678</v>
      </c>
      <c r="E85">
        <v>9000</v>
      </c>
      <c r="F85" t="s">
        <v>2635</v>
      </c>
    </row>
    <row r="86" spans="1:6" x14ac:dyDescent="0.3">
      <c r="A86">
        <v>85</v>
      </c>
      <c r="B86" s="13">
        <v>45825</v>
      </c>
      <c r="C86" t="s">
        <v>1752</v>
      </c>
      <c r="D86" t="s">
        <v>2076</v>
      </c>
      <c r="E86">
        <v>7000</v>
      </c>
    </row>
    <row r="87" spans="1:6" x14ac:dyDescent="0.3">
      <c r="A87">
        <v>86</v>
      </c>
      <c r="B87" s="13">
        <v>45826</v>
      </c>
      <c r="C87" t="s">
        <v>2136</v>
      </c>
      <c r="D87" t="s">
        <v>1850</v>
      </c>
      <c r="E87">
        <v>2000</v>
      </c>
      <c r="F87" t="s">
        <v>2512</v>
      </c>
    </row>
    <row r="88" spans="1:6" x14ac:dyDescent="0.3">
      <c r="A88">
        <v>87</v>
      </c>
      <c r="B88" s="13">
        <v>45826</v>
      </c>
      <c r="C88" t="s">
        <v>2136</v>
      </c>
      <c r="D88" t="s">
        <v>1850</v>
      </c>
      <c r="E88">
        <v>2000</v>
      </c>
      <c r="F88" t="s">
        <v>2512</v>
      </c>
    </row>
    <row r="89" spans="1:6" x14ac:dyDescent="0.3">
      <c r="A89">
        <v>88</v>
      </c>
      <c r="B89" s="13">
        <v>45826</v>
      </c>
      <c r="C89" t="s">
        <v>2136</v>
      </c>
      <c r="D89" t="s">
        <v>1850</v>
      </c>
      <c r="E89">
        <v>7500</v>
      </c>
      <c r="F89" t="s">
        <v>2684</v>
      </c>
    </row>
    <row r="90" spans="1:6" x14ac:dyDescent="0.3">
      <c r="A90">
        <v>89</v>
      </c>
      <c r="B90" s="13">
        <v>45826</v>
      </c>
      <c r="C90" t="s">
        <v>1681</v>
      </c>
      <c r="D90" t="s">
        <v>2076</v>
      </c>
      <c r="E90">
        <v>9500</v>
      </c>
    </row>
    <row r="91" spans="1:6" x14ac:dyDescent="0.3">
      <c r="A91">
        <v>90</v>
      </c>
      <c r="B91" s="13">
        <v>45827</v>
      </c>
      <c r="C91" t="s">
        <v>2136</v>
      </c>
      <c r="D91" t="s">
        <v>1850</v>
      </c>
      <c r="E91">
        <v>6000</v>
      </c>
      <c r="F91" t="s">
        <v>2559</v>
      </c>
    </row>
    <row r="92" spans="1:6" x14ac:dyDescent="0.3">
      <c r="A92">
        <v>91</v>
      </c>
      <c r="B92" s="13">
        <v>45827</v>
      </c>
      <c r="C92" t="s">
        <v>2136</v>
      </c>
      <c r="D92" t="s">
        <v>1850</v>
      </c>
      <c r="E92">
        <v>2000</v>
      </c>
      <c r="F92" t="s">
        <v>2694</v>
      </c>
    </row>
    <row r="93" spans="1:6" x14ac:dyDescent="0.3">
      <c r="A93">
        <v>92</v>
      </c>
      <c r="B93" s="13">
        <v>45827</v>
      </c>
      <c r="C93" t="s">
        <v>2136</v>
      </c>
      <c r="D93" t="s">
        <v>1850</v>
      </c>
      <c r="E93">
        <v>4600</v>
      </c>
      <c r="F93" t="s">
        <v>2712</v>
      </c>
    </row>
    <row r="94" spans="1:6" x14ac:dyDescent="0.3">
      <c r="A94">
        <v>93</v>
      </c>
      <c r="B94" s="13">
        <v>45828</v>
      </c>
      <c r="C94" t="s">
        <v>2136</v>
      </c>
      <c r="D94" t="s">
        <v>1850</v>
      </c>
      <c r="E94">
        <v>4500</v>
      </c>
      <c r="F94" t="s">
        <v>2730</v>
      </c>
    </row>
    <row r="95" spans="1:6" x14ac:dyDescent="0.3">
      <c r="A95">
        <v>94</v>
      </c>
      <c r="B95" s="13">
        <v>45829</v>
      </c>
      <c r="C95" t="s">
        <v>2259</v>
      </c>
      <c r="D95" t="s">
        <v>2080</v>
      </c>
      <c r="E95">
        <v>48750</v>
      </c>
    </row>
    <row r="96" spans="1:6" x14ac:dyDescent="0.3">
      <c r="A96">
        <v>95</v>
      </c>
      <c r="B96" s="13">
        <v>45829</v>
      </c>
      <c r="C96" t="s">
        <v>2136</v>
      </c>
      <c r="D96" t="s">
        <v>1850</v>
      </c>
      <c r="E96">
        <v>7600</v>
      </c>
      <c r="F96" t="s">
        <v>2618</v>
      </c>
    </row>
    <row r="97" spans="1:6" x14ac:dyDescent="0.3">
      <c r="A97">
        <v>96</v>
      </c>
      <c r="B97" s="13">
        <v>45829</v>
      </c>
      <c r="C97" t="s">
        <v>2136</v>
      </c>
      <c r="D97" t="s">
        <v>1850</v>
      </c>
      <c r="E97">
        <v>6100</v>
      </c>
      <c r="F97" t="s">
        <v>2618</v>
      </c>
    </row>
    <row r="98" spans="1:6" x14ac:dyDescent="0.3">
      <c r="A98">
        <v>97</v>
      </c>
      <c r="B98" s="13">
        <v>45831</v>
      </c>
      <c r="C98" t="s">
        <v>1557</v>
      </c>
      <c r="D98" t="s">
        <v>1678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2151</v>
      </c>
      <c r="D99" t="s">
        <v>2075</v>
      </c>
      <c r="E99">
        <v>2200</v>
      </c>
      <c r="F99" t="s">
        <v>2755</v>
      </c>
    </row>
    <row r="100" spans="1:6" x14ac:dyDescent="0.3">
      <c r="A100">
        <v>99</v>
      </c>
      <c r="B100" s="13">
        <v>45832</v>
      </c>
      <c r="C100" t="s">
        <v>2136</v>
      </c>
      <c r="D100" t="s">
        <v>1850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2136</v>
      </c>
      <c r="D101" t="s">
        <v>1850</v>
      </c>
      <c r="E101">
        <v>6600</v>
      </c>
      <c r="F101" t="s">
        <v>1891</v>
      </c>
    </row>
    <row r="102" spans="1:6" x14ac:dyDescent="0.3">
      <c r="A102">
        <v>101</v>
      </c>
      <c r="B102" s="13">
        <v>45833</v>
      </c>
      <c r="C102" t="s">
        <v>2136</v>
      </c>
      <c r="D102" t="s">
        <v>1850</v>
      </c>
      <c r="E102">
        <v>2200</v>
      </c>
      <c r="F102" t="s">
        <v>2771</v>
      </c>
    </row>
    <row r="103" spans="1:6" x14ac:dyDescent="0.3">
      <c r="A103">
        <v>102</v>
      </c>
      <c r="B103" s="13">
        <v>45833</v>
      </c>
      <c r="C103" t="s">
        <v>2136</v>
      </c>
      <c r="D103" t="s">
        <v>1850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2136</v>
      </c>
      <c r="D104" t="s">
        <v>1850</v>
      </c>
      <c r="E104">
        <v>4400</v>
      </c>
      <c r="F104" t="s">
        <v>2775</v>
      </c>
    </row>
    <row r="105" spans="1:6" x14ac:dyDescent="0.3">
      <c r="A105">
        <v>104</v>
      </c>
      <c r="B105" s="13">
        <v>45833</v>
      </c>
      <c r="C105" t="s">
        <v>2136</v>
      </c>
      <c r="D105" t="s">
        <v>1850</v>
      </c>
      <c r="E105">
        <v>4400</v>
      </c>
      <c r="F105" t="s">
        <v>2775</v>
      </c>
    </row>
    <row r="106" spans="1:6" x14ac:dyDescent="0.3">
      <c r="A106">
        <v>105</v>
      </c>
      <c r="B106" s="13">
        <v>45833</v>
      </c>
      <c r="C106" t="s">
        <v>2790</v>
      </c>
      <c r="D106" t="s">
        <v>2791</v>
      </c>
      <c r="E106">
        <v>24800</v>
      </c>
      <c r="F106" t="s">
        <v>2792</v>
      </c>
    </row>
    <row r="107" spans="1:6" x14ac:dyDescent="0.3">
      <c r="A107">
        <v>106</v>
      </c>
      <c r="B107" s="13">
        <v>45833</v>
      </c>
      <c r="C107" t="s">
        <v>1681</v>
      </c>
      <c r="D107" t="s">
        <v>2076</v>
      </c>
      <c r="E107">
        <v>10000</v>
      </c>
    </row>
    <row r="108" spans="1:6" x14ac:dyDescent="0.3">
      <c r="A108">
        <v>107</v>
      </c>
      <c r="B108" s="13">
        <v>45835</v>
      </c>
      <c r="C108" t="s">
        <v>2832</v>
      </c>
      <c r="D108" t="s">
        <v>2076</v>
      </c>
      <c r="E108">
        <v>22000</v>
      </c>
    </row>
    <row r="109" spans="1:6" x14ac:dyDescent="0.3">
      <c r="A109">
        <v>108</v>
      </c>
      <c r="B109" s="13">
        <v>45839</v>
      </c>
      <c r="C109" t="s">
        <v>2136</v>
      </c>
      <c r="D109" t="s">
        <v>1850</v>
      </c>
      <c r="E109">
        <v>2200</v>
      </c>
      <c r="F109" t="s">
        <v>2877</v>
      </c>
    </row>
    <row r="110" spans="1:6" x14ac:dyDescent="0.3">
      <c r="A110">
        <v>109</v>
      </c>
      <c r="B110" s="13">
        <v>45840</v>
      </c>
      <c r="C110" t="s">
        <v>2136</v>
      </c>
      <c r="D110" t="s">
        <v>1850</v>
      </c>
      <c r="E110">
        <v>6600</v>
      </c>
      <c r="F110" t="s">
        <v>2890</v>
      </c>
    </row>
    <row r="111" spans="1:6" x14ac:dyDescent="0.3">
      <c r="A111">
        <v>110</v>
      </c>
      <c r="B111" s="13">
        <v>45840</v>
      </c>
      <c r="C111" t="s">
        <v>2136</v>
      </c>
      <c r="D111" t="s">
        <v>1850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2136</v>
      </c>
      <c r="D112" t="s">
        <v>1850</v>
      </c>
      <c r="E112">
        <v>7150</v>
      </c>
      <c r="F112" t="s">
        <v>2891</v>
      </c>
    </row>
    <row r="113" spans="1:6" x14ac:dyDescent="0.3">
      <c r="A113">
        <v>112</v>
      </c>
      <c r="B113" s="13">
        <v>45840</v>
      </c>
      <c r="C113" t="s">
        <v>2136</v>
      </c>
      <c r="D113" t="s">
        <v>1850</v>
      </c>
      <c r="E113">
        <v>2200</v>
      </c>
      <c r="F113" t="s">
        <v>1416</v>
      </c>
    </row>
    <row r="114" spans="1:6" x14ac:dyDescent="0.3">
      <c r="A114">
        <v>113</v>
      </c>
      <c r="B114" s="13">
        <v>45842</v>
      </c>
      <c r="C114" t="s">
        <v>2198</v>
      </c>
      <c r="D114" t="s">
        <v>2076</v>
      </c>
      <c r="E114">
        <v>24000</v>
      </c>
    </row>
    <row r="115" spans="1:6" x14ac:dyDescent="0.3">
      <c r="A115">
        <v>114</v>
      </c>
      <c r="B115" s="13">
        <v>45845</v>
      </c>
      <c r="C115" t="s">
        <v>1666</v>
      </c>
      <c r="D115" t="s">
        <v>2080</v>
      </c>
      <c r="E115">
        <v>47800</v>
      </c>
    </row>
    <row r="116" spans="1:6" x14ac:dyDescent="0.3">
      <c r="A116">
        <v>115</v>
      </c>
      <c r="B116" s="13">
        <v>45846</v>
      </c>
      <c r="C116" t="s">
        <v>2136</v>
      </c>
      <c r="D116" t="s">
        <v>1850</v>
      </c>
      <c r="E116">
        <v>6000</v>
      </c>
      <c r="F116" t="s">
        <v>1627</v>
      </c>
    </row>
    <row r="117" spans="1:6" x14ac:dyDescent="0.3">
      <c r="A117">
        <v>116</v>
      </c>
      <c r="B117" s="13">
        <v>45846</v>
      </c>
      <c r="C117" t="s">
        <v>2136</v>
      </c>
      <c r="D117" t="s">
        <v>1850</v>
      </c>
      <c r="E117">
        <v>6500</v>
      </c>
      <c r="F117" t="s">
        <v>1891</v>
      </c>
    </row>
    <row r="118" spans="1:6" x14ac:dyDescent="0.3">
      <c r="A118">
        <v>117</v>
      </c>
      <c r="B118" s="13">
        <v>45846</v>
      </c>
      <c r="C118" t="s">
        <v>2136</v>
      </c>
      <c r="D118" t="s">
        <v>1850</v>
      </c>
      <c r="E118">
        <v>6000</v>
      </c>
      <c r="F118" t="s">
        <v>2559</v>
      </c>
    </row>
    <row r="119" spans="1:6" x14ac:dyDescent="0.3">
      <c r="A119">
        <v>118</v>
      </c>
      <c r="B119" s="13">
        <v>45846</v>
      </c>
      <c r="C119" t="s">
        <v>2136</v>
      </c>
      <c r="D119" t="s">
        <v>1850</v>
      </c>
      <c r="E119">
        <v>2000</v>
      </c>
      <c r="F119" t="s">
        <v>2962</v>
      </c>
    </row>
    <row r="120" spans="1:6" x14ac:dyDescent="0.3">
      <c r="A120">
        <v>119</v>
      </c>
      <c r="B120" s="13">
        <v>45847</v>
      </c>
      <c r="C120" t="s">
        <v>2136</v>
      </c>
      <c r="D120" t="s">
        <v>1850</v>
      </c>
      <c r="E120">
        <v>2000</v>
      </c>
      <c r="F120" t="s">
        <v>1808</v>
      </c>
    </row>
    <row r="121" spans="1:6" x14ac:dyDescent="0.3">
      <c r="A121">
        <v>120</v>
      </c>
      <c r="B121" s="13">
        <v>45847</v>
      </c>
      <c r="C121" t="s">
        <v>2136</v>
      </c>
      <c r="D121" t="s">
        <v>1850</v>
      </c>
      <c r="E121">
        <v>6000</v>
      </c>
      <c r="F121" t="s">
        <v>2980</v>
      </c>
    </row>
    <row r="122" spans="1:6" x14ac:dyDescent="0.3">
      <c r="A122">
        <v>121</v>
      </c>
      <c r="B122" s="13">
        <v>45847</v>
      </c>
      <c r="C122" t="s">
        <v>1557</v>
      </c>
      <c r="D122" t="s">
        <v>1850</v>
      </c>
      <c r="E122">
        <v>8000</v>
      </c>
      <c r="F122" t="s">
        <v>1808</v>
      </c>
    </row>
    <row r="123" spans="1:6" x14ac:dyDescent="0.3">
      <c r="A123">
        <v>122</v>
      </c>
      <c r="B123" s="13">
        <v>45849</v>
      </c>
      <c r="C123" t="s">
        <v>2136</v>
      </c>
      <c r="D123" t="s">
        <v>1850</v>
      </c>
      <c r="E123">
        <v>6000</v>
      </c>
      <c r="F123" t="s">
        <v>1627</v>
      </c>
    </row>
    <row r="124" spans="1:6" x14ac:dyDescent="0.3">
      <c r="A124">
        <v>123</v>
      </c>
      <c r="B124" s="13">
        <v>45852</v>
      </c>
      <c r="C124" t="s">
        <v>1557</v>
      </c>
      <c r="D124" t="s">
        <v>1850</v>
      </c>
      <c r="E124">
        <v>12000</v>
      </c>
      <c r="F124" t="s">
        <v>3037</v>
      </c>
    </row>
    <row r="125" spans="1:6" x14ac:dyDescent="0.3">
      <c r="A125">
        <v>124</v>
      </c>
      <c r="B125" s="13">
        <v>45852</v>
      </c>
      <c r="C125" t="s">
        <v>1752</v>
      </c>
      <c r="D125" t="s">
        <v>2076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 t="s">
        <v>3126</v>
      </c>
      <c r="T1" s="427"/>
      <c r="U1" s="428"/>
    </row>
    <row r="2" spans="1:21" x14ac:dyDescent="0.3">
      <c r="A2" s="297" t="s">
        <v>70</v>
      </c>
      <c r="B2" s="298"/>
      <c r="C2" s="299" t="s">
        <v>3088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45856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1383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36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1983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3127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1254</v>
      </c>
      <c r="B8" s="414"/>
      <c r="C8" s="414"/>
      <c r="D8" s="414"/>
      <c r="E8" s="415"/>
      <c r="F8" s="416" t="s">
        <v>1909</v>
      </c>
      <c r="G8" s="414"/>
      <c r="H8" s="414"/>
      <c r="I8" s="415"/>
      <c r="J8" s="422">
        <v>1200000</v>
      </c>
      <c r="K8" s="422"/>
      <c r="L8" s="422"/>
      <c r="M8" s="422"/>
      <c r="N8" s="422"/>
      <c r="O8" s="423">
        <v>1</v>
      </c>
      <c r="P8" s="423"/>
      <c r="Q8" s="417"/>
      <c r="R8" s="418"/>
      <c r="S8" s="419"/>
      <c r="T8" s="420">
        <v>1200000</v>
      </c>
      <c r="U8" s="421"/>
    </row>
    <row r="9" spans="1:21" ht="15.6" customHeight="1" x14ac:dyDescent="0.3">
      <c r="A9" s="402"/>
      <c r="B9" s="403"/>
      <c r="C9" s="403"/>
      <c r="D9" s="403"/>
      <c r="E9" s="404"/>
      <c r="F9" s="405"/>
      <c r="G9" s="403"/>
      <c r="H9" s="403"/>
      <c r="I9" s="404"/>
      <c r="J9" s="411"/>
      <c r="K9" s="411"/>
      <c r="L9" s="411"/>
      <c r="M9" s="411"/>
      <c r="N9" s="411"/>
      <c r="O9" s="412"/>
      <c r="P9" s="412"/>
      <c r="Q9" s="406"/>
      <c r="R9" s="407"/>
      <c r="S9" s="408"/>
      <c r="T9" s="409"/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2404</v>
      </c>
      <c r="B16" s="323"/>
      <c r="C16" s="323"/>
      <c r="D16" s="323"/>
      <c r="E16" s="324"/>
      <c r="F16" s="331" t="s">
        <v>3128</v>
      </c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/>
      <c r="G20" s="308"/>
      <c r="H20" s="308"/>
      <c r="I20" s="309"/>
      <c r="J20" s="345">
        <f>SUM(J8:N19)</f>
        <v>1200000</v>
      </c>
      <c r="K20" s="346"/>
      <c r="L20" s="346"/>
      <c r="M20" s="346"/>
      <c r="N20" s="347"/>
      <c r="O20" s="310">
        <f>SUM(O8:P19)</f>
        <v>1</v>
      </c>
      <c r="P20" s="310"/>
      <c r="Q20" s="348">
        <f>SUM(Q8:S19)</f>
        <v>0</v>
      </c>
      <c r="R20" s="308"/>
      <c r="S20" s="309"/>
      <c r="T20" s="308">
        <f>SUM(T8:U15)</f>
        <v>1200000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1200000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코리아탑오토샵(대전)</v>
      </c>
      <c r="R21" s="316"/>
      <c r="S21" s="316"/>
      <c r="T21" s="316"/>
      <c r="U21" s="368"/>
    </row>
    <row r="22" spans="1:21" ht="20.100000000000001" customHeight="1" x14ac:dyDescent="0.3">
      <c r="A22" s="295" t="s">
        <v>3130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 t="str">
        <f>S1</f>
        <v>WDDZF0FB6HA283319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농협 3520106511413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45856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코리아탑오토샵(대전)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경동(화물)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010-6447-3759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>대전서구가장21</v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VGSNAG3</v>
      </c>
      <c r="B31" s="363"/>
      <c r="C31" s="363"/>
      <c r="D31" s="363"/>
      <c r="E31" s="363"/>
      <c r="F31" s="363" t="str">
        <f>F8</f>
        <v>A7252709011-1</v>
      </c>
      <c r="G31" s="363"/>
      <c r="H31" s="363"/>
      <c r="I31" s="363"/>
      <c r="J31" s="367">
        <f>J8</f>
        <v>1200000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0</v>
      </c>
      <c r="R31" s="364"/>
      <c r="S31" s="364"/>
      <c r="T31" s="365">
        <f>T8</f>
        <v>1200000</v>
      </c>
      <c r="U31" s="366"/>
    </row>
    <row r="32" spans="1:21" ht="15.6" customHeight="1" x14ac:dyDescent="0.3">
      <c r="A32" s="355">
        <f t="shared" ref="A32:A38" si="0">A9</f>
        <v>0</v>
      </c>
      <c r="B32" s="356"/>
      <c r="C32" s="356"/>
      <c r="D32" s="356"/>
      <c r="E32" s="356"/>
      <c r="F32" s="356">
        <f t="shared" ref="F32:F38" si="1">F9</f>
        <v>0</v>
      </c>
      <c r="G32" s="356"/>
      <c r="H32" s="356"/>
      <c r="I32" s="356"/>
      <c r="J32" s="360">
        <f t="shared" ref="J32:J38" si="2">J9</f>
        <v>0</v>
      </c>
      <c r="K32" s="360"/>
      <c r="L32" s="360"/>
      <c r="M32" s="360"/>
      <c r="N32" s="360"/>
      <c r="O32" s="360">
        <f t="shared" ref="O32:O38" si="3">O9</f>
        <v>0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2404</v>
      </c>
      <c r="B39" s="323"/>
      <c r="C39" s="323"/>
      <c r="D39" s="323"/>
      <c r="E39" s="324"/>
      <c r="F39" s="331" t="str">
        <f>F16</f>
        <v>P07b700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0</v>
      </c>
      <c r="G43" s="308"/>
      <c r="H43" s="308"/>
      <c r="I43" s="309"/>
      <c r="J43" s="345">
        <f>J20</f>
        <v>1200000</v>
      </c>
      <c r="K43" s="346"/>
      <c r="L43" s="346"/>
      <c r="M43" s="346"/>
      <c r="N43" s="347"/>
      <c r="O43" s="310">
        <f>O20</f>
        <v>1</v>
      </c>
      <c r="P43" s="310"/>
      <c r="Q43" s="348">
        <f>Q20</f>
        <v>0</v>
      </c>
      <c r="R43" s="308"/>
      <c r="S43" s="308"/>
      <c r="T43" s="308">
        <f>T20</f>
        <v>1200000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1200000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코리아탑오토샵(대전)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2409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1</v>
      </c>
    </row>
    <row r="2" spans="1:11" x14ac:dyDescent="0.3">
      <c r="I2" s="233"/>
      <c r="J2" s="233"/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2051</v>
      </c>
      <c r="B6" s="176" t="s">
        <v>53</v>
      </c>
      <c r="C6" s="177" t="s">
        <v>1370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2402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2399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2400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1596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1597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84"/>
  <sheetViews>
    <sheetView tabSelected="1" workbookViewId="0">
      <pane xSplit="1" ySplit="1" topLeftCell="B955" activePane="bottomRight" state="frozen"/>
      <selection activeCell="N26" sqref="N26"/>
      <selection pane="topRight" activeCell="N26" sqref="N26"/>
      <selection pane="bottomLeft" activeCell="N26" sqref="N26"/>
      <selection pane="bottomRight" activeCell="L985" sqref="L985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1724</v>
      </c>
      <c r="M1" s="101">
        <v>983</v>
      </c>
    </row>
    <row r="2" spans="1:15" x14ac:dyDescent="0.3">
      <c r="A2" s="282">
        <v>1</v>
      </c>
      <c r="B2" s="272">
        <v>45723</v>
      </c>
      <c r="C2" s="271" t="s">
        <v>2222</v>
      </c>
      <c r="D2" s="273">
        <v>2821402</v>
      </c>
      <c r="E2" s="271" t="s">
        <v>2844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1475</v>
      </c>
      <c r="D3" s="273" t="s">
        <v>1398</v>
      </c>
      <c r="E3" s="271" t="s">
        <v>1234</v>
      </c>
      <c r="F3" s="271" t="s">
        <v>1398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1475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1429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1437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1437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1437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1480</v>
      </c>
      <c r="D10" s="273" t="s">
        <v>1398</v>
      </c>
      <c r="E10" s="271" t="s">
        <v>1234</v>
      </c>
      <c r="F10" s="271" t="s">
        <v>1398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1482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1437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1482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1482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1487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1437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1490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1492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1494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1496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1437</v>
      </c>
      <c r="D24" s="273" t="s">
        <v>1398</v>
      </c>
      <c r="E24" s="271" t="s">
        <v>1234</v>
      </c>
      <c r="F24" s="271" t="s">
        <v>1398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1437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1482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1437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1437</v>
      </c>
      <c r="D30" s="273" t="s">
        <v>1247</v>
      </c>
      <c r="E30" s="279" t="s">
        <v>1158</v>
      </c>
      <c r="F30" s="279" t="s">
        <v>1502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1398</v>
      </c>
      <c r="E31" s="279" t="s">
        <v>1234</v>
      </c>
      <c r="F31" s="279" t="s">
        <v>1398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1505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1505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1505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1505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1507</v>
      </c>
      <c r="D36" s="273" t="s">
        <v>1295</v>
      </c>
      <c r="E36" s="279" t="s">
        <v>1296</v>
      </c>
      <c r="F36" s="279" t="s">
        <v>1295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1507</v>
      </c>
      <c r="E37" s="279" t="s">
        <v>1508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1301</v>
      </c>
      <c r="E38" s="279" t="s">
        <v>1302</v>
      </c>
      <c r="F38" s="279" t="s">
        <v>1301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1511</v>
      </c>
      <c r="D39" s="273" t="s">
        <v>1398</v>
      </c>
      <c r="E39" s="279" t="s">
        <v>1234</v>
      </c>
      <c r="F39" s="279" t="s">
        <v>1398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1437</v>
      </c>
      <c r="E40" s="279" t="s">
        <v>1513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1437</v>
      </c>
      <c r="E41" s="279" t="s">
        <v>1514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1517</v>
      </c>
      <c r="E43" s="279" t="s">
        <v>1518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1520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1520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1523</v>
      </c>
      <c r="E46" s="279" t="s">
        <v>1524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1528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1507</v>
      </c>
      <c r="E48" s="279" t="s">
        <v>1530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1532</v>
      </c>
      <c r="D49" s="273" t="s">
        <v>1398</v>
      </c>
      <c r="E49" s="279" t="s">
        <v>1533</v>
      </c>
      <c r="F49" s="279" t="s">
        <v>1398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1532</v>
      </c>
      <c r="E50" s="279" t="s">
        <v>1534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1536</v>
      </c>
      <c r="D51" s="273" t="s">
        <v>1398</v>
      </c>
      <c r="E51" s="279" t="s">
        <v>1234</v>
      </c>
      <c r="F51" s="279" t="s">
        <v>1398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1437</v>
      </c>
      <c r="D52" s="273" t="s">
        <v>1251</v>
      </c>
      <c r="E52" s="279" t="s">
        <v>1252</v>
      </c>
      <c r="F52" s="279" t="s">
        <v>1251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1437</v>
      </c>
      <c r="E53" s="279" t="s">
        <v>1539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1541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1416</v>
      </c>
      <c r="E55" s="279" t="s">
        <v>1543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1416</v>
      </c>
      <c r="E56" s="279" t="s">
        <v>1544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1482</v>
      </c>
      <c r="E57" s="279" t="s">
        <v>1546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1482</v>
      </c>
      <c r="E58" s="279" t="s">
        <v>1547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1482</v>
      </c>
      <c r="E59" s="279" t="s">
        <v>1548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1273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1507</v>
      </c>
      <c r="D61" s="273" t="s">
        <v>1398</v>
      </c>
      <c r="E61" s="279" t="s">
        <v>1234</v>
      </c>
      <c r="F61" s="279" t="s">
        <v>1398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1263</v>
      </c>
      <c r="E62" s="279" t="s">
        <v>1541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1553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1555</v>
      </c>
      <c r="E64" s="279" t="s">
        <v>1556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1555</v>
      </c>
      <c r="E65" s="279" t="s">
        <v>1557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1559</v>
      </c>
      <c r="E66" s="279" t="s">
        <v>1562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1482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1482</v>
      </c>
      <c r="E68" s="279" t="s">
        <v>1446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1343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1273</v>
      </c>
      <c r="D70" s="273" t="s">
        <v>1398</v>
      </c>
      <c r="E70" s="279" t="s">
        <v>1234</v>
      </c>
      <c r="F70" s="279" t="s">
        <v>1398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1410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1398</v>
      </c>
      <c r="E72" s="279" t="s">
        <v>1234</v>
      </c>
      <c r="F72" s="279" t="s">
        <v>1398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1570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1487</v>
      </c>
      <c r="E75" s="279" t="s">
        <v>1573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1398</v>
      </c>
      <c r="E76" s="279" t="s">
        <v>1234</v>
      </c>
      <c r="F76" s="279" t="s">
        <v>1398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1576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1482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1482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1579</v>
      </c>
      <c r="E80" s="279" t="s">
        <v>1580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1582</v>
      </c>
      <c r="D81" s="273" t="s">
        <v>1251</v>
      </c>
      <c r="E81" s="279" t="s">
        <v>1252</v>
      </c>
      <c r="F81" s="279" t="s">
        <v>1251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1398</v>
      </c>
      <c r="E82" s="279" t="s">
        <v>1234</v>
      </c>
      <c r="F82" s="279" t="s">
        <v>1398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1534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1429</v>
      </c>
      <c r="D84" s="273" t="s">
        <v>1398</v>
      </c>
      <c r="E84" s="279" t="s">
        <v>1234</v>
      </c>
      <c r="F84" s="279" t="s">
        <v>1398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1433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1587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1589</v>
      </c>
      <c r="D87" s="273" t="s">
        <v>1398</v>
      </c>
      <c r="E87" s="279" t="s">
        <v>1234</v>
      </c>
      <c r="F87" s="279" t="s">
        <v>1398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1589</v>
      </c>
      <c r="E88" s="279" t="s">
        <v>1534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1592</v>
      </c>
      <c r="E89" s="279" t="s">
        <v>1593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1592</v>
      </c>
      <c r="D90" s="273" t="s">
        <v>1398</v>
      </c>
      <c r="E90" s="279" t="s">
        <v>1234</v>
      </c>
      <c r="F90" s="279" t="s">
        <v>1398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1258</v>
      </c>
      <c r="E91" s="279" t="s">
        <v>1599</v>
      </c>
      <c r="F91" s="279" t="s">
        <v>1258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1579</v>
      </c>
      <c r="D92" s="273" t="s">
        <v>1398</v>
      </c>
      <c r="E92" s="279" t="s">
        <v>1234</v>
      </c>
      <c r="F92" s="279" t="s">
        <v>1398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1579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1616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1618</v>
      </c>
      <c r="E96" s="279" t="s">
        <v>1619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1618</v>
      </c>
      <c r="E97" s="279" t="s">
        <v>1557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1621</v>
      </c>
      <c r="E98" s="279" t="s">
        <v>1622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1621</v>
      </c>
      <c r="E99" s="279" t="s">
        <v>1819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1621</v>
      </c>
      <c r="D100" s="273" t="s">
        <v>1301</v>
      </c>
      <c r="E100" s="279" t="s">
        <v>1302</v>
      </c>
      <c r="F100" s="279" t="s">
        <v>1301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1398</v>
      </c>
      <c r="E101" s="279" t="s">
        <v>1234</v>
      </c>
      <c r="F101" s="279" t="s">
        <v>1398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1627</v>
      </c>
      <c r="E102" s="279" t="s">
        <v>1628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1627</v>
      </c>
      <c r="D103" s="273">
        <v>415054509</v>
      </c>
      <c r="E103" s="279" t="s">
        <v>2640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1627</v>
      </c>
      <c r="E104" s="279" t="s">
        <v>1629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1627</v>
      </c>
      <c r="E105" s="279" t="s">
        <v>1630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1627</v>
      </c>
      <c r="D106" s="273" t="s">
        <v>1601</v>
      </c>
      <c r="E106" s="279" t="s">
        <v>1236</v>
      </c>
      <c r="F106" s="279" t="s">
        <v>1601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1505</v>
      </c>
      <c r="E107" s="279" t="s">
        <v>1633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1398</v>
      </c>
      <c r="E108" s="279" t="s">
        <v>1234</v>
      </c>
      <c r="F108" s="279" t="s">
        <v>1398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1534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1637</v>
      </c>
      <c r="D112" s="273" t="s">
        <v>1398</v>
      </c>
      <c r="E112" s="279" t="s">
        <v>1234</v>
      </c>
      <c r="F112" s="279" t="s">
        <v>1398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1639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1490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1490</v>
      </c>
      <c r="D115" s="273" t="s">
        <v>1295</v>
      </c>
      <c r="E115" s="279" t="s">
        <v>1296</v>
      </c>
      <c r="F115" s="279" t="s">
        <v>1295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1490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1490</v>
      </c>
      <c r="E117" s="279" t="s">
        <v>1641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1643</v>
      </c>
      <c r="E118" s="279" t="s">
        <v>1644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1644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1647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1618</v>
      </c>
      <c r="D121" s="273">
        <v>415072909</v>
      </c>
      <c r="E121" s="279" t="s">
        <v>2642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1618</v>
      </c>
      <c r="D122" s="273" t="s">
        <v>1669</v>
      </c>
      <c r="E122" s="279" t="s">
        <v>1670</v>
      </c>
      <c r="F122" s="279" t="s">
        <v>1669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1618</v>
      </c>
      <c r="D123" s="273">
        <v>415072909</v>
      </c>
      <c r="E123" s="279" t="s">
        <v>2642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1618</v>
      </c>
      <c r="D124" s="273" t="s">
        <v>1669</v>
      </c>
      <c r="E124" s="279" t="s">
        <v>1670</v>
      </c>
      <c r="F124" s="279" t="s">
        <v>1669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1618</v>
      </c>
      <c r="E125" s="279" t="s">
        <v>1672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1487</v>
      </c>
      <c r="E126" s="279" t="s">
        <v>1679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1579</v>
      </c>
      <c r="D127" s="273" t="s">
        <v>1398</v>
      </c>
      <c r="E127" s="279" t="s">
        <v>1234</v>
      </c>
      <c r="F127" s="279" t="s">
        <v>1398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1579</v>
      </c>
      <c r="E128" s="279" t="s">
        <v>1534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1579</v>
      </c>
      <c r="E129" s="279" t="s">
        <v>1682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1437</v>
      </c>
      <c r="D130" s="273" t="s">
        <v>1231</v>
      </c>
      <c r="E130" s="279" t="s">
        <v>1690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1692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1616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1710</v>
      </c>
      <c r="E133" s="279" t="s">
        <v>1713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1715</v>
      </c>
      <c r="E134" s="279" t="s">
        <v>1716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1579</v>
      </c>
      <c r="E135" s="279" t="s">
        <v>1718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1487</v>
      </c>
      <c r="E136" s="279" t="s">
        <v>1720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1725</v>
      </c>
      <c r="E137" s="279" t="s">
        <v>1728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1730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1482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1482</v>
      </c>
      <c r="E140" s="279" t="s">
        <v>1742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1482</v>
      </c>
      <c r="E141" s="279" t="s">
        <v>1743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1482</v>
      </c>
      <c r="E142" s="279" t="s">
        <v>1746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1482</v>
      </c>
      <c r="E143" s="279" t="s">
        <v>1747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1482</v>
      </c>
      <c r="E144" s="279" t="s">
        <v>1748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1899</v>
      </c>
      <c r="E145" s="279" t="s">
        <v>1897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1507</v>
      </c>
      <c r="E146" s="279" t="s">
        <v>1753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1781</v>
      </c>
      <c r="D147" s="273">
        <v>2800802</v>
      </c>
      <c r="E147" s="279" t="s">
        <v>1776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1781</v>
      </c>
      <c r="D148" s="273" t="s">
        <v>1774</v>
      </c>
      <c r="E148" s="279" t="s">
        <v>1775</v>
      </c>
      <c r="F148" s="279" t="s">
        <v>1774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1781</v>
      </c>
      <c r="D149" s="273">
        <v>7252703114</v>
      </c>
      <c r="E149" s="279" t="s">
        <v>1761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1781</v>
      </c>
      <c r="D150" s="273" t="s">
        <v>1763</v>
      </c>
      <c r="E150" s="279" t="s">
        <v>1764</v>
      </c>
      <c r="F150" s="279" t="s">
        <v>1763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1781</v>
      </c>
      <c r="D151" s="273" t="s">
        <v>1301</v>
      </c>
      <c r="E151" s="279" t="s">
        <v>1302</v>
      </c>
      <c r="F151" s="279" t="s">
        <v>1301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1579</v>
      </c>
      <c r="E152" s="279" t="s">
        <v>1805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1621</v>
      </c>
      <c r="E153" s="279" t="s">
        <v>1807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1437</v>
      </c>
      <c r="D154" s="273" t="s">
        <v>1398</v>
      </c>
      <c r="E154" s="279" t="s">
        <v>1234</v>
      </c>
      <c r="F154" s="279" t="s">
        <v>1398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1437</v>
      </c>
      <c r="E155" s="279" t="s">
        <v>1534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1808</v>
      </c>
      <c r="E156" s="279" t="s">
        <v>1809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1688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1781</v>
      </c>
      <c r="D159" s="273">
        <v>415090409</v>
      </c>
      <c r="E159" s="279" t="s">
        <v>2642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1601</v>
      </c>
      <c r="E160" s="279" t="s">
        <v>1236</v>
      </c>
      <c r="F160" s="279" t="s">
        <v>1601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1857</v>
      </c>
      <c r="E161" s="279" t="s">
        <v>1861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1857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1857</v>
      </c>
      <c r="D163" s="273" t="s">
        <v>1862</v>
      </c>
      <c r="E163" s="279" t="s">
        <v>1863</v>
      </c>
      <c r="F163" s="279" t="s">
        <v>1862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1781</v>
      </c>
      <c r="D164" s="273" t="s">
        <v>1295</v>
      </c>
      <c r="E164" s="279" t="s">
        <v>1296</v>
      </c>
      <c r="F164" s="279" t="s">
        <v>1295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1781</v>
      </c>
      <c r="D165" s="273">
        <v>415090409</v>
      </c>
      <c r="E165" s="279" t="s">
        <v>2642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1437</v>
      </c>
      <c r="D166" s="273" t="s">
        <v>1813</v>
      </c>
      <c r="E166" s="279" t="s">
        <v>1234</v>
      </c>
      <c r="F166" s="279" t="s">
        <v>1813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1517</v>
      </c>
      <c r="E167" s="279" t="s">
        <v>1867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1487</v>
      </c>
      <c r="D168" s="273">
        <v>927156</v>
      </c>
      <c r="E168" s="279" t="s">
        <v>1869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1487</v>
      </c>
      <c r="D169" s="273" t="s">
        <v>1870</v>
      </c>
      <c r="E169" s="279" t="s">
        <v>1616</v>
      </c>
      <c r="F169" s="279" t="s">
        <v>1870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1872</v>
      </c>
      <c r="D170" s="273" t="s">
        <v>1231</v>
      </c>
      <c r="E170" s="279" t="s">
        <v>1690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1776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1876</v>
      </c>
      <c r="D172" s="273" t="s">
        <v>1830</v>
      </c>
      <c r="E172" s="279" t="s">
        <v>1828</v>
      </c>
      <c r="F172" s="279" t="s">
        <v>1830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1876</v>
      </c>
      <c r="D173" s="273" t="s">
        <v>1827</v>
      </c>
      <c r="E173" s="279" t="s">
        <v>1828</v>
      </c>
      <c r="F173" s="279" t="s">
        <v>1827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1621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1879</v>
      </c>
      <c r="E175" s="279" t="s">
        <v>1804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1781</v>
      </c>
      <c r="D176" s="273" t="s">
        <v>1295</v>
      </c>
      <c r="E176" s="279" t="s">
        <v>1296</v>
      </c>
      <c r="F176" s="279" t="s">
        <v>1295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1781</v>
      </c>
      <c r="D177" s="273" t="s">
        <v>1892</v>
      </c>
      <c r="E177" s="279" t="s">
        <v>1893</v>
      </c>
      <c r="F177" s="279" t="s">
        <v>1892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1781</v>
      </c>
      <c r="D178" s="273" t="s">
        <v>1862</v>
      </c>
      <c r="E178" s="279" t="s">
        <v>1863</v>
      </c>
      <c r="F178" s="279" t="s">
        <v>1862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1579</v>
      </c>
      <c r="E179" s="279" t="s">
        <v>1805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1496</v>
      </c>
      <c r="E180" s="279" t="s">
        <v>1805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1872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1507</v>
      </c>
      <c r="E182" s="279" t="s">
        <v>1914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1910</v>
      </c>
      <c r="E183" s="279" t="s">
        <v>1916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1813</v>
      </c>
      <c r="E184" s="279" t="s">
        <v>1234</v>
      </c>
      <c r="F184" s="279" t="s">
        <v>1813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1534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1618</v>
      </c>
      <c r="D186" s="273" t="s">
        <v>1813</v>
      </c>
      <c r="E186" s="279" t="s">
        <v>1234</v>
      </c>
      <c r="F186" s="279" t="s">
        <v>1813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1763</v>
      </c>
      <c r="E187" s="279" t="s">
        <v>1764</v>
      </c>
      <c r="F187" s="279" t="s">
        <v>1763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1776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1862</v>
      </c>
      <c r="E189" s="279" t="s">
        <v>1863</v>
      </c>
      <c r="F189" s="279" t="s">
        <v>1862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1892</v>
      </c>
      <c r="E190" s="279" t="s">
        <v>1893</v>
      </c>
      <c r="F190" s="279" t="s">
        <v>1892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1922</v>
      </c>
      <c r="D191" s="273" t="s">
        <v>1924</v>
      </c>
      <c r="E191" s="279" t="s">
        <v>1925</v>
      </c>
      <c r="F191" s="279" t="s">
        <v>1924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1930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2642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1688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1876</v>
      </c>
      <c r="D196" s="273">
        <v>2830402</v>
      </c>
      <c r="E196" s="279" t="s">
        <v>1934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1936</v>
      </c>
      <c r="E197" s="279" t="s">
        <v>1937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1942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1942</v>
      </c>
      <c r="E199" s="279" t="s">
        <v>1944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1945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1945</v>
      </c>
      <c r="E201" s="279" t="s">
        <v>1947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1951</v>
      </c>
      <c r="E202" s="279" t="s">
        <v>1804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1781</v>
      </c>
      <c r="D203" s="273" t="s">
        <v>1948</v>
      </c>
      <c r="E203" s="279" t="s">
        <v>1949</v>
      </c>
      <c r="F203" s="279" t="s">
        <v>1948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1725</v>
      </c>
      <c r="D204" s="273" t="s">
        <v>1232</v>
      </c>
      <c r="E204" s="279" t="s">
        <v>1692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1876</v>
      </c>
      <c r="D205" s="273" t="s">
        <v>1830</v>
      </c>
      <c r="E205" s="279" t="s">
        <v>1828</v>
      </c>
      <c r="F205" s="279" t="s">
        <v>1830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1876</v>
      </c>
      <c r="D206" s="273" t="s">
        <v>1827</v>
      </c>
      <c r="E206" s="279" t="s">
        <v>1828</v>
      </c>
      <c r="F206" s="279" t="s">
        <v>1827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1965</v>
      </c>
      <c r="E207" s="279" t="s">
        <v>1968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1969</v>
      </c>
      <c r="D208" s="273" t="s">
        <v>1813</v>
      </c>
      <c r="E208" s="279" t="s">
        <v>1234</v>
      </c>
      <c r="F208" s="279" t="s">
        <v>1813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1813</v>
      </c>
      <c r="E209" s="279" t="s">
        <v>1234</v>
      </c>
      <c r="F209" s="279" t="s">
        <v>1813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1813</v>
      </c>
      <c r="E210" s="279" t="s">
        <v>1234</v>
      </c>
      <c r="F210" s="279" t="s">
        <v>1813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1639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1621</v>
      </c>
      <c r="D212" s="273" t="s">
        <v>1976</v>
      </c>
      <c r="E212" s="279" t="s">
        <v>1977</v>
      </c>
      <c r="F212" s="279" t="s">
        <v>1976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1437</v>
      </c>
      <c r="E213" s="279" t="s">
        <v>1991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1579</v>
      </c>
      <c r="E214" s="279" t="s">
        <v>1994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1480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1725</v>
      </c>
      <c r="D216" s="273" t="s">
        <v>1813</v>
      </c>
      <c r="E216" s="279" t="s">
        <v>1234</v>
      </c>
      <c r="F216" s="279" t="s">
        <v>1813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1725</v>
      </c>
      <c r="E217" s="279" t="s">
        <v>1534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1781</v>
      </c>
      <c r="E218" s="279" t="s">
        <v>2001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1781</v>
      </c>
      <c r="D219" s="273" t="s">
        <v>1301</v>
      </c>
      <c r="E219" s="279" t="s">
        <v>1302</v>
      </c>
      <c r="F219" s="279" t="s">
        <v>1301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1639</v>
      </c>
      <c r="D220" s="273" t="s">
        <v>1998</v>
      </c>
      <c r="E220" s="279" t="s">
        <v>1622</v>
      </c>
      <c r="F220" s="279" t="s">
        <v>1998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2006</v>
      </c>
      <c r="D221" s="273" t="s">
        <v>1862</v>
      </c>
      <c r="E221" s="279" t="s">
        <v>1863</v>
      </c>
      <c r="F221" s="279" t="s">
        <v>1862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2006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2006</v>
      </c>
      <c r="D223" s="273" t="s">
        <v>1976</v>
      </c>
      <c r="E223" s="279" t="s">
        <v>1977</v>
      </c>
      <c r="F223" s="279" t="s">
        <v>1976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2017</v>
      </c>
      <c r="D224" s="273" t="s">
        <v>2008</v>
      </c>
      <c r="E224" s="279" t="s">
        <v>2009</v>
      </c>
      <c r="F224" s="279" t="s">
        <v>2008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2017</v>
      </c>
      <c r="D225" s="273" t="s">
        <v>2011</v>
      </c>
      <c r="E225" s="279" t="s">
        <v>2010</v>
      </c>
      <c r="F225" s="279" t="s">
        <v>2011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1437</v>
      </c>
      <c r="E226" s="279" t="s">
        <v>1805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1437</v>
      </c>
      <c r="D227" s="273">
        <v>24152333903</v>
      </c>
      <c r="E227" s="279" t="s">
        <v>1587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1621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1618</v>
      </c>
      <c r="D229" s="273">
        <v>415072909</v>
      </c>
      <c r="E229" s="279" t="s">
        <v>2642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1618</v>
      </c>
      <c r="D230" s="273" t="s">
        <v>1232</v>
      </c>
      <c r="E230" s="279" t="s">
        <v>1692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1618</v>
      </c>
      <c r="D231" s="273" t="s">
        <v>1870</v>
      </c>
      <c r="E231" s="279" t="s">
        <v>1616</v>
      </c>
      <c r="F231" s="279" t="s">
        <v>1870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1781</v>
      </c>
      <c r="E232" s="279" t="s">
        <v>2028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1487</v>
      </c>
      <c r="D233" s="273" t="s">
        <v>2031</v>
      </c>
      <c r="E233" s="279" t="s">
        <v>2032</v>
      </c>
      <c r="F233" s="279" t="s">
        <v>2031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1487</v>
      </c>
      <c r="D234" s="273" t="s">
        <v>1870</v>
      </c>
      <c r="E234" s="279" t="s">
        <v>1616</v>
      </c>
      <c r="F234" s="279" t="s">
        <v>1870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1639</v>
      </c>
      <c r="E235" s="279" t="s">
        <v>2034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2036</v>
      </c>
      <c r="D236" s="273">
        <v>2830402</v>
      </c>
      <c r="E236" s="279" t="s">
        <v>1934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2036</v>
      </c>
      <c r="E237" s="279" t="s">
        <v>2040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2036</v>
      </c>
      <c r="E238" s="279" t="s">
        <v>2041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2036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2036</v>
      </c>
      <c r="D240" s="273">
        <v>50229</v>
      </c>
      <c r="E240" s="279" t="s">
        <v>1688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2036</v>
      </c>
      <c r="D241" s="273" t="s">
        <v>1862</v>
      </c>
      <c r="E241" s="279" t="s">
        <v>1863</v>
      </c>
      <c r="F241" s="279" t="s">
        <v>1862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1592</v>
      </c>
      <c r="D242" s="273" t="s">
        <v>1763</v>
      </c>
      <c r="E242" s="279" t="s">
        <v>1764</v>
      </c>
      <c r="F242" s="279" t="s">
        <v>1763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1482</v>
      </c>
      <c r="D243" s="273">
        <v>2800802</v>
      </c>
      <c r="E243" s="279" t="s">
        <v>1776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1482</v>
      </c>
      <c r="E244" s="279" t="s">
        <v>2048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1482</v>
      </c>
      <c r="E245" s="279" t="s">
        <v>2049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1429</v>
      </c>
      <c r="E246" s="279" t="s">
        <v>1573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2053</v>
      </c>
      <c r="D247" s="273" t="s">
        <v>1229</v>
      </c>
      <c r="E247" s="279" t="s">
        <v>2054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2056</v>
      </c>
      <c r="D248" s="273" t="s">
        <v>1892</v>
      </c>
      <c r="E248" s="279" t="s">
        <v>1893</v>
      </c>
      <c r="F248" s="279" t="s">
        <v>1892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2056</v>
      </c>
      <c r="D249" s="273" t="s">
        <v>1295</v>
      </c>
      <c r="E249" s="279" t="s">
        <v>1296</v>
      </c>
      <c r="F249" s="279" t="s">
        <v>1295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2056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2006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1487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1857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1482</v>
      </c>
      <c r="E254" s="279" t="s">
        <v>2061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1876</v>
      </c>
      <c r="E255" s="279" t="s">
        <v>1534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1340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1383</v>
      </c>
      <c r="E257" s="271" t="s">
        <v>1724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1559</v>
      </c>
      <c r="E258" s="279" t="s">
        <v>1562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1559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1482</v>
      </c>
      <c r="E260" s="279" t="s">
        <v>1573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1776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2068</v>
      </c>
      <c r="E262" s="279" t="s">
        <v>1236</v>
      </c>
      <c r="F262" s="279" t="s">
        <v>2068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1570</v>
      </c>
      <c r="E264" s="279" t="s">
        <v>1804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1482</v>
      </c>
      <c r="E265" s="279" t="s">
        <v>2074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2091</v>
      </c>
      <c r="D266" s="273" t="s">
        <v>1862</v>
      </c>
      <c r="E266" s="279" t="s">
        <v>1863</v>
      </c>
      <c r="F266" s="279" t="s">
        <v>1862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2091</v>
      </c>
      <c r="D267" s="273" t="s">
        <v>1892</v>
      </c>
      <c r="E267" s="279" t="s">
        <v>1893</v>
      </c>
      <c r="F267" s="279" t="s">
        <v>1892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2091</v>
      </c>
      <c r="D268" s="273" t="s">
        <v>2088</v>
      </c>
      <c r="E268" s="279" t="s">
        <v>2089</v>
      </c>
      <c r="F268" s="279" t="s">
        <v>2088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2091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2091</v>
      </c>
      <c r="E270" s="279" t="s">
        <v>2090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2091</v>
      </c>
      <c r="D271" s="273">
        <v>50229</v>
      </c>
      <c r="E271" s="279" t="s">
        <v>1688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2091</v>
      </c>
      <c r="D272" s="273" t="s">
        <v>1976</v>
      </c>
      <c r="E272" s="279" t="s">
        <v>1977</v>
      </c>
      <c r="F272" s="279" t="s">
        <v>1976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1876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1781</v>
      </c>
      <c r="D274" s="273" t="s">
        <v>1813</v>
      </c>
      <c r="E274" s="279" t="s">
        <v>1234</v>
      </c>
      <c r="F274" s="279" t="s">
        <v>1813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1781</v>
      </c>
      <c r="E275" s="279" t="s">
        <v>1534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2100</v>
      </c>
      <c r="D276" s="273" t="s">
        <v>2098</v>
      </c>
      <c r="E276" s="279" t="s">
        <v>2099</v>
      </c>
      <c r="F276" s="279" t="s">
        <v>2098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2056</v>
      </c>
      <c r="D277" s="273" t="s">
        <v>1231</v>
      </c>
      <c r="E277" s="279" t="s">
        <v>1690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1808</v>
      </c>
      <c r="D278" s="273" t="s">
        <v>1251</v>
      </c>
      <c r="E278" s="279" t="s">
        <v>2103</v>
      </c>
      <c r="F278" s="279" t="s">
        <v>1251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2056</v>
      </c>
      <c r="D279" s="273" t="s">
        <v>1301</v>
      </c>
      <c r="E279" s="279" t="s">
        <v>1302</v>
      </c>
      <c r="F279" s="279" t="s">
        <v>1301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2056</v>
      </c>
      <c r="D280" s="273" t="s">
        <v>1763</v>
      </c>
      <c r="E280" s="279" t="s">
        <v>1764</v>
      </c>
      <c r="F280" s="279" t="s">
        <v>1763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2056</v>
      </c>
      <c r="E281" s="279" t="s">
        <v>2105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2056</v>
      </c>
      <c r="D282" s="273" t="s">
        <v>1862</v>
      </c>
      <c r="E282" s="279" t="s">
        <v>1863</v>
      </c>
      <c r="F282" s="279" t="s">
        <v>1862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1587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1482</v>
      </c>
      <c r="E284" s="279" t="s">
        <v>2108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2110</v>
      </c>
      <c r="E285" s="279" t="s">
        <v>2113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2115</v>
      </c>
      <c r="D286" s="273" t="s">
        <v>1232</v>
      </c>
      <c r="E286" s="279" t="s">
        <v>1692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2115</v>
      </c>
      <c r="D287" s="273" t="s">
        <v>1870</v>
      </c>
      <c r="E287" s="279" t="s">
        <v>1616</v>
      </c>
      <c r="F287" s="279" t="s">
        <v>1870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2115</v>
      </c>
      <c r="D288" s="273" t="s">
        <v>1779</v>
      </c>
      <c r="E288" s="279" t="s">
        <v>1780</v>
      </c>
      <c r="F288" s="279" t="s">
        <v>1779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2119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1618</v>
      </c>
      <c r="E290" s="279" t="s">
        <v>1804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2122</v>
      </c>
      <c r="E291" s="279" t="s">
        <v>2125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1592</v>
      </c>
      <c r="D292" s="273" t="s">
        <v>1247</v>
      </c>
      <c r="E292" s="279" t="s">
        <v>1248</v>
      </c>
      <c r="F292" s="279" t="s">
        <v>1247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2129</v>
      </c>
      <c r="E293" s="279" t="s">
        <v>2130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2131</v>
      </c>
      <c r="E294" s="279" t="s">
        <v>2130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1618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2115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2056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2056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1579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2138</v>
      </c>
      <c r="E301" s="279" t="s">
        <v>2135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2053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1482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1505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2091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1437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1621</v>
      </c>
      <c r="D307" s="273" t="s">
        <v>1232</v>
      </c>
      <c r="E307" s="279" t="s">
        <v>1692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1621</v>
      </c>
      <c r="D308" s="273" t="s">
        <v>1870</v>
      </c>
      <c r="E308" s="279" t="s">
        <v>1616</v>
      </c>
      <c r="F308" s="279" t="s">
        <v>1870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1621</v>
      </c>
      <c r="E309" s="279" t="s">
        <v>2134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1592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2110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1781</v>
      </c>
      <c r="D312" s="273">
        <v>2800802</v>
      </c>
      <c r="E312" s="279" t="s">
        <v>1776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1621</v>
      </c>
      <c r="D313" s="273" t="s">
        <v>1301</v>
      </c>
      <c r="E313" s="279" t="s">
        <v>1302</v>
      </c>
      <c r="F313" s="279" t="s">
        <v>1301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2053</v>
      </c>
      <c r="D314" s="273" t="s">
        <v>1229</v>
      </c>
      <c r="E314" s="279" t="s">
        <v>2054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1437</v>
      </c>
      <c r="D315" s="273">
        <v>415072909</v>
      </c>
      <c r="E315" s="280" t="s">
        <v>2642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1437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2053</v>
      </c>
      <c r="E317" s="279" t="s">
        <v>2157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1621</v>
      </c>
      <c r="E318" s="279" t="s">
        <v>2158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2036</v>
      </c>
      <c r="E319" s="279" t="s">
        <v>2155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2159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1776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1579</v>
      </c>
      <c r="D322" s="273">
        <v>501220522</v>
      </c>
      <c r="E322" s="279" t="s">
        <v>2099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1437</v>
      </c>
      <c r="D323" s="273" t="s">
        <v>1813</v>
      </c>
      <c r="E323" s="279" t="s">
        <v>1234</v>
      </c>
      <c r="F323" s="279" t="s">
        <v>1813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1507</v>
      </c>
      <c r="E324" s="279" t="s">
        <v>1534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1437</v>
      </c>
      <c r="D325" s="273" t="s">
        <v>1813</v>
      </c>
      <c r="E325" s="279" t="s">
        <v>2165</v>
      </c>
      <c r="F325" s="279" t="s">
        <v>1813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2036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1343</v>
      </c>
      <c r="D327" s="273" t="s">
        <v>1231</v>
      </c>
      <c r="E327" s="279" t="s">
        <v>1690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1343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2170</v>
      </c>
      <c r="D329" s="273" t="s">
        <v>1232</v>
      </c>
      <c r="E329" s="279" t="s">
        <v>1692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2170</v>
      </c>
      <c r="D330" s="273" t="s">
        <v>1870</v>
      </c>
      <c r="E330" s="279" t="s">
        <v>1616</v>
      </c>
      <c r="F330" s="279" t="s">
        <v>1870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1343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1592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2170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1437</v>
      </c>
      <c r="D335" s="273">
        <v>1068298046</v>
      </c>
      <c r="E335" s="279" t="s">
        <v>2172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1437</v>
      </c>
      <c r="D336" s="273">
        <v>24152333907</v>
      </c>
      <c r="E336" s="279" t="s">
        <v>1587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2170</v>
      </c>
      <c r="D337" s="273" t="s">
        <v>1232</v>
      </c>
      <c r="E337" s="279" t="s">
        <v>1692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2170</v>
      </c>
      <c r="D338" s="273" t="s">
        <v>1870</v>
      </c>
      <c r="E338" s="279" t="s">
        <v>1616</v>
      </c>
      <c r="F338" s="279" t="s">
        <v>1870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2176</v>
      </c>
      <c r="D339" s="273" t="s">
        <v>1232</v>
      </c>
      <c r="E339" s="279" t="s">
        <v>1692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2176</v>
      </c>
      <c r="D340" s="273" t="s">
        <v>1870</v>
      </c>
      <c r="E340" s="279" t="s">
        <v>1616</v>
      </c>
      <c r="F340" s="279" t="s">
        <v>1870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2176</v>
      </c>
      <c r="D341" s="273" t="s">
        <v>1779</v>
      </c>
      <c r="E341" s="279" t="s">
        <v>1780</v>
      </c>
      <c r="F341" s="279" t="s">
        <v>1779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2176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2170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2295</v>
      </c>
      <c r="E344" s="279" t="s">
        <v>2296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1781</v>
      </c>
      <c r="D345" s="273" t="s">
        <v>1247</v>
      </c>
      <c r="E345" s="279" t="s">
        <v>1158</v>
      </c>
      <c r="F345" s="279" t="s">
        <v>1502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2159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1507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1781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1570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1343</v>
      </c>
      <c r="D351" s="273" t="s">
        <v>2191</v>
      </c>
      <c r="E351" s="279" t="s">
        <v>2040</v>
      </c>
      <c r="F351" s="279" t="s">
        <v>2191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2091</v>
      </c>
      <c r="D352" s="273">
        <v>36050661</v>
      </c>
      <c r="E352" s="279" t="s">
        <v>2189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2428</v>
      </c>
      <c r="E353" s="279" t="s">
        <v>2429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2428</v>
      </c>
      <c r="D354" s="273" t="s">
        <v>2430</v>
      </c>
      <c r="E354" s="279" t="s">
        <v>2431</v>
      </c>
      <c r="F354" s="279" t="s">
        <v>2430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1857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1343</v>
      </c>
      <c r="E356" s="279" t="s">
        <v>1807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2091</v>
      </c>
      <c r="E357" s="279" t="s">
        <v>1807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1857</v>
      </c>
      <c r="E358" s="279" t="s">
        <v>1807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2393</v>
      </c>
      <c r="E359" s="279" t="s">
        <v>1533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2393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1482</v>
      </c>
      <c r="D361" s="273">
        <v>1068298046</v>
      </c>
      <c r="E361" s="279" t="s">
        <v>2172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2053</v>
      </c>
      <c r="D362" s="273" t="s">
        <v>1813</v>
      </c>
      <c r="E362" s="279" t="s">
        <v>1234</v>
      </c>
      <c r="F362" s="279" t="s">
        <v>1813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1639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1492</v>
      </c>
      <c r="E364" s="279" t="s">
        <v>2208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1492</v>
      </c>
      <c r="E365" s="279" t="s">
        <v>2209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2211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2215</v>
      </c>
      <c r="D367" s="273" t="s">
        <v>1232</v>
      </c>
      <c r="E367" s="279" t="s">
        <v>1692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1437</v>
      </c>
      <c r="E368" s="279" t="s">
        <v>2219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2215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1639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1487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1487</v>
      </c>
      <c r="D372" s="273">
        <v>1068298046</v>
      </c>
      <c r="E372" s="279" t="s">
        <v>2172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2006</v>
      </c>
      <c r="D373" s="273">
        <v>1068298046</v>
      </c>
      <c r="E373" s="279" t="s">
        <v>2172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2006</v>
      </c>
      <c r="D374" s="273">
        <v>24152333903</v>
      </c>
      <c r="E374" s="279" t="s">
        <v>1587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2245</v>
      </c>
      <c r="D375" s="273" t="s">
        <v>2246</v>
      </c>
      <c r="E375" s="279" t="s">
        <v>2247</v>
      </c>
      <c r="F375" s="279" t="s">
        <v>2246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1857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2228</v>
      </c>
      <c r="D377" s="273">
        <v>7252703114</v>
      </c>
      <c r="E377" s="279" t="s">
        <v>1761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2232</v>
      </c>
      <c r="D378" s="273">
        <v>2800802</v>
      </c>
      <c r="E378" s="279" t="s">
        <v>1776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1437</v>
      </c>
      <c r="E379" s="279" t="s">
        <v>2235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1343</v>
      </c>
      <c r="E380" s="279" t="s">
        <v>2238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2228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1725</v>
      </c>
      <c r="E382" s="279" t="s">
        <v>2241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1416</v>
      </c>
      <c r="E383" s="279" t="s">
        <v>2243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2053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1416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1781</v>
      </c>
      <c r="E386" s="279" t="s">
        <v>2113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1781</v>
      </c>
      <c r="E387" s="279" t="s">
        <v>2248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1487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1343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2255</v>
      </c>
      <c r="D390" s="273" t="s">
        <v>1247</v>
      </c>
      <c r="E390" s="279" t="s">
        <v>1158</v>
      </c>
      <c r="F390" s="279" t="s">
        <v>1502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2642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1857</v>
      </c>
      <c r="E392" s="279" t="s">
        <v>1804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1639</v>
      </c>
      <c r="D393" s="273" t="s">
        <v>1398</v>
      </c>
      <c r="E393" s="279" t="s">
        <v>1234</v>
      </c>
      <c r="F393" s="279" t="s">
        <v>1398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1639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1621</v>
      </c>
      <c r="D395" s="273" t="s">
        <v>1238</v>
      </c>
      <c r="E395" s="279" t="s">
        <v>2271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2170</v>
      </c>
      <c r="D396" s="273" t="s">
        <v>1232</v>
      </c>
      <c r="E396" s="279" t="s">
        <v>2264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2170</v>
      </c>
      <c r="D397" s="273" t="s">
        <v>1870</v>
      </c>
      <c r="E397" s="279" t="s">
        <v>2265</v>
      </c>
      <c r="F397" s="279" t="s">
        <v>1870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2170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1579</v>
      </c>
      <c r="E399" s="279" t="s">
        <v>2086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2182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1808</v>
      </c>
      <c r="D401" s="273">
        <v>50229</v>
      </c>
      <c r="E401" s="279" t="s">
        <v>2274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2300</v>
      </c>
      <c r="E402" s="279" t="s">
        <v>2298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1945</v>
      </c>
      <c r="D403" s="273" t="s">
        <v>1232</v>
      </c>
      <c r="E403" s="279" t="s">
        <v>2264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1945</v>
      </c>
      <c r="D404" s="273" t="s">
        <v>1870</v>
      </c>
      <c r="E404" s="279" t="s">
        <v>2265</v>
      </c>
      <c r="F404" s="279" t="s">
        <v>1870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1945</v>
      </c>
      <c r="D405" s="273" t="s">
        <v>2302</v>
      </c>
      <c r="E405" s="279" t="s">
        <v>2266</v>
      </c>
      <c r="F405" s="279" t="s">
        <v>2302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1945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2176</v>
      </c>
      <c r="D407" s="273" t="s">
        <v>2302</v>
      </c>
      <c r="E407" s="279" t="s">
        <v>2266</v>
      </c>
      <c r="F407" s="279" t="s">
        <v>2302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2006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1808</v>
      </c>
      <c r="D409" s="273">
        <v>50229</v>
      </c>
      <c r="E409" s="279" t="s">
        <v>2274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1808</v>
      </c>
      <c r="D410" s="273" t="s">
        <v>1295</v>
      </c>
      <c r="E410" s="279" t="s">
        <v>2272</v>
      </c>
      <c r="F410" s="279" t="s">
        <v>1295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1808</v>
      </c>
      <c r="D411" s="273" t="s">
        <v>1892</v>
      </c>
      <c r="E411" s="279" t="s">
        <v>2276</v>
      </c>
      <c r="F411" s="279" t="s">
        <v>1892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1945</v>
      </c>
      <c r="E412" s="279" t="s">
        <v>2313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1945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1922</v>
      </c>
      <c r="E414" s="279" t="s">
        <v>2315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1808</v>
      </c>
      <c r="E415" s="279" t="s">
        <v>1557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1808</v>
      </c>
      <c r="E416" s="279" t="s">
        <v>1573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1573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2329</v>
      </c>
      <c r="D418" s="273">
        <v>1087298388</v>
      </c>
      <c r="E418" s="279" t="s">
        <v>2330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2340</v>
      </c>
      <c r="D419" s="273" t="s">
        <v>2341</v>
      </c>
      <c r="E419" s="279" t="s">
        <v>2342</v>
      </c>
      <c r="F419" s="279" t="s">
        <v>2341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1922</v>
      </c>
      <c r="E420" s="279" t="s">
        <v>1807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1725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1507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1781</v>
      </c>
      <c r="D423" s="273" t="s">
        <v>1232</v>
      </c>
      <c r="E423" s="279" t="s">
        <v>2264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1781</v>
      </c>
      <c r="D424" s="273" t="s">
        <v>1870</v>
      </c>
      <c r="E424" s="279" t="s">
        <v>2265</v>
      </c>
      <c r="F424" s="279" t="s">
        <v>1870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1781</v>
      </c>
      <c r="D425" s="273" t="s">
        <v>1779</v>
      </c>
      <c r="E425" s="279" t="s">
        <v>2267</v>
      </c>
      <c r="F425" s="279" t="s">
        <v>1779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1781</v>
      </c>
      <c r="E426" s="279" t="s">
        <v>2326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1429</v>
      </c>
      <c r="E427" s="279" t="s">
        <v>2113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1482</v>
      </c>
      <c r="E428" s="279" t="s">
        <v>2331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2332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1813</v>
      </c>
      <c r="E430" s="279" t="s">
        <v>1234</v>
      </c>
      <c r="F430" s="279" t="s">
        <v>1813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2270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2437</v>
      </c>
      <c r="D433" s="273" t="s">
        <v>2438</v>
      </c>
      <c r="E433" s="279" t="s">
        <v>2439</v>
      </c>
      <c r="F433" s="279" t="s">
        <v>2438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1936</v>
      </c>
      <c r="D434" s="273" t="s">
        <v>1231</v>
      </c>
      <c r="E434" s="279" t="s">
        <v>2270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2176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2324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1429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1592</v>
      </c>
      <c r="E438" s="279" t="s">
        <v>2343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2345</v>
      </c>
      <c r="D439" s="273" t="s">
        <v>1247</v>
      </c>
      <c r="E439" s="279" t="s">
        <v>2262</v>
      </c>
      <c r="F439" s="279" t="s">
        <v>1502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1725</v>
      </c>
      <c r="D440" s="273" t="s">
        <v>2031</v>
      </c>
      <c r="E440" s="279" t="s">
        <v>2286</v>
      </c>
      <c r="F440" s="279" t="s">
        <v>2031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1725</v>
      </c>
      <c r="D441" s="273" t="s">
        <v>1870</v>
      </c>
      <c r="E441" s="279" t="s">
        <v>2265</v>
      </c>
      <c r="F441" s="279" t="s">
        <v>1870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1725</v>
      </c>
      <c r="E442" s="279" t="s">
        <v>2287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2348</v>
      </c>
      <c r="D443" s="273" t="s">
        <v>1232</v>
      </c>
      <c r="E443" s="279" t="s">
        <v>2264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2348</v>
      </c>
      <c r="D444" s="273" t="s">
        <v>1870</v>
      </c>
      <c r="E444" s="279" t="s">
        <v>2265</v>
      </c>
      <c r="F444" s="279" t="s">
        <v>1870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1936</v>
      </c>
      <c r="D445" s="273" t="s">
        <v>1232</v>
      </c>
      <c r="E445" s="279" t="s">
        <v>2264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1936</v>
      </c>
      <c r="D446" s="273" t="s">
        <v>1870</v>
      </c>
      <c r="E446" s="279" t="s">
        <v>2265</v>
      </c>
      <c r="F446" s="279" t="s">
        <v>1870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2348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2345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1492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1437</v>
      </c>
      <c r="D451" s="273">
        <v>7252703114</v>
      </c>
      <c r="E451" s="279" t="s">
        <v>1761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1573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1592</v>
      </c>
      <c r="D453" s="273" t="s">
        <v>1301</v>
      </c>
      <c r="E453" s="279" t="s">
        <v>1302</v>
      </c>
      <c r="F453" s="279" t="s">
        <v>1301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1487</v>
      </c>
      <c r="D454" s="273" t="s">
        <v>1229</v>
      </c>
      <c r="E454" s="279" t="s">
        <v>2354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1517</v>
      </c>
      <c r="E455" s="279" t="s">
        <v>1804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1487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2546</v>
      </c>
      <c r="E459" s="279" t="s">
        <v>1778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1781</v>
      </c>
      <c r="D460" s="273">
        <v>4150862090</v>
      </c>
      <c r="E460" s="279" t="s">
        <v>2642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1490</v>
      </c>
      <c r="E461" s="279" t="s">
        <v>1805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2642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2274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2268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1892</v>
      </c>
      <c r="E465" s="279" t="s">
        <v>2276</v>
      </c>
      <c r="F465" s="279" t="s">
        <v>1892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1582</v>
      </c>
      <c r="E466" s="279" t="s">
        <v>2377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1582</v>
      </c>
      <c r="E467" s="279" t="s">
        <v>1807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1592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2379</v>
      </c>
      <c r="D469" s="273" t="s">
        <v>1229</v>
      </c>
      <c r="E469" s="279" t="s">
        <v>2281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2379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1437</v>
      </c>
      <c r="E472" s="279" t="s">
        <v>1804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1592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1725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1618</v>
      </c>
      <c r="D476" s="273" t="s">
        <v>1238</v>
      </c>
      <c r="E476" s="279" t="s">
        <v>2271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1618</v>
      </c>
      <c r="D477" s="273">
        <v>50229</v>
      </c>
      <c r="E477" s="279" t="s">
        <v>2274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1618</v>
      </c>
      <c r="D478" s="273" t="s">
        <v>1862</v>
      </c>
      <c r="E478" s="279" t="s">
        <v>2275</v>
      </c>
      <c r="F478" s="279" t="s">
        <v>1862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2393</v>
      </c>
      <c r="D479" s="273" t="s">
        <v>1813</v>
      </c>
      <c r="E479" s="279" t="s">
        <v>2386</v>
      </c>
      <c r="F479" s="279" t="s">
        <v>1813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2393</v>
      </c>
      <c r="E480" s="279" t="s">
        <v>1534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1295</v>
      </c>
      <c r="E481" s="279" t="s">
        <v>2272</v>
      </c>
      <c r="F481" s="279" t="s">
        <v>1295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1725</v>
      </c>
      <c r="E482" s="279" t="s">
        <v>1534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1936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1627</v>
      </c>
      <c r="D484" s="273" t="s">
        <v>1247</v>
      </c>
      <c r="E484" s="279" t="s">
        <v>2262</v>
      </c>
      <c r="F484" s="279" t="s">
        <v>1502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2393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1725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1517</v>
      </c>
      <c r="D487" s="273">
        <v>501220639</v>
      </c>
      <c r="E487" s="279" t="s">
        <v>1822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1621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1781</v>
      </c>
      <c r="E489" s="279" t="s">
        <v>1805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1618</v>
      </c>
      <c r="E490" s="279" t="s">
        <v>1573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1857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1410</v>
      </c>
      <c r="E493" s="279" t="s">
        <v>1804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1579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1579</v>
      </c>
      <c r="E495" s="279" t="s">
        <v>2403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2231</v>
      </c>
      <c r="E496" s="279" t="s">
        <v>1930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1437</v>
      </c>
      <c r="E497" s="279" t="s">
        <v>2405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1808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1627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1969</v>
      </c>
      <c r="E500" s="279" t="s">
        <v>2407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2119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2406</v>
      </c>
      <c r="E502" s="279" t="s">
        <v>2281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2406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2408</v>
      </c>
      <c r="E504" s="279" t="s">
        <v>1776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1969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2363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2408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1808</v>
      </c>
      <c r="E508" s="279" t="s">
        <v>2386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1808</v>
      </c>
      <c r="E509" s="279" t="s">
        <v>1534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1808</v>
      </c>
      <c r="E510" s="279" t="s">
        <v>1557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1429</v>
      </c>
      <c r="E511" s="279" t="s">
        <v>2642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1437</v>
      </c>
      <c r="E512" s="279" t="s">
        <v>2103</v>
      </c>
      <c r="F512" s="279" t="s">
        <v>1251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1579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2445</v>
      </c>
      <c r="E514" s="279" t="s">
        <v>2446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1813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2577</v>
      </c>
      <c r="E516" s="279" t="s">
        <v>2415</v>
      </c>
      <c r="F516" s="279" t="s">
        <v>2414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2182</v>
      </c>
      <c r="E517" s="279" t="s">
        <v>1234</v>
      </c>
      <c r="F517" s="279" t="s">
        <v>1813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2182</v>
      </c>
      <c r="E518" s="279" t="s">
        <v>2425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1808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2195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1273</v>
      </c>
      <c r="E521" s="279" t="s">
        <v>2432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1343</v>
      </c>
      <c r="E522" s="279" t="s">
        <v>2262</v>
      </c>
      <c r="F522" s="279" t="s">
        <v>1502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1621</v>
      </c>
      <c r="E523" s="279" t="s">
        <v>2134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1410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2443</v>
      </c>
      <c r="E525" s="279" t="s">
        <v>2444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1618</v>
      </c>
      <c r="E526" s="279" t="s">
        <v>1807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1490</v>
      </c>
      <c r="E527" s="279" t="s">
        <v>1807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2420</v>
      </c>
      <c r="E528" s="279" t="s">
        <v>1807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1429</v>
      </c>
      <c r="E529" s="279" t="s">
        <v>1807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1517</v>
      </c>
      <c r="E530" s="279" t="s">
        <v>1807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1343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2455</v>
      </c>
      <c r="E532" s="279" t="s">
        <v>2456</v>
      </c>
      <c r="F532" s="279" t="s">
        <v>2457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1579</v>
      </c>
      <c r="E533" s="279" t="s">
        <v>1302</v>
      </c>
      <c r="F533" s="279" t="s">
        <v>1301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2379</v>
      </c>
      <c r="E534" s="279" t="s">
        <v>2271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2379</v>
      </c>
      <c r="E535" s="279" t="s">
        <v>2274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2379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1494</v>
      </c>
      <c r="E537" s="279" t="s">
        <v>1776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1437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1579</v>
      </c>
      <c r="E539" s="279" t="s">
        <v>1234</v>
      </c>
      <c r="F539" s="279" t="s">
        <v>1813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1579</v>
      </c>
      <c r="E540" s="279" t="s">
        <v>1534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1579</v>
      </c>
      <c r="E541" s="279" t="s">
        <v>1761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2345</v>
      </c>
      <c r="E542" s="279" t="s">
        <v>2280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2488</v>
      </c>
      <c r="E544" s="279" t="s">
        <v>2489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1487</v>
      </c>
      <c r="E545" s="279" t="s">
        <v>2461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2476</v>
      </c>
      <c r="E546" s="279" t="s">
        <v>2472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1487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1639</v>
      </c>
      <c r="E549" s="279" t="s">
        <v>2280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2480</v>
      </c>
      <c r="E550" s="279" t="s">
        <v>2485</v>
      </c>
      <c r="F550" s="279" t="s">
        <v>2486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1494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2487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2479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1621</v>
      </c>
      <c r="E554" s="279" t="s">
        <v>1573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1621</v>
      </c>
      <c r="E555" s="279" t="s">
        <v>1587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1781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1781</v>
      </c>
      <c r="E557" s="279" t="s">
        <v>2491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1579</v>
      </c>
      <c r="E558" s="279" t="s">
        <v>2271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1579</v>
      </c>
      <c r="E559" s="279" t="s">
        <v>2274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1579</v>
      </c>
      <c r="E560" s="279" t="s">
        <v>2272</v>
      </c>
      <c r="F560" s="279" t="s">
        <v>1295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1579</v>
      </c>
      <c r="E561" s="279" t="s">
        <v>2276</v>
      </c>
      <c r="F561" s="279" t="s">
        <v>1892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1579</v>
      </c>
      <c r="E562" s="279" t="s">
        <v>2275</v>
      </c>
      <c r="F562" s="279" t="s">
        <v>1862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1639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1494</v>
      </c>
      <c r="E564" s="279" t="s">
        <v>1776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2498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2275</v>
      </c>
      <c r="F566" s="279" t="s">
        <v>1862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2278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2499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1621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2507</v>
      </c>
      <c r="E570" s="279" t="s">
        <v>2506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1781</v>
      </c>
      <c r="E571" s="279" t="s">
        <v>2271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2531</v>
      </c>
      <c r="E572" s="279" t="s">
        <v>2532</v>
      </c>
      <c r="F572" s="279" t="s">
        <v>2533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2538</v>
      </c>
      <c r="E573" s="279" t="s">
        <v>2539</v>
      </c>
      <c r="F573" s="279" t="s">
        <v>2540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2538</v>
      </c>
      <c r="E574" s="279" t="s">
        <v>2541</v>
      </c>
      <c r="F574" s="279" t="s">
        <v>2542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2515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1949</v>
      </c>
      <c r="F576" s="279" t="s">
        <v>2516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1781</v>
      </c>
      <c r="E577" s="279" t="s">
        <v>1804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2520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1482</v>
      </c>
      <c r="E579" s="279" t="s">
        <v>2280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1437</v>
      </c>
      <c r="E580" s="279" t="s">
        <v>2280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1621</v>
      </c>
      <c r="E581" s="279" t="s">
        <v>2271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1621</v>
      </c>
      <c r="E582" s="279" t="s">
        <v>2272</v>
      </c>
      <c r="F582" s="279" t="s">
        <v>1295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2543</v>
      </c>
      <c r="E583" s="279" t="s">
        <v>2544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1618</v>
      </c>
      <c r="E584" s="279" t="s">
        <v>2525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1618</v>
      </c>
      <c r="E585" s="279" t="s">
        <v>2527</v>
      </c>
      <c r="F585" s="279" t="s">
        <v>2526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1618</v>
      </c>
      <c r="E586" s="279" t="s">
        <v>2529</v>
      </c>
      <c r="F586" s="279" t="s">
        <v>2528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1618</v>
      </c>
      <c r="E587" s="279" t="s">
        <v>2276</v>
      </c>
      <c r="F587" s="279" t="s">
        <v>1892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2512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1482</v>
      </c>
      <c r="E589" s="279" t="s">
        <v>2534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1482</v>
      </c>
      <c r="E590" s="279" t="s">
        <v>2535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1482</v>
      </c>
      <c r="E591" s="279" t="s">
        <v>2536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1482</v>
      </c>
      <c r="E592" s="279" t="s">
        <v>2537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2345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1437</v>
      </c>
      <c r="E596" s="279" t="s">
        <v>2427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2182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1637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2463</v>
      </c>
      <c r="E599" s="279" t="s">
        <v>2562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1808</v>
      </c>
      <c r="E600" s="279" t="s">
        <v>2274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1808</v>
      </c>
      <c r="E601" s="279" t="s">
        <v>2272</v>
      </c>
      <c r="F601" s="279" t="s">
        <v>1295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2868</v>
      </c>
      <c r="E602" s="279" t="s">
        <v>2869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1343</v>
      </c>
      <c r="E603" s="279" t="s">
        <v>2566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1343</v>
      </c>
      <c r="E604" s="279" t="s">
        <v>2185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1618</v>
      </c>
      <c r="E605" s="279" t="s">
        <v>2289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1618</v>
      </c>
      <c r="E606" s="279" t="s">
        <v>1557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1482</v>
      </c>
      <c r="E607" s="279" t="s">
        <v>2569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2406</v>
      </c>
      <c r="E608" s="279" t="s">
        <v>2573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1969</v>
      </c>
      <c r="E609" s="279" t="s">
        <v>1234</v>
      </c>
      <c r="F609" s="279" t="s">
        <v>1398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1482</v>
      </c>
      <c r="E610" s="279" t="s">
        <v>2576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1494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2579</v>
      </c>
      <c r="D612" s="273" t="s">
        <v>1247</v>
      </c>
      <c r="E612" s="279" t="s">
        <v>2580</v>
      </c>
      <c r="F612" s="279" t="s">
        <v>2581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1343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2591</v>
      </c>
      <c r="E615" s="279" t="s">
        <v>1234</v>
      </c>
      <c r="F615" s="279" t="s">
        <v>1813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1490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1410</v>
      </c>
      <c r="E617" s="279" t="s">
        <v>1796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2582</v>
      </c>
      <c r="E618" s="279" t="s">
        <v>1776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1487</v>
      </c>
      <c r="E619" s="279" t="s">
        <v>1234</v>
      </c>
      <c r="F619" s="279" t="s">
        <v>1813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2463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2582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2406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1487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2599</v>
      </c>
      <c r="E624" s="279" t="s">
        <v>2264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2599</v>
      </c>
      <c r="E625" s="279" t="s">
        <v>2265</v>
      </c>
      <c r="F625" s="279" t="s">
        <v>1870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1511</v>
      </c>
      <c r="E626" s="279" t="s">
        <v>2280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1517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2591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2231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2602</v>
      </c>
      <c r="E630" s="279" t="s">
        <v>1776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1969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2275</v>
      </c>
      <c r="F633" s="279" t="s">
        <v>1862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2276</v>
      </c>
      <c r="F634" s="279" t="s">
        <v>1892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1876</v>
      </c>
      <c r="E635" s="279" t="s">
        <v>2262</v>
      </c>
      <c r="F635" s="279" t="s">
        <v>1502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2056</v>
      </c>
      <c r="E636" s="279" t="s">
        <v>2270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2612</v>
      </c>
      <c r="E637" s="279" t="s">
        <v>2264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2612</v>
      </c>
      <c r="E638" s="279" t="s">
        <v>2265</v>
      </c>
      <c r="F638" s="279" t="s">
        <v>1870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1367</v>
      </c>
      <c r="E639" s="279" t="s">
        <v>2829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1507</v>
      </c>
      <c r="E640" s="279" t="s">
        <v>2616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1532</v>
      </c>
      <c r="E641" s="279" t="s">
        <v>2386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1532</v>
      </c>
      <c r="E642" s="279" t="s">
        <v>1534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2612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2056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1437</v>
      </c>
      <c r="E645" s="279" t="s">
        <v>1804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2602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1579</v>
      </c>
      <c r="E647" s="279" t="s">
        <v>1804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1492</v>
      </c>
      <c r="E649" s="279" t="s">
        <v>2209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1532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1599</v>
      </c>
      <c r="F651" s="279" t="s">
        <v>1832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2629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2841</v>
      </c>
      <c r="E653" s="279" t="s">
        <v>2843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1797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1437</v>
      </c>
      <c r="E655" s="279" t="s">
        <v>1804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1507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1517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1416</v>
      </c>
      <c r="E658" s="279" t="s">
        <v>1234</v>
      </c>
      <c r="F658" s="279" t="s">
        <v>1813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1416</v>
      </c>
      <c r="E659" s="279" t="s">
        <v>1534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1416</v>
      </c>
      <c r="E660" s="279" t="s">
        <v>1557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1416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1579</v>
      </c>
      <c r="E662" s="279" t="s">
        <v>2674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1579</v>
      </c>
      <c r="E663" s="279" t="s">
        <v>2676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1437</v>
      </c>
      <c r="E664" s="279" t="s">
        <v>1804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2677</v>
      </c>
      <c r="E665" s="279" t="s">
        <v>2262</v>
      </c>
      <c r="F665" s="279" t="s">
        <v>1502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2677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1490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2841</v>
      </c>
      <c r="E668" s="279" t="s">
        <v>2842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1437</v>
      </c>
      <c r="E669" s="279" t="s">
        <v>2687</v>
      </c>
      <c r="F669" s="279" t="s">
        <v>2686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1342</v>
      </c>
      <c r="E670" s="279" t="s">
        <v>2323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2938</v>
      </c>
    </row>
    <row r="671" spans="1:12" x14ac:dyDescent="0.3">
      <c r="A671" s="282">
        <v>670</v>
      </c>
      <c r="B671" s="272">
        <v>45826</v>
      </c>
      <c r="C671" s="279" t="s">
        <v>2053</v>
      </c>
      <c r="E671" s="279" t="s">
        <v>2281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2053</v>
      </c>
      <c r="E672" s="279" t="s">
        <v>1557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2053</v>
      </c>
      <c r="E673" s="279" t="s">
        <v>2281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2379</v>
      </c>
      <c r="E674" s="279" t="s">
        <v>2113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2379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1492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2053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1781</v>
      </c>
      <c r="E678" s="279" t="s">
        <v>2417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1437</v>
      </c>
      <c r="E679" s="279" t="s">
        <v>1234</v>
      </c>
      <c r="F679" s="279" t="s">
        <v>1813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1437</v>
      </c>
      <c r="E680" s="279" t="s">
        <v>1925</v>
      </c>
      <c r="F680" s="279" t="s">
        <v>1924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2053</v>
      </c>
      <c r="E681" s="279" t="s">
        <v>2289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1487</v>
      </c>
      <c r="E682" s="279" t="s">
        <v>1234</v>
      </c>
      <c r="F682" s="279" t="s">
        <v>1813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2677</v>
      </c>
      <c r="E683" s="279" t="s">
        <v>1234</v>
      </c>
      <c r="F683" s="279" t="s">
        <v>1813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2677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1437</v>
      </c>
      <c r="E685" s="279" t="s">
        <v>2264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1437</v>
      </c>
      <c r="E686" s="279" t="s">
        <v>2265</v>
      </c>
      <c r="F686" s="279" t="s">
        <v>1870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1482</v>
      </c>
      <c r="E687" s="279" t="s">
        <v>2262</v>
      </c>
      <c r="F687" s="279" t="s">
        <v>1502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2788</v>
      </c>
      <c r="E688" s="279" t="s">
        <v>2789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2512</v>
      </c>
      <c r="E689" s="279" t="s">
        <v>2103</v>
      </c>
      <c r="F689" s="279" t="s">
        <v>1251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1618</v>
      </c>
      <c r="E690" s="279" t="s">
        <v>2708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1618</v>
      </c>
      <c r="E691" s="279" t="s">
        <v>1822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1618</v>
      </c>
      <c r="E692" s="279" t="s">
        <v>2194</v>
      </c>
      <c r="F692" s="279" t="s">
        <v>2703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1618</v>
      </c>
      <c r="E693" s="279" t="s">
        <v>2710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2053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1876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2733</v>
      </c>
      <c r="E696" s="279" t="s">
        <v>2734</v>
      </c>
      <c r="F696" s="279" t="s">
        <v>2735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2733</v>
      </c>
      <c r="E697" s="279" t="s">
        <v>2736</v>
      </c>
      <c r="F697" s="279" t="s">
        <v>2737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2512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1579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1621</v>
      </c>
      <c r="E700" s="279" t="s">
        <v>1234</v>
      </c>
      <c r="F700" s="279" t="s">
        <v>1813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1621</v>
      </c>
      <c r="E701" s="279" t="s">
        <v>1764</v>
      </c>
      <c r="F701" s="279" t="s">
        <v>1763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2806</v>
      </c>
      <c r="E702" s="279" t="s">
        <v>2807</v>
      </c>
      <c r="F702" s="279" t="s">
        <v>2808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2806</v>
      </c>
      <c r="E703" s="279" t="s">
        <v>2809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1579</v>
      </c>
      <c r="E704" s="279" t="s">
        <v>1234</v>
      </c>
      <c r="F704" s="279" t="s">
        <v>1813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1579</v>
      </c>
      <c r="E705" s="279" t="s">
        <v>1761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1579</v>
      </c>
      <c r="E706" s="279" t="s">
        <v>1534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2723</v>
      </c>
      <c r="E707" s="279" t="s">
        <v>1234</v>
      </c>
      <c r="F707" s="279" t="s">
        <v>1813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2723</v>
      </c>
      <c r="E708" s="279" t="s">
        <v>1557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1621</v>
      </c>
      <c r="E709" s="279" t="s">
        <v>1302</v>
      </c>
      <c r="F709" s="279" t="s">
        <v>1301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1487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1621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2731</v>
      </c>
      <c r="E712" s="279" t="s">
        <v>1776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2731</v>
      </c>
      <c r="E713" s="279" t="s">
        <v>1807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2718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1627</v>
      </c>
      <c r="E715" s="279" t="s">
        <v>1804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2813</v>
      </c>
      <c r="E716" s="279" t="s">
        <v>2814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1781</v>
      </c>
      <c r="E717" s="279" t="s">
        <v>2741</v>
      </c>
      <c r="F717" s="279" t="s">
        <v>2740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1808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2723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2743</v>
      </c>
      <c r="E720" s="279" t="s">
        <v>1236</v>
      </c>
      <c r="F720" s="279" t="s">
        <v>1601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2743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2750</v>
      </c>
      <c r="E722" s="279" t="s">
        <v>2749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2784</v>
      </c>
      <c r="E723" s="279" t="s">
        <v>2785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1482</v>
      </c>
      <c r="E724" s="279" t="s">
        <v>2752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1534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2756</v>
      </c>
    </row>
    <row r="727" spans="1:14" x14ac:dyDescent="0.3">
      <c r="A727" s="282">
        <v>726</v>
      </c>
      <c r="B727" s="272">
        <v>45832</v>
      </c>
      <c r="C727" s="279" t="s">
        <v>1621</v>
      </c>
      <c r="E727" s="279" t="s">
        <v>2264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1621</v>
      </c>
      <c r="E728" s="279" t="s">
        <v>2265</v>
      </c>
      <c r="F728" s="279" t="s">
        <v>1870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2810</v>
      </c>
      <c r="E729" s="279" t="s">
        <v>2807</v>
      </c>
      <c r="F729" s="279" t="s">
        <v>2808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2810</v>
      </c>
      <c r="E730" s="279" t="s">
        <v>2811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2759</v>
      </c>
      <c r="E731" s="279" t="s">
        <v>1534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1781</v>
      </c>
      <c r="E732" s="279" t="s">
        <v>2270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1579</v>
      </c>
      <c r="E733" s="279" t="s">
        <v>2265</v>
      </c>
      <c r="F733" s="279" t="s">
        <v>1870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2264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2265</v>
      </c>
      <c r="F735" s="279" t="s">
        <v>1870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1622</v>
      </c>
      <c r="F736" s="279" t="s">
        <v>1998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1969</v>
      </c>
      <c r="E737" s="279" t="s">
        <v>1234</v>
      </c>
      <c r="F737" s="279" t="s">
        <v>1813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2782</v>
      </c>
      <c r="E738" s="279" t="s">
        <v>2783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2771</v>
      </c>
      <c r="E739" s="279" t="s">
        <v>2386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1639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1627</v>
      </c>
      <c r="E742" s="279" t="s">
        <v>1804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2771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2759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2801</v>
      </c>
      <c r="E745" s="279" t="s">
        <v>2802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2795</v>
      </c>
      <c r="E746" s="279" t="s">
        <v>2796</v>
      </c>
      <c r="F746" s="279" t="s">
        <v>2797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1781</v>
      </c>
      <c r="E747" s="279" t="s">
        <v>2798</v>
      </c>
      <c r="F747" s="279" t="s">
        <v>1862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1437</v>
      </c>
      <c r="E748" s="279" t="s">
        <v>2264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1437</v>
      </c>
      <c r="E749" s="279" t="s">
        <v>2265</v>
      </c>
      <c r="F749" s="279" t="s">
        <v>1870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1437</v>
      </c>
      <c r="E751" s="279" t="s">
        <v>1761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2804</v>
      </c>
      <c r="E752" s="279" t="s">
        <v>2805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2812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2618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2591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1437</v>
      </c>
      <c r="E756" s="279" t="s">
        <v>2377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2286</v>
      </c>
      <c r="F757" s="279" t="s">
        <v>2031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2265</v>
      </c>
      <c r="F758" s="279" t="s">
        <v>1870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2821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1416</v>
      </c>
      <c r="E760" s="279" t="s">
        <v>1776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1416</v>
      </c>
      <c r="E761" s="279" t="s">
        <v>1930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3077</v>
      </c>
      <c r="E762" s="279" t="s">
        <v>3085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2264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2265</v>
      </c>
      <c r="F764" s="279" t="s">
        <v>1870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1618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1511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1781</v>
      </c>
      <c r="E768" s="279" t="s">
        <v>1599</v>
      </c>
      <c r="F768" s="279" t="s">
        <v>2838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1511</v>
      </c>
      <c r="E769" s="279" t="s">
        <v>2280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1627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2379</v>
      </c>
      <c r="E771" s="279" t="s">
        <v>1805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2750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2865</v>
      </c>
      <c r="E773" s="279" t="s">
        <v>2866</v>
      </c>
      <c r="F773" s="279" t="s">
        <v>2867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2855</v>
      </c>
      <c r="F774" s="279" t="s">
        <v>2854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2861</v>
      </c>
      <c r="E775" s="279" t="s">
        <v>2862</v>
      </c>
      <c r="F775" s="279" t="s">
        <v>2863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1482</v>
      </c>
      <c r="E776" s="279" t="s">
        <v>2264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1482</v>
      </c>
      <c r="E777" s="279" t="s">
        <v>2265</v>
      </c>
      <c r="F777" s="279" t="s">
        <v>1870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1781</v>
      </c>
      <c r="E778" s="279" t="s">
        <v>2272</v>
      </c>
      <c r="F778" s="279" t="s">
        <v>1295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2056</v>
      </c>
      <c r="E779" s="279" t="s">
        <v>2264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2056</v>
      </c>
      <c r="E780" s="279" t="s">
        <v>2265</v>
      </c>
      <c r="F780" s="279" t="s">
        <v>1870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1505</v>
      </c>
      <c r="E781" s="279" t="s">
        <v>2262</v>
      </c>
      <c r="F781" s="279" t="s">
        <v>1502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2846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1969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2379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1579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1618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1621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2871</v>
      </c>
      <c r="E789" s="279" t="s">
        <v>2872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1416</v>
      </c>
      <c r="E790" s="279" t="s">
        <v>2870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2874</v>
      </c>
      <c r="E792" s="279" t="s">
        <v>2873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1517</v>
      </c>
      <c r="E793" s="279" t="s">
        <v>1805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1621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1410</v>
      </c>
      <c r="E795" s="279" t="s">
        <v>1807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2879</v>
      </c>
      <c r="E796" s="279" t="s">
        <v>2881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1437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1437</v>
      </c>
      <c r="E798" s="279" t="s">
        <v>2882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2883</v>
      </c>
      <c r="E799" s="279" t="s">
        <v>2432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1482</v>
      </c>
      <c r="E800" s="279" t="s">
        <v>1761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1482</v>
      </c>
      <c r="E801" s="279" t="s">
        <v>2889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2883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2056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2892</v>
      </c>
      <c r="E804" s="279" t="s">
        <v>2386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2894</v>
      </c>
      <c r="E805" s="279" t="s">
        <v>1234</v>
      </c>
      <c r="F805" s="279" t="s">
        <v>1813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2894</v>
      </c>
      <c r="E806" s="279" t="s">
        <v>2899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1621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1621</v>
      </c>
      <c r="E808" s="279" t="s">
        <v>1302</v>
      </c>
      <c r="F808" s="279" t="s">
        <v>1301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2036</v>
      </c>
      <c r="E809" s="279" t="s">
        <v>2264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2036</v>
      </c>
      <c r="E810" s="279" t="s">
        <v>2265</v>
      </c>
      <c r="F810" s="279" t="s">
        <v>1870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2036</v>
      </c>
      <c r="E811" s="279" t="s">
        <v>2266</v>
      </c>
      <c r="F811" s="279" t="s">
        <v>2302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2036</v>
      </c>
      <c r="E812" s="279" t="s">
        <v>2267</v>
      </c>
      <c r="F812" s="279" t="s">
        <v>1779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3096</v>
      </c>
      <c r="E813" s="279" t="s">
        <v>3097</v>
      </c>
      <c r="F813" s="279" t="s">
        <v>3098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2264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2265</v>
      </c>
      <c r="F815" s="279" t="s">
        <v>1870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2874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2915</v>
      </c>
      <c r="E817" s="279" t="s">
        <v>1599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1876</v>
      </c>
      <c r="E818" s="279" t="s">
        <v>1534</v>
      </c>
      <c r="F818" s="279" t="s">
        <v>2820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2348</v>
      </c>
      <c r="E819" s="279" t="s">
        <v>1234</v>
      </c>
      <c r="F819" s="279" t="s">
        <v>1813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2922</v>
      </c>
      <c r="E820" s="279" t="s">
        <v>2923</v>
      </c>
      <c r="F820" s="279" t="s">
        <v>2924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2915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2348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2036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2925</v>
      </c>
      <c r="E824" s="279" t="s">
        <v>2926</v>
      </c>
      <c r="F824" s="279" t="s">
        <v>2927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2925</v>
      </c>
      <c r="E825" s="279" t="s">
        <v>2928</v>
      </c>
      <c r="F825" s="279" t="s">
        <v>2929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2932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2882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1639</v>
      </c>
      <c r="E829" s="279" t="s">
        <v>1234</v>
      </c>
      <c r="F829" s="279" t="s">
        <v>1813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1621</v>
      </c>
      <c r="E830" s="279" t="s">
        <v>1764</v>
      </c>
      <c r="F830" s="279" t="s">
        <v>1763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3077</v>
      </c>
      <c r="E831" s="279" t="s">
        <v>3078</v>
      </c>
      <c r="F831" s="279" t="s">
        <v>3079</v>
      </c>
      <c r="G831" s="274">
        <v>1500000</v>
      </c>
      <c r="H831" s="279">
        <v>1</v>
      </c>
      <c r="J831" s="275" t="s">
        <v>3080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1813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2892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1511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1876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1639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1781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1579</v>
      </c>
      <c r="E838" s="279" t="s">
        <v>1234</v>
      </c>
      <c r="F838" s="279" t="s">
        <v>1813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1579</v>
      </c>
      <c r="E839" s="279" t="s">
        <v>1534</v>
      </c>
      <c r="F839" s="279" t="s">
        <v>2820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1482</v>
      </c>
      <c r="E841" s="279" t="s">
        <v>1543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1482</v>
      </c>
      <c r="E842" s="279" t="s">
        <v>1544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1517</v>
      </c>
      <c r="E843" s="279" t="s">
        <v>2520</v>
      </c>
      <c r="F843" s="279" t="s">
        <v>2900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2949</v>
      </c>
      <c r="E844" s="279" t="s">
        <v>2264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2949</v>
      </c>
      <c r="E845" s="279" t="s">
        <v>2265</v>
      </c>
      <c r="F845" s="279" t="s">
        <v>1870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2718</v>
      </c>
      <c r="E846" s="279" t="s">
        <v>2264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2718</v>
      </c>
      <c r="E847" s="279" t="s">
        <v>2265</v>
      </c>
      <c r="F847" s="279" t="s">
        <v>1870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2943</v>
      </c>
      <c r="E848" s="279" t="s">
        <v>2264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2943</v>
      </c>
      <c r="E849" s="279" t="s">
        <v>2265</v>
      </c>
      <c r="F849" s="279" t="s">
        <v>1870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2502</v>
      </c>
      <c r="F850" s="279" t="s">
        <v>2501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2515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1945</v>
      </c>
      <c r="E852" s="279" t="s">
        <v>2270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1482</v>
      </c>
      <c r="E853" s="279" t="s">
        <v>2271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1482</v>
      </c>
      <c r="E854" s="279" t="s">
        <v>2274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1781</v>
      </c>
      <c r="E855" s="279" t="s">
        <v>2959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2943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2949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1945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1781</v>
      </c>
      <c r="E859" s="279" t="s">
        <v>2961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1621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1437</v>
      </c>
      <c r="E861" s="279" t="s">
        <v>1804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1437</v>
      </c>
      <c r="E862" s="279" t="s">
        <v>2271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1437</v>
      </c>
      <c r="E863" s="279" t="s">
        <v>2272</v>
      </c>
      <c r="F863" s="279" t="s">
        <v>1295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1437</v>
      </c>
      <c r="E864" s="279" t="s">
        <v>2276</v>
      </c>
      <c r="F864" s="279" t="s">
        <v>1892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1437</v>
      </c>
      <c r="E865" s="279" t="s">
        <v>2275</v>
      </c>
      <c r="F865" s="279" t="s">
        <v>1862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2949</v>
      </c>
      <c r="E866" s="279" t="s">
        <v>2965</v>
      </c>
      <c r="F866" s="279" t="s">
        <v>2964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2949</v>
      </c>
      <c r="E867" s="279" t="s">
        <v>2267</v>
      </c>
      <c r="F867" s="279" t="s">
        <v>1779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1579</v>
      </c>
      <c r="E868" s="279" t="s">
        <v>1234</v>
      </c>
      <c r="F868" s="279" t="s">
        <v>1813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1579</v>
      </c>
      <c r="E869" s="279" t="s">
        <v>1534</v>
      </c>
      <c r="F869" s="279" t="s">
        <v>2820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1876</v>
      </c>
      <c r="E870" s="279" t="s">
        <v>1828</v>
      </c>
      <c r="F870" s="279" t="s">
        <v>1830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1876</v>
      </c>
      <c r="E871" s="279" t="s">
        <v>1828</v>
      </c>
      <c r="F871" s="279" t="s">
        <v>1827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2969</v>
      </c>
      <c r="E872" s="279" t="s">
        <v>1796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2974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1627</v>
      </c>
      <c r="E874" s="279" t="s">
        <v>1234</v>
      </c>
      <c r="F874" s="279" t="s">
        <v>1813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1618</v>
      </c>
      <c r="E875" s="279" t="s">
        <v>2270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1618</v>
      </c>
      <c r="E876" s="279" t="s">
        <v>2274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1618</v>
      </c>
      <c r="E877" s="279" t="s">
        <v>2275</v>
      </c>
      <c r="F877" s="279" t="s">
        <v>1862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1618</v>
      </c>
      <c r="E878" s="279" t="s">
        <v>1557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1618</v>
      </c>
      <c r="E879" s="279" t="s">
        <v>2271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1813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2718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2949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1437</v>
      </c>
      <c r="E883" s="279" t="s">
        <v>1804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2512</v>
      </c>
      <c r="E884" s="279" t="s">
        <v>2103</v>
      </c>
      <c r="F884" s="279" t="s">
        <v>1251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2345</v>
      </c>
      <c r="E885" s="279" t="s">
        <v>2267</v>
      </c>
      <c r="F885" s="279" t="s">
        <v>1779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1482</v>
      </c>
      <c r="E886" s="279" t="s">
        <v>2264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1482</v>
      </c>
      <c r="E887" s="279" t="s">
        <v>2265</v>
      </c>
      <c r="F887" s="279" t="s">
        <v>1870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1781</v>
      </c>
      <c r="E888" s="279" t="s">
        <v>2417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1808</v>
      </c>
      <c r="E889" s="279" t="s">
        <v>2386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1808</v>
      </c>
      <c r="E890" s="279" t="s">
        <v>1557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2345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2969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1627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2512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2874</v>
      </c>
      <c r="E895" s="279" t="s">
        <v>2271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2874</v>
      </c>
      <c r="E896" s="279" t="s">
        <v>2274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2874</v>
      </c>
      <c r="E897" s="279" t="s">
        <v>1977</v>
      </c>
      <c r="F897" s="279" t="s">
        <v>1976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2406</v>
      </c>
      <c r="E898" s="279" t="s">
        <v>2996</v>
      </c>
      <c r="F898" s="279" t="s">
        <v>2068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1437</v>
      </c>
      <c r="E899" s="279" t="s">
        <v>2185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2280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1813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3000</v>
      </c>
      <c r="F902" s="279" t="s">
        <v>2902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2515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1618</v>
      </c>
      <c r="E905" s="279" t="s">
        <v>3008</v>
      </c>
      <c r="F905" s="279" t="s">
        <v>3007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1618</v>
      </c>
      <c r="E906" s="279" t="s">
        <v>3010</v>
      </c>
      <c r="F906" s="279" t="s">
        <v>3006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1621</v>
      </c>
      <c r="E907" s="279" t="s">
        <v>2264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1621</v>
      </c>
      <c r="E908" s="279" t="s">
        <v>2265</v>
      </c>
      <c r="F908" s="279" t="s">
        <v>1870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1437</v>
      </c>
      <c r="E909" s="279" t="s">
        <v>1804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1496</v>
      </c>
      <c r="E910" s="279" t="s">
        <v>2901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1487</v>
      </c>
      <c r="E911" s="279" t="s">
        <v>1573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1627</v>
      </c>
      <c r="E912" s="279" t="s">
        <v>1234</v>
      </c>
      <c r="F912" s="279" t="s">
        <v>1813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1627</v>
      </c>
      <c r="E913" s="279" t="s">
        <v>1534</v>
      </c>
      <c r="F913" s="279" t="s">
        <v>2820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1627</v>
      </c>
      <c r="E914" s="279" t="s">
        <v>1797</v>
      </c>
      <c r="F914" s="279" t="s">
        <v>2994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1627</v>
      </c>
      <c r="E915" s="279" t="s">
        <v>2993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3021</v>
      </c>
      <c r="E916" s="279" t="s">
        <v>3022</v>
      </c>
      <c r="F916" s="279" t="s">
        <v>3023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3021</v>
      </c>
      <c r="E917" s="279" t="s">
        <v>3024</v>
      </c>
      <c r="F917" s="279" t="s">
        <v>3025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3028</v>
      </c>
      <c r="E918" s="279" t="s">
        <v>3029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3019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1487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1639</v>
      </c>
      <c r="E921" s="279" t="s">
        <v>3026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2406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1639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2874</v>
      </c>
      <c r="E924" s="279" t="s">
        <v>2270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3032</v>
      </c>
      <c r="E925" s="279" t="s">
        <v>3033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1627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3081</v>
      </c>
      <c r="E927" s="279" t="s">
        <v>3082</v>
      </c>
      <c r="G927" s="274">
        <v>1750000</v>
      </c>
      <c r="H927" s="279">
        <v>1</v>
      </c>
      <c r="J927" s="275" t="s">
        <v>3083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3042</v>
      </c>
      <c r="E928" s="279" t="s">
        <v>2483</v>
      </c>
      <c r="F928" s="279" t="s">
        <v>3045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1437</v>
      </c>
      <c r="E929" s="279" t="s">
        <v>1804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2512</v>
      </c>
      <c r="E930" s="279" t="s">
        <v>2103</v>
      </c>
      <c r="F930" s="279" t="s">
        <v>1251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3086</v>
      </c>
    </row>
    <row r="931" spans="1:13" x14ac:dyDescent="0.3">
      <c r="A931" s="282">
        <v>930</v>
      </c>
      <c r="B931" s="272">
        <v>45852</v>
      </c>
      <c r="C931" s="279" t="s">
        <v>2406</v>
      </c>
      <c r="E931" s="279" t="s">
        <v>2996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1639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1482</v>
      </c>
      <c r="E933" s="279" t="s">
        <v>2264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1482</v>
      </c>
      <c r="E934" s="279" t="s">
        <v>2265</v>
      </c>
      <c r="F934" s="279" t="s">
        <v>1870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1639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2406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3081</v>
      </c>
      <c r="E937" s="279" t="s">
        <v>3084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2512</v>
      </c>
      <c r="E938" s="279" t="s">
        <v>2264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2512</v>
      </c>
      <c r="E939" s="279" t="s">
        <v>2265</v>
      </c>
      <c r="F939" s="279" t="s">
        <v>1870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3066</v>
      </c>
      <c r="E941" s="279" t="s">
        <v>2264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3066</v>
      </c>
      <c r="E942" s="279" t="s">
        <v>2265</v>
      </c>
      <c r="F942" s="279" t="s">
        <v>1870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3066</v>
      </c>
      <c r="E943" s="279" t="s">
        <v>2266</v>
      </c>
      <c r="F943" s="279" t="s">
        <v>2302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2406</v>
      </c>
      <c r="E944" s="279" t="s">
        <v>2262</v>
      </c>
      <c r="F944" s="279" t="s">
        <v>1502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3134</v>
      </c>
      <c r="E945" s="279" t="s">
        <v>3135</v>
      </c>
      <c r="F945" s="279" t="s">
        <v>3136</v>
      </c>
      <c r="G945" s="274">
        <v>1500000</v>
      </c>
      <c r="H945" s="279">
        <v>1</v>
      </c>
      <c r="J945" s="275" t="s">
        <v>3080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1776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1494</v>
      </c>
      <c r="E947" s="279" t="s">
        <v>1776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3060</v>
      </c>
      <c r="E948" s="279" t="s">
        <v>2280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3060</v>
      </c>
      <c r="E949" s="279" t="s">
        <v>3074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1781</v>
      </c>
      <c r="E950" s="279" t="s">
        <v>2855</v>
      </c>
      <c r="F950" s="279" t="s">
        <v>2854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3066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2406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2512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2379</v>
      </c>
      <c r="E954" s="279" t="s">
        <v>2271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2379</v>
      </c>
      <c r="E955" s="279" t="s">
        <v>2274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1872</v>
      </c>
      <c r="E956" s="279" t="s">
        <v>3090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1725</v>
      </c>
      <c r="E957" s="279" t="s">
        <v>2264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1725</v>
      </c>
      <c r="E958" s="279" t="s">
        <v>2265</v>
      </c>
      <c r="F958" s="279" t="s">
        <v>1870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3093</v>
      </c>
      <c r="E959" s="279" t="s">
        <v>2264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2379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3093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1505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3060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3042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2182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3099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3100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3104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1505</v>
      </c>
      <c r="E970" s="279" t="s">
        <v>3106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2750</v>
      </c>
      <c r="E971" s="279" t="s">
        <v>2377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1437</v>
      </c>
      <c r="E972" s="279" t="s">
        <v>2264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1487</v>
      </c>
      <c r="E973" s="279" t="s">
        <v>2271</v>
      </c>
      <c r="F973" s="279" t="s">
        <v>1238</v>
      </c>
      <c r="G973" s="274">
        <v>510000</v>
      </c>
      <c r="H973" s="279">
        <v>1</v>
      </c>
      <c r="K973" s="274">
        <v>510000</v>
      </c>
    </row>
    <row r="974" spans="1:12" x14ac:dyDescent="0.3">
      <c r="A974" s="282">
        <v>973</v>
      </c>
      <c r="B974" s="272">
        <v>45856</v>
      </c>
      <c r="C974" s="279" t="s">
        <v>1487</v>
      </c>
      <c r="E974" s="279" t="s">
        <v>2274</v>
      </c>
      <c r="F974" s="279">
        <v>50229</v>
      </c>
      <c r="G974" s="274">
        <v>70000</v>
      </c>
      <c r="H974" s="279">
        <v>1</v>
      </c>
      <c r="K974" s="274">
        <v>70000</v>
      </c>
    </row>
    <row r="975" spans="1:12" x14ac:dyDescent="0.3">
      <c r="A975" s="282">
        <v>974</v>
      </c>
      <c r="B975" s="272">
        <v>45856</v>
      </c>
      <c r="C975" s="279" t="s">
        <v>3115</v>
      </c>
      <c r="E975" s="279" t="s">
        <v>2264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3115</v>
      </c>
      <c r="E976" s="279" t="s">
        <v>3118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1517</v>
      </c>
      <c r="E977" s="279" t="s">
        <v>3120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3122</v>
      </c>
      <c r="E978" s="279" t="s">
        <v>1599</v>
      </c>
      <c r="F978" s="279" t="s">
        <v>1258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3122</v>
      </c>
      <c r="E979" s="279" t="s">
        <v>3123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1922</v>
      </c>
      <c r="E980" s="279" t="s">
        <v>2271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2056</v>
      </c>
      <c r="E981" s="279" t="s">
        <v>1234</v>
      </c>
      <c r="F981" s="279" t="s">
        <v>1813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2056</v>
      </c>
      <c r="E982" s="279" t="s">
        <v>1234</v>
      </c>
      <c r="F982" s="279" t="s">
        <v>1813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3122</v>
      </c>
      <c r="E983" s="279" t="s">
        <v>3131</v>
      </c>
      <c r="F983" s="279" t="s">
        <v>1258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3115</v>
      </c>
      <c r="E984" s="279" t="s">
        <v>3131</v>
      </c>
      <c r="L984" s="274">
        <v>-1800000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/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45856</v>
      </c>
      <c r="B3" s="242" t="s">
        <v>1155</v>
      </c>
      <c r="C3" s="243">
        <f>SUMIF($B:$B,A3,I:I)</f>
        <v>6790000</v>
      </c>
      <c r="D3" s="244" t="s">
        <v>1144</v>
      </c>
      <c r="E3" s="243">
        <f ca="1">SUMIF($B:$B,TODAY(),E:E)</f>
        <v>0</v>
      </c>
      <c r="F3" s="254" t="s">
        <v>2638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98431500</v>
      </c>
      <c r="D4" s="245"/>
      <c r="E4" s="249"/>
      <c r="F4" s="254" t="s">
        <v>2639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98431500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1741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2874</v>
      </c>
      <c r="D11" s="119" t="s">
        <v>2873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1517</v>
      </c>
      <c r="D12" s="119" t="s">
        <v>1805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1621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1410</v>
      </c>
      <c r="D14" s="119" t="s">
        <v>1807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1505</v>
      </c>
      <c r="D15" s="119" t="s">
        <v>2880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1437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1437</v>
      </c>
      <c r="D17" s="119" t="s">
        <v>2882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2883</v>
      </c>
      <c r="D18" s="119" t="s">
        <v>2432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1482</v>
      </c>
      <c r="D19" s="119" t="s">
        <v>1761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1482</v>
      </c>
      <c r="D20" s="119" t="s">
        <v>2908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2883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2056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2892</v>
      </c>
      <c r="D23" s="119" t="s">
        <v>2386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2894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2894</v>
      </c>
      <c r="D25" s="119" t="s">
        <v>2899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1621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1621</v>
      </c>
      <c r="D27" s="119" t="s">
        <v>1302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2036</v>
      </c>
      <c r="D28" s="119" t="s">
        <v>2264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2036</v>
      </c>
      <c r="D29" s="119" t="s">
        <v>2265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2036</v>
      </c>
      <c r="D30" s="119" t="s">
        <v>2266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2036</v>
      </c>
      <c r="D31" s="119" t="s">
        <v>2267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2182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2264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2265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2874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2915</v>
      </c>
      <c r="D36" s="120" t="s">
        <v>1599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1876</v>
      </c>
      <c r="D37" s="120" t="s">
        <v>1534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2348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1621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2915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2348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2036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2932</v>
      </c>
      <c r="D43" s="119" t="s">
        <v>2264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2932</v>
      </c>
      <c r="D44" s="119" t="s">
        <v>2265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2932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2882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1639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1621</v>
      </c>
      <c r="D49" s="120" t="s">
        <v>1764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1505</v>
      </c>
      <c r="D50" s="120" t="s">
        <v>2935</v>
      </c>
      <c r="F50" s="127">
        <v>1500000</v>
      </c>
      <c r="G50" s="88">
        <v>1</v>
      </c>
      <c r="H50" s="133" t="s">
        <v>3080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2892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1511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1876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1639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1781</v>
      </c>
      <c r="D56" s="120" t="s">
        <v>1154</v>
      </c>
      <c r="J56" s="83">
        <v>-10000000</v>
      </c>
    </row>
    <row r="57" spans="1:10" ht="18" customHeight="1" x14ac:dyDescent="0.3">
      <c r="A57" s="85">
        <v>840</v>
      </c>
      <c r="B57" s="97">
        <v>45843</v>
      </c>
      <c r="C57" s="86" t="s">
        <v>1579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841</v>
      </c>
      <c r="B58" s="97">
        <v>45843</v>
      </c>
      <c r="C58" s="86" t="s">
        <v>1579</v>
      </c>
      <c r="D58" s="120" t="s">
        <v>1534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842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843</v>
      </c>
      <c r="B60" s="97">
        <v>45845</v>
      </c>
      <c r="C60" s="86" t="s">
        <v>1482</v>
      </c>
      <c r="D60" s="120" t="s">
        <v>1543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844</v>
      </c>
      <c r="B61" s="97">
        <v>45845</v>
      </c>
      <c r="C61" s="86" t="s">
        <v>1482</v>
      </c>
      <c r="D61" s="120" t="s">
        <v>1544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845</v>
      </c>
      <c r="B62" s="97">
        <v>45845</v>
      </c>
      <c r="C62" s="86" t="s">
        <v>1517</v>
      </c>
      <c r="D62" s="120" t="s">
        <v>2520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846</v>
      </c>
      <c r="B63" s="97">
        <v>45845</v>
      </c>
      <c r="C63" s="86" t="s">
        <v>2949</v>
      </c>
      <c r="D63" s="120" t="s">
        <v>2264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847</v>
      </c>
      <c r="B64" s="97">
        <v>45845</v>
      </c>
      <c r="C64" s="86" t="s">
        <v>2949</v>
      </c>
      <c r="D64" s="120" t="s">
        <v>2265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848</v>
      </c>
      <c r="B65" s="97">
        <v>45845</v>
      </c>
      <c r="C65" s="86" t="s">
        <v>2718</v>
      </c>
      <c r="D65" s="120" t="s">
        <v>2264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849</v>
      </c>
      <c r="B66" s="97">
        <v>45845</v>
      </c>
      <c r="C66" s="86" t="s">
        <v>2718</v>
      </c>
      <c r="D66" s="120" t="s">
        <v>2265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850</v>
      </c>
      <c r="B67" s="97">
        <v>45845</v>
      </c>
      <c r="C67" s="86" t="s">
        <v>2943</v>
      </c>
      <c r="D67" s="120" t="s">
        <v>2264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851</v>
      </c>
      <c r="B68" s="97">
        <v>45845</v>
      </c>
      <c r="C68" s="86" t="s">
        <v>2943</v>
      </c>
      <c r="D68" s="120" t="s">
        <v>2265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852</v>
      </c>
      <c r="B69" s="97">
        <v>45845</v>
      </c>
      <c r="C69" s="86" t="s">
        <v>1176</v>
      </c>
      <c r="D69" s="120" t="s">
        <v>2502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853</v>
      </c>
      <c r="B70" s="97">
        <v>45845</v>
      </c>
      <c r="C70" s="86" t="s">
        <v>1176</v>
      </c>
      <c r="D70" s="120" t="s">
        <v>2515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854</v>
      </c>
      <c r="B71" s="97">
        <v>45845</v>
      </c>
      <c r="C71" s="86" t="s">
        <v>1945</v>
      </c>
      <c r="D71" s="120" t="s">
        <v>2270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855</v>
      </c>
      <c r="B72" s="97">
        <v>45845</v>
      </c>
      <c r="C72" s="86" t="s">
        <v>1482</v>
      </c>
      <c r="D72" s="120" t="s">
        <v>2271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856</v>
      </c>
      <c r="B73" s="97">
        <v>45845</v>
      </c>
      <c r="C73" s="86" t="s">
        <v>1482</v>
      </c>
      <c r="D73" s="120" t="s">
        <v>2274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857</v>
      </c>
      <c r="B74" s="97">
        <v>45845</v>
      </c>
      <c r="C74" s="86" t="s">
        <v>1781</v>
      </c>
      <c r="D74" s="120" t="s">
        <v>2959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858</v>
      </c>
      <c r="B75" s="97">
        <v>45845</v>
      </c>
      <c r="C75" s="86" t="s">
        <v>2943</v>
      </c>
      <c r="D75" s="120" t="s">
        <v>1154</v>
      </c>
      <c r="J75" s="83">
        <v>-1550000</v>
      </c>
    </row>
    <row r="76" spans="1:10" ht="18" customHeight="1" x14ac:dyDescent="0.3">
      <c r="A76" s="85">
        <v>859</v>
      </c>
      <c r="B76" s="97">
        <v>45845</v>
      </c>
      <c r="C76" s="86" t="s">
        <v>2949</v>
      </c>
      <c r="D76" s="120" t="s">
        <v>1154</v>
      </c>
      <c r="J76" s="83">
        <v>-1550000</v>
      </c>
    </row>
    <row r="77" spans="1:10" ht="18" customHeight="1" x14ac:dyDescent="0.3">
      <c r="A77" s="85">
        <v>860</v>
      </c>
      <c r="B77" s="97">
        <v>45845</v>
      </c>
      <c r="C77" s="86" t="s">
        <v>1945</v>
      </c>
      <c r="D77" s="120" t="s">
        <v>1154</v>
      </c>
      <c r="J77" s="83">
        <v>-900000</v>
      </c>
    </row>
    <row r="78" spans="1:10" ht="18" customHeight="1" x14ac:dyDescent="0.3">
      <c r="A78" s="85">
        <v>861</v>
      </c>
      <c r="B78" s="97">
        <v>45845</v>
      </c>
      <c r="C78" s="86" t="s">
        <v>1781</v>
      </c>
      <c r="D78" s="120" t="s">
        <v>2961</v>
      </c>
      <c r="J78" s="83">
        <v>-1870000</v>
      </c>
    </row>
    <row r="79" spans="1:10" ht="18" customHeight="1" x14ac:dyDescent="0.3">
      <c r="A79" s="85">
        <v>862</v>
      </c>
      <c r="B79" s="97">
        <v>45846</v>
      </c>
      <c r="C79" s="86" t="s">
        <v>1621</v>
      </c>
      <c r="D79" s="120" t="s">
        <v>1154</v>
      </c>
      <c r="J79" s="83">
        <v>-1375000</v>
      </c>
    </row>
    <row r="80" spans="1:10" ht="18" customHeight="1" x14ac:dyDescent="0.3">
      <c r="A80" s="85">
        <v>863</v>
      </c>
      <c r="B80" s="97">
        <v>45846</v>
      </c>
      <c r="C80" s="86" t="s">
        <v>1437</v>
      </c>
      <c r="D80" s="120" t="s">
        <v>1804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864</v>
      </c>
      <c r="B81" s="97">
        <v>45846</v>
      </c>
      <c r="C81" s="86" t="s">
        <v>1437</v>
      </c>
      <c r="D81" s="120" t="s">
        <v>2271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865</v>
      </c>
      <c r="B82" s="97">
        <v>45846</v>
      </c>
      <c r="C82" s="86" t="s">
        <v>1437</v>
      </c>
      <c r="D82" s="120" t="s">
        <v>2272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866</v>
      </c>
      <c r="B83" s="97">
        <v>45846</v>
      </c>
      <c r="C83" s="86" t="s">
        <v>1437</v>
      </c>
      <c r="D83" s="120" t="s">
        <v>2276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867</v>
      </c>
      <c r="B84" s="97">
        <v>45846</v>
      </c>
      <c r="C84" s="86" t="s">
        <v>1437</v>
      </c>
      <c r="D84" s="120" t="s">
        <v>2275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868</v>
      </c>
      <c r="B85" s="97">
        <v>45846</v>
      </c>
      <c r="C85" s="86" t="s">
        <v>2949</v>
      </c>
      <c r="D85" s="120" t="s">
        <v>2965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869</v>
      </c>
      <c r="B86" s="97">
        <v>45846</v>
      </c>
      <c r="C86" s="86" t="s">
        <v>2949</v>
      </c>
      <c r="D86" s="120" t="s">
        <v>2267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870</v>
      </c>
      <c r="B87" s="97">
        <v>45846</v>
      </c>
      <c r="C87" s="86" t="s">
        <v>1579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871</v>
      </c>
      <c r="B88" s="97">
        <v>45846</v>
      </c>
      <c r="C88" s="86" t="s">
        <v>1579</v>
      </c>
      <c r="D88" s="120" t="s">
        <v>1534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872</v>
      </c>
      <c r="B89" s="97">
        <v>45846</v>
      </c>
      <c r="C89" s="86" t="s">
        <v>1876</v>
      </c>
      <c r="D89" s="120" t="s">
        <v>1828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873</v>
      </c>
      <c r="B90" s="97">
        <v>45846</v>
      </c>
      <c r="C90" s="86" t="s">
        <v>1876</v>
      </c>
      <c r="D90" s="120" t="s">
        <v>1828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874</v>
      </c>
      <c r="B91" s="97">
        <v>45846</v>
      </c>
      <c r="C91" s="86" t="s">
        <v>2969</v>
      </c>
      <c r="D91" s="120" t="s">
        <v>1796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875</v>
      </c>
      <c r="B92" s="97">
        <v>45846</v>
      </c>
      <c r="C92" s="86" t="s">
        <v>1024</v>
      </c>
      <c r="D92" s="120" t="s">
        <v>2974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876</v>
      </c>
      <c r="B93" s="97">
        <v>45846</v>
      </c>
      <c r="C93" s="86" t="s">
        <v>1627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877</v>
      </c>
      <c r="B94" s="97">
        <v>45846</v>
      </c>
      <c r="C94" s="86" t="s">
        <v>1618</v>
      </c>
      <c r="D94" s="120" t="s">
        <v>2270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878</v>
      </c>
      <c r="B95" s="97">
        <v>45846</v>
      </c>
      <c r="C95" s="86" t="s">
        <v>1618</v>
      </c>
      <c r="D95" s="120" t="s">
        <v>2274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879</v>
      </c>
      <c r="B96" s="97">
        <v>45846</v>
      </c>
      <c r="C96" s="86" t="s">
        <v>1618</v>
      </c>
      <c r="D96" s="120" t="s">
        <v>2275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880</v>
      </c>
      <c r="B97" s="97">
        <v>45846</v>
      </c>
      <c r="C97" s="86" t="s">
        <v>1618</v>
      </c>
      <c r="D97" s="120" t="s">
        <v>1557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881</v>
      </c>
      <c r="B98" s="97">
        <v>45846</v>
      </c>
      <c r="C98" s="86" t="s">
        <v>1618</v>
      </c>
      <c r="D98" s="120" t="s">
        <v>2271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882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883</v>
      </c>
      <c r="B100" s="97">
        <v>45846</v>
      </c>
      <c r="C100" s="86" t="s">
        <v>2718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884</v>
      </c>
      <c r="B101" s="97">
        <v>45846</v>
      </c>
      <c r="C101" s="86" t="s">
        <v>2949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885</v>
      </c>
      <c r="B102" s="97">
        <v>45847</v>
      </c>
      <c r="C102" s="86" t="s">
        <v>1437</v>
      </c>
      <c r="D102" s="120" t="s">
        <v>1804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886</v>
      </c>
      <c r="B103" s="97">
        <v>45847</v>
      </c>
      <c r="C103" s="86" t="s">
        <v>2512</v>
      </c>
      <c r="D103" s="120" t="s">
        <v>2103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887</v>
      </c>
      <c r="B104" s="97">
        <v>45847</v>
      </c>
      <c r="C104" s="86" t="s">
        <v>2345</v>
      </c>
      <c r="D104" s="120" t="s">
        <v>2267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888</v>
      </c>
      <c r="B105" s="97">
        <v>45847</v>
      </c>
      <c r="C105" s="86" t="s">
        <v>1482</v>
      </c>
      <c r="D105" s="120" t="s">
        <v>2264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889</v>
      </c>
      <c r="B106" s="97">
        <v>45847</v>
      </c>
      <c r="C106" s="86" t="s">
        <v>1482</v>
      </c>
      <c r="D106" s="120" t="s">
        <v>2265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890</v>
      </c>
      <c r="B107" s="97">
        <v>45847</v>
      </c>
      <c r="C107" s="86" t="s">
        <v>1781</v>
      </c>
      <c r="D107" s="120" t="s">
        <v>2417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891</v>
      </c>
      <c r="B108" s="97">
        <v>45847</v>
      </c>
      <c r="C108" s="86" t="s">
        <v>1808</v>
      </c>
      <c r="D108" s="120" t="s">
        <v>2386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892</v>
      </c>
      <c r="B109" s="97">
        <v>45847</v>
      </c>
      <c r="C109" s="86" t="s">
        <v>1808</v>
      </c>
      <c r="D109" s="120" t="s">
        <v>1557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893</v>
      </c>
      <c r="B110" s="97">
        <v>45847</v>
      </c>
      <c r="C110" s="86" t="s">
        <v>2345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893</v>
      </c>
      <c r="B111" s="97">
        <v>45847</v>
      </c>
      <c r="C111" s="86" t="s">
        <v>2969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894</v>
      </c>
      <c r="B112" s="97">
        <v>45848</v>
      </c>
      <c r="C112" s="86" t="s">
        <v>1627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895</v>
      </c>
      <c r="B113" s="97">
        <v>45848</v>
      </c>
      <c r="C113" s="86" t="s">
        <v>2512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896</v>
      </c>
      <c r="B114" s="97">
        <v>45848</v>
      </c>
      <c r="C114" s="86" t="s">
        <v>2874</v>
      </c>
      <c r="D114" s="120" t="s">
        <v>2271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897</v>
      </c>
      <c r="B115" s="97">
        <v>45848</v>
      </c>
      <c r="C115" s="86" t="s">
        <v>2874</v>
      </c>
      <c r="D115" s="120" t="s">
        <v>2274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898</v>
      </c>
      <c r="B116" s="97">
        <v>45848</v>
      </c>
      <c r="C116" s="86" t="s">
        <v>2874</v>
      </c>
      <c r="D116" s="120" t="s">
        <v>1977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899</v>
      </c>
      <c r="B117" s="97">
        <v>45848</v>
      </c>
      <c r="C117" s="86" t="s">
        <v>2406</v>
      </c>
      <c r="D117" s="120" t="s">
        <v>2996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900</v>
      </c>
      <c r="B118" s="97">
        <v>45848</v>
      </c>
      <c r="C118" s="86" t="s">
        <v>1437</v>
      </c>
      <c r="D118" s="120" t="s">
        <v>2185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901</v>
      </c>
      <c r="B119" s="97">
        <v>45848</v>
      </c>
      <c r="C119" s="86" t="s">
        <v>1035</v>
      </c>
      <c r="D119" s="120" t="s">
        <v>2280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902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903</v>
      </c>
      <c r="B121" s="97">
        <v>45848</v>
      </c>
      <c r="C121" s="86" t="s">
        <v>1024</v>
      </c>
      <c r="D121" s="120" t="s">
        <v>3000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904</v>
      </c>
      <c r="B122" s="97">
        <v>45848</v>
      </c>
      <c r="C122" s="86" t="s">
        <v>1024</v>
      </c>
      <c r="D122" s="120" t="s">
        <v>2515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905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906</v>
      </c>
      <c r="B124" s="97">
        <v>45849</v>
      </c>
      <c r="C124" s="86" t="s">
        <v>1618</v>
      </c>
      <c r="D124" s="120" t="s">
        <v>3008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907</v>
      </c>
      <c r="B125" s="97">
        <v>45849</v>
      </c>
      <c r="C125" s="86" t="s">
        <v>1618</v>
      </c>
      <c r="D125" s="120" t="s">
        <v>3010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908</v>
      </c>
      <c r="B126" s="97">
        <v>45849</v>
      </c>
      <c r="C126" s="86" t="s">
        <v>1621</v>
      </c>
      <c r="D126" s="120" t="s">
        <v>2264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909</v>
      </c>
      <c r="B127" s="97">
        <v>45849</v>
      </c>
      <c r="C127" s="86" t="s">
        <v>1621</v>
      </c>
      <c r="D127" s="120" t="s">
        <v>2265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910</v>
      </c>
      <c r="B128" s="97">
        <v>45849</v>
      </c>
      <c r="C128" s="86" t="s">
        <v>1437</v>
      </c>
      <c r="D128" s="120" t="s">
        <v>1804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911</v>
      </c>
      <c r="B129" s="97">
        <v>45849</v>
      </c>
      <c r="C129" s="86" t="s">
        <v>1496</v>
      </c>
      <c r="D129" s="120" t="s">
        <v>2901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912</v>
      </c>
      <c r="B130" s="97">
        <v>45849</v>
      </c>
      <c r="C130" s="86" t="s">
        <v>1487</v>
      </c>
      <c r="D130" s="120" t="s">
        <v>1573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913</v>
      </c>
      <c r="B131" s="97">
        <v>45849</v>
      </c>
      <c r="C131" s="86" t="s">
        <v>1627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914</v>
      </c>
      <c r="B132" s="97">
        <v>45849</v>
      </c>
      <c r="C132" s="86" t="s">
        <v>1627</v>
      </c>
      <c r="D132" s="120" t="s">
        <v>1534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915</v>
      </c>
      <c r="B133" s="97">
        <v>45849</v>
      </c>
      <c r="C133" s="86" t="s">
        <v>1627</v>
      </c>
      <c r="D133" s="120" t="s">
        <v>1797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916</v>
      </c>
      <c r="B134" s="97">
        <v>45849</v>
      </c>
      <c r="C134" s="86" t="s">
        <v>1627</v>
      </c>
      <c r="D134" s="120" t="s">
        <v>2993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917</v>
      </c>
      <c r="B135" s="97">
        <v>45849</v>
      </c>
      <c r="C135" s="86" t="s">
        <v>3019</v>
      </c>
      <c r="D135" s="120" t="s">
        <v>2264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918</v>
      </c>
      <c r="B136" s="97">
        <v>45849</v>
      </c>
      <c r="C136" s="86" t="s">
        <v>3019</v>
      </c>
      <c r="D136" s="120" t="s">
        <v>2265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919</v>
      </c>
      <c r="B137" s="97">
        <v>45849</v>
      </c>
      <c r="C137" s="86" t="s">
        <v>1621</v>
      </c>
      <c r="D137" s="120" t="s">
        <v>1154</v>
      </c>
      <c r="J137" s="83">
        <v>-1705000</v>
      </c>
    </row>
    <row r="138" spans="1:10" ht="18" customHeight="1" x14ac:dyDescent="0.3">
      <c r="A138" s="85">
        <v>920</v>
      </c>
      <c r="B138" s="97">
        <v>45849</v>
      </c>
      <c r="C138" s="86" t="s">
        <v>3019</v>
      </c>
      <c r="D138" s="120" t="s">
        <v>1154</v>
      </c>
      <c r="J138" s="83">
        <v>-1705000</v>
      </c>
    </row>
    <row r="139" spans="1:10" ht="18" customHeight="1" x14ac:dyDescent="0.3">
      <c r="A139" s="85">
        <v>921</v>
      </c>
      <c r="B139" s="97">
        <v>45849</v>
      </c>
      <c r="C139" s="86" t="s">
        <v>1487</v>
      </c>
      <c r="D139" s="120" t="s">
        <v>1154</v>
      </c>
      <c r="J139" s="83">
        <v>-450000</v>
      </c>
    </row>
    <row r="140" spans="1:10" ht="18" customHeight="1" x14ac:dyDescent="0.3">
      <c r="A140" s="85">
        <v>922</v>
      </c>
      <c r="B140" s="97">
        <v>45850</v>
      </c>
      <c r="C140" s="86" t="s">
        <v>1639</v>
      </c>
      <c r="D140" s="120" t="s">
        <v>3026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923</v>
      </c>
      <c r="B141" s="97">
        <v>45850</v>
      </c>
      <c r="C141" s="86" t="s">
        <v>2406</v>
      </c>
      <c r="D141" s="120" t="s">
        <v>1154</v>
      </c>
      <c r="J141" s="83">
        <v>-150000</v>
      </c>
    </row>
    <row r="142" spans="1:10" ht="18" customHeight="1" x14ac:dyDescent="0.3">
      <c r="A142" s="85">
        <v>924</v>
      </c>
      <c r="B142" s="97">
        <v>45850</v>
      </c>
      <c r="C142" s="86" t="s">
        <v>1639</v>
      </c>
      <c r="D142" s="120" t="s">
        <v>1154</v>
      </c>
      <c r="J142" s="83">
        <v>-170000</v>
      </c>
    </row>
    <row r="143" spans="1:10" ht="18" customHeight="1" x14ac:dyDescent="0.3">
      <c r="A143" s="85">
        <v>925</v>
      </c>
      <c r="B143" s="97">
        <v>45850</v>
      </c>
      <c r="C143" s="86" t="s">
        <v>2874</v>
      </c>
      <c r="D143" s="120" t="s">
        <v>2270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926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927</v>
      </c>
      <c r="B145" s="97">
        <v>45852</v>
      </c>
      <c r="C145" s="86" t="s">
        <v>1627</v>
      </c>
      <c r="D145" s="120" t="s">
        <v>1154</v>
      </c>
      <c r="J145" s="83">
        <v>-2805000</v>
      </c>
    </row>
    <row r="146" spans="1:10" ht="18" customHeight="1" x14ac:dyDescent="0.3">
      <c r="A146" s="85">
        <v>928</v>
      </c>
      <c r="B146" s="97">
        <v>45852</v>
      </c>
      <c r="C146" s="86" t="s">
        <v>3038</v>
      </c>
      <c r="D146" s="120" t="s">
        <v>2779</v>
      </c>
      <c r="F146" s="127">
        <v>1750000</v>
      </c>
      <c r="G146" s="88">
        <v>1</v>
      </c>
      <c r="H146" s="133" t="s">
        <v>3083</v>
      </c>
      <c r="I146" s="83">
        <v>1925000</v>
      </c>
    </row>
    <row r="147" spans="1:10" ht="18" customHeight="1" x14ac:dyDescent="0.3">
      <c r="A147" s="85">
        <v>929</v>
      </c>
      <c r="B147" s="97">
        <v>45852</v>
      </c>
      <c r="C147" s="86" t="s">
        <v>3042</v>
      </c>
      <c r="D147" s="120" t="s">
        <v>2483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930</v>
      </c>
      <c r="B148" s="97">
        <v>45852</v>
      </c>
      <c r="C148" s="86" t="s">
        <v>1437</v>
      </c>
      <c r="D148" s="120" t="s">
        <v>1804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931</v>
      </c>
      <c r="B149" s="97">
        <v>45852</v>
      </c>
      <c r="C149" s="86" t="s">
        <v>2512</v>
      </c>
      <c r="D149" s="120" t="s">
        <v>2103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932</v>
      </c>
      <c r="B150" s="97">
        <v>45852</v>
      </c>
      <c r="C150" s="86" t="s">
        <v>2406</v>
      </c>
      <c r="D150" s="120" t="s">
        <v>2996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933</v>
      </c>
      <c r="B151" s="97">
        <v>45852</v>
      </c>
      <c r="C151" s="86" t="s">
        <v>1639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934</v>
      </c>
      <c r="B152" s="97">
        <v>45852</v>
      </c>
      <c r="C152" s="86" t="s">
        <v>1482</v>
      </c>
      <c r="D152" s="120" t="s">
        <v>2264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935</v>
      </c>
      <c r="B153" s="97">
        <v>45852</v>
      </c>
      <c r="C153" s="86" t="s">
        <v>1482</v>
      </c>
      <c r="D153" s="120" t="s">
        <v>2265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936</v>
      </c>
      <c r="B154" s="97">
        <v>45852</v>
      </c>
      <c r="C154" s="86" t="s">
        <v>1639</v>
      </c>
      <c r="D154" s="120" t="s">
        <v>1154</v>
      </c>
      <c r="J154" s="83">
        <v>-1200000</v>
      </c>
    </row>
    <row r="155" spans="1:10" ht="18" customHeight="1" x14ac:dyDescent="0.3">
      <c r="A155" s="85">
        <v>937</v>
      </c>
      <c r="B155" s="97">
        <v>45852</v>
      </c>
      <c r="C155" s="86" t="s">
        <v>2406</v>
      </c>
      <c r="D155" s="120" t="s">
        <v>1154</v>
      </c>
      <c r="J155" s="83">
        <v>-150000</v>
      </c>
    </row>
    <row r="156" spans="1:10" ht="18" customHeight="1" x14ac:dyDescent="0.3">
      <c r="A156" s="85">
        <v>938</v>
      </c>
      <c r="B156" s="97">
        <v>45852</v>
      </c>
      <c r="C156" s="86" t="s">
        <v>3038</v>
      </c>
      <c r="D156" s="120" t="s">
        <v>1154</v>
      </c>
      <c r="J156" s="83">
        <v>-1925000</v>
      </c>
    </row>
    <row r="157" spans="1:10" ht="18" customHeight="1" x14ac:dyDescent="0.3">
      <c r="A157" s="85">
        <v>939</v>
      </c>
      <c r="B157" s="97">
        <v>45853</v>
      </c>
      <c r="C157" s="86" t="s">
        <v>2512</v>
      </c>
      <c r="D157" s="120" t="s">
        <v>2264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940</v>
      </c>
      <c r="B158" s="97">
        <v>45853</v>
      </c>
      <c r="C158" s="86" t="s">
        <v>2512</v>
      </c>
      <c r="D158" s="120" t="s">
        <v>2265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941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942</v>
      </c>
      <c r="B160" s="97">
        <v>45853</v>
      </c>
      <c r="C160" s="86" t="s">
        <v>3066</v>
      </c>
      <c r="D160" s="120" t="s">
        <v>2264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943</v>
      </c>
      <c r="B161" s="97">
        <v>45853</v>
      </c>
      <c r="C161" s="86" t="s">
        <v>3066</v>
      </c>
      <c r="D161" s="120" t="s">
        <v>2265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944</v>
      </c>
      <c r="B162" s="97">
        <v>45853</v>
      </c>
      <c r="C162" s="86" t="s">
        <v>3066</v>
      </c>
      <c r="D162" s="120" t="s">
        <v>2266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945</v>
      </c>
      <c r="B163" s="97">
        <v>45853</v>
      </c>
      <c r="C163" s="86" t="s">
        <v>2406</v>
      </c>
      <c r="D163" s="120" t="s">
        <v>2262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946</v>
      </c>
      <c r="B164" s="97">
        <v>45853</v>
      </c>
      <c r="C164" s="86" t="s">
        <v>1505</v>
      </c>
      <c r="D164" s="120" t="s">
        <v>2935</v>
      </c>
      <c r="F164" s="127">
        <v>1500000</v>
      </c>
      <c r="G164" s="88">
        <v>1</v>
      </c>
      <c r="I164" s="83">
        <v>1500000</v>
      </c>
    </row>
    <row r="165" spans="1:10" ht="18" customHeight="1" x14ac:dyDescent="0.3">
      <c r="A165" s="85">
        <v>947</v>
      </c>
      <c r="B165" s="97">
        <v>45853</v>
      </c>
      <c r="C165" s="86" t="s">
        <v>1176</v>
      </c>
      <c r="D165" s="120" t="s">
        <v>1776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948</v>
      </c>
      <c r="B166" s="97">
        <v>45853</v>
      </c>
      <c r="C166" s="86" t="s">
        <v>1494</v>
      </c>
      <c r="D166" s="120" t="s">
        <v>1776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949</v>
      </c>
      <c r="B167" s="97">
        <v>45853</v>
      </c>
      <c r="C167" s="86" t="s">
        <v>3060</v>
      </c>
      <c r="D167" s="120" t="s">
        <v>2280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950</v>
      </c>
      <c r="B168" s="97">
        <v>45853</v>
      </c>
      <c r="C168" s="86" t="s">
        <v>3060</v>
      </c>
      <c r="D168" s="120" t="s">
        <v>3074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951</v>
      </c>
      <c r="B169" s="97">
        <v>45853</v>
      </c>
      <c r="C169" s="86" t="s">
        <v>1781</v>
      </c>
      <c r="D169" s="120" t="s">
        <v>2855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952</v>
      </c>
      <c r="B170" s="97">
        <v>45853</v>
      </c>
      <c r="C170" s="86" t="s">
        <v>3066</v>
      </c>
      <c r="D170" s="120" t="s">
        <v>1154</v>
      </c>
      <c r="J170" s="83">
        <v>-1980000</v>
      </c>
    </row>
    <row r="171" spans="1:10" ht="18" customHeight="1" x14ac:dyDescent="0.3">
      <c r="A171" s="85">
        <v>953</v>
      </c>
      <c r="B171" s="97">
        <v>45853</v>
      </c>
      <c r="C171" s="86" t="s">
        <v>2406</v>
      </c>
      <c r="D171" s="120" t="s">
        <v>1154</v>
      </c>
      <c r="J171" s="83">
        <v>-1650000</v>
      </c>
    </row>
    <row r="172" spans="1:10" ht="18" customHeight="1" x14ac:dyDescent="0.3">
      <c r="A172" s="85">
        <v>954</v>
      </c>
      <c r="B172" s="97">
        <v>45854</v>
      </c>
      <c r="C172" s="86" t="s">
        <v>2512</v>
      </c>
      <c r="D172" s="120" t="s">
        <v>1154</v>
      </c>
      <c r="J172" s="83">
        <v>-3355000</v>
      </c>
    </row>
    <row r="173" spans="1:10" ht="18" customHeight="1" x14ac:dyDescent="0.3">
      <c r="A173" s="85">
        <v>955</v>
      </c>
      <c r="B173" s="97">
        <v>45854</v>
      </c>
      <c r="C173" s="86" t="s">
        <v>2379</v>
      </c>
      <c r="D173" s="120" t="s">
        <v>2271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956</v>
      </c>
      <c r="B174" s="97">
        <v>45854</v>
      </c>
      <c r="C174" s="86" t="s">
        <v>2379</v>
      </c>
      <c r="D174" s="120" t="s">
        <v>2274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957</v>
      </c>
      <c r="B175" s="97">
        <v>45854</v>
      </c>
      <c r="C175" s="86" t="s">
        <v>1872</v>
      </c>
      <c r="D175" s="120" t="s">
        <v>3090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958</v>
      </c>
      <c r="B176" s="97">
        <v>45854</v>
      </c>
      <c r="C176" s="86" t="s">
        <v>1725</v>
      </c>
      <c r="D176" s="120" t="s">
        <v>2264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959</v>
      </c>
      <c r="B177" s="97">
        <v>45854</v>
      </c>
      <c r="C177" s="86" t="s">
        <v>1725</v>
      </c>
      <c r="D177" s="120" t="s">
        <v>2265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960</v>
      </c>
      <c r="B178" s="97">
        <v>45854</v>
      </c>
      <c r="C178" s="86" t="s">
        <v>3093</v>
      </c>
      <c r="D178" s="120" t="s">
        <v>2264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961</v>
      </c>
      <c r="B179" s="97">
        <v>45854</v>
      </c>
      <c r="C179" s="86" t="s">
        <v>2379</v>
      </c>
      <c r="D179" s="120" t="s">
        <v>1154</v>
      </c>
      <c r="J179" s="83">
        <v>-646000</v>
      </c>
    </row>
    <row r="180" spans="1:10" ht="18" customHeight="1" x14ac:dyDescent="0.3">
      <c r="A180" s="85">
        <v>962</v>
      </c>
      <c r="B180" s="97">
        <v>45854</v>
      </c>
      <c r="C180" s="86" t="s">
        <v>3093</v>
      </c>
      <c r="D180" s="120" t="s">
        <v>1154</v>
      </c>
      <c r="J180" s="83">
        <v>-1500000</v>
      </c>
    </row>
    <row r="181" spans="1:10" ht="18" customHeight="1" x14ac:dyDescent="0.3">
      <c r="A181" s="85">
        <v>963</v>
      </c>
      <c r="B181" s="97">
        <v>45853</v>
      </c>
      <c r="C181" s="86" t="s">
        <v>1505</v>
      </c>
      <c r="D181" s="120" t="s">
        <v>1154</v>
      </c>
      <c r="J181" s="83">
        <v>-1870000</v>
      </c>
    </row>
    <row r="182" spans="1:10" ht="18" customHeight="1" x14ac:dyDescent="0.3">
      <c r="A182" s="85">
        <v>964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965</v>
      </c>
      <c r="B183" s="97">
        <v>45853</v>
      </c>
      <c r="C183" s="86" t="s">
        <v>3060</v>
      </c>
      <c r="D183" s="120" t="s">
        <v>1154</v>
      </c>
      <c r="J183" s="83">
        <v>-1550000</v>
      </c>
    </row>
    <row r="184" spans="1:10" ht="18" customHeight="1" x14ac:dyDescent="0.3">
      <c r="A184" s="85">
        <v>966</v>
      </c>
      <c r="B184" s="97">
        <v>45854</v>
      </c>
      <c r="C184" s="86" t="s">
        <v>3042</v>
      </c>
      <c r="D184" s="120" t="s">
        <v>1154</v>
      </c>
      <c r="J184" s="83">
        <v>-1100000</v>
      </c>
    </row>
    <row r="185" spans="1:10" ht="18" customHeight="1" x14ac:dyDescent="0.3">
      <c r="A185" s="85">
        <v>967</v>
      </c>
      <c r="B185" s="97">
        <v>45855</v>
      </c>
      <c r="C185" s="86" t="s">
        <v>2182</v>
      </c>
      <c r="D185" s="120" t="s">
        <v>1154</v>
      </c>
      <c r="J185" s="83">
        <v>-1200000</v>
      </c>
    </row>
    <row r="186" spans="1:10" ht="18" customHeight="1" x14ac:dyDescent="0.3">
      <c r="A186" s="85">
        <v>968</v>
      </c>
      <c r="B186" s="97">
        <v>45855</v>
      </c>
      <c r="C186" s="86" t="s">
        <v>1027</v>
      </c>
      <c r="D186" s="120" t="s">
        <v>3099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969</v>
      </c>
      <c r="B187" s="97">
        <v>45855</v>
      </c>
      <c r="C187" s="86" t="s">
        <v>1027</v>
      </c>
      <c r="D187" s="120" t="s">
        <v>3100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970</v>
      </c>
      <c r="B188" s="97">
        <v>45855</v>
      </c>
      <c r="C188" s="86" t="s">
        <v>1027</v>
      </c>
      <c r="D188" s="120" t="s">
        <v>3104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971</v>
      </c>
      <c r="B189" s="97">
        <v>45855</v>
      </c>
      <c r="C189" s="86" t="s">
        <v>1505</v>
      </c>
      <c r="D189" s="120" t="s">
        <v>3106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972</v>
      </c>
      <c r="B190" s="97">
        <v>45855</v>
      </c>
      <c r="C190" s="86" t="s">
        <v>2750</v>
      </c>
      <c r="D190" s="120" t="s">
        <v>2377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973</v>
      </c>
      <c r="B191" s="97">
        <v>45855</v>
      </c>
      <c r="C191" s="86" t="s">
        <v>1437</v>
      </c>
      <c r="D191" s="120" t="s">
        <v>2264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974</v>
      </c>
      <c r="B192" s="97">
        <v>45856</v>
      </c>
      <c r="C192" s="86" t="s">
        <v>1487</v>
      </c>
      <c r="D192" s="120" t="s">
        <v>2271</v>
      </c>
      <c r="F192" s="127">
        <v>510000</v>
      </c>
      <c r="G192" s="88">
        <v>1</v>
      </c>
      <c r="I192" s="83">
        <v>510000</v>
      </c>
    </row>
    <row r="193" spans="1:9" ht="18" customHeight="1" x14ac:dyDescent="0.3">
      <c r="A193" s="85">
        <v>975</v>
      </c>
      <c r="B193" s="97">
        <v>45856</v>
      </c>
      <c r="C193" s="86" t="s">
        <v>1487</v>
      </c>
      <c r="D193" s="120" t="s">
        <v>2274</v>
      </c>
      <c r="F193" s="127">
        <v>70000</v>
      </c>
      <c r="G193" s="88">
        <v>1</v>
      </c>
      <c r="I193" s="83">
        <v>70000</v>
      </c>
    </row>
    <row r="194" spans="1:9" ht="18" customHeight="1" x14ac:dyDescent="0.3">
      <c r="A194" s="85">
        <v>976</v>
      </c>
      <c r="B194" s="97">
        <v>45856</v>
      </c>
      <c r="C194" s="86" t="s">
        <v>3115</v>
      </c>
      <c r="D194" s="120" t="s">
        <v>2264</v>
      </c>
      <c r="F194" s="127">
        <v>1700000</v>
      </c>
      <c r="G194" s="88">
        <v>1</v>
      </c>
      <c r="I194" s="83">
        <v>1700000</v>
      </c>
    </row>
    <row r="195" spans="1:9" ht="18" customHeight="1" x14ac:dyDescent="0.3">
      <c r="A195" s="85">
        <v>977</v>
      </c>
      <c r="B195" s="97">
        <v>45856</v>
      </c>
      <c r="C195" s="86" t="s">
        <v>3115</v>
      </c>
      <c r="D195" s="120" t="s">
        <v>3118</v>
      </c>
      <c r="F195" s="127">
        <v>100000</v>
      </c>
      <c r="G195" s="88">
        <v>1</v>
      </c>
      <c r="I195" s="83">
        <v>100000</v>
      </c>
    </row>
    <row r="196" spans="1:9" ht="18" customHeight="1" x14ac:dyDescent="0.3">
      <c r="A196" s="85">
        <v>978</v>
      </c>
      <c r="B196" s="97">
        <v>45856</v>
      </c>
      <c r="C196" s="86" t="s">
        <v>1517</v>
      </c>
      <c r="D196" s="120" t="s">
        <v>3120</v>
      </c>
      <c r="F196" s="127">
        <v>1000000</v>
      </c>
      <c r="G196" s="88">
        <v>1</v>
      </c>
      <c r="I196" s="83">
        <v>1000000</v>
      </c>
    </row>
    <row r="197" spans="1:9" ht="18" customHeight="1" x14ac:dyDescent="0.3">
      <c r="A197" s="85">
        <v>979</v>
      </c>
      <c r="B197" s="97">
        <v>45856</v>
      </c>
      <c r="C197" s="86" t="s">
        <v>3122</v>
      </c>
      <c r="D197" s="120" t="s">
        <v>1599</v>
      </c>
      <c r="F197" s="127">
        <v>1500000</v>
      </c>
      <c r="G197" s="88">
        <v>1</v>
      </c>
      <c r="I197" s="83">
        <v>1500000</v>
      </c>
    </row>
    <row r="198" spans="1:9" ht="18" customHeight="1" x14ac:dyDescent="0.3">
      <c r="A198" s="85">
        <v>980</v>
      </c>
      <c r="B198" s="97">
        <v>45856</v>
      </c>
      <c r="C198" s="86" t="s">
        <v>3122</v>
      </c>
      <c r="D198" s="120" t="s">
        <v>3123</v>
      </c>
      <c r="F198" s="127">
        <v>200000</v>
      </c>
      <c r="G198" s="88">
        <v>1</v>
      </c>
      <c r="I198" s="83">
        <v>200000</v>
      </c>
    </row>
    <row r="199" spans="1:9" ht="18" customHeight="1" x14ac:dyDescent="0.3">
      <c r="A199" s="85">
        <v>981</v>
      </c>
      <c r="B199" s="97">
        <v>45856</v>
      </c>
      <c r="C199" s="86" t="s">
        <v>1922</v>
      </c>
      <c r="D199" s="120" t="s">
        <v>2271</v>
      </c>
      <c r="F199" s="127">
        <v>510000</v>
      </c>
      <c r="G199" s="88">
        <v>1</v>
      </c>
      <c r="I199" s="83">
        <v>510000</v>
      </c>
    </row>
    <row r="200" spans="1:9" ht="18" customHeight="1" x14ac:dyDescent="0.3">
      <c r="A200" s="85">
        <v>982</v>
      </c>
      <c r="B200" s="97">
        <v>45856</v>
      </c>
      <c r="C200" s="86" t="s">
        <v>2056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2992</v>
      </c>
      <c r="D1" s="294" t="s">
        <v>2991</v>
      </c>
      <c r="E1" s="294"/>
      <c r="F1" s="293"/>
    </row>
    <row r="2" spans="1:6" x14ac:dyDescent="0.3">
      <c r="B2" t="s">
        <v>1326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1339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1324</v>
      </c>
      <c r="C5" s="52">
        <f>SUMIF(BTS_매출관리!C:C,B5,BTS_매출관리!I:I)</f>
        <v>4455000</v>
      </c>
      <c r="D5">
        <f t="shared" si="0"/>
        <v>4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6</v>
      </c>
    </row>
    <row r="7" spans="1:6" x14ac:dyDescent="0.3">
      <c r="B7" t="s">
        <v>2300</v>
      </c>
      <c r="C7" s="52">
        <f>SUMIF(BTS_매출관리!C:C,B7,BTS_매출관리!I:I)</f>
        <v>3954500</v>
      </c>
      <c r="D7">
        <f t="shared" si="0"/>
        <v>7</v>
      </c>
    </row>
    <row r="8" spans="1:6" x14ac:dyDescent="0.3">
      <c r="B8" t="s">
        <v>1177</v>
      </c>
      <c r="C8" s="52">
        <f>SUMIF(BTS_매출관리!C:C,B8,BTS_매출관리!I:I)</f>
        <v>3500000</v>
      </c>
      <c r="D8">
        <f t="shared" si="0"/>
        <v>9</v>
      </c>
    </row>
    <row r="9" spans="1:6" x14ac:dyDescent="0.3">
      <c r="B9" t="s">
        <v>1327</v>
      </c>
      <c r="C9" s="52">
        <f>SUMIF(BTS_매출관리!C:C,B9,BTS_매출관리!I:I)</f>
        <v>4140000</v>
      </c>
      <c r="D9">
        <f t="shared" si="0"/>
        <v>5</v>
      </c>
    </row>
    <row r="10" spans="1:6" x14ac:dyDescent="0.3">
      <c r="B10" t="s">
        <v>1370</v>
      </c>
      <c r="C10" s="52">
        <f>SUMIF(BTS_매출관리!C:C,B10,BTS_매출관리!I:I)</f>
        <v>3100000</v>
      </c>
      <c r="D10">
        <f t="shared" si="0"/>
        <v>10</v>
      </c>
    </row>
    <row r="11" spans="1:6" x14ac:dyDescent="0.3">
      <c r="B11" t="s">
        <v>1373</v>
      </c>
      <c r="C11" s="52">
        <f>SUMIF(BTS_매출관리!C:C,B11,BTS_매출관리!I:I)</f>
        <v>2950000</v>
      </c>
      <c r="D11">
        <f t="shared" si="0"/>
        <v>11</v>
      </c>
    </row>
    <row r="12" spans="1:6" x14ac:dyDescent="0.3">
      <c r="B12" t="s">
        <v>1354</v>
      </c>
      <c r="C12" s="52">
        <f>SUMIF(BTS_매출관리!C:C,B12,BTS_매출관리!I:I)</f>
        <v>3650000</v>
      </c>
      <c r="D12">
        <f t="shared" si="0"/>
        <v>8</v>
      </c>
      <c r="F12">
        <f>IF(D12 &lt; 10,,"")</f>
        <v>0</v>
      </c>
    </row>
    <row r="13" spans="1:6" x14ac:dyDescent="0.3">
      <c r="B13" t="s">
        <v>1329</v>
      </c>
      <c r="C13" s="52">
        <f>SUMIF(BTS_매출관리!C:C,B13,BTS_매출관리!I:I)</f>
        <v>2550000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1350</v>
      </c>
      <c r="C14" s="52">
        <f>SUMIF(BTS_매출관리!C:C,B14,BTS_매출관리!I:I)</f>
        <v>2370000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1311</v>
      </c>
      <c r="C15" s="52">
        <f>SUMIF(BTS_매출관리!C:C,B15,BTS_매출관리!I:I)</f>
        <v>2340000</v>
      </c>
      <c r="D15">
        <f t="shared" si="0"/>
        <v>14</v>
      </c>
    </row>
    <row r="16" spans="1:6" x14ac:dyDescent="0.3">
      <c r="B16" t="s">
        <v>2949</v>
      </c>
      <c r="C16" s="52">
        <f>SUMIF(BTS_매출관리!C:C,B16,BTS_매출관리!I:I)</f>
        <v>2020000</v>
      </c>
      <c r="D16">
        <f t="shared" si="0"/>
        <v>15</v>
      </c>
    </row>
    <row r="17" spans="2:4" x14ac:dyDescent="0.3">
      <c r="B17" t="s">
        <v>2587</v>
      </c>
      <c r="C17" s="52">
        <f>SUMIF(BTS_매출관리!C:C,B17,BTS_매출관리!I:I)</f>
        <v>1950000</v>
      </c>
      <c r="D17">
        <f t="shared" si="0"/>
        <v>16</v>
      </c>
    </row>
    <row r="18" spans="2:4" x14ac:dyDescent="0.3">
      <c r="B18" t="s">
        <v>1382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2925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2915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1526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1358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2944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1390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1365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2910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2894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32</v>
      </c>
    </row>
    <row r="30" spans="2:4" x14ac:dyDescent="0.3">
      <c r="B30" t="s">
        <v>1338</v>
      </c>
      <c r="C30" s="52">
        <f>SUMIF(BTS_매출관리!C:C,B30,BTS_매출관리!I:I)</f>
        <v>715000</v>
      </c>
      <c r="D30">
        <f t="shared" si="0"/>
        <v>34</v>
      </c>
    </row>
    <row r="31" spans="2:4" x14ac:dyDescent="0.3">
      <c r="B31" t="s">
        <v>1371</v>
      </c>
      <c r="C31" s="52">
        <f>SUMIF(BTS_매출관리!C:C,B31,BTS_매출관리!I:I)</f>
        <v>1030000</v>
      </c>
      <c r="D31">
        <f t="shared" si="0"/>
        <v>31</v>
      </c>
    </row>
    <row r="32" spans="2:4" x14ac:dyDescent="0.3">
      <c r="B32" t="s">
        <v>2969</v>
      </c>
      <c r="C32" s="52">
        <f>SUMIF(BTS_매출관리!C:C,B32,BTS_매출관리!I:I)</f>
        <v>450000</v>
      </c>
      <c r="D32">
        <f t="shared" si="0"/>
        <v>37</v>
      </c>
    </row>
    <row r="33" spans="2:4" x14ac:dyDescent="0.3">
      <c r="B33" t="s">
        <v>1321</v>
      </c>
      <c r="C33" s="52">
        <f>SUMIF(BTS_매출관리!C:C,B33,BTS_매출관리!I:I)</f>
        <v>440000</v>
      </c>
      <c r="D33">
        <f t="shared" si="0"/>
        <v>38</v>
      </c>
    </row>
    <row r="34" spans="2:4" x14ac:dyDescent="0.3">
      <c r="B34" t="s">
        <v>1385</v>
      </c>
      <c r="C34" s="52">
        <f>SUMIF(BTS_매출관리!C:C,B34,BTS_매출관리!I:I)</f>
        <v>300000</v>
      </c>
      <c r="D34">
        <f t="shared" si="0"/>
        <v>39</v>
      </c>
    </row>
    <row r="35" spans="2:4" x14ac:dyDescent="0.3">
      <c r="B35" t="s">
        <v>1393</v>
      </c>
      <c r="C35" s="52">
        <f>SUMIF(BTS_매출관리!C:C,B35,BTS_매출관리!I:I)</f>
        <v>199000</v>
      </c>
      <c r="D35">
        <f t="shared" si="0"/>
        <v>40</v>
      </c>
    </row>
    <row r="36" spans="2:4" x14ac:dyDescent="0.3">
      <c r="B36" t="s">
        <v>2883</v>
      </c>
      <c r="C36" s="52">
        <f>SUMIF(BTS_매출관리!C:C,B36,BTS_매출관리!I:I)</f>
        <v>150000</v>
      </c>
      <c r="D36">
        <f t="shared" si="0"/>
        <v>41</v>
      </c>
    </row>
    <row r="37" spans="2:4" x14ac:dyDescent="0.3">
      <c r="B37" t="s">
        <v>2345</v>
      </c>
      <c r="C37" s="52">
        <f>SUMIF(BTS_매출관리!C:C,B37,BTS_매출관리!I:I)</f>
        <v>70000</v>
      </c>
      <c r="D37">
        <f t="shared" si="0"/>
        <v>43</v>
      </c>
    </row>
    <row r="38" spans="2:4" x14ac:dyDescent="0.3">
      <c r="B38" t="s">
        <v>1851</v>
      </c>
      <c r="C38" s="52">
        <f>SUMIF(BTS_매출관리!C:C,B38,BTS_매출관리!I:I)</f>
        <v>0</v>
      </c>
      <c r="D38">
        <f t="shared" si="0"/>
        <v>44</v>
      </c>
    </row>
    <row r="39" spans="2:4" x14ac:dyDescent="0.3">
      <c r="B39" t="s">
        <v>1027</v>
      </c>
      <c r="C39" s="52">
        <f>SUMIF(BTS_매출관리!C:C,B39,BTS_매출관리!I:I)</f>
        <v>731000</v>
      </c>
      <c r="D39">
        <f t="shared" si="0"/>
        <v>33</v>
      </c>
    </row>
    <row r="40" spans="2:4" x14ac:dyDescent="0.3">
      <c r="B40" t="s">
        <v>1344</v>
      </c>
      <c r="C40" s="52">
        <f>SUMIF(BTS_매출관리!C:C,B40,BTS_매출관리!I:I)</f>
        <v>0</v>
      </c>
      <c r="D40">
        <f t="shared" si="0"/>
        <v>44</v>
      </c>
    </row>
    <row r="41" spans="2:4" x14ac:dyDescent="0.3">
      <c r="B41" t="s">
        <v>1725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1383</v>
      </c>
      <c r="C42" s="52">
        <f>SUMIF(BTS_매출관리!C:C,B42,BTS_매출관리!I:I)</f>
        <v>1200000</v>
      </c>
      <c r="D42">
        <f t="shared" si="0"/>
        <v>27</v>
      </c>
    </row>
    <row r="43" spans="2:4" x14ac:dyDescent="0.3">
      <c r="B43" t="s">
        <v>1313</v>
      </c>
      <c r="C43" s="52">
        <f>SUMIF(BTS_매출관리!C:C,B43,BTS_매출관리!I:I)</f>
        <v>0</v>
      </c>
      <c r="D43">
        <f t="shared" si="0"/>
        <v>44</v>
      </c>
    </row>
    <row r="44" spans="2:4" x14ac:dyDescent="0.3">
      <c r="B44" t="s">
        <v>1308</v>
      </c>
      <c r="C44" s="52">
        <f>SUMIF(BTS_매출관리!C:C,B44,BTS_매출관리!I:I)</f>
        <v>0</v>
      </c>
      <c r="D44">
        <f t="shared" si="0"/>
        <v>44</v>
      </c>
    </row>
    <row r="45" spans="2:4" x14ac:dyDescent="0.3">
      <c r="B45" t="s">
        <v>1325</v>
      </c>
      <c r="C45" s="52">
        <f>SUMIF(BTS_매출관리!C:C,B45,BTS_매출관리!I:I)</f>
        <v>0</v>
      </c>
      <c r="D45">
        <f t="shared" si="0"/>
        <v>44</v>
      </c>
    </row>
    <row r="46" spans="2:4" x14ac:dyDescent="0.3">
      <c r="B46" t="s">
        <v>2455</v>
      </c>
      <c r="C46" s="52">
        <f>SUMIF(BTS_매출관리!C:C,B46,BTS_매출관리!I:I)</f>
        <v>0</v>
      </c>
      <c r="D46">
        <f t="shared" si="0"/>
        <v>44</v>
      </c>
    </row>
    <row r="47" spans="2:4" x14ac:dyDescent="0.3">
      <c r="B47" t="s">
        <v>1046</v>
      </c>
      <c r="C47" s="52">
        <f>SUMIF(BTS_매출관리!C:C,B47,BTS_매출관리!I:I)</f>
        <v>0</v>
      </c>
      <c r="D47">
        <f t="shared" si="0"/>
        <v>44</v>
      </c>
    </row>
    <row r="48" spans="2:4" x14ac:dyDescent="0.3">
      <c r="B48" t="s">
        <v>1335</v>
      </c>
      <c r="C48" s="52">
        <f>SUMIF(BTS_매출관리!C:C,B48,BTS_매출관리!I:I)</f>
        <v>0</v>
      </c>
      <c r="D48">
        <f t="shared" si="0"/>
        <v>44</v>
      </c>
    </row>
    <row r="49" spans="2:4" x14ac:dyDescent="0.3">
      <c r="B49" t="s">
        <v>1394</v>
      </c>
      <c r="C49" s="52">
        <f>SUMIF(BTS_매출관리!C:C,B49,BTS_매출관리!I:I)</f>
        <v>646000</v>
      </c>
      <c r="D49">
        <f t="shared" si="0"/>
        <v>35</v>
      </c>
    </row>
    <row r="50" spans="2:4" x14ac:dyDescent="0.3">
      <c r="B50" t="s">
        <v>1340</v>
      </c>
      <c r="C50" s="52">
        <f>SUMIF(BTS_매출관리!C:C,B50,BTS_매출관리!I:I)</f>
        <v>0</v>
      </c>
      <c r="D50">
        <f t="shared" si="0"/>
        <v>44</v>
      </c>
    </row>
    <row r="51" spans="2:4" x14ac:dyDescent="0.3">
      <c r="B51" t="s">
        <v>1378</v>
      </c>
      <c r="C51" s="52">
        <f>SUMIF(BTS_매출관리!C:C,B51,BTS_매출관리!I:I)</f>
        <v>0</v>
      </c>
      <c r="D51">
        <f t="shared" si="0"/>
        <v>44</v>
      </c>
    </row>
    <row r="52" spans="2:4" x14ac:dyDescent="0.3">
      <c r="B52" t="s">
        <v>1333</v>
      </c>
      <c r="C52" s="52">
        <f>SUMIF(BTS_매출관리!C:C,B52,BTS_매출관리!I:I)</f>
        <v>0</v>
      </c>
      <c r="D52">
        <f t="shared" si="0"/>
        <v>44</v>
      </c>
    </row>
    <row r="53" spans="2:4" x14ac:dyDescent="0.3">
      <c r="B53" t="s">
        <v>1979</v>
      </c>
      <c r="C53" s="52">
        <f>SUMIF(BTS_매출관리!C:C,B53,BTS_매출관리!I:I)</f>
        <v>0</v>
      </c>
      <c r="D53">
        <f t="shared" si="0"/>
        <v>44</v>
      </c>
    </row>
    <row r="54" spans="2:4" x14ac:dyDescent="0.3">
      <c r="B54" t="s">
        <v>2370</v>
      </c>
      <c r="C54" s="52">
        <f>SUMIF(BTS_매출관리!C:C,B54,BTS_매출관리!I:I)</f>
        <v>0</v>
      </c>
      <c r="D54">
        <f t="shared" si="0"/>
        <v>44</v>
      </c>
    </row>
    <row r="55" spans="2:4" x14ac:dyDescent="0.3">
      <c r="B55" t="s">
        <v>1367</v>
      </c>
      <c r="C55" s="52">
        <f>SUMIF(BTS_매출관리!C:C,B55,BTS_매출관리!I:I)</f>
        <v>0</v>
      </c>
      <c r="D55">
        <f t="shared" si="0"/>
        <v>44</v>
      </c>
    </row>
    <row r="56" spans="2:4" x14ac:dyDescent="0.3">
      <c r="B56" t="s">
        <v>2463</v>
      </c>
      <c r="C56" s="52">
        <f>SUMIF(BTS_매출관리!C:C,B56,BTS_매출관리!I:I)</f>
        <v>0</v>
      </c>
      <c r="D56">
        <f t="shared" si="0"/>
        <v>44</v>
      </c>
    </row>
    <row r="57" spans="2:4" x14ac:dyDescent="0.3">
      <c r="B57" t="s">
        <v>1660</v>
      </c>
      <c r="C57" s="52">
        <f>SUMIF(BTS_매출관리!C:C,B57,BTS_매출관리!I:I)</f>
        <v>0</v>
      </c>
      <c r="D57">
        <f t="shared" si="0"/>
        <v>44</v>
      </c>
    </row>
    <row r="58" spans="2:4" x14ac:dyDescent="0.3">
      <c r="B58" t="s">
        <v>1316</v>
      </c>
      <c r="C58" s="52">
        <f>SUMIF(BTS_매출관리!C:C,B58,BTS_매출관리!I:I)</f>
        <v>0</v>
      </c>
      <c r="D58">
        <f t="shared" si="0"/>
        <v>44</v>
      </c>
    </row>
    <row r="59" spans="2:4" x14ac:dyDescent="0.3">
      <c r="B59" t="s">
        <v>2680</v>
      </c>
      <c r="C59" s="52">
        <f>SUMIF(BTS_매출관리!C:C,B59,BTS_매출관리!I:I)</f>
        <v>0</v>
      </c>
      <c r="D59">
        <f t="shared" si="0"/>
        <v>44</v>
      </c>
    </row>
    <row r="60" spans="2:4" x14ac:dyDescent="0.3">
      <c r="B60" t="s">
        <v>1653</v>
      </c>
      <c r="C60" s="52">
        <f>SUMIF(BTS_매출관리!C:C,B60,BTS_매출관리!I:I)</f>
        <v>0</v>
      </c>
      <c r="D60">
        <f t="shared" si="0"/>
        <v>44</v>
      </c>
    </row>
    <row r="61" spans="2:4" x14ac:dyDescent="0.3">
      <c r="B61" t="s">
        <v>1342</v>
      </c>
      <c r="C61" s="52">
        <f>SUMIF(BTS_매출관리!C:C,B61,BTS_매출관리!I:I)</f>
        <v>0</v>
      </c>
      <c r="D61">
        <f t="shared" si="0"/>
        <v>44</v>
      </c>
    </row>
    <row r="62" spans="2:4" x14ac:dyDescent="0.3">
      <c r="B62" t="s">
        <v>1411</v>
      </c>
      <c r="C62" s="52">
        <f>SUMIF(BTS_매출관리!C:C,B62,BTS_매출관리!I:I)</f>
        <v>0</v>
      </c>
      <c r="D62">
        <f t="shared" si="0"/>
        <v>44</v>
      </c>
    </row>
    <row r="63" spans="2:4" x14ac:dyDescent="0.3">
      <c r="B63" t="s">
        <v>2093</v>
      </c>
      <c r="C63" s="52">
        <f>SUMIF(BTS_매출관리!C:C,B63,BTS_매출관리!I:I)</f>
        <v>0</v>
      </c>
      <c r="D63">
        <f t="shared" si="0"/>
        <v>44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44</v>
      </c>
    </row>
    <row r="65" spans="2:4" x14ac:dyDescent="0.3">
      <c r="B65" t="s">
        <v>1610</v>
      </c>
      <c r="C65" s="52">
        <f>SUMIF(BTS_매출관리!C:C,B65,BTS_매출관리!I:I)</f>
        <v>0</v>
      </c>
      <c r="D65">
        <f t="shared" si="0"/>
        <v>44</v>
      </c>
    </row>
    <row r="66" spans="2:4" x14ac:dyDescent="0.3">
      <c r="B66" t="s">
        <v>1305</v>
      </c>
      <c r="C66" s="52">
        <f>SUMIF(BTS_매출관리!C:C,B66,BTS_매출관리!I:I)</f>
        <v>0</v>
      </c>
      <c r="D66">
        <f t="shared" ref="D66:D129" si="1">RANK(C66,C:C,0)</f>
        <v>44</v>
      </c>
    </row>
    <row r="67" spans="2:4" x14ac:dyDescent="0.3">
      <c r="B67" t="s">
        <v>1386</v>
      </c>
      <c r="C67" s="52">
        <f>SUMIF(BTS_매출관리!C:C,B67,BTS_매출관리!I:I)</f>
        <v>132000</v>
      </c>
      <c r="D67">
        <f t="shared" si="1"/>
        <v>42</v>
      </c>
    </row>
    <row r="68" spans="2:4" x14ac:dyDescent="0.3">
      <c r="B68" t="s">
        <v>1320</v>
      </c>
      <c r="C68" s="52">
        <f>SUMIF(BTS_매출관리!C:C,B68,BTS_매출관리!I:I)</f>
        <v>0</v>
      </c>
      <c r="D68">
        <f t="shared" si="1"/>
        <v>44</v>
      </c>
    </row>
    <row r="69" spans="2:4" x14ac:dyDescent="0.3">
      <c r="B69" t="s">
        <v>2473</v>
      </c>
      <c r="C69" s="52">
        <f>SUMIF(BTS_매출관리!C:C,B69,BTS_매출관리!I:I)</f>
        <v>0</v>
      </c>
      <c r="D69">
        <f t="shared" si="1"/>
        <v>44</v>
      </c>
    </row>
    <row r="70" spans="2:4" x14ac:dyDescent="0.3">
      <c r="B70" t="s">
        <v>1363</v>
      </c>
      <c r="C70" s="52">
        <f>SUMIF(BTS_매출관리!C:C,B70,BTS_매출관리!I:I)</f>
        <v>0</v>
      </c>
      <c r="D70">
        <f t="shared" si="1"/>
        <v>44</v>
      </c>
    </row>
    <row r="71" spans="2:4" x14ac:dyDescent="0.3">
      <c r="B71" t="s">
        <v>1312</v>
      </c>
      <c r="C71" s="52">
        <f>SUMIF(BTS_매출관리!C:C,B71,BTS_매출관리!I:I)</f>
        <v>0</v>
      </c>
      <c r="D71">
        <f t="shared" si="1"/>
        <v>44</v>
      </c>
    </row>
    <row r="72" spans="2:4" x14ac:dyDescent="0.3">
      <c r="B72" t="s">
        <v>2176</v>
      </c>
      <c r="C72" s="52">
        <f>SUMIF(BTS_매출관리!C:C,B72,BTS_매출관리!I:I)</f>
        <v>0</v>
      </c>
      <c r="D72">
        <f t="shared" si="1"/>
        <v>44</v>
      </c>
    </row>
    <row r="73" spans="2:4" x14ac:dyDescent="0.3">
      <c r="B73" t="s">
        <v>1322</v>
      </c>
      <c r="C73" s="52">
        <f>SUMIF(BTS_매출관리!C:C,B73,BTS_매출관리!I:I)</f>
        <v>0</v>
      </c>
      <c r="D73">
        <f t="shared" si="1"/>
        <v>44</v>
      </c>
    </row>
    <row r="74" spans="2:4" x14ac:dyDescent="0.3">
      <c r="B74" t="s">
        <v>2394</v>
      </c>
      <c r="C74" s="52">
        <f>SUMIF(BTS_매출관리!C:C,B74,BTS_매출관리!I:I)</f>
        <v>0</v>
      </c>
      <c r="D74">
        <f t="shared" si="1"/>
        <v>44</v>
      </c>
    </row>
    <row r="75" spans="2:4" x14ac:dyDescent="0.3">
      <c r="B75" t="s">
        <v>2215</v>
      </c>
      <c r="C75" s="52">
        <f>SUMIF(BTS_매출관리!C:C,B75,BTS_매출관리!I:I)</f>
        <v>0</v>
      </c>
      <c r="D75">
        <f t="shared" si="1"/>
        <v>44</v>
      </c>
    </row>
    <row r="76" spans="2:4" x14ac:dyDescent="0.3">
      <c r="B76" t="s">
        <v>2115</v>
      </c>
      <c r="C76" s="52">
        <f>SUMIF(BTS_매출관리!C:C,B76,BTS_매출관리!I:I)</f>
        <v>0</v>
      </c>
      <c r="D76">
        <f t="shared" si="1"/>
        <v>44</v>
      </c>
    </row>
    <row r="77" spans="2:4" x14ac:dyDescent="0.3">
      <c r="B77" t="s">
        <v>1273</v>
      </c>
      <c r="C77" s="52">
        <f>SUMIF(BTS_매출관리!C:C,B77,BTS_매출관리!I:I)</f>
        <v>0</v>
      </c>
      <c r="D77">
        <f t="shared" si="1"/>
        <v>44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44</v>
      </c>
    </row>
    <row r="79" spans="2:4" x14ac:dyDescent="0.3">
      <c r="B79" t="s">
        <v>1263</v>
      </c>
      <c r="C79" s="52">
        <f>SUMIF(BTS_매출관리!C:C,B79,BTS_매출관리!I:I)</f>
        <v>0</v>
      </c>
      <c r="D79">
        <f t="shared" si="1"/>
        <v>44</v>
      </c>
    </row>
    <row r="80" spans="2:4" x14ac:dyDescent="0.3">
      <c r="B80" t="s">
        <v>1366</v>
      </c>
      <c r="C80" s="52">
        <f>SUMIF(BTS_매출관리!C:C,B80,BTS_매출관리!I:I)</f>
        <v>0</v>
      </c>
      <c r="D80">
        <f t="shared" si="1"/>
        <v>44</v>
      </c>
    </row>
    <row r="81" spans="2:4" x14ac:dyDescent="0.3">
      <c r="B81" t="s">
        <v>1352</v>
      </c>
      <c r="C81" s="52">
        <f>SUMIF(BTS_매출관리!C:C,B81,BTS_매출관리!I:I)</f>
        <v>0</v>
      </c>
      <c r="D81">
        <f t="shared" si="1"/>
        <v>44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44</v>
      </c>
    </row>
    <row r="83" spans="2:4" x14ac:dyDescent="0.3">
      <c r="B83" t="s">
        <v>1396</v>
      </c>
      <c r="C83" s="52">
        <f>SUMIF(BTS_매출관리!C:C,B83,BTS_매출관리!I:I)</f>
        <v>0</v>
      </c>
      <c r="D83">
        <f t="shared" si="1"/>
        <v>44</v>
      </c>
    </row>
    <row r="84" spans="2:4" x14ac:dyDescent="0.3">
      <c r="B84" t="s">
        <v>2713</v>
      </c>
      <c r="C84" s="52">
        <f>SUMIF(BTS_매출관리!C:C,B84,BTS_매출관리!I:I)</f>
        <v>0</v>
      </c>
      <c r="D84">
        <f t="shared" si="1"/>
        <v>44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1345</v>
      </c>
      <c r="C86" s="52">
        <f>SUMIF(BTS_매출관리!C:C,B86,BTS_매출관리!I:I)</f>
        <v>0</v>
      </c>
      <c r="D86">
        <f t="shared" si="1"/>
        <v>44</v>
      </c>
    </row>
    <row r="87" spans="2:4" x14ac:dyDescent="0.3">
      <c r="B87" t="s">
        <v>1359</v>
      </c>
      <c r="C87" s="52">
        <f>SUMIF(BTS_매출관리!C:C,B87,BTS_매출관리!I:I)</f>
        <v>0</v>
      </c>
      <c r="D87">
        <f t="shared" si="1"/>
        <v>44</v>
      </c>
    </row>
    <row r="88" spans="2:4" x14ac:dyDescent="0.3">
      <c r="B88" t="s">
        <v>1389</v>
      </c>
      <c r="C88" s="52">
        <f>SUMIF(BTS_매출관리!C:C,B88,BTS_매출관리!I:I)</f>
        <v>0</v>
      </c>
      <c r="D88">
        <f t="shared" si="1"/>
        <v>44</v>
      </c>
    </row>
    <row r="89" spans="2:4" x14ac:dyDescent="0.3">
      <c r="B89" t="s">
        <v>1376</v>
      </c>
      <c r="C89" s="52">
        <f>SUMIF(BTS_매출관리!C:C,B89,BTS_매출관리!I:I)</f>
        <v>0</v>
      </c>
      <c r="D89">
        <f t="shared" si="1"/>
        <v>44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44</v>
      </c>
    </row>
    <row r="91" spans="2:4" x14ac:dyDescent="0.3">
      <c r="B91" t="s">
        <v>2110</v>
      </c>
      <c r="C91" s="52">
        <f>SUMIF(BTS_매출관리!C:C,B91,BTS_매출관리!I:I)</f>
        <v>0</v>
      </c>
      <c r="D91">
        <f t="shared" si="1"/>
        <v>44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44</v>
      </c>
    </row>
    <row r="93" spans="2:4" x14ac:dyDescent="0.3">
      <c r="B93" t="s">
        <v>2231</v>
      </c>
      <c r="C93" s="52">
        <f>SUMIF(BTS_매출관리!C:C,B93,BTS_매출관리!I:I)</f>
        <v>0</v>
      </c>
      <c r="D93">
        <f t="shared" si="1"/>
        <v>44</v>
      </c>
    </row>
    <row r="94" spans="2:4" x14ac:dyDescent="0.3">
      <c r="B94" t="s">
        <v>2480</v>
      </c>
      <c r="C94" s="52">
        <f>SUMIF(BTS_매출관리!C:C,B94,BTS_매출관리!I:I)</f>
        <v>0</v>
      </c>
      <c r="D94">
        <f t="shared" si="1"/>
        <v>44</v>
      </c>
    </row>
    <row r="95" spans="2:4" x14ac:dyDescent="0.3">
      <c r="B95" t="s">
        <v>1388</v>
      </c>
      <c r="C95" s="52">
        <f>SUMIF(BTS_매출관리!C:C,B95,BTS_매출관리!I:I)</f>
        <v>0</v>
      </c>
      <c r="D95">
        <f t="shared" si="1"/>
        <v>44</v>
      </c>
    </row>
    <row r="96" spans="2:4" x14ac:dyDescent="0.3">
      <c r="B96" t="s">
        <v>2607</v>
      </c>
      <c r="C96" s="52">
        <f>SUMIF(BTS_매출관리!C:C,B96,BTS_매출관리!I:I)</f>
        <v>0</v>
      </c>
      <c r="D96">
        <f t="shared" si="1"/>
        <v>44</v>
      </c>
    </row>
    <row r="97" spans="2:4" x14ac:dyDescent="0.3">
      <c r="B97" t="s">
        <v>1351</v>
      </c>
      <c r="C97" s="52">
        <f>SUMIF(BTS_매출관리!C:C,B97,BTS_매출관리!I:I)</f>
        <v>0</v>
      </c>
      <c r="D97">
        <f t="shared" si="1"/>
        <v>44</v>
      </c>
    </row>
    <row r="98" spans="2:4" x14ac:dyDescent="0.3">
      <c r="B98" t="s">
        <v>1355</v>
      </c>
      <c r="C98" s="52">
        <f>SUMIF(BTS_매출관리!C:C,B98,BTS_매출관리!I:I)</f>
        <v>0</v>
      </c>
      <c r="D98">
        <f t="shared" si="1"/>
        <v>44</v>
      </c>
    </row>
    <row r="99" spans="2:4" x14ac:dyDescent="0.3">
      <c r="B99" t="s">
        <v>1381</v>
      </c>
      <c r="C99" s="52">
        <f>SUMIF(BTS_매출관리!C:C,B99,BTS_매출관리!I:I)</f>
        <v>0</v>
      </c>
      <c r="D99">
        <f t="shared" si="1"/>
        <v>44</v>
      </c>
    </row>
    <row r="100" spans="2:4" x14ac:dyDescent="0.3">
      <c r="B100" t="s">
        <v>1391</v>
      </c>
      <c r="C100" s="52">
        <f>SUMIF(BTS_매출관리!C:C,B100,BTS_매출관리!I:I)</f>
        <v>0</v>
      </c>
      <c r="D100">
        <f t="shared" si="1"/>
        <v>44</v>
      </c>
    </row>
    <row r="101" spans="2:4" x14ac:dyDescent="0.3">
      <c r="B101" t="s">
        <v>1361</v>
      </c>
      <c r="C101" s="52">
        <f>SUMIF(BTS_매출관리!C:C,B101,BTS_매출관리!I:I)</f>
        <v>0</v>
      </c>
      <c r="D101">
        <f t="shared" si="1"/>
        <v>44</v>
      </c>
    </row>
    <row r="102" spans="2:4" x14ac:dyDescent="0.3">
      <c r="B102" t="s">
        <v>1318</v>
      </c>
      <c r="C102" s="52">
        <f>SUMIF(BTS_매출관리!C:C,B102,BTS_매출관리!I:I)</f>
        <v>0</v>
      </c>
      <c r="D102">
        <f t="shared" si="1"/>
        <v>44</v>
      </c>
    </row>
    <row r="103" spans="2:4" x14ac:dyDescent="0.3">
      <c r="B103" t="s">
        <v>2131</v>
      </c>
      <c r="C103" s="52">
        <f>SUMIF(BTS_매출관리!C:C,B103,BTS_매출관리!I:I)</f>
        <v>0</v>
      </c>
      <c r="D103">
        <f t="shared" si="1"/>
        <v>44</v>
      </c>
    </row>
    <row r="104" spans="2:4" x14ac:dyDescent="0.3">
      <c r="B104" t="s">
        <v>2760</v>
      </c>
      <c r="C104" s="52">
        <f>SUMIF(BTS_매출관리!C:C,B104,BTS_매출관리!I:I)</f>
        <v>0</v>
      </c>
      <c r="D104">
        <f t="shared" si="1"/>
        <v>44</v>
      </c>
    </row>
    <row r="105" spans="2:4" x14ac:dyDescent="0.3">
      <c r="B105" t="s">
        <v>2846</v>
      </c>
      <c r="C105" s="52">
        <f>SUMIF(BTS_매출관리!C:C,B105,BTS_매출관리!I:I)</f>
        <v>0</v>
      </c>
      <c r="D105">
        <f t="shared" si="1"/>
        <v>44</v>
      </c>
    </row>
    <row r="106" spans="2:4" x14ac:dyDescent="0.3">
      <c r="B106" t="s">
        <v>1332</v>
      </c>
      <c r="C106" s="52">
        <f>SUMIF(BTS_매출관리!C:C,B106,BTS_매출관리!I:I)</f>
        <v>510000</v>
      </c>
      <c r="D106">
        <f t="shared" si="1"/>
        <v>36</v>
      </c>
    </row>
    <row r="107" spans="2:4" x14ac:dyDescent="0.3">
      <c r="B107" t="s">
        <v>2364</v>
      </c>
      <c r="C107" s="52">
        <f>SUMIF(BTS_매출관리!C:C,B107,BTS_매출관리!I:I)</f>
        <v>0</v>
      </c>
      <c r="D107">
        <f t="shared" si="1"/>
        <v>44</v>
      </c>
    </row>
    <row r="108" spans="2:4" x14ac:dyDescent="0.3">
      <c r="B108" t="s">
        <v>1710</v>
      </c>
      <c r="C108" s="52">
        <f>SUMIF(BTS_매출관리!C:C,B108,BTS_매출관리!I:I)</f>
        <v>0</v>
      </c>
      <c r="D108">
        <f t="shared" si="1"/>
        <v>44</v>
      </c>
    </row>
    <row r="109" spans="2:4" x14ac:dyDescent="0.3">
      <c r="B109" t="s">
        <v>1965</v>
      </c>
      <c r="C109" s="52">
        <f>SUMIF(BTS_매출관리!C:C,B109,BTS_매출관리!I:I)</f>
        <v>0</v>
      </c>
      <c r="D109">
        <f t="shared" si="1"/>
        <v>44</v>
      </c>
    </row>
    <row r="110" spans="2:4" x14ac:dyDescent="0.3">
      <c r="B110" t="s">
        <v>2583</v>
      </c>
      <c r="C110" s="52">
        <f>SUMIF(BTS_매출관리!C:C,B110,BTS_매출관리!I:I)</f>
        <v>0</v>
      </c>
      <c r="D110">
        <f t="shared" si="1"/>
        <v>44</v>
      </c>
    </row>
    <row r="111" spans="2:4" x14ac:dyDescent="0.3">
      <c r="B111" t="s">
        <v>1347</v>
      </c>
      <c r="C111" s="52">
        <f>SUMIF(BTS_매출관리!C:C,B111,BTS_매출관리!I:I)</f>
        <v>0</v>
      </c>
      <c r="D111">
        <f t="shared" si="1"/>
        <v>44</v>
      </c>
    </row>
    <row r="112" spans="2:4" x14ac:dyDescent="0.3">
      <c r="B112" t="s">
        <v>1356</v>
      </c>
      <c r="C112" s="52">
        <f>SUMIF(BTS_매출관리!C:C,B112,BTS_매출관리!I:I)</f>
        <v>0</v>
      </c>
      <c r="D112">
        <f t="shared" si="1"/>
        <v>44</v>
      </c>
    </row>
    <row r="113" spans="2:4" x14ac:dyDescent="0.3">
      <c r="B113" t="s">
        <v>1314</v>
      </c>
      <c r="C113" s="52">
        <f>SUMIF(BTS_매출관리!C:C,B113,BTS_매출관리!I:I)</f>
        <v>0</v>
      </c>
      <c r="D113">
        <f t="shared" si="1"/>
        <v>44</v>
      </c>
    </row>
    <row r="114" spans="2:4" x14ac:dyDescent="0.3">
      <c r="B114" t="s">
        <v>2603</v>
      </c>
      <c r="C114" s="52">
        <f>SUMIF(BTS_매출관리!C:C,B114,BTS_매출관리!I:I)</f>
        <v>0</v>
      </c>
      <c r="D114">
        <f t="shared" si="1"/>
        <v>44</v>
      </c>
    </row>
    <row r="115" spans="2:4" x14ac:dyDescent="0.3">
      <c r="B115" t="s">
        <v>1910</v>
      </c>
      <c r="C115" s="52">
        <f>SUMIF(BTS_매출관리!C:C,B115,BTS_매출관리!I:I)</f>
        <v>0</v>
      </c>
      <c r="D115">
        <f t="shared" si="1"/>
        <v>44</v>
      </c>
    </row>
    <row r="116" spans="2:4" x14ac:dyDescent="0.3">
      <c r="B116" t="s">
        <v>1379</v>
      </c>
      <c r="C116" s="52">
        <f>SUMIF(BTS_매출관리!C:C,B116,BTS_매출관리!I:I)</f>
        <v>0</v>
      </c>
      <c r="D116">
        <f t="shared" si="1"/>
        <v>44</v>
      </c>
    </row>
    <row r="117" spans="2:4" x14ac:dyDescent="0.3">
      <c r="B117" t="s">
        <v>1328</v>
      </c>
      <c r="C117" s="52">
        <f>SUMIF(BTS_매출관리!C:C,B117,BTS_매출관리!I:I)</f>
        <v>0</v>
      </c>
      <c r="D117">
        <f t="shared" si="1"/>
        <v>44</v>
      </c>
    </row>
    <row r="118" spans="2:4" x14ac:dyDescent="0.3">
      <c r="B118" t="s">
        <v>1315</v>
      </c>
      <c r="C118" s="52">
        <f>SUMIF(BTS_매출관리!C:C,B118,BTS_매출관리!I:I)</f>
        <v>0</v>
      </c>
      <c r="D118">
        <f t="shared" si="1"/>
        <v>44</v>
      </c>
    </row>
    <row r="119" spans="2:4" x14ac:dyDescent="0.3">
      <c r="B119" t="s">
        <v>1319</v>
      </c>
      <c r="C119" s="52">
        <f>SUMIF(BTS_매출관리!C:C,B119,BTS_매출관리!I:I)</f>
        <v>0</v>
      </c>
      <c r="D119">
        <f t="shared" si="1"/>
        <v>44</v>
      </c>
    </row>
    <row r="120" spans="2:4" x14ac:dyDescent="0.3">
      <c r="B120" t="s">
        <v>1323</v>
      </c>
      <c r="C120" s="52">
        <f>SUMIF(BTS_매출관리!C:C,B120,BTS_매출관리!I:I)</f>
        <v>0</v>
      </c>
      <c r="D120">
        <f t="shared" si="1"/>
        <v>44</v>
      </c>
    </row>
    <row r="121" spans="2:4" x14ac:dyDescent="0.3">
      <c r="B121" t="s">
        <v>1269</v>
      </c>
      <c r="C121" s="52">
        <f>SUMIF(BTS_매출관리!C:C,B121,BTS_매출관리!I:I)</f>
        <v>0</v>
      </c>
      <c r="D121">
        <f t="shared" si="1"/>
        <v>44</v>
      </c>
    </row>
    <row r="122" spans="2:4" x14ac:dyDescent="0.3">
      <c r="B122" t="s">
        <v>1330</v>
      </c>
      <c r="C122" s="52">
        <f>SUMIF(BTS_매출관리!C:C,B122,BTS_매출관리!I:I)</f>
        <v>0</v>
      </c>
      <c r="D122">
        <f t="shared" si="1"/>
        <v>44</v>
      </c>
    </row>
    <row r="123" spans="2:4" x14ac:dyDescent="0.3">
      <c r="B123" t="s">
        <v>1331</v>
      </c>
      <c r="C123" s="52">
        <f>SUMIF(BTS_매출관리!C:C,B123,BTS_매출관리!I:I)</f>
        <v>0</v>
      </c>
      <c r="D123">
        <f t="shared" si="1"/>
        <v>44</v>
      </c>
    </row>
    <row r="124" spans="2:4" x14ac:dyDescent="0.3">
      <c r="B124" t="s">
        <v>1334</v>
      </c>
      <c r="C124" s="52">
        <f>SUMIF(BTS_매출관리!C:C,B124,BTS_매출관리!I:I)</f>
        <v>0</v>
      </c>
      <c r="D124">
        <f t="shared" si="1"/>
        <v>44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44</v>
      </c>
    </row>
    <row r="126" spans="2:4" x14ac:dyDescent="0.3">
      <c r="B126" t="s">
        <v>1336</v>
      </c>
      <c r="C126" s="52">
        <f>SUMIF(BTS_매출관리!C:C,B126,BTS_매출관리!I:I)</f>
        <v>0</v>
      </c>
      <c r="D126">
        <f t="shared" si="1"/>
        <v>44</v>
      </c>
    </row>
    <row r="127" spans="2:4" x14ac:dyDescent="0.3">
      <c r="B127" t="s">
        <v>1337</v>
      </c>
      <c r="C127" s="52">
        <f>SUMIF(BTS_매출관리!C:C,B127,BTS_매출관리!I:I)</f>
        <v>0</v>
      </c>
      <c r="D127">
        <f t="shared" si="1"/>
        <v>44</v>
      </c>
    </row>
    <row r="128" spans="2:4" x14ac:dyDescent="0.3">
      <c r="B128" t="s">
        <v>1341</v>
      </c>
      <c r="C128" s="52">
        <f>SUMIF(BTS_매출관리!C:C,B128,BTS_매출관리!I:I)</f>
        <v>0</v>
      </c>
      <c r="D128">
        <f t="shared" si="1"/>
        <v>44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44</v>
      </c>
    </row>
    <row r="130" spans="2:4" x14ac:dyDescent="0.3">
      <c r="B130" t="s">
        <v>1346</v>
      </c>
      <c r="C130" s="52">
        <f>SUMIF(BTS_매출관리!C:C,B130,BTS_매출관리!I:I)</f>
        <v>0</v>
      </c>
      <c r="D130">
        <f t="shared" ref="D130:D193" si="2">RANK(C130,C:C,0)</f>
        <v>44</v>
      </c>
    </row>
    <row r="131" spans="2:4" x14ac:dyDescent="0.3">
      <c r="B131" t="s">
        <v>1348</v>
      </c>
      <c r="C131" s="52">
        <f>SUMIF(BTS_매출관리!C:C,B131,BTS_매출관리!I:I)</f>
        <v>0</v>
      </c>
      <c r="D131">
        <f t="shared" si="2"/>
        <v>44</v>
      </c>
    </row>
    <row r="132" spans="2:4" x14ac:dyDescent="0.3">
      <c r="B132" t="s">
        <v>1349</v>
      </c>
      <c r="C132" s="52">
        <f>SUMIF(BTS_매출관리!C:C,B132,BTS_매출관리!I:I)</f>
        <v>0</v>
      </c>
      <c r="D132">
        <f t="shared" si="2"/>
        <v>44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44</v>
      </c>
    </row>
    <row r="134" spans="2:4" x14ac:dyDescent="0.3">
      <c r="B134" t="s">
        <v>1353</v>
      </c>
      <c r="C134" s="52">
        <f>SUMIF(BTS_매출관리!C:C,B134,BTS_매출관리!I:I)</f>
        <v>0</v>
      </c>
      <c r="D134">
        <f t="shared" si="2"/>
        <v>44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44</v>
      </c>
    </row>
    <row r="136" spans="2:4" x14ac:dyDescent="0.3">
      <c r="B136" t="s">
        <v>1357</v>
      </c>
      <c r="C136" s="52">
        <f>SUMIF(BTS_매출관리!C:C,B136,BTS_매출관리!I:I)</f>
        <v>0</v>
      </c>
      <c r="D136">
        <f t="shared" si="2"/>
        <v>44</v>
      </c>
    </row>
    <row r="137" spans="2:4" x14ac:dyDescent="0.3">
      <c r="B137" t="s">
        <v>1360</v>
      </c>
      <c r="C137" s="52">
        <f>SUMIF(BTS_매출관리!C:C,B137,BTS_매출관리!I:I)</f>
        <v>0</v>
      </c>
      <c r="D137">
        <f t="shared" si="2"/>
        <v>44</v>
      </c>
    </row>
    <row r="138" spans="2:4" x14ac:dyDescent="0.3">
      <c r="B138" t="s">
        <v>1362</v>
      </c>
      <c r="C138" s="52">
        <f>SUMIF(BTS_매출관리!C:C,B138,BTS_매출관리!I:I)</f>
        <v>0</v>
      </c>
      <c r="D138">
        <f t="shared" si="2"/>
        <v>44</v>
      </c>
    </row>
    <row r="139" spans="2:4" x14ac:dyDescent="0.3">
      <c r="B139" t="s">
        <v>1364</v>
      </c>
      <c r="C139" s="52">
        <f>SUMIF(BTS_매출관리!C:C,B139,BTS_매출관리!I:I)</f>
        <v>0</v>
      </c>
      <c r="D139">
        <f t="shared" si="2"/>
        <v>44</v>
      </c>
    </row>
    <row r="140" spans="2:4" x14ac:dyDescent="0.3">
      <c r="B140" t="s">
        <v>1368</v>
      </c>
      <c r="C140" s="52">
        <f>SUMIF(BTS_매출관리!C:C,B140,BTS_매출관리!I:I)</f>
        <v>0</v>
      </c>
      <c r="D140">
        <f t="shared" si="2"/>
        <v>44</v>
      </c>
    </row>
    <row r="141" spans="2:4" x14ac:dyDescent="0.3">
      <c r="B141" t="s">
        <v>1372</v>
      </c>
      <c r="C141" s="52">
        <f>SUMIF(BTS_매출관리!C:C,B141,BTS_매출관리!I:I)</f>
        <v>0</v>
      </c>
      <c r="D141">
        <f t="shared" si="2"/>
        <v>44</v>
      </c>
    </row>
    <row r="142" spans="2:4" x14ac:dyDescent="0.3">
      <c r="B142" t="s">
        <v>1374</v>
      </c>
      <c r="C142" s="52">
        <f>SUMIF(BTS_매출관리!C:C,B142,BTS_매출관리!I:I)</f>
        <v>0</v>
      </c>
      <c r="D142">
        <f t="shared" si="2"/>
        <v>44</v>
      </c>
    </row>
    <row r="143" spans="2:4" x14ac:dyDescent="0.3">
      <c r="B143" t="s">
        <v>1375</v>
      </c>
      <c r="C143" s="52">
        <f>SUMIF(BTS_매출관리!C:C,B143,BTS_매출관리!I:I)</f>
        <v>0</v>
      </c>
      <c r="D143">
        <f t="shared" si="2"/>
        <v>44</v>
      </c>
    </row>
    <row r="144" spans="2:4" x14ac:dyDescent="0.3">
      <c r="B144" t="s">
        <v>1377</v>
      </c>
      <c r="C144" s="52">
        <f>SUMIF(BTS_매출관리!C:C,B144,BTS_매출관리!I:I)</f>
        <v>0</v>
      </c>
      <c r="D144">
        <f t="shared" si="2"/>
        <v>44</v>
      </c>
    </row>
    <row r="145" spans="2:4" x14ac:dyDescent="0.3">
      <c r="B145" t="s">
        <v>1380</v>
      </c>
      <c r="C145" s="52">
        <f>SUMIF(BTS_매출관리!C:C,B145,BTS_매출관리!I:I)</f>
        <v>0</v>
      </c>
      <c r="D145">
        <f t="shared" si="2"/>
        <v>44</v>
      </c>
    </row>
    <row r="146" spans="2:4" x14ac:dyDescent="0.3">
      <c r="B146" t="s">
        <v>1384</v>
      </c>
      <c r="C146" s="52">
        <f>SUMIF(BTS_매출관리!C:C,B146,BTS_매출관리!I:I)</f>
        <v>0</v>
      </c>
      <c r="D146">
        <f t="shared" si="2"/>
        <v>44</v>
      </c>
    </row>
    <row r="147" spans="2:4" x14ac:dyDescent="0.3">
      <c r="B147" t="s">
        <v>1387</v>
      </c>
      <c r="C147" s="52">
        <f>SUMIF(BTS_매출관리!C:C,B147,BTS_매출관리!I:I)</f>
        <v>0</v>
      </c>
      <c r="D147">
        <f t="shared" si="2"/>
        <v>44</v>
      </c>
    </row>
    <row r="148" spans="2:4" x14ac:dyDescent="0.3">
      <c r="B148" t="s">
        <v>1392</v>
      </c>
      <c r="C148" s="52">
        <f>SUMIF(BTS_매출관리!C:C,B148,BTS_매출관리!I:I)</f>
        <v>0</v>
      </c>
      <c r="D148">
        <f t="shared" si="2"/>
        <v>44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44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44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44</v>
      </c>
    </row>
    <row r="152" spans="2:4" x14ac:dyDescent="0.3">
      <c r="B152" t="s">
        <v>1395</v>
      </c>
      <c r="C152" s="52">
        <f>SUMIF(BTS_매출관리!C:C,B152,BTS_매출관리!I:I)</f>
        <v>0</v>
      </c>
      <c r="D152">
        <f t="shared" si="2"/>
        <v>44</v>
      </c>
    </row>
    <row r="153" spans="2:4" x14ac:dyDescent="0.3">
      <c r="B153" t="s">
        <v>1397</v>
      </c>
      <c r="C153" s="52">
        <f>SUMIF(BTS_매출관리!C:C,B153,BTS_매출관리!I:I)</f>
        <v>0</v>
      </c>
      <c r="D153">
        <f t="shared" si="2"/>
        <v>44</v>
      </c>
    </row>
    <row r="154" spans="2:4" x14ac:dyDescent="0.3">
      <c r="B154" t="s">
        <v>1603</v>
      </c>
      <c r="C154" s="52">
        <f>SUMIF(BTS_매출관리!C:C,B154,BTS_매출관리!I:I)</f>
        <v>0</v>
      </c>
      <c r="D154">
        <f t="shared" si="2"/>
        <v>44</v>
      </c>
    </row>
    <row r="155" spans="2:4" x14ac:dyDescent="0.3">
      <c r="B155" t="s">
        <v>2469</v>
      </c>
      <c r="C155" s="52">
        <f>SUMIF(BTS_매출관리!C:C,B155,BTS_매출관리!I:I)</f>
        <v>0</v>
      </c>
      <c r="D155">
        <f t="shared" si="2"/>
        <v>44</v>
      </c>
    </row>
    <row r="156" spans="2:4" x14ac:dyDescent="0.3">
      <c r="B156" t="s">
        <v>2818</v>
      </c>
      <c r="C156" s="52">
        <f>SUMIF(BTS_매출관리!C:C,B156,BTS_매출관리!I:I)</f>
        <v>0</v>
      </c>
      <c r="D156">
        <f t="shared" si="2"/>
        <v>44</v>
      </c>
    </row>
    <row r="157" spans="2:4" x14ac:dyDescent="0.3">
      <c r="C157" s="52">
        <f>SUMIF(BTS_매출관리!C:C,B157,BTS_매출관리!I:I)</f>
        <v>0</v>
      </c>
      <c r="D157">
        <f t="shared" si="2"/>
        <v>44</v>
      </c>
    </row>
    <row r="158" spans="2:4" x14ac:dyDescent="0.3">
      <c r="C158" s="52">
        <f>SUMIF(BTS_매출관리!C:C,B158,BTS_매출관리!I:I)</f>
        <v>0</v>
      </c>
      <c r="D158">
        <f t="shared" si="2"/>
        <v>44</v>
      </c>
    </row>
    <row r="159" spans="2:4" x14ac:dyDescent="0.3">
      <c r="C159" s="52">
        <f>SUMIF(BTS_매출관리!C:C,B159,BTS_매출관리!I:I)</f>
        <v>0</v>
      </c>
      <c r="D159">
        <f t="shared" si="2"/>
        <v>44</v>
      </c>
    </row>
    <row r="160" spans="2:4" x14ac:dyDescent="0.3">
      <c r="C160" s="52">
        <f>SUMIF(BTS_매출관리!C:C,B160,BTS_매출관리!I:I)</f>
        <v>0</v>
      </c>
      <c r="D160">
        <f t="shared" si="2"/>
        <v>44</v>
      </c>
    </row>
    <row r="161" spans="3:4" x14ac:dyDescent="0.3">
      <c r="C161" s="52">
        <f>SUMIF(BTS_매출관리!C:C,B161,BTS_매출관리!I:I)</f>
        <v>0</v>
      </c>
      <c r="D161">
        <f t="shared" si="2"/>
        <v>44</v>
      </c>
    </row>
    <row r="162" spans="3:4" x14ac:dyDescent="0.3">
      <c r="C162" s="52">
        <f>SUMIF(BTS_매출관리!C:C,B162,BTS_매출관리!I:I)</f>
        <v>0</v>
      </c>
      <c r="D162">
        <f t="shared" si="2"/>
        <v>44</v>
      </c>
    </row>
    <row r="163" spans="3:4" x14ac:dyDescent="0.3">
      <c r="C163" s="52">
        <f>SUMIF(BTS_매출관리!C:C,B163,BTS_매출관리!I:I)</f>
        <v>0</v>
      </c>
      <c r="D163">
        <f t="shared" si="2"/>
        <v>44</v>
      </c>
    </row>
    <row r="164" spans="3:4" x14ac:dyDescent="0.3">
      <c r="C164" s="52">
        <f>SUMIF(BTS_매출관리!C:C,B164,BTS_매출관리!I:I)</f>
        <v>0</v>
      </c>
      <c r="D164">
        <f t="shared" si="2"/>
        <v>44</v>
      </c>
    </row>
    <row r="165" spans="3:4" x14ac:dyDescent="0.3">
      <c r="C165" s="52">
        <f>SUMIF(BTS_매출관리!C:C,B165,BTS_매출관리!I:I)</f>
        <v>0</v>
      </c>
      <c r="D165">
        <f t="shared" si="2"/>
        <v>44</v>
      </c>
    </row>
    <row r="166" spans="3:4" x14ac:dyDescent="0.3">
      <c r="C166" s="52">
        <f>SUMIF(BTS_매출관리!C:C,B166,BTS_매출관리!I:I)</f>
        <v>0</v>
      </c>
      <c r="D166">
        <f t="shared" si="2"/>
        <v>44</v>
      </c>
    </row>
    <row r="167" spans="3:4" x14ac:dyDescent="0.3">
      <c r="C167" s="52">
        <f>SUMIF(BTS_매출관리!C:C,B167,BTS_매출관리!I:I)</f>
        <v>0</v>
      </c>
      <c r="D167">
        <f t="shared" si="2"/>
        <v>44</v>
      </c>
    </row>
    <row r="168" spans="3:4" x14ac:dyDescent="0.3">
      <c r="C168" s="52">
        <f>SUMIF(BTS_매출관리!C:C,B168,BTS_매출관리!I:I)</f>
        <v>0</v>
      </c>
      <c r="D168">
        <f t="shared" si="2"/>
        <v>44</v>
      </c>
    </row>
    <row r="169" spans="3:4" x14ac:dyDescent="0.3">
      <c r="C169" s="52">
        <f>SUMIF(BTS_매출관리!C:C,B169,BTS_매출관리!I:I)</f>
        <v>0</v>
      </c>
      <c r="D169">
        <f t="shared" si="2"/>
        <v>44</v>
      </c>
    </row>
    <row r="170" spans="3:4" x14ac:dyDescent="0.3">
      <c r="C170" s="52">
        <f>SUMIF(BTS_매출관리!C:C,B170,BTS_매출관리!I:I)</f>
        <v>0</v>
      </c>
      <c r="D170">
        <f t="shared" si="2"/>
        <v>44</v>
      </c>
    </row>
    <row r="171" spans="3:4" x14ac:dyDescent="0.3">
      <c r="C171" s="52">
        <f>SUMIF(BTS_매출관리!C:C,B171,BTS_매출관리!I:I)</f>
        <v>0</v>
      </c>
      <c r="D171">
        <f t="shared" si="2"/>
        <v>44</v>
      </c>
    </row>
    <row r="172" spans="3:4" x14ac:dyDescent="0.3">
      <c r="C172" s="52">
        <f>SUMIF(BTS_매출관리!C:C,B172,BTS_매출관리!I:I)</f>
        <v>0</v>
      </c>
      <c r="D172">
        <f t="shared" si="2"/>
        <v>44</v>
      </c>
    </row>
    <row r="173" spans="3:4" x14ac:dyDescent="0.3">
      <c r="C173" s="52">
        <f>SUMIF(BTS_매출관리!C:C,B173,BTS_매출관리!I:I)</f>
        <v>0</v>
      </c>
      <c r="D173">
        <f t="shared" si="2"/>
        <v>44</v>
      </c>
    </row>
    <row r="174" spans="3:4" x14ac:dyDescent="0.3">
      <c r="C174" s="52">
        <f>SUMIF(BTS_매출관리!C:C,B174,BTS_매출관리!I:I)</f>
        <v>0</v>
      </c>
      <c r="D174">
        <f t="shared" si="2"/>
        <v>44</v>
      </c>
    </row>
    <row r="175" spans="3:4" x14ac:dyDescent="0.3">
      <c r="C175" s="52">
        <f>SUMIF(BTS_매출관리!C:C,B175,BTS_매출관리!I:I)</f>
        <v>0</v>
      </c>
      <c r="D175">
        <f t="shared" si="2"/>
        <v>44</v>
      </c>
    </row>
    <row r="176" spans="3:4" x14ac:dyDescent="0.3">
      <c r="C176" s="52">
        <f>SUMIF(BTS_매출관리!C:C,B176,BTS_매출관리!I:I)</f>
        <v>0</v>
      </c>
      <c r="D176">
        <f t="shared" si="2"/>
        <v>44</v>
      </c>
    </row>
    <row r="177" spans="3:4" x14ac:dyDescent="0.3">
      <c r="C177" s="52">
        <f>SUMIF(BTS_매출관리!C:C,B177,BTS_매출관리!I:I)</f>
        <v>0</v>
      </c>
      <c r="D177">
        <f t="shared" si="2"/>
        <v>44</v>
      </c>
    </row>
    <row r="178" spans="3:4" x14ac:dyDescent="0.3">
      <c r="C178" s="52">
        <f>SUMIF(BTS_매출관리!C:C,B178,BTS_매출관리!I:I)</f>
        <v>0</v>
      </c>
      <c r="D178">
        <f t="shared" si="2"/>
        <v>44</v>
      </c>
    </row>
    <row r="179" spans="3:4" x14ac:dyDescent="0.3">
      <c r="C179" s="52">
        <f>SUMIF(BTS_매출관리!C:C,B179,BTS_매출관리!I:I)</f>
        <v>0</v>
      </c>
      <c r="D179">
        <f t="shared" si="2"/>
        <v>44</v>
      </c>
    </row>
    <row r="180" spans="3:4" x14ac:dyDescent="0.3">
      <c r="C180" s="52">
        <f>SUMIF(BTS_매출관리!C:C,B180,BTS_매출관리!I:I)</f>
        <v>0</v>
      </c>
      <c r="D180">
        <f t="shared" si="2"/>
        <v>44</v>
      </c>
    </row>
    <row r="181" spans="3:4" x14ac:dyDescent="0.3">
      <c r="C181" s="52">
        <f>SUMIF(BTS_매출관리!C:C,B181,BTS_매출관리!I:I)</f>
        <v>0</v>
      </c>
      <c r="D181">
        <f t="shared" si="2"/>
        <v>44</v>
      </c>
    </row>
    <row r="182" spans="3:4" x14ac:dyDescent="0.3">
      <c r="C182" s="52">
        <f>SUMIF(BTS_매출관리!C:C,B182,BTS_매출관리!I:I)</f>
        <v>0</v>
      </c>
      <c r="D182">
        <f t="shared" si="2"/>
        <v>44</v>
      </c>
    </row>
    <row r="183" spans="3:4" x14ac:dyDescent="0.3">
      <c r="C183" s="52">
        <f>SUMIF(BTS_매출관리!C:C,B183,BTS_매출관리!I:I)</f>
        <v>0</v>
      </c>
      <c r="D183">
        <f t="shared" si="2"/>
        <v>44</v>
      </c>
    </row>
    <row r="184" spans="3:4" x14ac:dyDescent="0.3">
      <c r="C184" s="52">
        <f>SUMIF(BTS_매출관리!C:C,B184,BTS_매출관리!I:I)</f>
        <v>0</v>
      </c>
      <c r="D184">
        <f t="shared" si="2"/>
        <v>44</v>
      </c>
    </row>
    <row r="185" spans="3:4" x14ac:dyDescent="0.3">
      <c r="C185" s="52">
        <f>SUMIF(BTS_매출관리!C:C,B185,BTS_매출관리!I:I)</f>
        <v>0</v>
      </c>
      <c r="D185">
        <f t="shared" si="2"/>
        <v>44</v>
      </c>
    </row>
    <row r="186" spans="3:4" x14ac:dyDescent="0.3">
      <c r="C186" s="52">
        <f>SUMIF(BTS_매출관리!C:C,B186,BTS_매출관리!I:I)</f>
        <v>0</v>
      </c>
      <c r="D186">
        <f t="shared" si="2"/>
        <v>44</v>
      </c>
    </row>
    <row r="187" spans="3:4" x14ac:dyDescent="0.3">
      <c r="C187" s="52">
        <f>SUMIF(BTS_매출관리!C:C,B187,BTS_매출관리!I:I)</f>
        <v>0</v>
      </c>
      <c r="D187">
        <f t="shared" si="2"/>
        <v>44</v>
      </c>
    </row>
    <row r="188" spans="3:4" x14ac:dyDescent="0.3">
      <c r="C188" s="52">
        <f>SUMIF(BTS_매출관리!C:C,B188,BTS_매출관리!I:I)</f>
        <v>0</v>
      </c>
      <c r="D188">
        <f t="shared" si="2"/>
        <v>44</v>
      </c>
    </row>
    <row r="189" spans="3:4" x14ac:dyDescent="0.3">
      <c r="C189" s="52">
        <f>SUMIF(BTS_매출관리!C:C,B189,BTS_매출관리!I:I)</f>
        <v>0</v>
      </c>
      <c r="D189">
        <f t="shared" si="2"/>
        <v>44</v>
      </c>
    </row>
    <row r="190" spans="3:4" x14ac:dyDescent="0.3">
      <c r="C190" s="52">
        <f>SUMIF(BTS_매출관리!C:C,B190,BTS_매출관리!I:I)</f>
        <v>0</v>
      </c>
      <c r="D190">
        <f t="shared" si="2"/>
        <v>44</v>
      </c>
    </row>
    <row r="191" spans="3:4" x14ac:dyDescent="0.3">
      <c r="C191" s="52">
        <f>SUMIF(BTS_매출관리!C:C,B191,BTS_매출관리!I:I)</f>
        <v>0</v>
      </c>
      <c r="D191">
        <f t="shared" si="2"/>
        <v>44</v>
      </c>
    </row>
    <row r="192" spans="3:4" x14ac:dyDescent="0.3">
      <c r="C192" s="52">
        <f>SUMIF(BTS_매출관리!C:C,B192,BTS_매출관리!I:I)</f>
        <v>0</v>
      </c>
      <c r="D192">
        <f t="shared" si="2"/>
        <v>44</v>
      </c>
    </row>
    <row r="193" spans="3:4" x14ac:dyDescent="0.3">
      <c r="C193" s="52">
        <f>SUMIF(BTS_매출관리!C:C,B193,BTS_매출관리!I:I)</f>
        <v>0</v>
      </c>
      <c r="D193">
        <f t="shared" si="2"/>
        <v>44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44</v>
      </c>
    </row>
    <row r="195" spans="3:4" x14ac:dyDescent="0.3">
      <c r="C195" s="52">
        <f>SUMIF(BTS_매출관리!C:C,B195,BTS_매출관리!I:I)</f>
        <v>0</v>
      </c>
      <c r="D195">
        <f t="shared" si="3"/>
        <v>44</v>
      </c>
    </row>
    <row r="196" spans="3:4" x14ac:dyDescent="0.3">
      <c r="C196" s="52">
        <f>SUMIF(BTS_매출관리!C:C,B196,BTS_매출관리!I:I)</f>
        <v>0</v>
      </c>
      <c r="D196">
        <f t="shared" si="3"/>
        <v>44</v>
      </c>
    </row>
    <row r="197" spans="3:4" x14ac:dyDescent="0.3">
      <c r="C197" s="52">
        <f>SUMIF(BTS_매출관리!C:C,B197,BTS_매출관리!I:I)</f>
        <v>0</v>
      </c>
      <c r="D197">
        <f t="shared" si="3"/>
        <v>44</v>
      </c>
    </row>
    <row r="198" spans="3:4" x14ac:dyDescent="0.3">
      <c r="C198" s="52">
        <f>SUMIF(BTS_매출관리!C:C,B198,BTS_매출관리!I:I)</f>
        <v>0</v>
      </c>
      <c r="D198">
        <f t="shared" si="3"/>
        <v>44</v>
      </c>
    </row>
    <row r="199" spans="3:4" x14ac:dyDescent="0.3">
      <c r="C199" s="52">
        <f>SUMIF(BTS_매출관리!C:C,B199,BTS_매출관리!I:I)</f>
        <v>0</v>
      </c>
      <c r="D199">
        <f t="shared" si="3"/>
        <v>44</v>
      </c>
    </row>
    <row r="200" spans="3:4" x14ac:dyDescent="0.3">
      <c r="C200" s="52">
        <f>SUMIF(BTS_매출관리!C:C,B200,BTS_매출관리!I:I)</f>
        <v>0</v>
      </c>
      <c r="D200">
        <f t="shared" si="3"/>
        <v>44</v>
      </c>
    </row>
    <row r="201" spans="3:4" x14ac:dyDescent="0.3">
      <c r="C201" s="52">
        <f>SUMIF(BTS_매출관리!C:C,B201,BTS_매출관리!I:I)</f>
        <v>0</v>
      </c>
      <c r="D201">
        <f t="shared" si="3"/>
        <v>44</v>
      </c>
    </row>
    <row r="202" spans="3:4" x14ac:dyDescent="0.3">
      <c r="C202" s="52">
        <f>SUMIF(BTS_매출관리!C:C,B202,BTS_매출관리!I:I)</f>
        <v>0</v>
      </c>
      <c r="D202">
        <f t="shared" si="3"/>
        <v>44</v>
      </c>
    </row>
    <row r="203" spans="3:4" x14ac:dyDescent="0.3">
      <c r="C203" s="52">
        <f>SUMIF(BTS_매출관리!C:C,B203,BTS_매출관리!I:I)</f>
        <v>0</v>
      </c>
      <c r="D203">
        <f t="shared" si="3"/>
        <v>44</v>
      </c>
    </row>
    <row r="204" spans="3:4" x14ac:dyDescent="0.3">
      <c r="C204" s="52">
        <f>SUMIF(BTS_매출관리!C:C,B204,BTS_매출관리!I:I)</f>
        <v>0</v>
      </c>
      <c r="D204">
        <f t="shared" si="3"/>
        <v>44</v>
      </c>
    </row>
    <row r="205" spans="3:4" x14ac:dyDescent="0.3">
      <c r="C205" s="52">
        <f>SUMIF(BTS_매출관리!C:C,B205,BTS_매출관리!I:I)</f>
        <v>0</v>
      </c>
      <c r="D205">
        <f t="shared" si="3"/>
        <v>44</v>
      </c>
    </row>
    <row r="206" spans="3:4" x14ac:dyDescent="0.3">
      <c r="C206" s="52">
        <f>SUMIF(BTS_매출관리!C:C,B206,BTS_매출관리!I:I)</f>
        <v>0</v>
      </c>
      <c r="D206">
        <f t="shared" si="3"/>
        <v>44</v>
      </c>
    </row>
    <row r="207" spans="3:4" x14ac:dyDescent="0.3">
      <c r="C207" s="52">
        <f>SUMIF(BTS_매출관리!C:C,B207,BTS_매출관리!I:I)</f>
        <v>0</v>
      </c>
      <c r="D207">
        <f t="shared" si="3"/>
        <v>44</v>
      </c>
    </row>
    <row r="208" spans="3:4" x14ac:dyDescent="0.3">
      <c r="C208" s="52">
        <f>SUMIF(BTS_매출관리!C:C,B208,BTS_매출관리!I:I)</f>
        <v>0</v>
      </c>
      <c r="D208">
        <f t="shared" si="3"/>
        <v>44</v>
      </c>
    </row>
    <row r="209" spans="3:4" x14ac:dyDescent="0.3">
      <c r="C209" s="52">
        <f>SUMIF(BTS_매출관리!C:C,B209,BTS_매출관리!I:I)</f>
        <v>0</v>
      </c>
      <c r="D209">
        <f t="shared" si="3"/>
        <v>44</v>
      </c>
    </row>
    <row r="210" spans="3:4" x14ac:dyDescent="0.3">
      <c r="C210" s="52">
        <f>SUMIF(BTS_매출관리!C:C,B210,BTS_매출관리!I:I)</f>
        <v>0</v>
      </c>
      <c r="D210">
        <f t="shared" si="3"/>
        <v>44</v>
      </c>
    </row>
    <row r="211" spans="3:4" x14ac:dyDescent="0.3">
      <c r="C211" s="52">
        <f>SUMIF(BTS_매출관리!C:C,B211,BTS_매출관리!I:I)</f>
        <v>0</v>
      </c>
      <c r="D211">
        <f t="shared" si="3"/>
        <v>44</v>
      </c>
    </row>
    <row r="212" spans="3:4" x14ac:dyDescent="0.3">
      <c r="C212" s="52">
        <f>SUMIF(BTS_매출관리!C:C,B212,BTS_매출관리!I:I)</f>
        <v>0</v>
      </c>
      <c r="D212">
        <f t="shared" si="3"/>
        <v>44</v>
      </c>
    </row>
    <row r="213" spans="3:4" x14ac:dyDescent="0.3">
      <c r="C213" s="52">
        <f>SUMIF(BTS_매출관리!C:C,B213,BTS_매출관리!I:I)</f>
        <v>0</v>
      </c>
      <c r="D213">
        <f t="shared" si="3"/>
        <v>44</v>
      </c>
    </row>
    <row r="214" spans="3:4" x14ac:dyDescent="0.3">
      <c r="C214" s="52">
        <f>SUMIF(BTS_매출관리!C:C,B214,BTS_매출관리!I:I)</f>
        <v>0</v>
      </c>
      <c r="D214">
        <f t="shared" si="3"/>
        <v>44</v>
      </c>
    </row>
    <row r="215" spans="3:4" x14ac:dyDescent="0.3">
      <c r="C215" s="52">
        <f>SUMIF(BTS_매출관리!C:C,B215,BTS_매출관리!I:I)</f>
        <v>0</v>
      </c>
      <c r="D215">
        <f t="shared" si="3"/>
        <v>44</v>
      </c>
    </row>
    <row r="216" spans="3:4" x14ac:dyDescent="0.3">
      <c r="C216" s="52">
        <f>SUMIF(BTS_매출관리!C:C,B216,BTS_매출관리!I:I)</f>
        <v>0</v>
      </c>
      <c r="D216">
        <f t="shared" si="3"/>
        <v>44</v>
      </c>
    </row>
    <row r="217" spans="3:4" x14ac:dyDescent="0.3">
      <c r="C217" s="52">
        <f>SUMIF(BTS_매출관리!C:C,B217,BTS_매출관리!I:I)</f>
        <v>0</v>
      </c>
      <c r="D217">
        <f t="shared" si="3"/>
        <v>44</v>
      </c>
    </row>
    <row r="218" spans="3:4" x14ac:dyDescent="0.3">
      <c r="C218" s="52">
        <f>SUMIF(BTS_매출관리!C:C,B218,BTS_매출관리!I:I)</f>
        <v>0</v>
      </c>
      <c r="D218">
        <f t="shared" si="3"/>
        <v>44</v>
      </c>
    </row>
    <row r="219" spans="3:4" x14ac:dyDescent="0.3">
      <c r="C219" s="52">
        <f>SUMIF(BTS_매출관리!C:C,B219,BTS_매출관리!I:I)</f>
        <v>0</v>
      </c>
      <c r="D219">
        <f t="shared" si="3"/>
        <v>44</v>
      </c>
    </row>
    <row r="220" spans="3:4" x14ac:dyDescent="0.3">
      <c r="C220" s="52">
        <f>SUMIF(BTS_매출관리!C:C,B220,BTS_매출관리!I:I)</f>
        <v>0</v>
      </c>
      <c r="D220">
        <f t="shared" si="3"/>
        <v>44</v>
      </c>
    </row>
    <row r="221" spans="3:4" x14ac:dyDescent="0.3">
      <c r="C221" s="52">
        <f>SUMIF(BTS_매출관리!C:C,B221,BTS_매출관리!I:I)</f>
        <v>0</v>
      </c>
      <c r="D221">
        <f t="shared" si="3"/>
        <v>44</v>
      </c>
    </row>
    <row r="222" spans="3:4" x14ac:dyDescent="0.3">
      <c r="C222" s="52">
        <f>SUMIF(BTS_매출관리!C:C,B222,BTS_매출관리!I:I)</f>
        <v>0</v>
      </c>
      <c r="D222">
        <f t="shared" si="3"/>
        <v>44</v>
      </c>
    </row>
    <row r="223" spans="3:4" x14ac:dyDescent="0.3">
      <c r="C223" s="52">
        <f>SUMIF(BTS_매출관리!C:C,B223,BTS_매출관리!I:I)</f>
        <v>0</v>
      </c>
      <c r="D223">
        <f t="shared" si="3"/>
        <v>44</v>
      </c>
    </row>
    <row r="224" spans="3:4" x14ac:dyDescent="0.3">
      <c r="C224" s="52">
        <f>SUMIF(BTS_매출관리!C:C,B224,BTS_매출관리!I:I)</f>
        <v>0</v>
      </c>
      <c r="D224">
        <f t="shared" si="3"/>
        <v>44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2409</v>
      </c>
      <c r="C1" s="441" t="s">
        <v>2643</v>
      </c>
      <c r="D1" s="438" t="s">
        <v>2672</v>
      </c>
      <c r="E1" s="438" t="s">
        <v>40</v>
      </c>
      <c r="F1" s="438" t="s">
        <v>2850</v>
      </c>
      <c r="G1" s="438"/>
      <c r="H1" s="438" t="s">
        <v>2851</v>
      </c>
      <c r="I1" s="438"/>
      <c r="J1" s="438" t="s">
        <v>2852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2644</v>
      </c>
      <c r="G2" s="292" t="s">
        <v>2645</v>
      </c>
      <c r="H2" s="292" t="s">
        <v>2646</v>
      </c>
      <c r="I2" s="292" t="s">
        <v>2647</v>
      </c>
      <c r="J2" s="292" t="s">
        <v>2646</v>
      </c>
      <c r="K2" s="292" t="s">
        <v>2647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2648</v>
      </c>
      <c r="D3" s="288" t="s">
        <v>2649</v>
      </c>
      <c r="E3" s="288" t="s">
        <v>2650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2651</v>
      </c>
      <c r="D4" s="259" t="s">
        <v>2652</v>
      </c>
      <c r="E4" s="259" t="s">
        <v>2650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2648</v>
      </c>
      <c r="D5" s="259" t="s">
        <v>2649</v>
      </c>
      <c r="E5" s="259" t="s">
        <v>2650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2648</v>
      </c>
      <c r="D6" s="259" t="s">
        <v>2649</v>
      </c>
      <c r="E6" s="259" t="s">
        <v>2650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2648</v>
      </c>
      <c r="D7" s="259" t="s">
        <v>2649</v>
      </c>
      <c r="E7" s="259" t="s">
        <v>2653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2654</v>
      </c>
      <c r="D8" s="259" t="s">
        <v>2655</v>
      </c>
      <c r="E8" s="259" t="s">
        <v>2650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2656</v>
      </c>
      <c r="D9" s="259" t="s">
        <v>2657</v>
      </c>
      <c r="E9" s="259" t="s">
        <v>2650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2658</v>
      </c>
      <c r="D10" s="259" t="s">
        <v>2649</v>
      </c>
      <c r="E10" s="259" t="s">
        <v>2653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2659</v>
      </c>
      <c r="D11" s="259" t="s">
        <v>2649</v>
      </c>
      <c r="E11" s="259" t="s">
        <v>2653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2648</v>
      </c>
      <c r="D12" s="259" t="s">
        <v>2649</v>
      </c>
      <c r="E12" s="259" t="s">
        <v>2650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2648</v>
      </c>
      <c r="D13" s="259" t="s">
        <v>2649</v>
      </c>
      <c r="E13" s="259" t="s">
        <v>2650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2651</v>
      </c>
      <c r="D14" s="259" t="s">
        <v>2652</v>
      </c>
      <c r="E14" s="259" t="s">
        <v>2653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2648</v>
      </c>
      <c r="D15" s="259" t="s">
        <v>2649</v>
      </c>
      <c r="E15" s="259" t="s">
        <v>2653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2660</v>
      </c>
      <c r="D16" s="259" t="s">
        <v>2661</v>
      </c>
      <c r="E16" s="259" t="s">
        <v>2653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2648</v>
      </c>
      <c r="D17" s="259" t="s">
        <v>2649</v>
      </c>
      <c r="E17" s="259" t="s">
        <v>2653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2659</v>
      </c>
      <c r="D18" s="259" t="s">
        <v>2649</v>
      </c>
      <c r="E18" s="259" t="s">
        <v>2650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2662</v>
      </c>
      <c r="D19" s="259" t="s">
        <v>2663</v>
      </c>
      <c r="E19" s="259" t="s">
        <v>2653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2658</v>
      </c>
      <c r="D20" s="259" t="s">
        <v>2649</v>
      </c>
      <c r="E20" s="259" t="s">
        <v>2653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2664</v>
      </c>
      <c r="D21" s="259" t="s">
        <v>2661</v>
      </c>
      <c r="E21" s="259" t="s">
        <v>2653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2665</v>
      </c>
      <c r="D22" s="259" t="s">
        <v>2666</v>
      </c>
      <c r="E22" s="259" t="s">
        <v>2653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2667</v>
      </c>
      <c r="D23" s="259" t="s">
        <v>2668</v>
      </c>
      <c r="E23" s="259" t="s">
        <v>2653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2651</v>
      </c>
      <c r="D24" s="259" t="s">
        <v>2652</v>
      </c>
      <c r="E24" s="259" t="s">
        <v>2653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2648</v>
      </c>
      <c r="D25" s="259" t="s">
        <v>2649</v>
      </c>
      <c r="E25" s="259" t="s">
        <v>2653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2648</v>
      </c>
      <c r="D26" s="259" t="s">
        <v>2669</v>
      </c>
      <c r="E26" s="259" t="s">
        <v>2653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2670</v>
      </c>
      <c r="D27" s="259" t="s">
        <v>2649</v>
      </c>
      <c r="E27" s="259" t="s">
        <v>2653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2648</v>
      </c>
      <c r="D28" s="259" t="s">
        <v>2649</v>
      </c>
      <c r="E28" s="259" t="s">
        <v>2653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2648</v>
      </c>
      <c r="D29" s="259" t="s">
        <v>2649</v>
      </c>
      <c r="E29" s="259" t="s">
        <v>2653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2658</v>
      </c>
      <c r="D30" s="259" t="s">
        <v>2649</v>
      </c>
      <c r="E30" s="259" t="s">
        <v>2653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2662</v>
      </c>
      <c r="D31" s="259" t="s">
        <v>2663</v>
      </c>
      <c r="E31" s="259" t="s">
        <v>2653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2660</v>
      </c>
      <c r="D32" s="259" t="s">
        <v>2661</v>
      </c>
      <c r="E32" s="259" t="s">
        <v>2653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2659</v>
      </c>
      <c r="D33" s="259" t="s">
        <v>2649</v>
      </c>
      <c r="E33" s="259" t="s">
        <v>2653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2664</v>
      </c>
      <c r="D34" s="259" t="s">
        <v>2661</v>
      </c>
      <c r="E34" s="259" t="s">
        <v>2653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2651</v>
      </c>
      <c r="D35" s="259" t="s">
        <v>2652</v>
      </c>
      <c r="E35" s="259" t="s">
        <v>2653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2648</v>
      </c>
      <c r="D36" s="259" t="s">
        <v>2649</v>
      </c>
      <c r="E36" s="259" t="s">
        <v>2653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2651</v>
      </c>
      <c r="D37" s="259" t="s">
        <v>2652</v>
      </c>
      <c r="E37" s="259" t="s">
        <v>2653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2667</v>
      </c>
      <c r="D38" s="259" t="s">
        <v>2668</v>
      </c>
      <c r="E38" s="259" t="s">
        <v>2653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2648</v>
      </c>
      <c r="D39" s="259" t="s">
        <v>2649</v>
      </c>
      <c r="E39" s="259" t="s">
        <v>2653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2651</v>
      </c>
      <c r="D40" s="259" t="s">
        <v>2652</v>
      </c>
      <c r="E40" s="259" t="s">
        <v>2653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2665</v>
      </c>
      <c r="D41" s="259" t="s">
        <v>2666</v>
      </c>
      <c r="E41" s="259" t="s">
        <v>2653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2667</v>
      </c>
      <c r="D42" s="259" t="s">
        <v>2668</v>
      </c>
      <c r="E42" s="259" t="s">
        <v>2653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2648</v>
      </c>
      <c r="D43" s="259" t="s">
        <v>2649</v>
      </c>
      <c r="E43" s="259" t="s">
        <v>2653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2658</v>
      </c>
      <c r="D44" s="259" t="s">
        <v>2649</v>
      </c>
      <c r="E44" s="259" t="s">
        <v>2653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2664</v>
      </c>
      <c r="D45" s="259" t="s">
        <v>2661</v>
      </c>
      <c r="E45" s="259" t="s">
        <v>2653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2659</v>
      </c>
      <c r="D46" s="259" t="s">
        <v>2649</v>
      </c>
      <c r="E46" s="259" t="s">
        <v>2653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2660</v>
      </c>
      <c r="D47" s="259" t="s">
        <v>2661</v>
      </c>
      <c r="E47" s="259" t="s">
        <v>2653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2653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2653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2653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2653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2653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2653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2653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2653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2653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2653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2653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2653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2653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2653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2653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2653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2653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2653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2653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2653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2653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2653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2653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2653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2653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2653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2653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2653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2653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2653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2653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2653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2653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2653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2653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2653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2653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2653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2653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2653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2653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2653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2650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2653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2653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2653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2653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2653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2653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2653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2653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2653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2653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2653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2653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2653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2653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2653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2653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2653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2653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2653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2653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2653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2653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2653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2653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2653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2653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2653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2653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2653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2653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2653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2653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2653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2653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2653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2653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2653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2653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2653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2653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2653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2653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2653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2653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2653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2671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2638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2639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2672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1668</v>
      </c>
      <c r="J8" s="126" t="s">
        <v>2673</v>
      </c>
      <c r="K8" s="80" t="s">
        <v>1668</v>
      </c>
      <c r="L8" s="80" t="s">
        <v>2673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2075</v>
      </c>
    </row>
    <row r="3" spans="1:2" x14ac:dyDescent="0.3">
      <c r="A3" t="s">
        <v>2077</v>
      </c>
    </row>
    <row r="4" spans="1:2" x14ac:dyDescent="0.3">
      <c r="A4" t="s">
        <v>2078</v>
      </c>
    </row>
    <row r="5" spans="1:2" x14ac:dyDescent="0.3">
      <c r="A5" t="s">
        <v>2079</v>
      </c>
    </row>
    <row r="6" spans="1:2" x14ac:dyDescent="0.3">
      <c r="A6" t="s">
        <v>2081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2308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1579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51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576</v>
      </c>
    </row>
    <row r="2" spans="1:7" x14ac:dyDescent="0.3">
      <c r="A2">
        <v>1</v>
      </c>
      <c r="B2" s="13">
        <v>45735</v>
      </c>
      <c r="C2" t="s">
        <v>1175</v>
      </c>
      <c r="D2" t="s">
        <v>1253</v>
      </c>
    </row>
    <row r="3" spans="1:7" x14ac:dyDescent="0.3">
      <c r="A3">
        <v>2</v>
      </c>
      <c r="B3" s="13">
        <v>45736</v>
      </c>
      <c r="C3" t="s">
        <v>1049</v>
      </c>
      <c r="D3" t="s">
        <v>1255</v>
      </c>
    </row>
    <row r="4" spans="1:7" x14ac:dyDescent="0.3">
      <c r="A4">
        <v>3</v>
      </c>
      <c r="B4" s="13">
        <v>45736</v>
      </c>
      <c r="C4" t="s">
        <v>984</v>
      </c>
      <c r="D4" t="s">
        <v>1257</v>
      </c>
    </row>
    <row r="5" spans="1:7" x14ac:dyDescent="0.3">
      <c r="A5">
        <v>4</v>
      </c>
      <c r="B5" s="13">
        <v>45736</v>
      </c>
      <c r="C5" t="s">
        <v>1273</v>
      </c>
      <c r="D5" t="s">
        <v>1276</v>
      </c>
    </row>
    <row r="6" spans="1:7" x14ac:dyDescent="0.3">
      <c r="A6">
        <v>5</v>
      </c>
      <c r="B6" s="13">
        <v>45737</v>
      </c>
      <c r="C6" t="s">
        <v>1009</v>
      </c>
      <c r="D6" t="s">
        <v>1300</v>
      </c>
    </row>
    <row r="7" spans="1:7" x14ac:dyDescent="0.3">
      <c r="A7">
        <v>6</v>
      </c>
      <c r="B7" s="13">
        <v>45740</v>
      </c>
      <c r="C7" t="s">
        <v>1273</v>
      </c>
      <c r="D7" t="s">
        <v>1400</v>
      </c>
      <c r="E7" t="s">
        <v>1399</v>
      </c>
    </row>
    <row r="8" spans="1:7" x14ac:dyDescent="0.3">
      <c r="A8">
        <v>6</v>
      </c>
      <c r="B8" s="13">
        <v>45740</v>
      </c>
      <c r="C8" t="s">
        <v>1343</v>
      </c>
      <c r="D8" t="s">
        <v>1406</v>
      </c>
      <c r="E8" t="s">
        <v>1405</v>
      </c>
    </row>
    <row r="9" spans="1:7" x14ac:dyDescent="0.3">
      <c r="A9">
        <v>7</v>
      </c>
      <c r="B9" s="13">
        <v>45740</v>
      </c>
      <c r="C9" t="s">
        <v>1410</v>
      </c>
      <c r="D9" t="s">
        <v>1415</v>
      </c>
    </row>
    <row r="10" spans="1:7" x14ac:dyDescent="0.3">
      <c r="A10">
        <v>8</v>
      </c>
      <c r="B10" s="13">
        <v>45740</v>
      </c>
      <c r="C10" t="s">
        <v>1416</v>
      </c>
      <c r="D10" t="s">
        <v>1417</v>
      </c>
    </row>
    <row r="11" spans="1:7" x14ac:dyDescent="0.3">
      <c r="A11">
        <v>9</v>
      </c>
      <c r="B11" s="13">
        <v>45740</v>
      </c>
      <c r="C11" t="s">
        <v>1016</v>
      </c>
      <c r="D11" t="s">
        <v>1421</v>
      </c>
    </row>
    <row r="12" spans="1:7" x14ac:dyDescent="0.3">
      <c r="A12">
        <v>10</v>
      </c>
      <c r="B12" s="13">
        <v>45723</v>
      </c>
      <c r="C12" t="s">
        <v>1437</v>
      </c>
      <c r="D12" t="s">
        <v>1474</v>
      </c>
    </row>
    <row r="13" spans="1:7" x14ac:dyDescent="0.3">
      <c r="A13">
        <v>11</v>
      </c>
      <c r="B13" s="13">
        <v>45723</v>
      </c>
      <c r="C13" t="s">
        <v>1475</v>
      </c>
      <c r="D13" t="s">
        <v>1476</v>
      </c>
    </row>
    <row r="14" spans="1:7" x14ac:dyDescent="0.3">
      <c r="A14">
        <v>12</v>
      </c>
      <c r="B14" s="13">
        <v>45723</v>
      </c>
      <c r="C14" t="s">
        <v>1429</v>
      </c>
      <c r="D14" t="s">
        <v>1477</v>
      </c>
    </row>
    <row r="15" spans="1:7" x14ac:dyDescent="0.3">
      <c r="A15">
        <v>13</v>
      </c>
      <c r="B15" s="13">
        <v>45722</v>
      </c>
      <c r="C15" t="s">
        <v>1437</v>
      </c>
      <c r="D15" t="s">
        <v>1478</v>
      </c>
    </row>
    <row r="16" spans="1:7" x14ac:dyDescent="0.3">
      <c r="A16">
        <v>14</v>
      </c>
      <c r="B16" s="13">
        <v>45722</v>
      </c>
      <c r="C16" t="s">
        <v>1176</v>
      </c>
      <c r="D16" t="s">
        <v>1479</v>
      </c>
    </row>
    <row r="17" spans="1:4" x14ac:dyDescent="0.3">
      <c r="A17">
        <v>15</v>
      </c>
      <c r="B17" s="13">
        <v>45722</v>
      </c>
      <c r="C17" t="s">
        <v>1480</v>
      </c>
      <c r="D17" t="s">
        <v>1481</v>
      </c>
    </row>
    <row r="18" spans="1:4" x14ac:dyDescent="0.3">
      <c r="A18">
        <v>16</v>
      </c>
      <c r="B18" s="13">
        <v>45721</v>
      </c>
      <c r="C18" t="s">
        <v>1482</v>
      </c>
      <c r="D18" t="s">
        <v>1483</v>
      </c>
    </row>
    <row r="19" spans="1:4" x14ac:dyDescent="0.3">
      <c r="A19">
        <v>17</v>
      </c>
      <c r="B19" s="13">
        <v>45720</v>
      </c>
      <c r="C19" t="s">
        <v>1437</v>
      </c>
      <c r="D19" t="s">
        <v>1484</v>
      </c>
    </row>
    <row r="20" spans="1:4" x14ac:dyDescent="0.3">
      <c r="A20">
        <v>17</v>
      </c>
      <c r="B20" s="13">
        <v>45720</v>
      </c>
      <c r="C20" t="s">
        <v>1482</v>
      </c>
      <c r="D20" t="s">
        <v>1485</v>
      </c>
    </row>
    <row r="21" spans="1:4" x14ac:dyDescent="0.3">
      <c r="A21">
        <v>18</v>
      </c>
      <c r="B21" s="13">
        <v>45720</v>
      </c>
      <c r="C21" t="s">
        <v>1176</v>
      </c>
      <c r="D21" t="s">
        <v>1486</v>
      </c>
    </row>
    <row r="22" spans="1:4" x14ac:dyDescent="0.3">
      <c r="A22">
        <v>19</v>
      </c>
      <c r="B22" s="13">
        <v>45720</v>
      </c>
      <c r="C22" t="s">
        <v>1487</v>
      </c>
      <c r="D22" t="s">
        <v>1488</v>
      </c>
    </row>
    <row r="23" spans="1:4" x14ac:dyDescent="0.3">
      <c r="A23">
        <v>20</v>
      </c>
      <c r="B23" s="13">
        <v>45717</v>
      </c>
      <c r="C23" t="s">
        <v>1437</v>
      </c>
      <c r="D23" t="s">
        <v>1489</v>
      </c>
    </row>
    <row r="24" spans="1:4" x14ac:dyDescent="0.3">
      <c r="A24">
        <v>21</v>
      </c>
      <c r="B24" s="13">
        <v>45717</v>
      </c>
      <c r="C24" t="s">
        <v>1490</v>
      </c>
      <c r="D24" t="s">
        <v>1491</v>
      </c>
    </row>
    <row r="25" spans="1:4" x14ac:dyDescent="0.3">
      <c r="A25">
        <v>22</v>
      </c>
      <c r="B25" s="13">
        <v>45723</v>
      </c>
      <c r="C25" t="s">
        <v>1492</v>
      </c>
      <c r="D25" t="s">
        <v>1493</v>
      </c>
    </row>
    <row r="26" spans="1:4" x14ac:dyDescent="0.3">
      <c r="A26">
        <v>23</v>
      </c>
      <c r="B26" s="13">
        <v>45723</v>
      </c>
      <c r="C26" t="s">
        <v>1494</v>
      </c>
      <c r="D26" t="s">
        <v>1495</v>
      </c>
    </row>
    <row r="27" spans="1:4" x14ac:dyDescent="0.3">
      <c r="A27">
        <v>24</v>
      </c>
      <c r="B27" s="13">
        <v>45723</v>
      </c>
      <c r="C27" t="s">
        <v>1496</v>
      </c>
      <c r="D27" t="s">
        <v>1497</v>
      </c>
    </row>
    <row r="28" spans="1:4" x14ac:dyDescent="0.3">
      <c r="A28">
        <v>25</v>
      </c>
      <c r="B28" s="13">
        <v>45724</v>
      </c>
      <c r="C28" t="s">
        <v>1437</v>
      </c>
      <c r="D28" t="s">
        <v>1498</v>
      </c>
    </row>
    <row r="29" spans="1:4" x14ac:dyDescent="0.3">
      <c r="A29">
        <v>26</v>
      </c>
      <c r="B29" s="13">
        <v>45726</v>
      </c>
      <c r="C29" t="s">
        <v>1482</v>
      </c>
      <c r="D29" t="s">
        <v>1499</v>
      </c>
    </row>
    <row r="30" spans="1:4" x14ac:dyDescent="0.3">
      <c r="A30">
        <v>27</v>
      </c>
      <c r="B30" s="13">
        <v>45726</v>
      </c>
      <c r="C30" t="s">
        <v>1066</v>
      </c>
      <c r="D30" t="s">
        <v>1500</v>
      </c>
    </row>
    <row r="31" spans="1:4" x14ac:dyDescent="0.3">
      <c r="A31">
        <v>28</v>
      </c>
      <c r="B31" s="13">
        <v>45727</v>
      </c>
      <c r="C31" t="s">
        <v>1102</v>
      </c>
      <c r="D31" t="s">
        <v>1501</v>
      </c>
    </row>
    <row r="32" spans="1:4" x14ac:dyDescent="0.3">
      <c r="A32">
        <v>29</v>
      </c>
      <c r="B32" s="13">
        <v>45727</v>
      </c>
      <c r="C32" t="s">
        <v>1437</v>
      </c>
      <c r="D32" t="s">
        <v>1503</v>
      </c>
    </row>
    <row r="33" spans="1:4" x14ac:dyDescent="0.3">
      <c r="A33">
        <v>30</v>
      </c>
      <c r="B33" s="13">
        <v>45727</v>
      </c>
      <c r="C33" t="s">
        <v>1185</v>
      </c>
      <c r="D33" t="s">
        <v>1504</v>
      </c>
    </row>
    <row r="34" spans="1:4" x14ac:dyDescent="0.3">
      <c r="A34">
        <v>31</v>
      </c>
      <c r="B34" s="13">
        <v>45727</v>
      </c>
      <c r="C34" t="s">
        <v>1505</v>
      </c>
      <c r="D34" t="s">
        <v>1506</v>
      </c>
    </row>
    <row r="35" spans="1:4" x14ac:dyDescent="0.3">
      <c r="A35">
        <v>32</v>
      </c>
      <c r="B35" s="13">
        <v>45729</v>
      </c>
      <c r="C35" t="s">
        <v>1507</v>
      </c>
      <c r="D35" t="s">
        <v>1509</v>
      </c>
    </row>
    <row r="36" spans="1:4" x14ac:dyDescent="0.3">
      <c r="A36">
        <v>33</v>
      </c>
      <c r="B36" s="13">
        <v>45729</v>
      </c>
      <c r="C36" t="s">
        <v>1016</v>
      </c>
      <c r="D36" t="s">
        <v>1510</v>
      </c>
    </row>
    <row r="37" spans="1:4" x14ac:dyDescent="0.3">
      <c r="A37">
        <v>34</v>
      </c>
      <c r="B37" s="13">
        <v>45730</v>
      </c>
      <c r="C37" t="s">
        <v>1511</v>
      </c>
      <c r="D37" t="s">
        <v>1512</v>
      </c>
    </row>
    <row r="38" spans="1:4" x14ac:dyDescent="0.3">
      <c r="A38">
        <v>35</v>
      </c>
      <c r="B38" s="13">
        <v>45730</v>
      </c>
      <c r="C38" t="s">
        <v>1437</v>
      </c>
      <c r="D38" t="s">
        <v>1515</v>
      </c>
    </row>
    <row r="39" spans="1:4" x14ac:dyDescent="0.3">
      <c r="A39">
        <v>36</v>
      </c>
      <c r="B39" s="13">
        <v>45731</v>
      </c>
      <c r="C39" t="s">
        <v>1203</v>
      </c>
      <c r="D39" t="s">
        <v>1516</v>
      </c>
    </row>
    <row r="40" spans="1:4" x14ac:dyDescent="0.3">
      <c r="A40">
        <v>37</v>
      </c>
      <c r="B40" s="13">
        <v>45731</v>
      </c>
      <c r="C40" t="s">
        <v>1517</v>
      </c>
      <c r="D40" t="s">
        <v>1519</v>
      </c>
    </row>
    <row r="41" spans="1:4" x14ac:dyDescent="0.3">
      <c r="A41">
        <v>38</v>
      </c>
      <c r="B41" s="13">
        <v>45731</v>
      </c>
      <c r="C41" t="s">
        <v>1035</v>
      </c>
      <c r="D41" t="s">
        <v>1521</v>
      </c>
    </row>
    <row r="42" spans="1:4" x14ac:dyDescent="0.3">
      <c r="A42">
        <v>39</v>
      </c>
      <c r="B42" s="13">
        <v>45733</v>
      </c>
      <c r="C42" t="s">
        <v>1176</v>
      </c>
      <c r="D42" t="s">
        <v>1522</v>
      </c>
    </row>
    <row r="43" spans="1:4" x14ac:dyDescent="0.3">
      <c r="A43">
        <v>40</v>
      </c>
      <c r="B43" s="13">
        <v>45733</v>
      </c>
      <c r="C43" t="s">
        <v>1523</v>
      </c>
      <c r="D43" t="s">
        <v>1525</v>
      </c>
    </row>
    <row r="44" spans="1:4" x14ac:dyDescent="0.3">
      <c r="A44">
        <v>41</v>
      </c>
      <c r="B44" s="13">
        <v>45733</v>
      </c>
      <c r="C44" t="s">
        <v>1057</v>
      </c>
      <c r="D44" t="s">
        <v>1529</v>
      </c>
    </row>
    <row r="45" spans="1:4" x14ac:dyDescent="0.3">
      <c r="A45">
        <v>42</v>
      </c>
      <c r="B45" s="13">
        <v>45733</v>
      </c>
      <c r="C45" t="s">
        <v>1507</v>
      </c>
      <c r="D45" t="s">
        <v>1531</v>
      </c>
    </row>
    <row r="46" spans="1:4" x14ac:dyDescent="0.3">
      <c r="A46">
        <v>43</v>
      </c>
      <c r="B46" s="13">
        <v>45733</v>
      </c>
      <c r="C46" t="s">
        <v>1532</v>
      </c>
      <c r="D46" t="s">
        <v>1535</v>
      </c>
    </row>
    <row r="47" spans="1:4" x14ac:dyDescent="0.3">
      <c r="A47">
        <v>44</v>
      </c>
      <c r="B47" s="13">
        <v>45734</v>
      </c>
      <c r="C47" t="s">
        <v>1536</v>
      </c>
      <c r="D47" t="s">
        <v>1537</v>
      </c>
    </row>
    <row r="48" spans="1:4" x14ac:dyDescent="0.3">
      <c r="A48">
        <v>45</v>
      </c>
      <c r="B48" s="13">
        <v>45735</v>
      </c>
      <c r="C48" t="s">
        <v>1437</v>
      </c>
      <c r="D48" t="s">
        <v>1538</v>
      </c>
    </row>
    <row r="49" spans="1:5" x14ac:dyDescent="0.3">
      <c r="A49">
        <v>46</v>
      </c>
      <c r="B49" s="13">
        <v>45735</v>
      </c>
      <c r="C49" t="s">
        <v>1437</v>
      </c>
      <c r="D49" t="s">
        <v>1540</v>
      </c>
    </row>
    <row r="50" spans="1:5" x14ac:dyDescent="0.3">
      <c r="A50">
        <v>47</v>
      </c>
      <c r="B50" s="13">
        <v>45735</v>
      </c>
      <c r="C50" t="s">
        <v>1066</v>
      </c>
      <c r="D50" t="s">
        <v>1542</v>
      </c>
    </row>
    <row r="51" spans="1:5" x14ac:dyDescent="0.3">
      <c r="A51">
        <v>48</v>
      </c>
      <c r="B51" s="13">
        <v>45735</v>
      </c>
      <c r="C51" t="s">
        <v>1416</v>
      </c>
      <c r="D51" t="s">
        <v>1545</v>
      </c>
    </row>
    <row r="52" spans="1:5" x14ac:dyDescent="0.3">
      <c r="A52">
        <v>49</v>
      </c>
      <c r="B52" s="13">
        <v>45736</v>
      </c>
      <c r="C52" t="s">
        <v>1482</v>
      </c>
      <c r="D52" t="s">
        <v>1549</v>
      </c>
    </row>
    <row r="53" spans="1:5" x14ac:dyDescent="0.3">
      <c r="A53">
        <v>50</v>
      </c>
      <c r="B53" s="13">
        <v>45736</v>
      </c>
      <c r="C53" t="s">
        <v>1273</v>
      </c>
      <c r="D53" t="s">
        <v>1550</v>
      </c>
    </row>
    <row r="54" spans="1:5" x14ac:dyDescent="0.3">
      <c r="A54">
        <v>51</v>
      </c>
      <c r="B54" s="13">
        <v>45736</v>
      </c>
      <c r="C54" t="s">
        <v>1507</v>
      </c>
      <c r="D54" t="s">
        <v>1551</v>
      </c>
    </row>
    <row r="55" spans="1:5" x14ac:dyDescent="0.3">
      <c r="A55">
        <v>52</v>
      </c>
      <c r="B55" s="13">
        <v>45736</v>
      </c>
      <c r="C55" t="s">
        <v>1263</v>
      </c>
      <c r="D55" t="s">
        <v>1552</v>
      </c>
    </row>
    <row r="56" spans="1:5" x14ac:dyDescent="0.3">
      <c r="A56">
        <v>53</v>
      </c>
      <c r="B56" s="13">
        <v>45736</v>
      </c>
      <c r="C56" t="s">
        <v>1553</v>
      </c>
      <c r="D56" t="s">
        <v>1554</v>
      </c>
    </row>
    <row r="57" spans="1:5" x14ac:dyDescent="0.3">
      <c r="A57">
        <v>54</v>
      </c>
      <c r="B57" s="13">
        <v>45741</v>
      </c>
      <c r="C57" t="s">
        <v>1555</v>
      </c>
      <c r="D57" t="s">
        <v>1558</v>
      </c>
    </row>
    <row r="58" spans="1:5" x14ac:dyDescent="0.3">
      <c r="A58">
        <v>55</v>
      </c>
      <c r="B58" s="13">
        <v>45737</v>
      </c>
      <c r="C58" t="s">
        <v>1559</v>
      </c>
      <c r="D58" t="s">
        <v>1563</v>
      </c>
    </row>
    <row r="59" spans="1:5" x14ac:dyDescent="0.3">
      <c r="A59">
        <v>56</v>
      </c>
      <c r="B59" s="13">
        <v>45737</v>
      </c>
      <c r="C59" t="s">
        <v>1482</v>
      </c>
      <c r="D59" t="s">
        <v>1564</v>
      </c>
    </row>
    <row r="60" spans="1:5" x14ac:dyDescent="0.3">
      <c r="A60">
        <v>57</v>
      </c>
      <c r="B60" s="13">
        <v>45740</v>
      </c>
      <c r="C60" t="s">
        <v>1343</v>
      </c>
      <c r="D60" t="s">
        <v>1565</v>
      </c>
      <c r="E60" t="s">
        <v>1405</v>
      </c>
    </row>
    <row r="61" spans="1:5" x14ac:dyDescent="0.3">
      <c r="A61">
        <v>58</v>
      </c>
      <c r="B61" s="13">
        <v>45740</v>
      </c>
      <c r="C61" t="s">
        <v>1273</v>
      </c>
      <c r="D61" t="s">
        <v>1566</v>
      </c>
    </row>
    <row r="62" spans="1:5" x14ac:dyDescent="0.3">
      <c r="A62">
        <v>59</v>
      </c>
      <c r="B62" s="13">
        <v>45740</v>
      </c>
      <c r="C62" t="s">
        <v>1410</v>
      </c>
      <c r="D62" t="s">
        <v>1567</v>
      </c>
    </row>
    <row r="63" spans="1:5" x14ac:dyDescent="0.3">
      <c r="A63">
        <v>60</v>
      </c>
      <c r="B63" s="13">
        <v>45740</v>
      </c>
      <c r="C63" t="s">
        <v>1203</v>
      </c>
      <c r="D63" t="s">
        <v>1568</v>
      </c>
    </row>
    <row r="64" spans="1:5" x14ac:dyDescent="0.3">
      <c r="A64">
        <v>61</v>
      </c>
      <c r="B64" s="13">
        <v>45740</v>
      </c>
      <c r="C64" t="s">
        <v>1016</v>
      </c>
      <c r="D64" t="s">
        <v>1569</v>
      </c>
    </row>
    <row r="65" spans="1:6" x14ac:dyDescent="0.3">
      <c r="A65">
        <v>62</v>
      </c>
      <c r="B65" s="13">
        <v>45740</v>
      </c>
      <c r="C65" t="s">
        <v>1570</v>
      </c>
      <c r="D65" t="s">
        <v>1572</v>
      </c>
      <c r="E65" t="s">
        <v>1571</v>
      </c>
    </row>
    <row r="66" spans="1:6" x14ac:dyDescent="0.3">
      <c r="A66">
        <v>63</v>
      </c>
      <c r="B66" s="13">
        <v>45741</v>
      </c>
      <c r="C66" t="s">
        <v>1487</v>
      </c>
      <c r="D66" t="s">
        <v>1574</v>
      </c>
    </row>
    <row r="67" spans="1:6" x14ac:dyDescent="0.3">
      <c r="A67">
        <v>64</v>
      </c>
      <c r="B67" s="13">
        <v>45741</v>
      </c>
      <c r="C67" t="s">
        <v>1176</v>
      </c>
      <c r="D67" t="s">
        <v>1575</v>
      </c>
    </row>
    <row r="68" spans="1:6" x14ac:dyDescent="0.3">
      <c r="A68">
        <v>65</v>
      </c>
      <c r="B68" s="13">
        <v>45741</v>
      </c>
      <c r="C68" t="s">
        <v>1027</v>
      </c>
      <c r="D68" t="s">
        <v>1577</v>
      </c>
    </row>
    <row r="69" spans="1:6" x14ac:dyDescent="0.3">
      <c r="A69">
        <v>66</v>
      </c>
      <c r="B69" s="13">
        <v>45741</v>
      </c>
      <c r="C69" t="s">
        <v>1482</v>
      </c>
      <c r="D69" t="s">
        <v>1578</v>
      </c>
    </row>
    <row r="70" spans="1:6" x14ac:dyDescent="0.3">
      <c r="A70">
        <v>67</v>
      </c>
      <c r="B70" s="13">
        <v>45741</v>
      </c>
      <c r="C70" t="s">
        <v>1579</v>
      </c>
      <c r="D70" t="s">
        <v>1581</v>
      </c>
    </row>
    <row r="71" spans="1:6" x14ac:dyDescent="0.3">
      <c r="A71">
        <v>68</v>
      </c>
      <c r="B71" s="13">
        <v>45741</v>
      </c>
      <c r="C71" t="s">
        <v>1582</v>
      </c>
      <c r="D71" t="s">
        <v>1583</v>
      </c>
    </row>
    <row r="72" spans="1:6" x14ac:dyDescent="0.3">
      <c r="A72">
        <v>69</v>
      </c>
      <c r="B72" s="13">
        <v>45742</v>
      </c>
      <c r="C72" t="s">
        <v>1027</v>
      </c>
      <c r="D72" t="s">
        <v>1584</v>
      </c>
    </row>
    <row r="73" spans="1:6" x14ac:dyDescent="0.3">
      <c r="A73">
        <v>70</v>
      </c>
      <c r="B73" s="13">
        <v>45742</v>
      </c>
      <c r="C73" t="s">
        <v>1429</v>
      </c>
      <c r="D73" t="s">
        <v>1585</v>
      </c>
    </row>
    <row r="74" spans="1:6" x14ac:dyDescent="0.3">
      <c r="A74">
        <v>71</v>
      </c>
      <c r="B74" s="13">
        <v>45742</v>
      </c>
      <c r="C74" t="s">
        <v>1433</v>
      </c>
      <c r="D74" t="s">
        <v>1586</v>
      </c>
    </row>
    <row r="75" spans="1:6" x14ac:dyDescent="0.3">
      <c r="A75">
        <v>72</v>
      </c>
      <c r="B75" s="13">
        <v>45742</v>
      </c>
      <c r="C75" t="s">
        <v>1016</v>
      </c>
      <c r="D75" t="s">
        <v>1588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1606</v>
      </c>
      <c r="D76" t="s">
        <v>1607</v>
      </c>
      <c r="F76" t="s">
        <v>1608</v>
      </c>
    </row>
    <row r="77" spans="1:6" x14ac:dyDescent="0.3">
      <c r="A77">
        <v>74</v>
      </c>
      <c r="B77" s="13">
        <v>45743</v>
      </c>
      <c r="C77" t="s">
        <v>1592</v>
      </c>
      <c r="D77" t="s">
        <v>1595</v>
      </c>
      <c r="E77" t="s">
        <v>1594</v>
      </c>
    </row>
    <row r="78" spans="1:6" x14ac:dyDescent="0.3">
      <c r="A78">
        <v>75</v>
      </c>
      <c r="B78" s="13">
        <v>45744</v>
      </c>
      <c r="C78" t="s">
        <v>1592</v>
      </c>
      <c r="D78" t="s">
        <v>1598</v>
      </c>
    </row>
    <row r="79" spans="1:6" x14ac:dyDescent="0.3">
      <c r="A79">
        <v>76</v>
      </c>
      <c r="B79" s="13">
        <v>45745</v>
      </c>
      <c r="C79" t="s">
        <v>985</v>
      </c>
      <c r="D79" t="s">
        <v>1600</v>
      </c>
    </row>
    <row r="80" spans="1:6" x14ac:dyDescent="0.3">
      <c r="A80">
        <v>77</v>
      </c>
      <c r="B80" s="13">
        <v>45747</v>
      </c>
      <c r="C80" t="s">
        <v>1579</v>
      </c>
      <c r="D80" t="s">
        <v>1614</v>
      </c>
      <c r="E80" t="s">
        <v>1613</v>
      </c>
    </row>
    <row r="81" spans="1:4" x14ac:dyDescent="0.3">
      <c r="A81">
        <v>78</v>
      </c>
      <c r="B81" s="13">
        <v>45747</v>
      </c>
      <c r="C81" t="s">
        <v>1102</v>
      </c>
      <c r="D81" t="s">
        <v>1615</v>
      </c>
    </row>
    <row r="82" spans="1:4" x14ac:dyDescent="0.3">
      <c r="A82">
        <v>79</v>
      </c>
      <c r="B82" s="13">
        <v>45747</v>
      </c>
      <c r="C82" t="s">
        <v>986</v>
      </c>
      <c r="D82" t="s">
        <v>1617</v>
      </c>
    </row>
    <row r="83" spans="1:4" x14ac:dyDescent="0.3">
      <c r="A83">
        <v>80</v>
      </c>
      <c r="B83" s="13">
        <v>45734</v>
      </c>
      <c r="C83" t="s">
        <v>1618</v>
      </c>
      <c r="D83" t="s">
        <v>1620</v>
      </c>
    </row>
    <row r="84" spans="1:4" x14ac:dyDescent="0.3">
      <c r="A84">
        <v>81</v>
      </c>
      <c r="B84" s="13">
        <v>45723</v>
      </c>
      <c r="C84" t="s">
        <v>1621</v>
      </c>
      <c r="D84" t="s">
        <v>1623</v>
      </c>
    </row>
    <row r="85" spans="1:4" x14ac:dyDescent="0.3">
      <c r="A85">
        <v>82</v>
      </c>
      <c r="B85" s="13">
        <v>45723</v>
      </c>
      <c r="C85" t="s">
        <v>1621</v>
      </c>
      <c r="D85" t="s">
        <v>1624</v>
      </c>
    </row>
    <row r="86" spans="1:4" x14ac:dyDescent="0.3">
      <c r="A86">
        <v>83</v>
      </c>
      <c r="B86" s="13">
        <v>45723</v>
      </c>
      <c r="C86" t="s">
        <v>1621</v>
      </c>
      <c r="D86" t="s">
        <v>1625</v>
      </c>
    </row>
    <row r="87" spans="1:4" x14ac:dyDescent="0.3">
      <c r="A87">
        <v>84</v>
      </c>
      <c r="B87" s="13">
        <v>45718</v>
      </c>
      <c r="C87" t="s">
        <v>1024</v>
      </c>
      <c r="D87" t="s">
        <v>1626</v>
      </c>
    </row>
    <row r="88" spans="1:4" x14ac:dyDescent="0.3">
      <c r="A88">
        <v>85</v>
      </c>
      <c r="B88" s="13">
        <v>45729</v>
      </c>
      <c r="C88" t="s">
        <v>1627</v>
      </c>
      <c r="D88" t="s">
        <v>1631</v>
      </c>
    </row>
    <row r="89" spans="1:4" x14ac:dyDescent="0.3">
      <c r="A89">
        <v>86</v>
      </c>
      <c r="B89" s="13">
        <v>45716</v>
      </c>
      <c r="C89" t="s">
        <v>1627</v>
      </c>
      <c r="D89" t="s">
        <v>1632</v>
      </c>
    </row>
    <row r="90" spans="1:4" x14ac:dyDescent="0.3">
      <c r="A90">
        <v>87</v>
      </c>
      <c r="B90" s="13">
        <v>45722</v>
      </c>
      <c r="C90" t="s">
        <v>1505</v>
      </c>
      <c r="D90" t="s">
        <v>1634</v>
      </c>
    </row>
    <row r="91" spans="1:4" x14ac:dyDescent="0.3">
      <c r="A91">
        <v>88</v>
      </c>
      <c r="B91" s="13">
        <v>45722</v>
      </c>
      <c r="C91" t="s">
        <v>994</v>
      </c>
      <c r="D91" t="s">
        <v>1635</v>
      </c>
    </row>
    <row r="92" spans="1:4" x14ac:dyDescent="0.3">
      <c r="A92">
        <v>89</v>
      </c>
      <c r="B92" s="13">
        <v>45726</v>
      </c>
      <c r="C92" t="s">
        <v>994</v>
      </c>
      <c r="D92" t="s">
        <v>1636</v>
      </c>
    </row>
    <row r="93" spans="1:4" x14ac:dyDescent="0.3">
      <c r="A93">
        <v>90</v>
      </c>
      <c r="B93" s="13">
        <v>45735</v>
      </c>
      <c r="C93" t="s">
        <v>1637</v>
      </c>
      <c r="D93" t="s">
        <v>1638</v>
      </c>
    </row>
    <row r="94" spans="1:4" x14ac:dyDescent="0.3">
      <c r="A94">
        <v>91</v>
      </c>
      <c r="B94" s="13">
        <v>45736</v>
      </c>
      <c r="C94" t="s">
        <v>1639</v>
      </c>
      <c r="D94" t="s">
        <v>1640</v>
      </c>
    </row>
    <row r="95" spans="1:4" x14ac:dyDescent="0.3">
      <c r="A95">
        <v>92</v>
      </c>
      <c r="B95" s="13">
        <v>45721</v>
      </c>
      <c r="C95" t="s">
        <v>1490</v>
      </c>
      <c r="D95" t="s">
        <v>1642</v>
      </c>
    </row>
    <row r="96" spans="1:4" x14ac:dyDescent="0.3">
      <c r="A96">
        <v>93</v>
      </c>
      <c r="B96" s="13">
        <v>45736</v>
      </c>
      <c r="C96" t="s">
        <v>1643</v>
      </c>
      <c r="D96" t="s">
        <v>1645</v>
      </c>
    </row>
    <row r="97" spans="1:4" x14ac:dyDescent="0.3">
      <c r="A97">
        <v>94</v>
      </c>
      <c r="B97" s="13">
        <v>45735</v>
      </c>
      <c r="D97" t="s">
        <v>1646</v>
      </c>
    </row>
    <row r="98" spans="1:4" x14ac:dyDescent="0.3">
      <c r="A98">
        <v>95</v>
      </c>
      <c r="B98" s="13">
        <v>45744</v>
      </c>
      <c r="D98" t="s">
        <v>1648</v>
      </c>
    </row>
    <row r="99" spans="1:4" x14ac:dyDescent="0.3">
      <c r="A99">
        <v>96</v>
      </c>
      <c r="B99" s="13">
        <v>45748</v>
      </c>
      <c r="C99" t="s">
        <v>1559</v>
      </c>
      <c r="D99" t="s">
        <v>1652</v>
      </c>
    </row>
    <row r="100" spans="1:4" x14ac:dyDescent="0.3">
      <c r="A100">
        <v>97</v>
      </c>
      <c r="B100" s="13">
        <v>45748</v>
      </c>
      <c r="C100" t="s">
        <v>1555</v>
      </c>
      <c r="D100" t="s">
        <v>1664</v>
      </c>
    </row>
    <row r="101" spans="1:4" x14ac:dyDescent="0.3">
      <c r="A101">
        <v>98</v>
      </c>
      <c r="B101" s="13">
        <v>45748</v>
      </c>
      <c r="C101" t="s">
        <v>1618</v>
      </c>
      <c r="D101" t="s">
        <v>1671</v>
      </c>
    </row>
    <row r="102" spans="1:4" x14ac:dyDescent="0.3">
      <c r="A102">
        <v>99</v>
      </c>
      <c r="B102" s="13">
        <v>45748</v>
      </c>
      <c r="C102" t="s">
        <v>1618</v>
      </c>
      <c r="D102" t="s">
        <v>1673</v>
      </c>
    </row>
    <row r="103" spans="1:4" x14ac:dyDescent="0.3">
      <c r="A103">
        <v>100</v>
      </c>
      <c r="B103" s="13">
        <v>45749</v>
      </c>
      <c r="C103" t="s">
        <v>1487</v>
      </c>
      <c r="D103" t="s">
        <v>1680</v>
      </c>
    </row>
    <row r="104" spans="1:4" x14ac:dyDescent="0.3">
      <c r="A104">
        <v>101</v>
      </c>
      <c r="B104" s="13">
        <v>45749</v>
      </c>
      <c r="C104" t="s">
        <v>1579</v>
      </c>
      <c r="D104" t="s">
        <v>1707</v>
      </c>
    </row>
    <row r="105" spans="1:4" x14ac:dyDescent="0.3">
      <c r="A105">
        <v>102</v>
      </c>
      <c r="B105" s="13">
        <v>45749</v>
      </c>
      <c r="C105" t="s">
        <v>1437</v>
      </c>
      <c r="D105" t="s">
        <v>1708</v>
      </c>
    </row>
    <row r="106" spans="1:4" x14ac:dyDescent="0.3">
      <c r="A106">
        <v>103</v>
      </c>
      <c r="B106" s="13">
        <v>45749</v>
      </c>
      <c r="C106" t="s">
        <v>1027</v>
      </c>
      <c r="D106" t="s">
        <v>1709</v>
      </c>
    </row>
    <row r="107" spans="1:4" x14ac:dyDescent="0.3">
      <c r="A107">
        <v>104</v>
      </c>
      <c r="B107" s="13">
        <v>45749</v>
      </c>
      <c r="C107" t="s">
        <v>1710</v>
      </c>
      <c r="D107" t="s">
        <v>1714</v>
      </c>
    </row>
    <row r="108" spans="1:4" x14ac:dyDescent="0.3">
      <c r="A108">
        <v>105</v>
      </c>
      <c r="B108" s="13">
        <v>45749</v>
      </c>
      <c r="C108" t="s">
        <v>1715</v>
      </c>
      <c r="D108" t="s">
        <v>1717</v>
      </c>
    </row>
    <row r="109" spans="1:4" x14ac:dyDescent="0.3">
      <c r="A109">
        <v>106</v>
      </c>
      <c r="B109" s="13">
        <v>45749</v>
      </c>
      <c r="C109" t="s">
        <v>1579</v>
      </c>
      <c r="D109" t="s">
        <v>1719</v>
      </c>
    </row>
    <row r="110" spans="1:4" x14ac:dyDescent="0.3">
      <c r="A110">
        <v>107</v>
      </c>
      <c r="B110" s="13">
        <v>45750</v>
      </c>
      <c r="C110" t="s">
        <v>1487</v>
      </c>
      <c r="D110" t="s">
        <v>1721</v>
      </c>
    </row>
    <row r="111" spans="1:4" x14ac:dyDescent="0.3">
      <c r="A111">
        <v>108</v>
      </c>
      <c r="B111" s="13">
        <v>45750</v>
      </c>
      <c r="C111" t="s">
        <v>1725</v>
      </c>
      <c r="D111" t="s">
        <v>1729</v>
      </c>
    </row>
    <row r="112" spans="1:4" x14ac:dyDescent="0.3">
      <c r="A112">
        <v>109</v>
      </c>
      <c r="B112" s="13">
        <v>45750</v>
      </c>
      <c r="C112" t="s">
        <v>1730</v>
      </c>
      <c r="D112" t="s">
        <v>1731</v>
      </c>
    </row>
    <row r="113" spans="1:4" x14ac:dyDescent="0.3">
      <c r="A113">
        <v>110</v>
      </c>
      <c r="B113" s="13">
        <v>45750</v>
      </c>
      <c r="C113" t="s">
        <v>1482</v>
      </c>
      <c r="D113" t="s">
        <v>1744</v>
      </c>
    </row>
    <row r="114" spans="1:4" x14ac:dyDescent="0.3">
      <c r="A114">
        <v>111</v>
      </c>
      <c r="B114" s="13">
        <v>45751</v>
      </c>
      <c r="C114" t="s">
        <v>1416</v>
      </c>
      <c r="D114" t="s">
        <v>1750</v>
      </c>
    </row>
    <row r="115" spans="1:4" x14ac:dyDescent="0.3">
      <c r="A115">
        <v>112</v>
      </c>
      <c r="B115" s="13">
        <v>45751</v>
      </c>
      <c r="C115" t="s">
        <v>1507</v>
      </c>
      <c r="D115" t="s">
        <v>1754</v>
      </c>
    </row>
    <row r="116" spans="1:4" x14ac:dyDescent="0.3">
      <c r="A116">
        <v>113</v>
      </c>
      <c r="B116" s="13">
        <v>45751</v>
      </c>
      <c r="C116" t="s">
        <v>1781</v>
      </c>
      <c r="D116" t="s">
        <v>1784</v>
      </c>
    </row>
    <row r="117" spans="1:4" x14ac:dyDescent="0.3">
      <c r="A117">
        <v>114</v>
      </c>
      <c r="B117" s="13">
        <v>45751</v>
      </c>
      <c r="C117" t="s">
        <v>1781</v>
      </c>
      <c r="D117" t="s">
        <v>1785</v>
      </c>
    </row>
    <row r="118" spans="1:4" x14ac:dyDescent="0.3">
      <c r="A118">
        <v>115</v>
      </c>
      <c r="B118" s="13">
        <v>45751</v>
      </c>
      <c r="C118" t="s">
        <v>1781</v>
      </c>
      <c r="D118" t="s">
        <v>1788</v>
      </c>
    </row>
    <row r="119" spans="1:4" x14ac:dyDescent="0.3">
      <c r="A119">
        <v>116</v>
      </c>
      <c r="B119" s="13">
        <v>45752</v>
      </c>
      <c r="C119" t="s">
        <v>1579</v>
      </c>
      <c r="D119" t="s">
        <v>1806</v>
      </c>
    </row>
    <row r="120" spans="1:4" x14ac:dyDescent="0.3">
      <c r="A120">
        <v>117</v>
      </c>
      <c r="B120" s="13">
        <v>45752</v>
      </c>
      <c r="C120" t="s">
        <v>1437</v>
      </c>
      <c r="D120" t="s">
        <v>1810</v>
      </c>
    </row>
    <row r="121" spans="1:4" x14ac:dyDescent="0.3">
      <c r="A121">
        <v>118</v>
      </c>
      <c r="B121" s="13">
        <v>45754</v>
      </c>
      <c r="C121" t="s">
        <v>1808</v>
      </c>
      <c r="D121" t="s">
        <v>1811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1825</v>
      </c>
    </row>
    <row r="123" spans="1:4" x14ac:dyDescent="0.3">
      <c r="A123">
        <v>119</v>
      </c>
      <c r="B123" s="13">
        <v>45754</v>
      </c>
      <c r="C123" t="s">
        <v>1781</v>
      </c>
      <c r="D123" t="s">
        <v>1837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1860</v>
      </c>
    </row>
    <row r="125" spans="1:4" x14ac:dyDescent="0.3">
      <c r="A125">
        <v>121</v>
      </c>
      <c r="B125" s="13">
        <v>45754</v>
      </c>
      <c r="C125" t="s">
        <v>1857</v>
      </c>
      <c r="D125" t="s">
        <v>1864</v>
      </c>
    </row>
    <row r="126" spans="1:4" x14ac:dyDescent="0.3">
      <c r="A126">
        <v>122</v>
      </c>
      <c r="B126" s="13">
        <v>45754</v>
      </c>
      <c r="C126" t="s">
        <v>1781</v>
      </c>
      <c r="D126" t="s">
        <v>1865</v>
      </c>
    </row>
    <row r="127" spans="1:4" x14ac:dyDescent="0.3">
      <c r="A127">
        <v>123</v>
      </c>
      <c r="B127" s="13">
        <v>45754</v>
      </c>
      <c r="C127" t="s">
        <v>1437</v>
      </c>
      <c r="D127" t="s">
        <v>1866</v>
      </c>
    </row>
    <row r="128" spans="1:4" x14ac:dyDescent="0.3">
      <c r="A128">
        <v>124</v>
      </c>
      <c r="B128" s="13">
        <v>45755</v>
      </c>
      <c r="C128" t="s">
        <v>1487</v>
      </c>
      <c r="D128" t="s">
        <v>1871</v>
      </c>
    </row>
    <row r="129" spans="1:5" x14ac:dyDescent="0.3">
      <c r="A129">
        <v>125</v>
      </c>
      <c r="B129" s="13">
        <v>45755</v>
      </c>
      <c r="C129" t="s">
        <v>1872</v>
      </c>
      <c r="D129" t="s">
        <v>1874</v>
      </c>
      <c r="E129" t="s">
        <v>1873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1875</v>
      </c>
    </row>
    <row r="131" spans="1:5" x14ac:dyDescent="0.3">
      <c r="A131">
        <v>127</v>
      </c>
      <c r="B131" s="13">
        <v>45755</v>
      </c>
      <c r="C131" t="s">
        <v>1876</v>
      </c>
      <c r="D131" t="s">
        <v>1877</v>
      </c>
    </row>
    <row r="132" spans="1:5" x14ac:dyDescent="0.3">
      <c r="A132">
        <v>128</v>
      </c>
      <c r="B132" s="13">
        <v>45755</v>
      </c>
      <c r="C132" t="s">
        <v>1621</v>
      </c>
      <c r="D132" t="s">
        <v>1878</v>
      </c>
    </row>
    <row r="133" spans="1:5" x14ac:dyDescent="0.3">
      <c r="A133">
        <v>129</v>
      </c>
      <c r="B133" s="13">
        <v>45755</v>
      </c>
      <c r="C133" t="s">
        <v>1879</v>
      </c>
      <c r="D133" t="s">
        <v>1883</v>
      </c>
    </row>
    <row r="134" spans="1:5" x14ac:dyDescent="0.3">
      <c r="A134">
        <v>130</v>
      </c>
      <c r="B134" s="13">
        <v>45756</v>
      </c>
      <c r="C134" t="s">
        <v>1781</v>
      </c>
      <c r="D134" t="s">
        <v>1894</v>
      </c>
    </row>
    <row r="135" spans="1:5" x14ac:dyDescent="0.3">
      <c r="A135">
        <v>131</v>
      </c>
      <c r="B135" s="13">
        <v>45757</v>
      </c>
      <c r="C135" t="s">
        <v>1496</v>
      </c>
      <c r="D135" t="s">
        <v>1896</v>
      </c>
    </row>
    <row r="136" spans="1:5" x14ac:dyDescent="0.3">
      <c r="A136">
        <v>132</v>
      </c>
      <c r="B136" s="13">
        <v>45757</v>
      </c>
      <c r="C136" t="s">
        <v>1579</v>
      </c>
      <c r="D136" t="s">
        <v>1898</v>
      </c>
    </row>
    <row r="137" spans="1:5" x14ac:dyDescent="0.3">
      <c r="A137">
        <v>133</v>
      </c>
      <c r="B137" s="13">
        <v>45757</v>
      </c>
      <c r="C137" t="s">
        <v>1579</v>
      </c>
      <c r="D137" t="s">
        <v>1902</v>
      </c>
    </row>
    <row r="138" spans="1:5" x14ac:dyDescent="0.3">
      <c r="A138">
        <v>134</v>
      </c>
      <c r="B138" s="13">
        <v>45757</v>
      </c>
      <c r="C138" t="s">
        <v>1496</v>
      </c>
      <c r="D138" t="s">
        <v>1903</v>
      </c>
    </row>
    <row r="139" spans="1:5" x14ac:dyDescent="0.3">
      <c r="A139">
        <v>135</v>
      </c>
      <c r="B139" s="13">
        <v>45757</v>
      </c>
      <c r="C139" t="s">
        <v>1872</v>
      </c>
      <c r="D139" t="s">
        <v>1904</v>
      </c>
    </row>
    <row r="140" spans="1:5" x14ac:dyDescent="0.3">
      <c r="A140">
        <v>136</v>
      </c>
      <c r="B140" s="13">
        <v>45758</v>
      </c>
      <c r="C140" t="s">
        <v>1507</v>
      </c>
      <c r="D140" t="s">
        <v>1915</v>
      </c>
    </row>
    <row r="141" spans="1:5" x14ac:dyDescent="0.3">
      <c r="A141">
        <v>137</v>
      </c>
      <c r="B141" s="13">
        <v>45758</v>
      </c>
      <c r="C141" t="s">
        <v>1910</v>
      </c>
      <c r="D141" t="s">
        <v>1917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1918</v>
      </c>
    </row>
    <row r="143" spans="1:5" x14ac:dyDescent="0.3">
      <c r="A143">
        <v>139</v>
      </c>
      <c r="B143" s="13">
        <v>45759</v>
      </c>
      <c r="C143" t="s">
        <v>1618</v>
      </c>
      <c r="D143" t="s">
        <v>1920</v>
      </c>
      <c r="E143" t="s">
        <v>1919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1921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1923</v>
      </c>
    </row>
    <row r="146" spans="1:4" x14ac:dyDescent="0.3">
      <c r="A146">
        <v>142</v>
      </c>
      <c r="B146" s="13">
        <v>45759</v>
      </c>
      <c r="C146" t="s">
        <v>1922</v>
      </c>
      <c r="D146" t="s">
        <v>1928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1931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1932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1933</v>
      </c>
    </row>
    <row r="150" spans="1:4" x14ac:dyDescent="0.3">
      <c r="A150">
        <v>146</v>
      </c>
      <c r="B150" s="13">
        <v>45761</v>
      </c>
      <c r="C150" t="s">
        <v>1876</v>
      </c>
      <c r="D150" t="s">
        <v>1935</v>
      </c>
    </row>
    <row r="151" spans="1:4" x14ac:dyDescent="0.3">
      <c r="A151">
        <v>147</v>
      </c>
      <c r="B151" s="13">
        <v>45761</v>
      </c>
      <c r="C151" t="s">
        <v>1936</v>
      </c>
      <c r="D151" t="s">
        <v>1938</v>
      </c>
    </row>
    <row r="152" spans="1:4" x14ac:dyDescent="0.3">
      <c r="A152">
        <v>148</v>
      </c>
      <c r="B152" s="13">
        <v>45691</v>
      </c>
      <c r="C152" t="s">
        <v>1781</v>
      </c>
      <c r="D152" t="s">
        <v>1940</v>
      </c>
    </row>
    <row r="153" spans="1:4" x14ac:dyDescent="0.3">
      <c r="A153">
        <v>149</v>
      </c>
      <c r="B153" s="13">
        <v>45761</v>
      </c>
      <c r="C153" t="s">
        <v>1781</v>
      </c>
      <c r="D153" t="s">
        <v>1941</v>
      </c>
    </row>
    <row r="154" spans="1:4" x14ac:dyDescent="0.3">
      <c r="A154">
        <v>150</v>
      </c>
      <c r="B154" s="13">
        <v>45761</v>
      </c>
      <c r="C154" t="s">
        <v>1942</v>
      </c>
      <c r="D154" t="s">
        <v>1943</v>
      </c>
    </row>
    <row r="155" spans="1:4" x14ac:dyDescent="0.3">
      <c r="A155">
        <v>151</v>
      </c>
      <c r="B155" s="13">
        <v>45761</v>
      </c>
      <c r="C155" t="s">
        <v>1945</v>
      </c>
      <c r="D155" t="s">
        <v>1946</v>
      </c>
    </row>
    <row r="156" spans="1:4" x14ac:dyDescent="0.3">
      <c r="A156">
        <v>152</v>
      </c>
      <c r="B156" s="13">
        <v>45762</v>
      </c>
      <c r="C156" t="s">
        <v>1951</v>
      </c>
      <c r="D156" t="s">
        <v>1952</v>
      </c>
    </row>
    <row r="157" spans="1:4" x14ac:dyDescent="0.3">
      <c r="A157">
        <v>153</v>
      </c>
      <c r="B157" s="13">
        <v>45762</v>
      </c>
      <c r="C157" t="s">
        <v>1781</v>
      </c>
      <c r="D157" t="s">
        <v>1953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1954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1955</v>
      </c>
    </row>
    <row r="160" spans="1:4" x14ac:dyDescent="0.3">
      <c r="A160">
        <v>156</v>
      </c>
      <c r="B160" s="13">
        <v>45762</v>
      </c>
      <c r="C160" t="s">
        <v>1480</v>
      </c>
      <c r="D160" t="s">
        <v>1961</v>
      </c>
    </row>
    <row r="161" spans="1:5" x14ac:dyDescent="0.3">
      <c r="A161">
        <v>157</v>
      </c>
      <c r="B161" s="13">
        <v>45762</v>
      </c>
      <c r="C161" t="s">
        <v>1725</v>
      </c>
      <c r="D161" t="s">
        <v>1962</v>
      </c>
    </row>
    <row r="162" spans="1:5" x14ac:dyDescent="0.3">
      <c r="A162">
        <v>158</v>
      </c>
      <c r="B162" s="13">
        <v>45762</v>
      </c>
      <c r="C162" t="s">
        <v>1876</v>
      </c>
      <c r="D162" t="s">
        <v>1963</v>
      </c>
    </row>
    <row r="163" spans="1:5" x14ac:dyDescent="0.3">
      <c r="A163">
        <v>159</v>
      </c>
      <c r="B163" s="13">
        <v>45763</v>
      </c>
      <c r="C163" t="s">
        <v>1965</v>
      </c>
      <c r="D163" t="s">
        <v>2199</v>
      </c>
    </row>
    <row r="164" spans="1:5" x14ac:dyDescent="0.3">
      <c r="A164">
        <v>160</v>
      </c>
      <c r="B164" s="13">
        <v>45763</v>
      </c>
      <c r="C164" t="s">
        <v>1969</v>
      </c>
      <c r="D164" t="s">
        <v>1970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1971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1973</v>
      </c>
      <c r="E166" t="s">
        <v>1972</v>
      </c>
    </row>
    <row r="167" spans="1:5" x14ac:dyDescent="0.3">
      <c r="A167">
        <v>163</v>
      </c>
      <c r="B167" s="13">
        <v>45763</v>
      </c>
      <c r="C167" t="s">
        <v>1639</v>
      </c>
      <c r="D167" t="s">
        <v>1975</v>
      </c>
      <c r="E167" t="s">
        <v>1972</v>
      </c>
    </row>
    <row r="168" spans="1:5" x14ac:dyDescent="0.3">
      <c r="A168">
        <v>164</v>
      </c>
      <c r="B168" s="13">
        <v>45763</v>
      </c>
      <c r="C168" t="s">
        <v>1621</v>
      </c>
      <c r="D168" t="s">
        <v>1978</v>
      </c>
    </row>
    <row r="169" spans="1:5" x14ac:dyDescent="0.3">
      <c r="A169">
        <v>165</v>
      </c>
      <c r="B169" s="13">
        <v>45764</v>
      </c>
      <c r="C169" t="s">
        <v>1437</v>
      </c>
      <c r="D169" t="s">
        <v>1992</v>
      </c>
    </row>
    <row r="170" spans="1:5" x14ac:dyDescent="0.3">
      <c r="A170">
        <v>166</v>
      </c>
      <c r="B170" s="13">
        <v>45764</v>
      </c>
      <c r="C170" t="s">
        <v>1579</v>
      </c>
      <c r="D170" t="s">
        <v>1995</v>
      </c>
    </row>
    <row r="171" spans="1:5" x14ac:dyDescent="0.3">
      <c r="A171">
        <v>167</v>
      </c>
      <c r="B171" s="13">
        <v>45764</v>
      </c>
      <c r="C171" t="s">
        <v>1480</v>
      </c>
      <c r="D171" t="s">
        <v>1997</v>
      </c>
      <c r="E171" t="s">
        <v>1996</v>
      </c>
    </row>
    <row r="172" spans="1:5" x14ac:dyDescent="0.3">
      <c r="A172">
        <v>168</v>
      </c>
      <c r="B172" s="13">
        <v>45765</v>
      </c>
      <c r="C172" t="s">
        <v>1725</v>
      </c>
      <c r="D172" t="s">
        <v>2000</v>
      </c>
    </row>
    <row r="173" spans="1:5" x14ac:dyDescent="0.3">
      <c r="A173">
        <v>169</v>
      </c>
      <c r="B173" s="13">
        <v>45765</v>
      </c>
      <c r="C173" t="s">
        <v>1781</v>
      </c>
      <c r="D173" t="s">
        <v>2002</v>
      </c>
    </row>
    <row r="174" spans="1:5" x14ac:dyDescent="0.3">
      <c r="A174">
        <v>170</v>
      </c>
      <c r="B174" s="13">
        <v>45765</v>
      </c>
      <c r="C174" t="s">
        <v>1639</v>
      </c>
      <c r="D174" t="s">
        <v>2003</v>
      </c>
    </row>
    <row r="175" spans="1:5" x14ac:dyDescent="0.3">
      <c r="A175">
        <v>171</v>
      </c>
      <c r="B175" s="13">
        <v>45765</v>
      </c>
      <c r="C175" t="s">
        <v>1505</v>
      </c>
      <c r="D175" t="s">
        <v>2004</v>
      </c>
    </row>
    <row r="176" spans="1:5" x14ac:dyDescent="0.3">
      <c r="A176">
        <v>172</v>
      </c>
      <c r="B176" s="13">
        <v>45765</v>
      </c>
      <c r="C176" t="s">
        <v>1505</v>
      </c>
      <c r="D176" t="s">
        <v>2005</v>
      </c>
    </row>
    <row r="177" spans="1:5" x14ac:dyDescent="0.3">
      <c r="A177">
        <v>173</v>
      </c>
      <c r="B177" s="13">
        <v>45768</v>
      </c>
      <c r="C177" t="s">
        <v>2006</v>
      </c>
      <c r="D177" t="s">
        <v>2007</v>
      </c>
    </row>
    <row r="178" spans="1:5" x14ac:dyDescent="0.3">
      <c r="A178">
        <v>174</v>
      </c>
      <c r="B178" s="13">
        <v>45768</v>
      </c>
      <c r="C178" t="s">
        <v>2017</v>
      </c>
      <c r="D178" t="s">
        <v>2018</v>
      </c>
    </row>
    <row r="179" spans="1:5" x14ac:dyDescent="0.3">
      <c r="A179">
        <v>175</v>
      </c>
      <c r="B179" s="13">
        <v>45768</v>
      </c>
      <c r="C179" t="s">
        <v>2017</v>
      </c>
      <c r="D179" t="s">
        <v>2019</v>
      </c>
    </row>
    <row r="180" spans="1:5" x14ac:dyDescent="0.3">
      <c r="A180">
        <v>176</v>
      </c>
      <c r="B180" s="13">
        <v>45768</v>
      </c>
      <c r="C180" t="s">
        <v>1437</v>
      </c>
      <c r="D180" t="s">
        <v>2021</v>
      </c>
      <c r="E180" t="s">
        <v>2020</v>
      </c>
    </row>
    <row r="181" spans="1:5" x14ac:dyDescent="0.3">
      <c r="A181">
        <v>177</v>
      </c>
      <c r="B181" s="13">
        <v>45768</v>
      </c>
      <c r="C181" t="s">
        <v>1621</v>
      </c>
      <c r="D181" t="s">
        <v>2022</v>
      </c>
      <c r="E181" t="s">
        <v>2020</v>
      </c>
    </row>
    <row r="182" spans="1:5" x14ac:dyDescent="0.3">
      <c r="A182">
        <v>178</v>
      </c>
      <c r="B182" s="13">
        <v>45768</v>
      </c>
      <c r="C182" t="s">
        <v>1618</v>
      </c>
      <c r="D182" t="s">
        <v>2023</v>
      </c>
    </row>
    <row r="183" spans="1:5" x14ac:dyDescent="0.3">
      <c r="A183">
        <v>179</v>
      </c>
      <c r="B183" s="13">
        <v>45768</v>
      </c>
      <c r="C183" t="s">
        <v>1781</v>
      </c>
      <c r="D183" t="s">
        <v>2029</v>
      </c>
    </row>
    <row r="184" spans="1:5" x14ac:dyDescent="0.3">
      <c r="A184">
        <v>180</v>
      </c>
      <c r="B184" s="13">
        <v>45769</v>
      </c>
      <c r="C184" t="s">
        <v>1487</v>
      </c>
      <c r="D184" t="s">
        <v>2033</v>
      </c>
    </row>
    <row r="185" spans="1:5" x14ac:dyDescent="0.3">
      <c r="A185">
        <v>181</v>
      </c>
      <c r="B185" s="13">
        <v>45770</v>
      </c>
      <c r="C185" t="s">
        <v>1639</v>
      </c>
      <c r="D185" t="s">
        <v>2035</v>
      </c>
    </row>
    <row r="186" spans="1:5" x14ac:dyDescent="0.3">
      <c r="A186">
        <v>182</v>
      </c>
      <c r="B186" s="13">
        <v>45770</v>
      </c>
      <c r="C186" t="s">
        <v>2036</v>
      </c>
      <c r="D186" t="s">
        <v>2039</v>
      </c>
    </row>
    <row r="187" spans="1:5" x14ac:dyDescent="0.3">
      <c r="A187">
        <v>183</v>
      </c>
      <c r="B187" s="13">
        <v>45770</v>
      </c>
      <c r="C187" t="s">
        <v>2036</v>
      </c>
      <c r="D187" t="s">
        <v>2042</v>
      </c>
    </row>
    <row r="188" spans="1:5" x14ac:dyDescent="0.3">
      <c r="A188">
        <v>184</v>
      </c>
      <c r="B188" s="13">
        <v>45771</v>
      </c>
      <c r="C188" t="s">
        <v>1592</v>
      </c>
      <c r="D188" t="s">
        <v>2044</v>
      </c>
    </row>
    <row r="189" spans="1:5" x14ac:dyDescent="0.3">
      <c r="A189">
        <v>185</v>
      </c>
      <c r="B189" s="13">
        <v>45771</v>
      </c>
      <c r="C189" t="s">
        <v>1482</v>
      </c>
      <c r="D189" t="s">
        <v>2047</v>
      </c>
    </row>
    <row r="190" spans="1:5" x14ac:dyDescent="0.3">
      <c r="A190">
        <v>186</v>
      </c>
      <c r="B190" s="13">
        <v>45772</v>
      </c>
      <c r="C190" t="s">
        <v>1429</v>
      </c>
      <c r="D190" t="s">
        <v>2052</v>
      </c>
    </row>
    <row r="191" spans="1:5" x14ac:dyDescent="0.3">
      <c r="A191">
        <v>187</v>
      </c>
      <c r="B191" s="13">
        <v>45772</v>
      </c>
      <c r="C191" t="s">
        <v>2053</v>
      </c>
      <c r="D191" t="s">
        <v>2055</v>
      </c>
    </row>
    <row r="192" spans="1:5" x14ac:dyDescent="0.3">
      <c r="A192">
        <v>188</v>
      </c>
      <c r="B192" s="13">
        <v>45772</v>
      </c>
      <c r="C192" t="s">
        <v>2056</v>
      </c>
      <c r="D192" t="s">
        <v>2057</v>
      </c>
    </row>
    <row r="193" spans="1:4" x14ac:dyDescent="0.3">
      <c r="A193">
        <v>189</v>
      </c>
      <c r="B193" s="13">
        <v>45772</v>
      </c>
      <c r="C193" t="s">
        <v>1857</v>
      </c>
      <c r="D193" t="s">
        <v>2058</v>
      </c>
    </row>
    <row r="194" spans="1:4" x14ac:dyDescent="0.3">
      <c r="A194">
        <v>190</v>
      </c>
      <c r="B194" s="13">
        <v>45772</v>
      </c>
      <c r="C194" t="s">
        <v>1857</v>
      </c>
      <c r="D194" t="s">
        <v>2060</v>
      </c>
    </row>
    <row r="195" spans="1:4" x14ac:dyDescent="0.3">
      <c r="A195">
        <v>191</v>
      </c>
      <c r="B195" s="13">
        <v>45772</v>
      </c>
      <c r="C195" t="s">
        <v>1482</v>
      </c>
      <c r="D195" t="s">
        <v>2062</v>
      </c>
    </row>
    <row r="196" spans="1:4" x14ac:dyDescent="0.3">
      <c r="A196">
        <v>192</v>
      </c>
      <c r="B196" s="13">
        <v>45772</v>
      </c>
      <c r="C196" t="s">
        <v>1876</v>
      </c>
      <c r="D196" t="s">
        <v>2063</v>
      </c>
    </row>
    <row r="197" spans="1:4" x14ac:dyDescent="0.3">
      <c r="A197">
        <v>193</v>
      </c>
      <c r="B197" s="13">
        <v>45775</v>
      </c>
      <c r="C197" t="s">
        <v>1559</v>
      </c>
      <c r="D197" t="s">
        <v>2065</v>
      </c>
    </row>
    <row r="198" spans="1:4" x14ac:dyDescent="0.3">
      <c r="A198">
        <v>194</v>
      </c>
      <c r="B198" s="13">
        <v>45775</v>
      </c>
      <c r="C198" t="s">
        <v>1482</v>
      </c>
      <c r="D198" t="s">
        <v>2066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2067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2069</v>
      </c>
    </row>
    <row r="201" spans="1:4" x14ac:dyDescent="0.3">
      <c r="A201">
        <v>197</v>
      </c>
      <c r="B201" s="13">
        <v>45775</v>
      </c>
      <c r="C201" t="s">
        <v>1570</v>
      </c>
      <c r="D201" t="s">
        <v>2071</v>
      </c>
    </row>
    <row r="202" spans="1:4" x14ac:dyDescent="0.3">
      <c r="A202">
        <v>198</v>
      </c>
      <c r="B202" s="13">
        <v>45775</v>
      </c>
      <c r="C202" t="s">
        <v>2056</v>
      </c>
      <c r="D202" t="s">
        <v>2073</v>
      </c>
    </row>
    <row r="203" spans="1:4" x14ac:dyDescent="0.3">
      <c r="A203">
        <v>199</v>
      </c>
      <c r="B203" s="13">
        <v>45776</v>
      </c>
      <c r="C203" t="s">
        <v>1579</v>
      </c>
      <c r="D203" t="s">
        <v>2087</v>
      </c>
    </row>
    <row r="204" spans="1:4" x14ac:dyDescent="0.3">
      <c r="A204">
        <v>200</v>
      </c>
      <c r="B204" s="13">
        <v>45776</v>
      </c>
      <c r="C204" t="s">
        <v>2091</v>
      </c>
      <c r="D204" t="s">
        <v>2092</v>
      </c>
    </row>
    <row r="205" spans="1:4" x14ac:dyDescent="0.3">
      <c r="A205">
        <v>201</v>
      </c>
      <c r="B205" s="13">
        <v>45776</v>
      </c>
      <c r="C205" t="s">
        <v>1781</v>
      </c>
      <c r="D205" t="s">
        <v>2097</v>
      </c>
    </row>
    <row r="206" spans="1:4" x14ac:dyDescent="0.3">
      <c r="A206">
        <v>202</v>
      </c>
      <c r="B206" s="13">
        <v>45776</v>
      </c>
      <c r="C206" t="s">
        <v>2100</v>
      </c>
      <c r="D206" t="s">
        <v>2101</v>
      </c>
    </row>
    <row r="207" spans="1:4" x14ac:dyDescent="0.3">
      <c r="A207">
        <v>203</v>
      </c>
      <c r="B207" s="13">
        <v>45776</v>
      </c>
      <c r="C207" t="s">
        <v>2056</v>
      </c>
      <c r="D207" t="s">
        <v>2102</v>
      </c>
    </row>
    <row r="208" spans="1:4" x14ac:dyDescent="0.3">
      <c r="A208">
        <v>204</v>
      </c>
      <c r="B208" s="13">
        <v>45776</v>
      </c>
      <c r="C208" t="s">
        <v>1808</v>
      </c>
      <c r="D208" t="s">
        <v>2104</v>
      </c>
    </row>
    <row r="209" spans="1:4" x14ac:dyDescent="0.3">
      <c r="A209">
        <v>205</v>
      </c>
      <c r="B209" s="13">
        <v>45776</v>
      </c>
      <c r="C209" t="s">
        <v>2056</v>
      </c>
      <c r="D209" t="s">
        <v>2106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2107</v>
      </c>
    </row>
    <row r="211" spans="1:4" x14ac:dyDescent="0.3">
      <c r="A211">
        <v>207</v>
      </c>
      <c r="B211" s="13">
        <v>45777</v>
      </c>
      <c r="C211" t="s">
        <v>1482</v>
      </c>
      <c r="D211" t="s">
        <v>2109</v>
      </c>
    </row>
    <row r="212" spans="1:4" x14ac:dyDescent="0.3">
      <c r="A212">
        <v>208</v>
      </c>
      <c r="B212" s="13">
        <v>45777</v>
      </c>
      <c r="C212" t="s">
        <v>2110</v>
      </c>
      <c r="D212" t="s">
        <v>2114</v>
      </c>
    </row>
    <row r="213" spans="1:4" x14ac:dyDescent="0.3">
      <c r="A213">
        <v>209</v>
      </c>
      <c r="B213" s="13">
        <v>45777</v>
      </c>
      <c r="C213" t="s">
        <v>2115</v>
      </c>
      <c r="D213" t="s">
        <v>2118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2120</v>
      </c>
    </row>
    <row r="215" spans="1:4" x14ac:dyDescent="0.3">
      <c r="A215">
        <v>211</v>
      </c>
      <c r="B215" s="13">
        <v>45777</v>
      </c>
      <c r="C215" t="s">
        <v>1618</v>
      </c>
      <c r="D215" t="s">
        <v>2121</v>
      </c>
    </row>
    <row r="216" spans="1:4" x14ac:dyDescent="0.3">
      <c r="A216">
        <v>212</v>
      </c>
      <c r="B216" s="13">
        <v>45777</v>
      </c>
      <c r="C216" t="s">
        <v>2122</v>
      </c>
      <c r="D216" t="s">
        <v>2126</v>
      </c>
    </row>
    <row r="217" spans="1:4" x14ac:dyDescent="0.3">
      <c r="A217">
        <v>213</v>
      </c>
      <c r="B217" s="13">
        <v>45777</v>
      </c>
      <c r="C217" t="s">
        <v>1592</v>
      </c>
      <c r="D217" t="s">
        <v>2127</v>
      </c>
    </row>
    <row r="218" spans="1:4" x14ac:dyDescent="0.3">
      <c r="A218">
        <v>214</v>
      </c>
      <c r="B218" s="13">
        <v>45775</v>
      </c>
      <c r="C218" t="s">
        <v>2056</v>
      </c>
      <c r="D218" t="s">
        <v>2128</v>
      </c>
    </row>
    <row r="219" spans="1:4" x14ac:dyDescent="0.3">
      <c r="A219">
        <v>215</v>
      </c>
      <c r="B219" s="13">
        <v>45778</v>
      </c>
      <c r="C219" t="s">
        <v>1621</v>
      </c>
      <c r="D219" t="s">
        <v>2141</v>
      </c>
    </row>
    <row r="220" spans="1:4" x14ac:dyDescent="0.3">
      <c r="A220">
        <v>216</v>
      </c>
      <c r="B220" s="13">
        <v>45777</v>
      </c>
      <c r="C220" t="s">
        <v>1781</v>
      </c>
      <c r="D220" t="s">
        <v>2143</v>
      </c>
    </row>
    <row r="221" spans="1:4" x14ac:dyDescent="0.3">
      <c r="A221">
        <v>217</v>
      </c>
      <c r="B221" s="13">
        <v>45779</v>
      </c>
      <c r="C221" t="s">
        <v>1621</v>
      </c>
      <c r="D221" t="s">
        <v>2144</v>
      </c>
    </row>
    <row r="222" spans="1:4" x14ac:dyDescent="0.3">
      <c r="A222">
        <v>218</v>
      </c>
      <c r="B222" s="13">
        <v>45779</v>
      </c>
      <c r="C222" t="s">
        <v>2053</v>
      </c>
      <c r="D222" t="s">
        <v>2145</v>
      </c>
    </row>
    <row r="223" spans="1:4" x14ac:dyDescent="0.3">
      <c r="A223">
        <v>219</v>
      </c>
      <c r="B223" s="13">
        <v>45779</v>
      </c>
      <c r="C223" t="s">
        <v>1437</v>
      </c>
      <c r="D223" t="s">
        <v>2146</v>
      </c>
    </row>
    <row r="224" spans="1:4" x14ac:dyDescent="0.3">
      <c r="A224">
        <v>220</v>
      </c>
      <c r="B224" s="13">
        <v>45779</v>
      </c>
      <c r="C224" t="s">
        <v>1437</v>
      </c>
      <c r="D224" t="s">
        <v>2147</v>
      </c>
    </row>
    <row r="225" spans="1:4" x14ac:dyDescent="0.3">
      <c r="A225">
        <v>221</v>
      </c>
      <c r="B225" s="13">
        <v>45780</v>
      </c>
      <c r="C225" t="s">
        <v>2036</v>
      </c>
      <c r="D225" t="s">
        <v>2156</v>
      </c>
    </row>
    <row r="226" spans="1:4" x14ac:dyDescent="0.3">
      <c r="A226">
        <v>222</v>
      </c>
      <c r="B226" s="13">
        <v>45782</v>
      </c>
      <c r="C226" t="s">
        <v>2159</v>
      </c>
      <c r="D226" t="s">
        <v>2160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2161</v>
      </c>
    </row>
    <row r="228" spans="1:4" x14ac:dyDescent="0.3">
      <c r="A228">
        <v>224</v>
      </c>
      <c r="B228" s="13">
        <v>45783</v>
      </c>
      <c r="C228" t="s">
        <v>1579</v>
      </c>
      <c r="D228" t="s">
        <v>2162</v>
      </c>
    </row>
    <row r="229" spans="1:4" x14ac:dyDescent="0.3">
      <c r="A229">
        <v>225</v>
      </c>
      <c r="B229" s="13">
        <v>45783</v>
      </c>
      <c r="C229" t="s">
        <v>1437</v>
      </c>
      <c r="D229" t="s">
        <v>2163</v>
      </c>
    </row>
    <row r="230" spans="1:4" x14ac:dyDescent="0.3">
      <c r="A230">
        <v>226</v>
      </c>
      <c r="B230" s="13">
        <v>45783</v>
      </c>
      <c r="C230" t="s">
        <v>1507</v>
      </c>
      <c r="D230" t="s">
        <v>2164</v>
      </c>
    </row>
    <row r="231" spans="1:4" x14ac:dyDescent="0.3">
      <c r="A231">
        <v>227</v>
      </c>
      <c r="B231" s="13">
        <v>45783</v>
      </c>
      <c r="C231" t="s">
        <v>1437</v>
      </c>
      <c r="D231" t="s">
        <v>2166</v>
      </c>
    </row>
    <row r="232" spans="1:4" x14ac:dyDescent="0.3">
      <c r="A232">
        <v>228</v>
      </c>
      <c r="B232" s="13">
        <v>45784</v>
      </c>
      <c r="C232" t="s">
        <v>1343</v>
      </c>
      <c r="D232" t="s">
        <v>2167</v>
      </c>
    </row>
    <row r="233" spans="1:4" x14ac:dyDescent="0.3">
      <c r="A233">
        <v>229</v>
      </c>
      <c r="B233" s="13">
        <v>45784</v>
      </c>
      <c r="C233" t="s">
        <v>2170</v>
      </c>
      <c r="D233" t="s">
        <v>2171</v>
      </c>
    </row>
    <row r="234" spans="1:4" x14ac:dyDescent="0.3">
      <c r="A234">
        <v>230</v>
      </c>
      <c r="B234" s="13">
        <v>45784</v>
      </c>
      <c r="C234" t="s">
        <v>2170</v>
      </c>
      <c r="D234" t="s">
        <v>2173</v>
      </c>
    </row>
    <row r="235" spans="1:4" x14ac:dyDescent="0.3">
      <c r="A235">
        <v>231</v>
      </c>
      <c r="B235" s="13">
        <v>45784</v>
      </c>
      <c r="C235" t="s">
        <v>2170</v>
      </c>
      <c r="D235" t="s">
        <v>2174</v>
      </c>
    </row>
    <row r="236" spans="1:4" x14ac:dyDescent="0.3">
      <c r="A236">
        <v>232</v>
      </c>
      <c r="B236" s="13">
        <v>45784</v>
      </c>
      <c r="C236" t="s">
        <v>1437</v>
      </c>
      <c r="D236" t="s">
        <v>2175</v>
      </c>
    </row>
    <row r="237" spans="1:4" x14ac:dyDescent="0.3">
      <c r="A237">
        <v>233</v>
      </c>
      <c r="B237" s="13">
        <v>45784</v>
      </c>
      <c r="C237" t="s">
        <v>2170</v>
      </c>
      <c r="D237" t="s">
        <v>2180</v>
      </c>
    </row>
    <row r="238" spans="1:4" x14ac:dyDescent="0.3">
      <c r="A238">
        <v>234</v>
      </c>
      <c r="B238" s="13">
        <v>45784</v>
      </c>
      <c r="C238" t="s">
        <v>2176</v>
      </c>
      <c r="D238" t="s">
        <v>2181</v>
      </c>
    </row>
    <row r="239" spans="1:4" x14ac:dyDescent="0.3">
      <c r="A239">
        <v>235</v>
      </c>
      <c r="B239" s="13">
        <v>45785</v>
      </c>
      <c r="C239" t="s">
        <v>2182</v>
      </c>
      <c r="D239" t="s">
        <v>2186</v>
      </c>
    </row>
    <row r="240" spans="1:4" x14ac:dyDescent="0.3">
      <c r="A240">
        <v>236</v>
      </c>
      <c r="B240" s="13">
        <v>45785</v>
      </c>
      <c r="C240" t="s">
        <v>1781</v>
      </c>
      <c r="D240" t="s">
        <v>2187</v>
      </c>
    </row>
    <row r="241" spans="1:4" x14ac:dyDescent="0.3">
      <c r="A241">
        <v>237</v>
      </c>
      <c r="B241" s="13">
        <v>45786</v>
      </c>
      <c r="C241" t="s">
        <v>1343</v>
      </c>
      <c r="D241" t="s">
        <v>2192</v>
      </c>
    </row>
    <row r="242" spans="1:4" x14ac:dyDescent="0.3">
      <c r="A242">
        <v>238</v>
      </c>
      <c r="B242" s="13">
        <v>45786</v>
      </c>
      <c r="C242" t="s">
        <v>2091</v>
      </c>
      <c r="D242" t="s">
        <v>2193</v>
      </c>
    </row>
    <row r="243" spans="1:4" x14ac:dyDescent="0.3">
      <c r="A243">
        <v>239</v>
      </c>
      <c r="B243" s="13">
        <v>45786</v>
      </c>
      <c r="C243" t="s">
        <v>2195</v>
      </c>
      <c r="D243" t="s">
        <v>2196</v>
      </c>
    </row>
    <row r="244" spans="1:4" x14ac:dyDescent="0.3">
      <c r="A244">
        <v>240</v>
      </c>
      <c r="B244" s="13">
        <v>45786</v>
      </c>
      <c r="C244" t="s">
        <v>2195</v>
      </c>
      <c r="D244" t="s">
        <v>2197</v>
      </c>
    </row>
    <row r="245" spans="1:4" x14ac:dyDescent="0.3">
      <c r="A245">
        <v>241</v>
      </c>
      <c r="B245" s="13">
        <v>45789</v>
      </c>
      <c r="C245" t="s">
        <v>2201</v>
      </c>
      <c r="D245" t="s">
        <v>2204</v>
      </c>
    </row>
    <row r="246" spans="1:4" x14ac:dyDescent="0.3">
      <c r="A246">
        <v>242</v>
      </c>
      <c r="B246" s="13">
        <v>45789</v>
      </c>
      <c r="C246" t="s">
        <v>1482</v>
      </c>
      <c r="D246" t="s">
        <v>2205</v>
      </c>
    </row>
    <row r="247" spans="1:4" x14ac:dyDescent="0.3">
      <c r="A247">
        <v>243</v>
      </c>
      <c r="B247" s="13">
        <v>45789</v>
      </c>
      <c r="C247" t="s">
        <v>2053</v>
      </c>
      <c r="D247" t="s">
        <v>2206</v>
      </c>
    </row>
    <row r="248" spans="1:4" x14ac:dyDescent="0.3">
      <c r="A248">
        <v>244</v>
      </c>
      <c r="B248" s="13">
        <v>45789</v>
      </c>
      <c r="C248" t="s">
        <v>1639</v>
      </c>
      <c r="D248" t="s">
        <v>2207</v>
      </c>
    </row>
    <row r="249" spans="1:4" x14ac:dyDescent="0.3">
      <c r="A249">
        <v>245</v>
      </c>
      <c r="B249" s="13">
        <v>45789</v>
      </c>
      <c r="C249" t="s">
        <v>1492</v>
      </c>
      <c r="D249" t="s">
        <v>2210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2212</v>
      </c>
    </row>
    <row r="251" spans="1:4" x14ac:dyDescent="0.3">
      <c r="A251">
        <v>247</v>
      </c>
      <c r="B251" s="13">
        <v>45789</v>
      </c>
      <c r="C251" t="s">
        <v>2215</v>
      </c>
      <c r="D251" t="s">
        <v>2218</v>
      </c>
    </row>
    <row r="252" spans="1:4" x14ac:dyDescent="0.3">
      <c r="A252">
        <v>248</v>
      </c>
      <c r="B252" s="13">
        <v>45789</v>
      </c>
      <c r="C252" t="s">
        <v>1437</v>
      </c>
      <c r="D252" t="s">
        <v>2220</v>
      </c>
    </row>
    <row r="253" spans="1:4" x14ac:dyDescent="0.3">
      <c r="A253">
        <v>249</v>
      </c>
      <c r="B253" s="13">
        <v>45789</v>
      </c>
      <c r="C253" t="s">
        <v>1507</v>
      </c>
      <c r="D253" t="s">
        <v>2221</v>
      </c>
    </row>
    <row r="254" spans="1:4" x14ac:dyDescent="0.3">
      <c r="A254">
        <v>250</v>
      </c>
      <c r="B254" s="13">
        <v>45790</v>
      </c>
      <c r="C254" t="s">
        <v>1487</v>
      </c>
      <c r="D254" t="s">
        <v>2224</v>
      </c>
    </row>
    <row r="255" spans="1:4" x14ac:dyDescent="0.3">
      <c r="A255">
        <v>251</v>
      </c>
      <c r="B255" s="13">
        <v>45790</v>
      </c>
      <c r="C255" t="s">
        <v>2006</v>
      </c>
      <c r="D255" t="s">
        <v>2225</v>
      </c>
    </row>
    <row r="256" spans="1:4" x14ac:dyDescent="0.3">
      <c r="A256">
        <v>252</v>
      </c>
      <c r="B256" s="13">
        <v>45790</v>
      </c>
      <c r="C256" t="s">
        <v>1507</v>
      </c>
      <c r="D256" t="s">
        <v>2226</v>
      </c>
    </row>
    <row r="257" spans="1:4" x14ac:dyDescent="0.3">
      <c r="A257">
        <v>253</v>
      </c>
      <c r="B257" s="13">
        <v>45790</v>
      </c>
      <c r="C257" t="s">
        <v>1857</v>
      </c>
      <c r="D257" t="s">
        <v>2227</v>
      </c>
    </row>
    <row r="258" spans="1:4" x14ac:dyDescent="0.3">
      <c r="A258">
        <v>254</v>
      </c>
      <c r="B258" s="13">
        <v>45790</v>
      </c>
      <c r="C258" t="s">
        <v>2228</v>
      </c>
      <c r="D258" t="s">
        <v>2229</v>
      </c>
    </row>
    <row r="259" spans="1:4" x14ac:dyDescent="0.3">
      <c r="A259">
        <v>255</v>
      </c>
      <c r="B259" s="13">
        <v>45790</v>
      </c>
      <c r="C259" t="s">
        <v>1951</v>
      </c>
      <c r="D259" t="s">
        <v>2230</v>
      </c>
    </row>
    <row r="260" spans="1:4" x14ac:dyDescent="0.3">
      <c r="A260">
        <v>256</v>
      </c>
      <c r="B260" s="13">
        <v>45790</v>
      </c>
      <c r="C260" t="s">
        <v>1437</v>
      </c>
      <c r="D260" t="s">
        <v>2237</v>
      </c>
    </row>
    <row r="261" spans="1:4" x14ac:dyDescent="0.3">
      <c r="A261">
        <v>257</v>
      </c>
      <c r="B261" s="13">
        <v>45790</v>
      </c>
      <c r="C261" t="s">
        <v>1343</v>
      </c>
      <c r="D261" t="s">
        <v>2240</v>
      </c>
    </row>
    <row r="262" spans="1:4" x14ac:dyDescent="0.3">
      <c r="A262">
        <v>258</v>
      </c>
      <c r="B262" s="13">
        <v>45790</v>
      </c>
      <c r="C262" t="s">
        <v>1725</v>
      </c>
      <c r="D262" t="s">
        <v>2242</v>
      </c>
    </row>
    <row r="263" spans="1:4" x14ac:dyDescent="0.3">
      <c r="A263">
        <v>259</v>
      </c>
      <c r="B263" s="13">
        <v>45790</v>
      </c>
      <c r="C263" t="s">
        <v>1416</v>
      </c>
      <c r="D263" t="s">
        <v>2244</v>
      </c>
    </row>
    <row r="264" spans="1:4" x14ac:dyDescent="0.3">
      <c r="A264">
        <v>260</v>
      </c>
      <c r="B264" s="13">
        <v>45791</v>
      </c>
      <c r="C264" t="s">
        <v>1781</v>
      </c>
      <c r="D264" t="s">
        <v>2249</v>
      </c>
    </row>
    <row r="265" spans="1:4" x14ac:dyDescent="0.3">
      <c r="A265">
        <v>261</v>
      </c>
      <c r="B265" s="13">
        <v>45791</v>
      </c>
      <c r="C265" t="s">
        <v>2255</v>
      </c>
      <c r="D265" t="s">
        <v>2257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2258</v>
      </c>
    </row>
    <row r="267" spans="1:4" x14ac:dyDescent="0.3">
      <c r="A267">
        <v>263</v>
      </c>
      <c r="B267" s="13">
        <v>45791</v>
      </c>
      <c r="C267" t="s">
        <v>1857</v>
      </c>
      <c r="D267" t="s">
        <v>2260</v>
      </c>
    </row>
    <row r="268" spans="1:4" x14ac:dyDescent="0.3">
      <c r="A268">
        <v>264</v>
      </c>
      <c r="B268" s="13">
        <v>45791</v>
      </c>
      <c r="C268" t="s">
        <v>1639</v>
      </c>
      <c r="D268" t="s">
        <v>2261</v>
      </c>
    </row>
    <row r="269" spans="1:4" x14ac:dyDescent="0.3">
      <c r="A269">
        <v>265</v>
      </c>
      <c r="B269" s="13">
        <v>45792</v>
      </c>
      <c r="C269" t="s">
        <v>1621</v>
      </c>
      <c r="D269" t="s">
        <v>2292</v>
      </c>
    </row>
    <row r="270" spans="1:4" x14ac:dyDescent="0.3">
      <c r="A270">
        <v>266</v>
      </c>
      <c r="B270" s="13">
        <v>45792</v>
      </c>
      <c r="C270" t="s">
        <v>2170</v>
      </c>
      <c r="D270" t="s">
        <v>2293</v>
      </c>
    </row>
    <row r="271" spans="1:4" x14ac:dyDescent="0.3">
      <c r="A271">
        <v>267</v>
      </c>
      <c r="B271" s="13">
        <v>45792</v>
      </c>
      <c r="C271" t="s">
        <v>1579</v>
      </c>
      <c r="D271" t="s">
        <v>2294</v>
      </c>
    </row>
    <row r="272" spans="1:4" x14ac:dyDescent="0.3">
      <c r="A272">
        <v>268</v>
      </c>
      <c r="B272" s="13">
        <v>45792</v>
      </c>
      <c r="C272" t="s">
        <v>1808</v>
      </c>
      <c r="D272" t="s">
        <v>2297</v>
      </c>
    </row>
    <row r="273" spans="1:5" x14ac:dyDescent="0.3">
      <c r="A273">
        <v>269</v>
      </c>
      <c r="B273" s="13">
        <v>45792</v>
      </c>
      <c r="C273" t="s">
        <v>1808</v>
      </c>
      <c r="D273" t="s">
        <v>2299</v>
      </c>
    </row>
    <row r="274" spans="1:5" x14ac:dyDescent="0.3">
      <c r="A274">
        <v>270</v>
      </c>
      <c r="B274" s="13">
        <v>45792</v>
      </c>
      <c r="C274" t="s">
        <v>1945</v>
      </c>
      <c r="D274" t="s">
        <v>2303</v>
      </c>
    </row>
    <row r="275" spans="1:5" x14ac:dyDescent="0.3">
      <c r="A275">
        <v>271</v>
      </c>
      <c r="B275" s="13">
        <v>45793</v>
      </c>
      <c r="C275" t="s">
        <v>2176</v>
      </c>
      <c r="D275" t="s">
        <v>2311</v>
      </c>
    </row>
    <row r="276" spans="1:5" x14ac:dyDescent="0.3">
      <c r="A276">
        <v>272</v>
      </c>
      <c r="B276" s="13">
        <v>45793</v>
      </c>
      <c r="C276" t="s">
        <v>1808</v>
      </c>
      <c r="D276" t="s">
        <v>2312</v>
      </c>
    </row>
    <row r="277" spans="1:5" x14ac:dyDescent="0.3">
      <c r="A277">
        <v>273</v>
      </c>
      <c r="B277" s="13">
        <v>45793</v>
      </c>
      <c r="C277" t="s">
        <v>1945</v>
      </c>
      <c r="D277" t="s">
        <v>2314</v>
      </c>
    </row>
    <row r="278" spans="1:5" x14ac:dyDescent="0.3">
      <c r="A278">
        <v>274</v>
      </c>
      <c r="B278" s="13">
        <v>45794</v>
      </c>
      <c r="C278" t="s">
        <v>1922</v>
      </c>
      <c r="D278" t="s">
        <v>2316</v>
      </c>
    </row>
    <row r="279" spans="1:5" x14ac:dyDescent="0.3">
      <c r="A279">
        <v>275</v>
      </c>
      <c r="B279" s="13">
        <v>45794</v>
      </c>
      <c r="C279" t="s">
        <v>1808</v>
      </c>
      <c r="D279" t="s">
        <v>2317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2318</v>
      </c>
    </row>
    <row r="281" spans="1:5" x14ac:dyDescent="0.3">
      <c r="A281">
        <v>277</v>
      </c>
      <c r="B281" s="13">
        <v>45794</v>
      </c>
      <c r="C281" t="s">
        <v>1482</v>
      </c>
      <c r="D281" t="s">
        <v>2322</v>
      </c>
    </row>
    <row r="282" spans="1:5" x14ac:dyDescent="0.3">
      <c r="A282">
        <v>278</v>
      </c>
      <c r="B282" s="13">
        <v>45794</v>
      </c>
      <c r="C282" t="s">
        <v>2324</v>
      </c>
      <c r="D282" t="s">
        <v>2325</v>
      </c>
    </row>
    <row r="283" spans="1:5" x14ac:dyDescent="0.3">
      <c r="A283">
        <v>279</v>
      </c>
      <c r="B283" s="13">
        <v>45794</v>
      </c>
      <c r="C283" t="s">
        <v>1781</v>
      </c>
      <c r="D283" t="s">
        <v>2327</v>
      </c>
    </row>
    <row r="284" spans="1:5" x14ac:dyDescent="0.3">
      <c r="A284">
        <v>280</v>
      </c>
      <c r="B284" s="13">
        <v>45794</v>
      </c>
      <c r="C284" t="s">
        <v>1429</v>
      </c>
      <c r="D284" t="s">
        <v>2328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2333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2336</v>
      </c>
      <c r="E286" t="s">
        <v>2335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2337</v>
      </c>
    </row>
    <row r="288" spans="1:5" x14ac:dyDescent="0.3">
      <c r="A288">
        <v>284</v>
      </c>
      <c r="B288" s="13">
        <v>45797</v>
      </c>
      <c r="C288" t="s">
        <v>1621</v>
      </c>
      <c r="D288" t="s">
        <v>2338</v>
      </c>
    </row>
    <row r="289" spans="1:4" x14ac:dyDescent="0.3">
      <c r="A289">
        <v>285</v>
      </c>
      <c r="B289" s="13">
        <v>45797</v>
      </c>
      <c r="C289" t="s">
        <v>1936</v>
      </c>
      <c r="D289" t="s">
        <v>2339</v>
      </c>
    </row>
    <row r="290" spans="1:4" x14ac:dyDescent="0.3">
      <c r="A290">
        <v>286</v>
      </c>
      <c r="B290" s="13">
        <v>45798</v>
      </c>
      <c r="C290" t="s">
        <v>1592</v>
      </c>
      <c r="D290" t="s">
        <v>2344</v>
      </c>
    </row>
    <row r="291" spans="1:4" x14ac:dyDescent="0.3">
      <c r="A291">
        <v>287</v>
      </c>
      <c r="B291" s="13">
        <v>45798</v>
      </c>
      <c r="C291" t="s">
        <v>2345</v>
      </c>
      <c r="D291" t="s">
        <v>2346</v>
      </c>
    </row>
    <row r="292" spans="1:4" x14ac:dyDescent="0.3">
      <c r="A292">
        <v>288</v>
      </c>
      <c r="B292" s="13">
        <v>45798</v>
      </c>
      <c r="C292" t="s">
        <v>1725</v>
      </c>
      <c r="D292" t="s">
        <v>2347</v>
      </c>
    </row>
    <row r="293" spans="1:4" x14ac:dyDescent="0.3">
      <c r="A293">
        <v>289</v>
      </c>
      <c r="B293" s="13">
        <v>45798</v>
      </c>
      <c r="C293" t="s">
        <v>2348</v>
      </c>
      <c r="D293" t="s">
        <v>2349</v>
      </c>
    </row>
    <row r="294" spans="1:4" x14ac:dyDescent="0.3">
      <c r="A294">
        <v>290</v>
      </c>
      <c r="B294" s="13">
        <v>45798</v>
      </c>
      <c r="C294" t="s">
        <v>1936</v>
      </c>
      <c r="D294" t="s">
        <v>2350</v>
      </c>
    </row>
    <row r="295" spans="1:4" x14ac:dyDescent="0.3">
      <c r="A295">
        <v>291</v>
      </c>
      <c r="B295" s="13">
        <v>45799</v>
      </c>
      <c r="C295" t="s">
        <v>1437</v>
      </c>
      <c r="D295" t="s">
        <v>2351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2352</v>
      </c>
    </row>
    <row r="297" spans="1:4" x14ac:dyDescent="0.3">
      <c r="A297">
        <v>293</v>
      </c>
      <c r="B297" s="13">
        <v>45799</v>
      </c>
      <c r="C297" t="s">
        <v>1592</v>
      </c>
      <c r="D297" t="s">
        <v>2353</v>
      </c>
    </row>
    <row r="298" spans="1:4" x14ac:dyDescent="0.3">
      <c r="A298">
        <v>294</v>
      </c>
      <c r="B298" s="13">
        <v>45799</v>
      </c>
      <c r="C298" t="s">
        <v>1487</v>
      </c>
      <c r="D298" t="s">
        <v>2355</v>
      </c>
    </row>
    <row r="299" spans="1:4" x14ac:dyDescent="0.3">
      <c r="A299">
        <v>295</v>
      </c>
      <c r="B299" s="13">
        <v>45799</v>
      </c>
      <c r="C299" t="s">
        <v>1517</v>
      </c>
      <c r="D299" t="s">
        <v>2356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2362</v>
      </c>
    </row>
    <row r="301" spans="1:4" x14ac:dyDescent="0.3">
      <c r="A301">
        <v>297</v>
      </c>
      <c r="B301" s="13">
        <v>45800</v>
      </c>
      <c r="C301" t="s">
        <v>2363</v>
      </c>
      <c r="D301" t="s">
        <v>2367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2368</v>
      </c>
    </row>
    <row r="303" spans="1:4" x14ac:dyDescent="0.3">
      <c r="A303">
        <v>299</v>
      </c>
      <c r="B303" s="13">
        <v>45800</v>
      </c>
      <c r="C303" t="s">
        <v>1781</v>
      </c>
      <c r="D303" t="s">
        <v>2369</v>
      </c>
    </row>
    <row r="304" spans="1:4" x14ac:dyDescent="0.3">
      <c r="A304">
        <v>300</v>
      </c>
      <c r="B304" s="13">
        <v>45801</v>
      </c>
      <c r="C304" t="s">
        <v>1490</v>
      </c>
      <c r="D304" t="s">
        <v>2375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2376</v>
      </c>
    </row>
    <row r="306" spans="1:4" x14ac:dyDescent="0.3">
      <c r="A306">
        <v>302</v>
      </c>
      <c r="B306" s="13">
        <v>45801</v>
      </c>
      <c r="C306" t="s">
        <v>1582</v>
      </c>
      <c r="D306" t="s">
        <v>2378</v>
      </c>
    </row>
    <row r="307" spans="1:4" x14ac:dyDescent="0.3">
      <c r="A307">
        <v>303</v>
      </c>
      <c r="B307" s="13">
        <v>45803</v>
      </c>
      <c r="C307" t="s">
        <v>2379</v>
      </c>
      <c r="D307" t="s">
        <v>2383</v>
      </c>
    </row>
    <row r="308" spans="1:4" x14ac:dyDescent="0.3">
      <c r="A308">
        <v>304</v>
      </c>
      <c r="B308" s="13">
        <v>45803</v>
      </c>
      <c r="C308" t="s">
        <v>1437</v>
      </c>
      <c r="D308" t="s">
        <v>2384</v>
      </c>
    </row>
    <row r="309" spans="1:4" x14ac:dyDescent="0.3">
      <c r="A309">
        <v>305</v>
      </c>
      <c r="B309" s="13">
        <v>45803</v>
      </c>
      <c r="C309" t="s">
        <v>1618</v>
      </c>
      <c r="D309" t="s">
        <v>2385</v>
      </c>
    </row>
    <row r="310" spans="1:4" x14ac:dyDescent="0.3">
      <c r="A310">
        <v>306</v>
      </c>
      <c r="B310" s="13">
        <v>45803</v>
      </c>
      <c r="C310" t="s">
        <v>2201</v>
      </c>
      <c r="D310" t="s">
        <v>2387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2388</v>
      </c>
    </row>
    <row r="312" spans="1:4" x14ac:dyDescent="0.3">
      <c r="A312">
        <v>308</v>
      </c>
      <c r="B312" s="13">
        <v>45803</v>
      </c>
      <c r="C312" t="s">
        <v>1725</v>
      </c>
      <c r="D312" t="s">
        <v>2389</v>
      </c>
    </row>
    <row r="313" spans="1:4" x14ac:dyDescent="0.3">
      <c r="A313">
        <v>309</v>
      </c>
      <c r="B313" s="13">
        <v>45803</v>
      </c>
      <c r="C313" t="s">
        <v>1627</v>
      </c>
      <c r="D313" t="s">
        <v>2392</v>
      </c>
    </row>
    <row r="314" spans="1:4" x14ac:dyDescent="0.3">
      <c r="A314">
        <v>310</v>
      </c>
      <c r="B314" s="13">
        <v>45804</v>
      </c>
      <c r="C314" t="s">
        <v>1517</v>
      </c>
      <c r="D314" t="s">
        <v>2395</v>
      </c>
    </row>
    <row r="315" spans="1:4" x14ac:dyDescent="0.3">
      <c r="A315">
        <v>311</v>
      </c>
      <c r="B315" s="13">
        <v>45804</v>
      </c>
      <c r="C315" t="s">
        <v>1781</v>
      </c>
      <c r="D315" t="s">
        <v>2396</v>
      </c>
    </row>
    <row r="316" spans="1:4" x14ac:dyDescent="0.3">
      <c r="A316">
        <v>312</v>
      </c>
      <c r="B316" s="13">
        <v>45804</v>
      </c>
      <c r="C316" t="s">
        <v>1618</v>
      </c>
      <c r="D316" t="s">
        <v>2397</v>
      </c>
    </row>
    <row r="317" spans="1:4" x14ac:dyDescent="0.3">
      <c r="A317">
        <v>313</v>
      </c>
      <c r="B317" s="13">
        <v>45804</v>
      </c>
      <c r="C317" t="s">
        <v>1410</v>
      </c>
      <c r="D317" t="s">
        <v>2398</v>
      </c>
    </row>
    <row r="318" spans="1:4" x14ac:dyDescent="0.3">
      <c r="A318">
        <v>314</v>
      </c>
      <c r="B318" s="13">
        <v>45804</v>
      </c>
      <c r="C318" t="s">
        <v>1579</v>
      </c>
      <c r="D318" t="s">
        <v>2401</v>
      </c>
    </row>
    <row r="319" spans="1:4" x14ac:dyDescent="0.3">
      <c r="A319">
        <v>343</v>
      </c>
      <c r="B319" s="13">
        <v>45806</v>
      </c>
      <c r="C319" t="s">
        <v>2348</v>
      </c>
      <c r="D319" t="s">
        <v>2410</v>
      </c>
    </row>
    <row r="320" spans="1:4" x14ac:dyDescent="0.3">
      <c r="A320">
        <v>344</v>
      </c>
      <c r="B320" s="13">
        <v>45806</v>
      </c>
      <c r="C320" t="s">
        <v>1429</v>
      </c>
      <c r="D320" t="s">
        <v>2411</v>
      </c>
    </row>
    <row r="321" spans="1:4" x14ac:dyDescent="0.3">
      <c r="A321">
        <v>345</v>
      </c>
      <c r="B321" s="13">
        <v>45806</v>
      </c>
      <c r="C321" t="s">
        <v>1437</v>
      </c>
      <c r="D321" t="s">
        <v>2412</v>
      </c>
    </row>
    <row r="322" spans="1:4" x14ac:dyDescent="0.3">
      <c r="A322">
        <v>346</v>
      </c>
      <c r="B322" s="13">
        <v>45807</v>
      </c>
      <c r="C322" t="s">
        <v>1559</v>
      </c>
      <c r="D322" t="s">
        <v>2413</v>
      </c>
    </row>
    <row r="323" spans="1:4" x14ac:dyDescent="0.3">
      <c r="A323">
        <v>347</v>
      </c>
      <c r="B323" s="13">
        <v>45807</v>
      </c>
      <c r="C323" t="s">
        <v>1517</v>
      </c>
      <c r="D323" t="s">
        <v>2419</v>
      </c>
    </row>
    <row r="324" spans="1:4" x14ac:dyDescent="0.3">
      <c r="A324">
        <v>348</v>
      </c>
      <c r="B324" s="13">
        <v>45807</v>
      </c>
      <c r="C324" t="s">
        <v>2420</v>
      </c>
      <c r="D324" t="s">
        <v>2421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2422</v>
      </c>
    </row>
    <row r="326" spans="1:4" x14ac:dyDescent="0.3">
      <c r="A326">
        <v>350</v>
      </c>
      <c r="B326" s="13">
        <v>45807</v>
      </c>
      <c r="C326" t="s">
        <v>2406</v>
      </c>
      <c r="D326" t="s">
        <v>2423</v>
      </c>
    </row>
    <row r="327" spans="1:4" x14ac:dyDescent="0.3">
      <c r="A327">
        <v>351</v>
      </c>
      <c r="B327" s="13">
        <v>45807</v>
      </c>
      <c r="C327" t="s">
        <v>2182</v>
      </c>
      <c r="D327" t="s">
        <v>2424</v>
      </c>
    </row>
    <row r="328" spans="1:4" x14ac:dyDescent="0.3">
      <c r="A328">
        <v>352</v>
      </c>
      <c r="B328" s="13">
        <v>45807</v>
      </c>
      <c r="C328" t="s">
        <v>1480</v>
      </c>
      <c r="D328" t="s">
        <v>2426</v>
      </c>
    </row>
    <row r="329" spans="1:4" x14ac:dyDescent="0.3">
      <c r="A329">
        <v>353</v>
      </c>
      <c r="B329" s="13">
        <v>45808</v>
      </c>
      <c r="C329" t="s">
        <v>1273</v>
      </c>
      <c r="D329" t="s">
        <v>2433</v>
      </c>
    </row>
    <row r="330" spans="1:4" x14ac:dyDescent="0.3">
      <c r="A330">
        <v>354</v>
      </c>
      <c r="B330" s="13">
        <v>45808</v>
      </c>
      <c r="C330" t="s">
        <v>1343</v>
      </c>
      <c r="D330" t="s">
        <v>2434</v>
      </c>
    </row>
    <row r="331" spans="1:4" x14ac:dyDescent="0.3">
      <c r="A331">
        <v>355</v>
      </c>
      <c r="B331" s="13">
        <v>45808</v>
      </c>
      <c r="C331" t="s">
        <v>1781</v>
      </c>
      <c r="D331" t="s">
        <v>2442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2447</v>
      </c>
    </row>
    <row r="333" spans="1:4" x14ac:dyDescent="0.3">
      <c r="A333">
        <v>357</v>
      </c>
      <c r="B333" s="13">
        <v>45810</v>
      </c>
      <c r="C333" t="s">
        <v>1579</v>
      </c>
      <c r="D333" t="s">
        <v>2448</v>
      </c>
    </row>
    <row r="334" spans="1:4" x14ac:dyDescent="0.3">
      <c r="A334">
        <v>358</v>
      </c>
      <c r="B334" s="13">
        <v>45810</v>
      </c>
      <c r="C334" t="s">
        <v>2379</v>
      </c>
      <c r="D334" t="s">
        <v>2449</v>
      </c>
    </row>
    <row r="335" spans="1:4" x14ac:dyDescent="0.3">
      <c r="A335">
        <v>359</v>
      </c>
      <c r="B335" s="13">
        <v>45810</v>
      </c>
      <c r="C335" t="s">
        <v>1494</v>
      </c>
      <c r="D335" t="s">
        <v>2450</v>
      </c>
    </row>
    <row r="336" spans="1:4" x14ac:dyDescent="0.3">
      <c r="A336">
        <v>360</v>
      </c>
      <c r="B336" s="13">
        <v>45810</v>
      </c>
      <c r="C336" t="s">
        <v>1579</v>
      </c>
      <c r="D336" t="s">
        <v>2451</v>
      </c>
    </row>
    <row r="337" spans="1:4" x14ac:dyDescent="0.3">
      <c r="A337">
        <v>361</v>
      </c>
      <c r="B337" s="13">
        <v>45810</v>
      </c>
      <c r="C337" t="s">
        <v>2345</v>
      </c>
      <c r="D337" t="s">
        <v>2454</v>
      </c>
    </row>
    <row r="338" spans="1:4" x14ac:dyDescent="0.3">
      <c r="A338">
        <v>362</v>
      </c>
      <c r="B338" s="13">
        <v>45811</v>
      </c>
      <c r="C338" t="s">
        <v>1637</v>
      </c>
      <c r="D338" t="s">
        <v>2460</v>
      </c>
    </row>
    <row r="339" spans="1:4" x14ac:dyDescent="0.3">
      <c r="A339">
        <v>363</v>
      </c>
      <c r="B339" s="13">
        <v>45811</v>
      </c>
      <c r="C339" t="s">
        <v>1487</v>
      </c>
      <c r="D339" t="s">
        <v>2462</v>
      </c>
    </row>
    <row r="340" spans="1:4" x14ac:dyDescent="0.3">
      <c r="A340">
        <v>364</v>
      </c>
      <c r="B340" s="13">
        <v>45811</v>
      </c>
      <c r="C340" t="s">
        <v>2463</v>
      </c>
      <c r="D340" t="s">
        <v>2466</v>
      </c>
    </row>
    <row r="341" spans="1:4" x14ac:dyDescent="0.3">
      <c r="A341">
        <v>365</v>
      </c>
      <c r="B341" s="13">
        <v>45811</v>
      </c>
      <c r="C341" t="s">
        <v>2463</v>
      </c>
      <c r="D341" t="s">
        <v>2467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2477</v>
      </c>
    </row>
    <row r="343" spans="1:4" x14ac:dyDescent="0.3">
      <c r="A343">
        <v>367</v>
      </c>
      <c r="B343" s="13">
        <v>45812</v>
      </c>
      <c r="C343" t="s">
        <v>1639</v>
      </c>
      <c r="D343" t="s">
        <v>2478</v>
      </c>
    </row>
    <row r="344" spans="1:4" x14ac:dyDescent="0.3">
      <c r="A344">
        <v>368</v>
      </c>
      <c r="B344" s="13">
        <v>45812</v>
      </c>
      <c r="C344" t="s">
        <v>2479</v>
      </c>
      <c r="D344" t="s">
        <v>2484</v>
      </c>
    </row>
    <row r="345" spans="1:4" x14ac:dyDescent="0.3">
      <c r="A345">
        <v>369</v>
      </c>
      <c r="B345" s="13">
        <v>45812</v>
      </c>
      <c r="C345" t="s">
        <v>1621</v>
      </c>
      <c r="D345" t="s">
        <v>2490</v>
      </c>
    </row>
    <row r="346" spans="1:4" x14ac:dyDescent="0.3">
      <c r="A346">
        <v>370</v>
      </c>
      <c r="B346" s="13">
        <v>45813</v>
      </c>
      <c r="C346" t="s">
        <v>1579</v>
      </c>
      <c r="D346" t="s">
        <v>2495</v>
      </c>
    </row>
    <row r="347" spans="1:4" x14ac:dyDescent="0.3">
      <c r="A347">
        <v>371</v>
      </c>
      <c r="B347" s="13">
        <v>45813</v>
      </c>
      <c r="C347" t="s">
        <v>1579</v>
      </c>
      <c r="D347" t="s">
        <v>2496</v>
      </c>
    </row>
    <row r="348" spans="1:4" x14ac:dyDescent="0.3">
      <c r="A348">
        <v>372</v>
      </c>
      <c r="B348" s="13">
        <v>45813</v>
      </c>
      <c r="C348" t="s">
        <v>1494</v>
      </c>
      <c r="D348" t="s">
        <v>2497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2500</v>
      </c>
    </row>
    <row r="350" spans="1:4" x14ac:dyDescent="0.3">
      <c r="A350">
        <v>374</v>
      </c>
      <c r="B350" s="13">
        <v>45813</v>
      </c>
      <c r="C350" t="s">
        <v>2507</v>
      </c>
      <c r="D350" t="s">
        <v>2508</v>
      </c>
    </row>
    <row r="351" spans="1:4" x14ac:dyDescent="0.3">
      <c r="A351">
        <v>375</v>
      </c>
      <c r="B351" s="13">
        <v>45814</v>
      </c>
      <c r="C351" t="s">
        <v>1781</v>
      </c>
      <c r="D351" t="s">
        <v>2509</v>
      </c>
    </row>
    <row r="352" spans="1:4" x14ac:dyDescent="0.3">
      <c r="A352">
        <v>376</v>
      </c>
      <c r="B352" s="13">
        <v>45815</v>
      </c>
      <c r="C352" t="s">
        <v>1781</v>
      </c>
      <c r="D352" t="s">
        <v>2510</v>
      </c>
    </row>
    <row r="353" spans="1:4" x14ac:dyDescent="0.3">
      <c r="A353">
        <v>377</v>
      </c>
      <c r="B353" s="13">
        <v>45817</v>
      </c>
      <c r="C353" t="s">
        <v>2512</v>
      </c>
      <c r="D353" t="s">
        <v>2513</v>
      </c>
    </row>
    <row r="354" spans="1:4" x14ac:dyDescent="0.3">
      <c r="A354">
        <v>378</v>
      </c>
      <c r="B354" s="13">
        <v>45817</v>
      </c>
      <c r="C354" t="s">
        <v>994</v>
      </c>
      <c r="D354" t="s">
        <v>2514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2517</v>
      </c>
    </row>
    <row r="356" spans="1:4" x14ac:dyDescent="0.3">
      <c r="A356">
        <v>380</v>
      </c>
      <c r="B356" s="13">
        <v>45817</v>
      </c>
      <c r="C356" t="s">
        <v>1781</v>
      </c>
      <c r="D356" t="s">
        <v>2518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2521</v>
      </c>
    </row>
    <row r="358" spans="1:4" x14ac:dyDescent="0.3">
      <c r="A358">
        <v>382</v>
      </c>
      <c r="B358" s="13">
        <v>45817</v>
      </c>
      <c r="C358" t="s">
        <v>1482</v>
      </c>
      <c r="D358" t="s">
        <v>2522</v>
      </c>
    </row>
    <row r="359" spans="1:4" x14ac:dyDescent="0.3">
      <c r="A359">
        <v>383</v>
      </c>
      <c r="B359" s="13">
        <v>45817</v>
      </c>
      <c r="C359" t="s">
        <v>1437</v>
      </c>
      <c r="D359" t="s">
        <v>2523</v>
      </c>
    </row>
    <row r="360" spans="1:4" x14ac:dyDescent="0.3">
      <c r="A360">
        <v>384</v>
      </c>
      <c r="B360" s="13">
        <v>45817</v>
      </c>
      <c r="C360" t="s">
        <v>1621</v>
      </c>
      <c r="D360" t="s">
        <v>2524</v>
      </c>
    </row>
    <row r="361" spans="1:4" x14ac:dyDescent="0.3">
      <c r="A361">
        <v>385</v>
      </c>
      <c r="B361" s="13">
        <v>45817</v>
      </c>
      <c r="C361" t="s">
        <v>1618</v>
      </c>
      <c r="D361" t="s">
        <v>2530</v>
      </c>
    </row>
    <row r="362" spans="1:4" x14ac:dyDescent="0.3">
      <c r="A362">
        <v>386</v>
      </c>
      <c r="B362" s="13">
        <v>45817</v>
      </c>
      <c r="C362" t="s">
        <v>1781</v>
      </c>
      <c r="D362" t="s">
        <v>2545</v>
      </c>
    </row>
    <row r="363" spans="1:4" x14ac:dyDescent="0.3">
      <c r="A363">
        <v>387</v>
      </c>
      <c r="B363" s="13">
        <v>45817</v>
      </c>
      <c r="C363" t="s">
        <v>1437</v>
      </c>
      <c r="D363" t="s">
        <v>2547</v>
      </c>
    </row>
    <row r="364" spans="1:4" x14ac:dyDescent="0.3">
      <c r="A364">
        <v>388</v>
      </c>
      <c r="B364" s="13">
        <v>45818</v>
      </c>
      <c r="C364" t="s">
        <v>2463</v>
      </c>
      <c r="D364" t="s">
        <v>2563</v>
      </c>
    </row>
    <row r="365" spans="1:4" x14ac:dyDescent="0.3">
      <c r="A365">
        <v>389</v>
      </c>
      <c r="B365" s="13">
        <v>45818</v>
      </c>
      <c r="C365" t="s">
        <v>1808</v>
      </c>
      <c r="D365" t="s">
        <v>2564</v>
      </c>
    </row>
    <row r="366" spans="1:4" x14ac:dyDescent="0.3">
      <c r="A366">
        <v>390</v>
      </c>
      <c r="B366" s="13">
        <v>45818</v>
      </c>
      <c r="C366" t="s">
        <v>1437</v>
      </c>
      <c r="D366" t="s">
        <v>2565</v>
      </c>
    </row>
    <row r="367" spans="1:4" x14ac:dyDescent="0.3">
      <c r="A367">
        <v>391</v>
      </c>
      <c r="B367" s="13">
        <v>45818</v>
      </c>
      <c r="C367" t="s">
        <v>1343</v>
      </c>
      <c r="D367" t="s">
        <v>2567</v>
      </c>
    </row>
    <row r="368" spans="1:4" x14ac:dyDescent="0.3">
      <c r="A368">
        <v>392</v>
      </c>
      <c r="B368" s="13">
        <v>45818</v>
      </c>
      <c r="C368" t="s">
        <v>1618</v>
      </c>
      <c r="D368" t="s">
        <v>2568</v>
      </c>
    </row>
    <row r="369" spans="1:4" x14ac:dyDescent="0.3">
      <c r="A369">
        <v>393</v>
      </c>
      <c r="B369" s="13">
        <v>45818</v>
      </c>
      <c r="C369" t="s">
        <v>1482</v>
      </c>
      <c r="D369" t="s">
        <v>2570</v>
      </c>
    </row>
    <row r="370" spans="1:4" x14ac:dyDescent="0.3">
      <c r="A370">
        <v>394</v>
      </c>
      <c r="B370" s="13">
        <v>45818</v>
      </c>
      <c r="C370" t="s">
        <v>2406</v>
      </c>
      <c r="D370" t="s">
        <v>2574</v>
      </c>
    </row>
    <row r="371" spans="1:4" x14ac:dyDescent="0.3">
      <c r="A371">
        <v>395</v>
      </c>
      <c r="B371" s="13">
        <v>45818</v>
      </c>
      <c r="C371" t="s">
        <v>1969</v>
      </c>
      <c r="D371" t="s">
        <v>2575</v>
      </c>
    </row>
    <row r="372" spans="1:4" x14ac:dyDescent="0.3">
      <c r="A372">
        <v>396</v>
      </c>
      <c r="B372" s="13">
        <v>45819</v>
      </c>
      <c r="C372" t="s">
        <v>1487</v>
      </c>
      <c r="D372" t="s">
        <v>2578</v>
      </c>
    </row>
    <row r="373" spans="1:4" x14ac:dyDescent="0.3">
      <c r="A373">
        <v>397</v>
      </c>
      <c r="B373" s="13">
        <v>45819</v>
      </c>
      <c r="C373" t="s">
        <v>2469</v>
      </c>
      <c r="D373" t="s">
        <v>2590</v>
      </c>
    </row>
    <row r="374" spans="1:4" x14ac:dyDescent="0.3">
      <c r="A374">
        <v>398</v>
      </c>
      <c r="B374" s="13">
        <v>45819</v>
      </c>
      <c r="C374" t="s">
        <v>2591</v>
      </c>
      <c r="D374" t="s">
        <v>2592</v>
      </c>
    </row>
    <row r="375" spans="1:4" x14ac:dyDescent="0.3">
      <c r="A375">
        <v>399</v>
      </c>
      <c r="B375" s="13">
        <v>45819</v>
      </c>
      <c r="C375" t="s">
        <v>1490</v>
      </c>
      <c r="D375" t="s">
        <v>2594</v>
      </c>
    </row>
    <row r="376" spans="1:4" x14ac:dyDescent="0.3">
      <c r="A376">
        <v>400</v>
      </c>
      <c r="B376" s="13">
        <v>45819</v>
      </c>
      <c r="C376" t="s">
        <v>1410</v>
      </c>
      <c r="D376" t="s">
        <v>2595</v>
      </c>
    </row>
    <row r="377" spans="1:4" x14ac:dyDescent="0.3">
      <c r="A377">
        <v>401</v>
      </c>
      <c r="B377" s="13">
        <v>45819</v>
      </c>
      <c r="C377" t="s">
        <v>2582</v>
      </c>
      <c r="D377" t="s">
        <v>2596</v>
      </c>
    </row>
    <row r="378" spans="1:4" x14ac:dyDescent="0.3">
      <c r="A378">
        <v>402</v>
      </c>
      <c r="B378" s="13">
        <v>45819</v>
      </c>
      <c r="C378" t="s">
        <v>1487</v>
      </c>
      <c r="D378" t="s">
        <v>2597</v>
      </c>
    </row>
    <row r="379" spans="1:4" x14ac:dyDescent="0.3">
      <c r="A379">
        <v>403</v>
      </c>
      <c r="B379" s="13">
        <v>45820</v>
      </c>
      <c r="C379" t="s">
        <v>1511</v>
      </c>
      <c r="D379" t="s">
        <v>2598</v>
      </c>
    </row>
    <row r="380" spans="1:4" x14ac:dyDescent="0.3">
      <c r="A380">
        <v>404</v>
      </c>
      <c r="B380" s="13">
        <v>45820</v>
      </c>
      <c r="C380" t="s">
        <v>1511</v>
      </c>
      <c r="D380" t="s">
        <v>2600</v>
      </c>
    </row>
    <row r="381" spans="1:4" x14ac:dyDescent="0.3">
      <c r="A381">
        <v>405</v>
      </c>
      <c r="B381" s="13">
        <v>45820</v>
      </c>
      <c r="C381" t="s">
        <v>1517</v>
      </c>
      <c r="D381" t="s">
        <v>2601</v>
      </c>
    </row>
    <row r="382" spans="1:4" x14ac:dyDescent="0.3">
      <c r="A382">
        <v>406</v>
      </c>
      <c r="B382" s="13">
        <v>45821</v>
      </c>
      <c r="C382" t="s">
        <v>2602</v>
      </c>
      <c r="D382" t="s">
        <v>2608</v>
      </c>
    </row>
    <row r="383" spans="1:4" x14ac:dyDescent="0.3">
      <c r="A383">
        <v>407</v>
      </c>
      <c r="B383" s="13">
        <v>45821</v>
      </c>
      <c r="C383" t="s">
        <v>1027</v>
      </c>
      <c r="D383" t="s">
        <v>2609</v>
      </c>
    </row>
    <row r="384" spans="1:4" x14ac:dyDescent="0.3">
      <c r="A384">
        <v>408</v>
      </c>
      <c r="B384" s="13">
        <v>45821</v>
      </c>
      <c r="C384" t="s">
        <v>1876</v>
      </c>
      <c r="D384" t="s">
        <v>2610</v>
      </c>
    </row>
    <row r="385" spans="1:4" x14ac:dyDescent="0.3">
      <c r="A385">
        <v>409</v>
      </c>
      <c r="B385" s="13">
        <v>45821</v>
      </c>
      <c r="C385" t="s">
        <v>2056</v>
      </c>
      <c r="D385" t="s">
        <v>2611</v>
      </c>
    </row>
    <row r="386" spans="1:4" x14ac:dyDescent="0.3">
      <c r="A386">
        <v>410</v>
      </c>
      <c r="B386" s="13">
        <v>45821</v>
      </c>
      <c r="C386" t="s">
        <v>2612</v>
      </c>
      <c r="D386" t="s">
        <v>2613</v>
      </c>
    </row>
    <row r="387" spans="1:4" x14ac:dyDescent="0.3">
      <c r="A387">
        <v>411</v>
      </c>
      <c r="B387" s="13">
        <v>45821</v>
      </c>
      <c r="C387" t="s">
        <v>1507</v>
      </c>
      <c r="D387" t="s">
        <v>2617</v>
      </c>
    </row>
    <row r="388" spans="1:4" x14ac:dyDescent="0.3">
      <c r="A388">
        <v>412</v>
      </c>
      <c r="B388" s="13">
        <v>45821</v>
      </c>
      <c r="C388" t="s">
        <v>1532</v>
      </c>
      <c r="D388" t="s">
        <v>2624</v>
      </c>
    </row>
    <row r="389" spans="1:4" x14ac:dyDescent="0.3">
      <c r="A389">
        <v>413</v>
      </c>
      <c r="B389" s="13">
        <v>45822</v>
      </c>
      <c r="C389" t="s">
        <v>1437</v>
      </c>
      <c r="D389" t="s">
        <v>2625</v>
      </c>
    </row>
    <row r="390" spans="1:4" x14ac:dyDescent="0.3">
      <c r="A390">
        <v>414</v>
      </c>
      <c r="B390" s="13">
        <v>45822</v>
      </c>
      <c r="C390" t="s">
        <v>1579</v>
      </c>
      <c r="D390" t="s">
        <v>2626</v>
      </c>
    </row>
    <row r="391" spans="1:4" x14ac:dyDescent="0.3">
      <c r="A391">
        <v>415</v>
      </c>
      <c r="B391" s="13">
        <v>45824</v>
      </c>
      <c r="C391" t="s">
        <v>1492</v>
      </c>
      <c r="D391" t="s">
        <v>2627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2632</v>
      </c>
    </row>
    <row r="393" spans="1:4" x14ac:dyDescent="0.3">
      <c r="A393">
        <v>417</v>
      </c>
      <c r="B393" s="13">
        <v>45824</v>
      </c>
      <c r="C393" t="s">
        <v>1437</v>
      </c>
      <c r="D393" t="s">
        <v>2633</v>
      </c>
    </row>
    <row r="394" spans="1:4" x14ac:dyDescent="0.3">
      <c r="A394">
        <v>418</v>
      </c>
      <c r="B394" s="13">
        <v>45825</v>
      </c>
      <c r="C394" t="s">
        <v>1416</v>
      </c>
      <c r="D394" t="s">
        <v>2634</v>
      </c>
    </row>
    <row r="395" spans="1:4" x14ac:dyDescent="0.3">
      <c r="A395">
        <v>419</v>
      </c>
      <c r="B395" s="13">
        <v>45825</v>
      </c>
      <c r="C395" t="s">
        <v>1579</v>
      </c>
      <c r="D395" t="s">
        <v>2675</v>
      </c>
    </row>
    <row r="396" spans="1:4" x14ac:dyDescent="0.3">
      <c r="A396">
        <v>420</v>
      </c>
      <c r="B396" s="13">
        <v>45825</v>
      </c>
      <c r="C396" t="s">
        <v>1437</v>
      </c>
      <c r="D396" t="s">
        <v>2678</v>
      </c>
    </row>
    <row r="397" spans="1:4" x14ac:dyDescent="0.3">
      <c r="A397">
        <v>421</v>
      </c>
      <c r="B397" s="13">
        <v>45825</v>
      </c>
      <c r="C397" t="s">
        <v>2677</v>
      </c>
      <c r="D397" t="s">
        <v>2679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2685</v>
      </c>
    </row>
    <row r="399" spans="1:4" x14ac:dyDescent="0.3">
      <c r="A399">
        <v>423</v>
      </c>
      <c r="B399" s="13">
        <v>45826</v>
      </c>
      <c r="C399" t="s">
        <v>1437</v>
      </c>
      <c r="D399" t="s">
        <v>2688</v>
      </c>
    </row>
    <row r="400" spans="1:4" x14ac:dyDescent="0.3">
      <c r="A400">
        <v>424</v>
      </c>
      <c r="B400" s="13">
        <v>45826</v>
      </c>
      <c r="C400" t="s">
        <v>2591</v>
      </c>
      <c r="D400" t="s">
        <v>2689</v>
      </c>
    </row>
    <row r="401" spans="1:4" x14ac:dyDescent="0.3">
      <c r="A401">
        <v>425</v>
      </c>
      <c r="B401" s="13">
        <v>45826</v>
      </c>
      <c r="C401" t="s">
        <v>2053</v>
      </c>
      <c r="D401" t="s">
        <v>2690</v>
      </c>
    </row>
    <row r="402" spans="1:4" x14ac:dyDescent="0.3">
      <c r="A402">
        <v>426</v>
      </c>
      <c r="B402" s="13">
        <v>45826</v>
      </c>
      <c r="C402" t="s">
        <v>2379</v>
      </c>
      <c r="D402" t="s">
        <v>2691</v>
      </c>
    </row>
    <row r="403" spans="1:4" x14ac:dyDescent="0.3">
      <c r="A403">
        <v>427</v>
      </c>
      <c r="B403" s="13">
        <v>45826</v>
      </c>
      <c r="C403" t="s">
        <v>1781</v>
      </c>
      <c r="D403" t="s">
        <v>2692</v>
      </c>
    </row>
    <row r="404" spans="1:4" x14ac:dyDescent="0.3">
      <c r="A404">
        <v>428</v>
      </c>
      <c r="B404" s="13">
        <v>45826</v>
      </c>
      <c r="C404" t="s">
        <v>1437</v>
      </c>
      <c r="D404" t="s">
        <v>2693</v>
      </c>
    </row>
    <row r="405" spans="1:4" x14ac:dyDescent="0.3">
      <c r="A405">
        <v>429</v>
      </c>
      <c r="B405" s="13">
        <v>45827</v>
      </c>
      <c r="C405" t="s">
        <v>2053</v>
      </c>
      <c r="D405" t="s">
        <v>2695</v>
      </c>
    </row>
    <row r="406" spans="1:4" x14ac:dyDescent="0.3">
      <c r="A406">
        <v>430</v>
      </c>
      <c r="B406" s="13">
        <v>45827</v>
      </c>
      <c r="C406" t="s">
        <v>1487</v>
      </c>
      <c r="D406" t="s">
        <v>2696</v>
      </c>
    </row>
    <row r="407" spans="1:4" x14ac:dyDescent="0.3">
      <c r="A407">
        <v>431</v>
      </c>
      <c r="B407" s="13">
        <v>45827</v>
      </c>
      <c r="C407" t="s">
        <v>2677</v>
      </c>
      <c r="D407" t="s">
        <v>2701</v>
      </c>
    </row>
    <row r="408" spans="1:4" x14ac:dyDescent="0.3">
      <c r="A408">
        <v>432</v>
      </c>
      <c r="B408" s="13">
        <v>45827</v>
      </c>
      <c r="C408" t="s">
        <v>1437</v>
      </c>
      <c r="D408" t="s">
        <v>2704</v>
      </c>
    </row>
    <row r="409" spans="1:4" x14ac:dyDescent="0.3">
      <c r="A409">
        <v>433</v>
      </c>
      <c r="B409" s="13">
        <v>45827</v>
      </c>
      <c r="C409" t="s">
        <v>1482</v>
      </c>
      <c r="D409" t="s">
        <v>2705</v>
      </c>
    </row>
    <row r="410" spans="1:4" x14ac:dyDescent="0.3">
      <c r="A410">
        <v>434</v>
      </c>
      <c r="B410" s="13">
        <v>45827</v>
      </c>
      <c r="C410" t="s">
        <v>1781</v>
      </c>
      <c r="D410" t="s">
        <v>2706</v>
      </c>
    </row>
    <row r="411" spans="1:4" x14ac:dyDescent="0.3">
      <c r="A411">
        <v>435</v>
      </c>
      <c r="B411" s="13">
        <v>45827</v>
      </c>
      <c r="C411" t="s">
        <v>2512</v>
      </c>
      <c r="D411" t="s">
        <v>2707</v>
      </c>
    </row>
    <row r="412" spans="1:4" x14ac:dyDescent="0.3">
      <c r="A412">
        <v>436</v>
      </c>
      <c r="B412" s="13">
        <v>45827</v>
      </c>
      <c r="C412" t="s">
        <v>1618</v>
      </c>
      <c r="D412" t="s">
        <v>2709</v>
      </c>
    </row>
    <row r="413" spans="1:4" x14ac:dyDescent="0.3">
      <c r="A413">
        <v>437</v>
      </c>
      <c r="B413" s="13">
        <v>45827</v>
      </c>
      <c r="C413" t="s">
        <v>1618</v>
      </c>
      <c r="D413" t="s">
        <v>2711</v>
      </c>
    </row>
    <row r="414" spans="1:4" x14ac:dyDescent="0.3">
      <c r="A414">
        <v>438</v>
      </c>
      <c r="B414" s="13">
        <v>45828</v>
      </c>
      <c r="C414" t="s">
        <v>2718</v>
      </c>
      <c r="D414" t="s">
        <v>2719</v>
      </c>
    </row>
    <row r="415" spans="1:4" x14ac:dyDescent="0.3">
      <c r="A415">
        <v>439</v>
      </c>
      <c r="B415" s="13">
        <v>45828</v>
      </c>
      <c r="C415" t="s">
        <v>1621</v>
      </c>
      <c r="D415" t="s">
        <v>2720</v>
      </c>
    </row>
    <row r="416" spans="1:4" x14ac:dyDescent="0.3">
      <c r="A416">
        <v>440</v>
      </c>
      <c r="B416" s="13">
        <v>45828</v>
      </c>
      <c r="C416" t="s">
        <v>1024</v>
      </c>
      <c r="D416" t="s">
        <v>2721</v>
      </c>
    </row>
    <row r="417" spans="1:4" x14ac:dyDescent="0.3">
      <c r="A417">
        <v>441</v>
      </c>
      <c r="B417" s="13">
        <v>45828</v>
      </c>
      <c r="C417" t="s">
        <v>1579</v>
      </c>
      <c r="D417" t="s">
        <v>2722</v>
      </c>
    </row>
    <row r="418" spans="1:4" x14ac:dyDescent="0.3">
      <c r="A418">
        <v>442</v>
      </c>
      <c r="B418" s="13">
        <v>45828</v>
      </c>
      <c r="C418" t="s">
        <v>2723</v>
      </c>
      <c r="D418" t="s">
        <v>2724</v>
      </c>
    </row>
    <row r="419" spans="1:4" x14ac:dyDescent="0.3">
      <c r="A419">
        <v>443</v>
      </c>
      <c r="B419" s="13">
        <v>45828</v>
      </c>
      <c r="C419" t="s">
        <v>1621</v>
      </c>
      <c r="D419" t="s">
        <v>2725</v>
      </c>
    </row>
    <row r="420" spans="1:4" x14ac:dyDescent="0.3">
      <c r="A420">
        <v>444</v>
      </c>
      <c r="B420" s="13">
        <v>45828</v>
      </c>
      <c r="C420" t="s">
        <v>2731</v>
      </c>
      <c r="D420" t="s">
        <v>2732</v>
      </c>
    </row>
    <row r="421" spans="1:4" x14ac:dyDescent="0.3">
      <c r="A421">
        <v>445</v>
      </c>
      <c r="B421" s="13">
        <v>45829</v>
      </c>
      <c r="C421" t="s">
        <v>1627</v>
      </c>
      <c r="D421" t="s">
        <v>2738</v>
      </c>
    </row>
    <row r="422" spans="1:4" x14ac:dyDescent="0.3">
      <c r="A422">
        <v>446</v>
      </c>
      <c r="B422" s="13">
        <v>45829</v>
      </c>
      <c r="C422" t="s">
        <v>2618</v>
      </c>
      <c r="D422" t="s">
        <v>2739</v>
      </c>
    </row>
    <row r="423" spans="1:4" x14ac:dyDescent="0.3">
      <c r="A423">
        <v>447</v>
      </c>
      <c r="B423" s="13">
        <v>45829</v>
      </c>
      <c r="C423" t="s">
        <v>1781</v>
      </c>
      <c r="D423" t="s">
        <v>2742</v>
      </c>
    </row>
    <row r="424" spans="1:4" x14ac:dyDescent="0.3">
      <c r="A424">
        <v>448</v>
      </c>
      <c r="B424" s="13">
        <v>45831</v>
      </c>
      <c r="C424" t="s">
        <v>2743</v>
      </c>
      <c r="D424" t="s">
        <v>2744</v>
      </c>
    </row>
    <row r="425" spans="1:4" x14ac:dyDescent="0.3">
      <c r="A425">
        <v>449</v>
      </c>
      <c r="B425" s="13">
        <v>45831</v>
      </c>
      <c r="C425" t="s">
        <v>2750</v>
      </c>
      <c r="D425" t="s">
        <v>2751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2757</v>
      </c>
    </row>
    <row r="427" spans="1:4" x14ac:dyDescent="0.3">
      <c r="A427">
        <v>451</v>
      </c>
      <c r="B427" s="13">
        <v>45832</v>
      </c>
      <c r="C427" t="s">
        <v>1621</v>
      </c>
      <c r="D427" t="s">
        <v>2758</v>
      </c>
    </row>
    <row r="428" spans="1:4" x14ac:dyDescent="0.3">
      <c r="A428">
        <v>452</v>
      </c>
      <c r="B428" s="13">
        <v>45832</v>
      </c>
      <c r="C428" t="s">
        <v>2591</v>
      </c>
      <c r="D428" t="s">
        <v>2766</v>
      </c>
    </row>
    <row r="429" spans="1:4" x14ac:dyDescent="0.3">
      <c r="A429">
        <v>453</v>
      </c>
      <c r="B429" s="13">
        <v>45832</v>
      </c>
      <c r="C429" t="s">
        <v>2759</v>
      </c>
      <c r="D429" t="s">
        <v>2767</v>
      </c>
    </row>
    <row r="430" spans="1:4" x14ac:dyDescent="0.3">
      <c r="A430">
        <v>454</v>
      </c>
      <c r="B430" s="13">
        <v>45832</v>
      </c>
      <c r="C430" t="s">
        <v>1781</v>
      </c>
      <c r="D430" t="s">
        <v>2768</v>
      </c>
    </row>
    <row r="431" spans="1:4" x14ac:dyDescent="0.3">
      <c r="A431">
        <v>455</v>
      </c>
      <c r="B431" s="13">
        <v>45832</v>
      </c>
      <c r="C431" t="s">
        <v>1579</v>
      </c>
      <c r="D431" t="s">
        <v>2769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2776</v>
      </c>
    </row>
    <row r="433" spans="1:4" x14ac:dyDescent="0.3">
      <c r="A433">
        <v>457</v>
      </c>
      <c r="B433" s="13">
        <v>45833</v>
      </c>
      <c r="C433" t="s">
        <v>986</v>
      </c>
      <c r="D433" t="s">
        <v>2777</v>
      </c>
    </row>
    <row r="434" spans="1:4" x14ac:dyDescent="0.3">
      <c r="A434">
        <v>458</v>
      </c>
      <c r="B434" s="13">
        <v>45833</v>
      </c>
      <c r="C434" t="s">
        <v>1969</v>
      </c>
      <c r="D434" t="s">
        <v>2778</v>
      </c>
    </row>
    <row r="435" spans="1:4" x14ac:dyDescent="0.3">
      <c r="A435">
        <v>459</v>
      </c>
      <c r="B435" s="13">
        <v>45833</v>
      </c>
      <c r="C435" t="s">
        <v>1639</v>
      </c>
      <c r="D435" t="s">
        <v>2780</v>
      </c>
    </row>
    <row r="436" spans="1:4" x14ac:dyDescent="0.3">
      <c r="A436">
        <v>460</v>
      </c>
      <c r="B436" s="13">
        <v>45833</v>
      </c>
      <c r="C436" t="s">
        <v>2771</v>
      </c>
      <c r="D436" t="s">
        <v>2781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2786</v>
      </c>
    </row>
    <row r="438" spans="1:4" x14ac:dyDescent="0.3">
      <c r="A438">
        <v>462</v>
      </c>
      <c r="B438" s="13">
        <v>45833</v>
      </c>
      <c r="C438" t="s">
        <v>1627</v>
      </c>
      <c r="D438" t="s">
        <v>2787</v>
      </c>
    </row>
    <row r="439" spans="1:4" x14ac:dyDescent="0.3">
      <c r="A439">
        <v>463</v>
      </c>
      <c r="B439" s="13">
        <v>45833</v>
      </c>
      <c r="C439" t="s">
        <v>1517</v>
      </c>
      <c r="D439" t="s">
        <v>2793</v>
      </c>
    </row>
    <row r="440" spans="1:4" x14ac:dyDescent="0.3">
      <c r="A440">
        <v>464</v>
      </c>
      <c r="B440" s="13">
        <v>45834</v>
      </c>
      <c r="C440" t="s">
        <v>1507</v>
      </c>
      <c r="D440" t="s">
        <v>2794</v>
      </c>
    </row>
    <row r="441" spans="1:4" x14ac:dyDescent="0.3">
      <c r="A441">
        <v>465</v>
      </c>
      <c r="B441" s="13">
        <v>45834</v>
      </c>
      <c r="C441" t="s">
        <v>1781</v>
      </c>
      <c r="D441" t="s">
        <v>2799</v>
      </c>
    </row>
    <row r="442" spans="1:4" x14ac:dyDescent="0.3">
      <c r="A442">
        <v>466</v>
      </c>
      <c r="B442" s="13">
        <v>45834</v>
      </c>
      <c r="C442" t="s">
        <v>1437</v>
      </c>
      <c r="D442" t="s">
        <v>2800</v>
      </c>
    </row>
    <row r="443" spans="1:4" x14ac:dyDescent="0.3">
      <c r="A443">
        <v>467</v>
      </c>
      <c r="B443" s="13">
        <v>45834</v>
      </c>
      <c r="C443" t="s">
        <v>1437</v>
      </c>
      <c r="D443" t="s">
        <v>2803</v>
      </c>
    </row>
    <row r="444" spans="1:4" x14ac:dyDescent="0.3">
      <c r="A444">
        <v>468</v>
      </c>
      <c r="B444" s="13">
        <v>45834</v>
      </c>
      <c r="C444" t="s">
        <v>1437</v>
      </c>
      <c r="D444" t="s">
        <v>2819</v>
      </c>
    </row>
    <row r="445" spans="1:4" x14ac:dyDescent="0.3">
      <c r="A445">
        <v>469</v>
      </c>
      <c r="B445" s="13">
        <v>45834</v>
      </c>
      <c r="C445" t="s">
        <v>1066</v>
      </c>
      <c r="D445" t="s">
        <v>2822</v>
      </c>
    </row>
    <row r="446" spans="1:4" x14ac:dyDescent="0.3">
      <c r="A446">
        <v>470</v>
      </c>
      <c r="B446" s="13">
        <v>45835</v>
      </c>
      <c r="C446" t="s">
        <v>1416</v>
      </c>
      <c r="D446" t="s">
        <v>2833</v>
      </c>
    </row>
    <row r="447" spans="1:4" x14ac:dyDescent="0.3">
      <c r="A447">
        <v>471</v>
      </c>
      <c r="B447" s="13">
        <v>45835</v>
      </c>
      <c r="C447" t="s">
        <v>1505</v>
      </c>
      <c r="D447" t="s">
        <v>2834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2836</v>
      </c>
    </row>
    <row r="449" spans="1:4" x14ac:dyDescent="0.3">
      <c r="A449">
        <v>473</v>
      </c>
      <c r="B449" s="13">
        <v>45835</v>
      </c>
      <c r="C449" t="s">
        <v>1618</v>
      </c>
      <c r="D449" t="s">
        <v>2837</v>
      </c>
    </row>
    <row r="450" spans="1:4" x14ac:dyDescent="0.3">
      <c r="A450">
        <v>474</v>
      </c>
      <c r="B450" s="13">
        <v>45835</v>
      </c>
      <c r="C450" t="s">
        <v>1781</v>
      </c>
      <c r="D450" t="s">
        <v>2839</v>
      </c>
    </row>
    <row r="451" spans="1:4" x14ac:dyDescent="0.3">
      <c r="A451">
        <v>475</v>
      </c>
      <c r="B451" s="13">
        <v>45835</v>
      </c>
      <c r="C451" t="s">
        <v>1511</v>
      </c>
      <c r="D451" t="s">
        <v>2840</v>
      </c>
    </row>
    <row r="452" spans="1:4" x14ac:dyDescent="0.3">
      <c r="A452">
        <v>476</v>
      </c>
      <c r="B452" s="13">
        <v>45838</v>
      </c>
      <c r="C452" t="s">
        <v>2379</v>
      </c>
      <c r="D452" t="s">
        <v>2845</v>
      </c>
    </row>
    <row r="453" spans="1:4" x14ac:dyDescent="0.3">
      <c r="A453">
        <v>477</v>
      </c>
      <c r="B453" s="13">
        <v>45838</v>
      </c>
      <c r="C453" t="s">
        <v>1781</v>
      </c>
      <c r="D453" t="s">
        <v>2853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2856</v>
      </c>
    </row>
    <row r="455" spans="1:4" x14ac:dyDescent="0.3">
      <c r="A455">
        <v>479</v>
      </c>
      <c r="B455" s="13">
        <v>45838</v>
      </c>
      <c r="C455" t="s">
        <v>2846</v>
      </c>
      <c r="D455" t="s">
        <v>2857</v>
      </c>
    </row>
    <row r="456" spans="1:4" x14ac:dyDescent="0.3">
      <c r="A456">
        <v>480</v>
      </c>
      <c r="B456" s="13">
        <v>45838</v>
      </c>
      <c r="C456" t="s">
        <v>1482</v>
      </c>
      <c r="D456" t="s">
        <v>2858</v>
      </c>
    </row>
    <row r="457" spans="1:4" x14ac:dyDescent="0.3">
      <c r="A457">
        <v>481</v>
      </c>
      <c r="B457" s="13">
        <v>45838</v>
      </c>
      <c r="C457" t="s">
        <v>1781</v>
      </c>
      <c r="D457" t="s">
        <v>2859</v>
      </c>
    </row>
    <row r="458" spans="1:4" x14ac:dyDescent="0.3">
      <c r="A458">
        <v>482</v>
      </c>
      <c r="B458" s="13">
        <v>45838</v>
      </c>
      <c r="C458" t="s">
        <v>2056</v>
      </c>
      <c r="D458" t="s">
        <v>2860</v>
      </c>
    </row>
    <row r="459" spans="1:4" x14ac:dyDescent="0.3">
      <c r="A459">
        <v>483</v>
      </c>
      <c r="B459" s="13">
        <v>45838</v>
      </c>
      <c r="C459" t="s">
        <v>1505</v>
      </c>
      <c r="D459" t="s">
        <v>2864</v>
      </c>
    </row>
    <row r="460" spans="1:4" x14ac:dyDescent="0.3">
      <c r="A460">
        <v>484</v>
      </c>
      <c r="B460" s="13">
        <v>45839</v>
      </c>
      <c r="C460" t="s">
        <v>2874</v>
      </c>
      <c r="D460" t="s">
        <v>2875</v>
      </c>
    </row>
    <row r="461" spans="1:4" x14ac:dyDescent="0.3">
      <c r="A461">
        <v>485</v>
      </c>
      <c r="B461" s="13">
        <v>45839</v>
      </c>
      <c r="C461" t="s">
        <v>1517</v>
      </c>
      <c r="D461" t="s">
        <v>2876</v>
      </c>
    </row>
    <row r="462" spans="1:4" x14ac:dyDescent="0.3">
      <c r="A462">
        <v>486</v>
      </c>
      <c r="B462" s="13">
        <v>45839</v>
      </c>
      <c r="C462" t="s">
        <v>1621</v>
      </c>
      <c r="D462" t="s">
        <v>2878</v>
      </c>
    </row>
    <row r="463" spans="1:4" x14ac:dyDescent="0.3">
      <c r="A463">
        <v>487</v>
      </c>
      <c r="B463" s="13">
        <v>45839</v>
      </c>
      <c r="C463" t="s">
        <v>2883</v>
      </c>
      <c r="D463" t="s">
        <v>2886</v>
      </c>
    </row>
    <row r="464" spans="1:4" x14ac:dyDescent="0.3">
      <c r="A464">
        <v>488</v>
      </c>
      <c r="B464" s="13">
        <v>45839</v>
      </c>
      <c r="C464" t="s">
        <v>1482</v>
      </c>
      <c r="D464" t="s">
        <v>2887</v>
      </c>
    </row>
    <row r="465" spans="1:4" x14ac:dyDescent="0.3">
      <c r="A465">
        <v>489</v>
      </c>
      <c r="B465" s="13">
        <v>45840</v>
      </c>
      <c r="C465" t="s">
        <v>2892</v>
      </c>
      <c r="D465" t="s">
        <v>2893</v>
      </c>
    </row>
    <row r="466" spans="1:4" x14ac:dyDescent="0.3">
      <c r="A466">
        <v>490</v>
      </c>
      <c r="B466" s="13">
        <v>45840</v>
      </c>
      <c r="C466" t="s">
        <v>2894</v>
      </c>
      <c r="D466" t="s">
        <v>2898</v>
      </c>
    </row>
    <row r="467" spans="1:4" x14ac:dyDescent="0.3">
      <c r="A467">
        <v>491</v>
      </c>
      <c r="B467" s="13">
        <v>45840</v>
      </c>
      <c r="C467" t="s">
        <v>1621</v>
      </c>
      <c r="D467" t="s">
        <v>2905</v>
      </c>
    </row>
    <row r="468" spans="1:4" x14ac:dyDescent="0.3">
      <c r="A468">
        <v>492</v>
      </c>
      <c r="B468" s="13">
        <v>45840</v>
      </c>
      <c r="C468" t="s">
        <v>2036</v>
      </c>
      <c r="D468" t="s">
        <v>2906</v>
      </c>
    </row>
    <row r="469" spans="1:4" x14ac:dyDescent="0.3">
      <c r="A469">
        <v>493</v>
      </c>
      <c r="B469" s="13">
        <v>45840</v>
      </c>
      <c r="C469" t="s">
        <v>2182</v>
      </c>
      <c r="D469" t="s">
        <v>2907</v>
      </c>
    </row>
    <row r="470" spans="1:4" x14ac:dyDescent="0.3">
      <c r="A470">
        <v>494</v>
      </c>
      <c r="B470" s="13">
        <v>45841</v>
      </c>
      <c r="C470" t="s">
        <v>1057</v>
      </c>
      <c r="D470" t="s">
        <v>2909</v>
      </c>
    </row>
    <row r="471" spans="1:4" x14ac:dyDescent="0.3">
      <c r="A471">
        <v>495</v>
      </c>
      <c r="B471" s="13">
        <v>45841</v>
      </c>
      <c r="C471" t="s">
        <v>2915</v>
      </c>
      <c r="D471" t="s">
        <v>2918</v>
      </c>
    </row>
    <row r="472" spans="1:4" x14ac:dyDescent="0.3">
      <c r="A472">
        <v>496</v>
      </c>
      <c r="B472" s="13">
        <v>45841</v>
      </c>
      <c r="C472" t="s">
        <v>1876</v>
      </c>
      <c r="D472" t="s">
        <v>2919</v>
      </c>
    </row>
    <row r="473" spans="1:4" x14ac:dyDescent="0.3">
      <c r="A473">
        <v>497</v>
      </c>
      <c r="B473" s="13">
        <v>45841</v>
      </c>
      <c r="C473" t="s">
        <v>2348</v>
      </c>
      <c r="D473" t="s">
        <v>2920</v>
      </c>
    </row>
    <row r="474" spans="1:4" x14ac:dyDescent="0.3">
      <c r="A474">
        <v>498</v>
      </c>
      <c r="B474" s="13">
        <v>45841</v>
      </c>
      <c r="C474" t="s">
        <v>1621</v>
      </c>
      <c r="D474" t="s">
        <v>2921</v>
      </c>
    </row>
    <row r="475" spans="1:4" x14ac:dyDescent="0.3">
      <c r="A475">
        <v>499</v>
      </c>
      <c r="B475" s="13">
        <v>45842</v>
      </c>
      <c r="C475" t="s">
        <v>1639</v>
      </c>
      <c r="D475" t="s">
        <v>2933</v>
      </c>
    </row>
    <row r="476" spans="1:4" x14ac:dyDescent="0.3">
      <c r="A476">
        <v>500</v>
      </c>
      <c r="B476" s="13">
        <v>45842</v>
      </c>
      <c r="C476" t="s">
        <v>1621</v>
      </c>
      <c r="D476" t="s">
        <v>2934</v>
      </c>
    </row>
    <row r="477" spans="1:4" x14ac:dyDescent="0.3">
      <c r="A477">
        <v>501</v>
      </c>
      <c r="B477" s="13">
        <v>45842</v>
      </c>
      <c r="C477" t="s">
        <v>1505</v>
      </c>
      <c r="D477" t="s">
        <v>2936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2937</v>
      </c>
    </row>
    <row r="479" spans="1:4" x14ac:dyDescent="0.3">
      <c r="A479">
        <v>503</v>
      </c>
      <c r="B479" s="13">
        <v>45843</v>
      </c>
      <c r="C479" t="s">
        <v>1579</v>
      </c>
      <c r="D479" t="s">
        <v>2939</v>
      </c>
    </row>
    <row r="480" spans="1:4" x14ac:dyDescent="0.3">
      <c r="A480">
        <v>504</v>
      </c>
      <c r="B480" s="13">
        <v>45845</v>
      </c>
      <c r="C480" t="s">
        <v>1579</v>
      </c>
      <c r="D480" t="s">
        <v>2940</v>
      </c>
    </row>
    <row r="481" spans="1:4" x14ac:dyDescent="0.3">
      <c r="A481">
        <v>505</v>
      </c>
      <c r="B481" s="13">
        <v>45845</v>
      </c>
      <c r="C481" t="s">
        <v>1482</v>
      </c>
      <c r="D481" t="s">
        <v>2941</v>
      </c>
    </row>
    <row r="482" spans="1:4" x14ac:dyDescent="0.3">
      <c r="A482">
        <v>506</v>
      </c>
      <c r="B482" s="13">
        <v>45845</v>
      </c>
      <c r="C482" t="s">
        <v>1517</v>
      </c>
      <c r="D482" t="s">
        <v>2942</v>
      </c>
    </row>
    <row r="483" spans="1:4" x14ac:dyDescent="0.3">
      <c r="A483">
        <v>507</v>
      </c>
      <c r="B483" s="13">
        <v>45845</v>
      </c>
      <c r="C483" t="s">
        <v>2949</v>
      </c>
      <c r="D483" t="s">
        <v>2953</v>
      </c>
    </row>
    <row r="484" spans="1:4" x14ac:dyDescent="0.3">
      <c r="A484">
        <v>508</v>
      </c>
      <c r="B484" s="13">
        <v>45845</v>
      </c>
      <c r="C484" t="s">
        <v>2718</v>
      </c>
      <c r="D484" t="s">
        <v>2954</v>
      </c>
    </row>
    <row r="485" spans="1:4" x14ac:dyDescent="0.3">
      <c r="A485">
        <v>509</v>
      </c>
      <c r="B485" s="13">
        <v>45845</v>
      </c>
      <c r="C485" t="s">
        <v>2943</v>
      </c>
      <c r="D485" t="s">
        <v>2955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2956</v>
      </c>
    </row>
    <row r="487" spans="1:4" x14ac:dyDescent="0.3">
      <c r="A487">
        <v>511</v>
      </c>
      <c r="B487" s="13">
        <v>45845</v>
      </c>
      <c r="C487" t="s">
        <v>1945</v>
      </c>
      <c r="D487" t="s">
        <v>2957</v>
      </c>
    </row>
    <row r="488" spans="1:4" x14ac:dyDescent="0.3">
      <c r="A488">
        <v>512</v>
      </c>
      <c r="B488" s="13">
        <v>45845</v>
      </c>
      <c r="C488" t="s">
        <v>1482</v>
      </c>
      <c r="D488" t="s">
        <v>2958</v>
      </c>
    </row>
    <row r="489" spans="1:4" x14ac:dyDescent="0.3">
      <c r="A489">
        <v>513</v>
      </c>
      <c r="B489" s="13">
        <v>45845</v>
      </c>
      <c r="C489" t="s">
        <v>1781</v>
      </c>
      <c r="D489" t="s">
        <v>2960</v>
      </c>
    </row>
    <row r="490" spans="1:4" x14ac:dyDescent="0.3">
      <c r="A490">
        <v>514</v>
      </c>
      <c r="B490" s="13">
        <v>45846</v>
      </c>
      <c r="C490" t="s">
        <v>1437</v>
      </c>
      <c r="D490" t="s">
        <v>2963</v>
      </c>
    </row>
    <row r="491" spans="1:4" x14ac:dyDescent="0.3">
      <c r="A491">
        <v>515</v>
      </c>
      <c r="B491" s="13">
        <v>45846</v>
      </c>
      <c r="C491" t="s">
        <v>2949</v>
      </c>
      <c r="D491" t="s">
        <v>2966</v>
      </c>
    </row>
    <row r="492" spans="1:4" x14ac:dyDescent="0.3">
      <c r="A492">
        <v>516</v>
      </c>
      <c r="B492" s="13">
        <v>45846</v>
      </c>
      <c r="C492" t="s">
        <v>1579</v>
      </c>
      <c r="D492" t="s">
        <v>2967</v>
      </c>
    </row>
    <row r="493" spans="1:4" x14ac:dyDescent="0.3">
      <c r="A493">
        <v>517</v>
      </c>
      <c r="B493" s="13">
        <v>45846</v>
      </c>
      <c r="C493" t="s">
        <v>1876</v>
      </c>
      <c r="D493" t="s">
        <v>2968</v>
      </c>
    </row>
    <row r="494" spans="1:4" x14ac:dyDescent="0.3">
      <c r="A494">
        <v>518</v>
      </c>
      <c r="B494" s="13">
        <v>45846</v>
      </c>
      <c r="C494" t="s">
        <v>2969</v>
      </c>
      <c r="D494" t="s">
        <v>2973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2975</v>
      </c>
    </row>
    <row r="496" spans="1:4" x14ac:dyDescent="0.3">
      <c r="A496">
        <v>520</v>
      </c>
      <c r="B496" s="13">
        <v>45846</v>
      </c>
      <c r="C496" t="s">
        <v>1627</v>
      </c>
      <c r="D496" t="s">
        <v>2976</v>
      </c>
    </row>
    <row r="497" spans="1:4" x14ac:dyDescent="0.3">
      <c r="A497">
        <v>521</v>
      </c>
      <c r="B497" s="13">
        <v>45846</v>
      </c>
      <c r="C497" t="s">
        <v>1618</v>
      </c>
      <c r="D497" t="s">
        <v>2977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2978</v>
      </c>
    </row>
    <row r="499" spans="1:4" x14ac:dyDescent="0.3">
      <c r="A499">
        <v>523</v>
      </c>
      <c r="B499" s="13">
        <v>45847</v>
      </c>
      <c r="C499" t="s">
        <v>1437</v>
      </c>
      <c r="D499" t="s">
        <v>2979</v>
      </c>
    </row>
    <row r="500" spans="1:4" x14ac:dyDescent="0.3">
      <c r="A500">
        <v>524</v>
      </c>
      <c r="B500" s="13">
        <v>45847</v>
      </c>
      <c r="C500" t="s">
        <v>2512</v>
      </c>
      <c r="D500" t="s">
        <v>2981</v>
      </c>
    </row>
    <row r="501" spans="1:4" x14ac:dyDescent="0.3">
      <c r="A501">
        <v>525</v>
      </c>
      <c r="B501" s="13">
        <v>45847</v>
      </c>
      <c r="C501" t="s">
        <v>2345</v>
      </c>
      <c r="D501" t="s">
        <v>2985</v>
      </c>
    </row>
    <row r="502" spans="1:4" x14ac:dyDescent="0.3">
      <c r="A502">
        <v>526</v>
      </c>
      <c r="B502" s="13">
        <v>45847</v>
      </c>
      <c r="C502" t="s">
        <v>1482</v>
      </c>
      <c r="D502" t="s">
        <v>2986</v>
      </c>
    </row>
    <row r="503" spans="1:4" x14ac:dyDescent="0.3">
      <c r="A503">
        <v>527</v>
      </c>
      <c r="B503" s="13">
        <v>45847</v>
      </c>
      <c r="C503" t="s">
        <v>1781</v>
      </c>
      <c r="D503" t="s">
        <v>2987</v>
      </c>
    </row>
    <row r="504" spans="1:4" x14ac:dyDescent="0.3">
      <c r="A504">
        <v>528</v>
      </c>
      <c r="B504" s="13">
        <v>45847</v>
      </c>
      <c r="C504" t="s">
        <v>1437</v>
      </c>
      <c r="D504" t="s">
        <v>2988</v>
      </c>
    </row>
    <row r="505" spans="1:4" x14ac:dyDescent="0.3">
      <c r="A505">
        <v>529</v>
      </c>
      <c r="B505" s="13">
        <v>45847</v>
      </c>
      <c r="C505" t="s">
        <v>1808</v>
      </c>
      <c r="D505" t="s">
        <v>2989</v>
      </c>
    </row>
    <row r="506" spans="1:4" x14ac:dyDescent="0.3">
      <c r="A506">
        <v>530</v>
      </c>
      <c r="B506" s="13">
        <v>45847</v>
      </c>
      <c r="C506" t="s">
        <v>2512</v>
      </c>
      <c r="D506" t="s">
        <v>2990</v>
      </c>
    </row>
    <row r="507" spans="1:4" x14ac:dyDescent="0.3">
      <c r="A507">
        <v>531</v>
      </c>
      <c r="B507" s="13">
        <v>45848</v>
      </c>
      <c r="C507" t="s">
        <v>2874</v>
      </c>
      <c r="D507" t="s">
        <v>2995</v>
      </c>
    </row>
    <row r="508" spans="1:4" x14ac:dyDescent="0.3">
      <c r="A508">
        <v>532</v>
      </c>
      <c r="B508" s="13">
        <v>45848</v>
      </c>
      <c r="C508" t="s">
        <v>2406</v>
      </c>
      <c r="D508" t="s">
        <v>2997</v>
      </c>
    </row>
    <row r="509" spans="1:4" x14ac:dyDescent="0.3">
      <c r="A509">
        <v>533</v>
      </c>
      <c r="B509" s="13">
        <v>45848</v>
      </c>
      <c r="C509" t="s">
        <v>1437</v>
      </c>
      <c r="D509" t="s">
        <v>2998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2999</v>
      </c>
    </row>
    <row r="511" spans="1:4" x14ac:dyDescent="0.3">
      <c r="A511">
        <v>535</v>
      </c>
      <c r="B511" s="13">
        <v>45848</v>
      </c>
      <c r="C511" t="s">
        <v>1024</v>
      </c>
      <c r="D511" t="s">
        <v>3001</v>
      </c>
    </row>
    <row r="512" spans="1:4" x14ac:dyDescent="0.3">
      <c r="A512">
        <v>536</v>
      </c>
      <c r="B512" s="13">
        <v>45849</v>
      </c>
      <c r="C512" t="s">
        <v>1618</v>
      </c>
      <c r="D512" t="s">
        <v>3012</v>
      </c>
    </row>
    <row r="513" spans="1:4" x14ac:dyDescent="0.3">
      <c r="A513">
        <v>537</v>
      </c>
      <c r="B513" s="13">
        <v>45849</v>
      </c>
      <c r="C513" t="s">
        <v>1621</v>
      </c>
      <c r="D513" t="s">
        <v>3013</v>
      </c>
    </row>
    <row r="514" spans="1:4" x14ac:dyDescent="0.3">
      <c r="A514">
        <v>538</v>
      </c>
      <c r="B514" s="13">
        <v>45849</v>
      </c>
      <c r="C514" t="s">
        <v>1437</v>
      </c>
      <c r="D514" t="s">
        <v>3014</v>
      </c>
    </row>
    <row r="515" spans="1:4" x14ac:dyDescent="0.3">
      <c r="A515">
        <v>539</v>
      </c>
      <c r="B515" s="13">
        <v>45849</v>
      </c>
      <c r="C515" t="s">
        <v>1496</v>
      </c>
      <c r="D515" t="s">
        <v>3015</v>
      </c>
    </row>
    <row r="516" spans="1:4" x14ac:dyDescent="0.3">
      <c r="A516">
        <v>540</v>
      </c>
      <c r="B516" s="13">
        <v>45849</v>
      </c>
      <c r="C516" t="s">
        <v>1487</v>
      </c>
      <c r="D516" t="s">
        <v>3016</v>
      </c>
    </row>
    <row r="517" spans="1:4" x14ac:dyDescent="0.3">
      <c r="A517">
        <v>541</v>
      </c>
      <c r="B517" s="13">
        <v>45849</v>
      </c>
      <c r="C517" t="s">
        <v>1627</v>
      </c>
      <c r="D517" t="s">
        <v>3017</v>
      </c>
    </row>
    <row r="518" spans="1:4" x14ac:dyDescent="0.3">
      <c r="A518">
        <v>542</v>
      </c>
      <c r="B518" s="13">
        <v>45849</v>
      </c>
      <c r="C518" t="s">
        <v>1627</v>
      </c>
      <c r="D518" t="s">
        <v>3018</v>
      </c>
    </row>
    <row r="519" spans="1:4" x14ac:dyDescent="0.3">
      <c r="A519">
        <v>543</v>
      </c>
      <c r="B519" s="13">
        <v>45849</v>
      </c>
      <c r="C519" t="s">
        <v>3019</v>
      </c>
      <c r="D519" t="s">
        <v>3020</v>
      </c>
    </row>
    <row r="520" spans="1:4" x14ac:dyDescent="0.3">
      <c r="A520">
        <v>544</v>
      </c>
      <c r="B520" s="13">
        <v>45850</v>
      </c>
      <c r="C520" t="s">
        <v>1639</v>
      </c>
      <c r="D520" t="s">
        <v>3027</v>
      </c>
    </row>
    <row r="521" spans="1:4" x14ac:dyDescent="0.3">
      <c r="A521">
        <v>545</v>
      </c>
      <c r="B521" s="13">
        <v>45850</v>
      </c>
      <c r="C521" t="s">
        <v>2874</v>
      </c>
      <c r="D521" t="s">
        <v>3031</v>
      </c>
    </row>
    <row r="522" spans="1:4" x14ac:dyDescent="0.3">
      <c r="A522">
        <v>546</v>
      </c>
      <c r="B522" s="13">
        <v>45852</v>
      </c>
      <c r="C522" t="s">
        <v>3038</v>
      </c>
      <c r="D522" t="s">
        <v>3041</v>
      </c>
    </row>
    <row r="523" spans="1:4" x14ac:dyDescent="0.3">
      <c r="A523">
        <v>547</v>
      </c>
      <c r="B523" s="13">
        <v>45852</v>
      </c>
      <c r="C523" t="s">
        <v>3042</v>
      </c>
      <c r="D523" t="s">
        <v>3046</v>
      </c>
    </row>
    <row r="524" spans="1:4" x14ac:dyDescent="0.3">
      <c r="A524">
        <v>548</v>
      </c>
      <c r="B524" s="13">
        <v>45852</v>
      </c>
      <c r="C524" t="s">
        <v>1437</v>
      </c>
      <c r="D524" t="s">
        <v>3047</v>
      </c>
    </row>
    <row r="525" spans="1:4" x14ac:dyDescent="0.3">
      <c r="A525">
        <v>549</v>
      </c>
      <c r="B525" s="13">
        <v>45852</v>
      </c>
      <c r="C525" t="s">
        <v>2512</v>
      </c>
      <c r="D525" t="s">
        <v>3048</v>
      </c>
    </row>
    <row r="526" spans="1:4" x14ac:dyDescent="0.3">
      <c r="A526">
        <v>550</v>
      </c>
      <c r="B526" s="13">
        <v>45852</v>
      </c>
      <c r="C526" t="s">
        <v>2406</v>
      </c>
      <c r="D526" t="s">
        <v>3050</v>
      </c>
    </row>
    <row r="527" spans="1:4" x14ac:dyDescent="0.3">
      <c r="A527">
        <v>551</v>
      </c>
      <c r="B527" s="13">
        <v>45852</v>
      </c>
      <c r="C527" t="s">
        <v>1639</v>
      </c>
      <c r="D527" t="s">
        <v>3051</v>
      </c>
    </row>
    <row r="528" spans="1:4" x14ac:dyDescent="0.3">
      <c r="A528">
        <v>552</v>
      </c>
      <c r="B528" s="13">
        <v>45852</v>
      </c>
      <c r="C528" t="s">
        <v>1482</v>
      </c>
      <c r="D528" t="s">
        <v>3052</v>
      </c>
    </row>
    <row r="529" spans="1:4" x14ac:dyDescent="0.3">
      <c r="A529">
        <v>553</v>
      </c>
      <c r="B529" s="13">
        <v>45853</v>
      </c>
      <c r="C529" t="s">
        <v>2512</v>
      </c>
      <c r="D529" t="s">
        <v>3064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3065</v>
      </c>
    </row>
    <row r="531" spans="1:4" x14ac:dyDescent="0.3">
      <c r="A531">
        <v>555</v>
      </c>
      <c r="B531" s="13">
        <v>45853</v>
      </c>
      <c r="C531" t="s">
        <v>3066</v>
      </c>
      <c r="D531" t="s">
        <v>3069</v>
      </c>
    </row>
    <row r="532" spans="1:4" x14ac:dyDescent="0.3">
      <c r="A532">
        <v>556</v>
      </c>
      <c r="B532" s="13">
        <v>45853</v>
      </c>
      <c r="C532" t="s">
        <v>2406</v>
      </c>
      <c r="D532" t="s">
        <v>3070</v>
      </c>
    </row>
    <row r="533" spans="1:4" x14ac:dyDescent="0.3">
      <c r="A533">
        <v>557</v>
      </c>
      <c r="B533" s="13">
        <v>45853</v>
      </c>
      <c r="C533" t="s">
        <v>1505</v>
      </c>
      <c r="D533" t="s">
        <v>3071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3072</v>
      </c>
    </row>
    <row r="535" spans="1:4" x14ac:dyDescent="0.3">
      <c r="A535">
        <v>559</v>
      </c>
      <c r="B535" s="13">
        <v>45853</v>
      </c>
      <c r="C535" t="s">
        <v>1494</v>
      </c>
      <c r="D535" t="s">
        <v>3073</v>
      </c>
    </row>
    <row r="536" spans="1:4" x14ac:dyDescent="0.3">
      <c r="A536">
        <v>560</v>
      </c>
      <c r="B536" s="13">
        <v>45853</v>
      </c>
      <c r="C536" t="s">
        <v>3060</v>
      </c>
      <c r="D536" t="s">
        <v>3075</v>
      </c>
    </row>
    <row r="537" spans="1:4" x14ac:dyDescent="0.3">
      <c r="A537">
        <v>561</v>
      </c>
      <c r="B537" s="13">
        <v>45853</v>
      </c>
      <c r="C537" t="s">
        <v>1781</v>
      </c>
      <c r="D537" t="s">
        <v>3076</v>
      </c>
    </row>
    <row r="538" spans="1:4" x14ac:dyDescent="0.3">
      <c r="A538">
        <v>562</v>
      </c>
      <c r="B538" s="13">
        <v>45854</v>
      </c>
      <c r="C538" t="s">
        <v>2379</v>
      </c>
      <c r="D538" t="s">
        <v>3089</v>
      </c>
    </row>
    <row r="539" spans="1:4" x14ac:dyDescent="0.3">
      <c r="A539">
        <v>563</v>
      </c>
      <c r="B539" s="13">
        <v>45854</v>
      </c>
      <c r="C539" t="s">
        <v>1872</v>
      </c>
      <c r="D539" t="s">
        <v>3091</v>
      </c>
    </row>
    <row r="540" spans="1:4" x14ac:dyDescent="0.3">
      <c r="A540">
        <v>564</v>
      </c>
      <c r="B540" s="13">
        <v>45854</v>
      </c>
      <c r="C540" t="s">
        <v>1725</v>
      </c>
      <c r="D540" t="s">
        <v>3092</v>
      </c>
    </row>
    <row r="541" spans="1:4" x14ac:dyDescent="0.3">
      <c r="A541">
        <v>565</v>
      </c>
      <c r="B541" s="13">
        <v>45854</v>
      </c>
      <c r="C541" t="s">
        <v>3093</v>
      </c>
      <c r="D541" t="s">
        <v>3095</v>
      </c>
    </row>
    <row r="542" spans="1:4" x14ac:dyDescent="0.3">
      <c r="A542">
        <v>566</v>
      </c>
      <c r="B542" s="13">
        <v>45855</v>
      </c>
      <c r="C542" t="s">
        <v>1027</v>
      </c>
      <c r="D542" t="s">
        <v>3105</v>
      </c>
    </row>
    <row r="543" spans="1:4" x14ac:dyDescent="0.3">
      <c r="A543">
        <v>567</v>
      </c>
      <c r="B543" s="13">
        <v>45855</v>
      </c>
      <c r="C543" t="s">
        <v>1505</v>
      </c>
      <c r="D543" t="s">
        <v>3107</v>
      </c>
    </row>
    <row r="544" spans="1:4" x14ac:dyDescent="0.3">
      <c r="A544">
        <v>568</v>
      </c>
      <c r="B544" s="13">
        <v>45855</v>
      </c>
      <c r="C544" t="s">
        <v>2750</v>
      </c>
      <c r="D544" t="s">
        <v>3108</v>
      </c>
    </row>
    <row r="545" spans="1:4" x14ac:dyDescent="0.3">
      <c r="A545">
        <v>569</v>
      </c>
      <c r="B545" s="13">
        <v>45855</v>
      </c>
      <c r="C545" t="s">
        <v>1437</v>
      </c>
      <c r="D545" t="s">
        <v>3109</v>
      </c>
    </row>
    <row r="546" spans="1:4" x14ac:dyDescent="0.3">
      <c r="A546">
        <v>570</v>
      </c>
      <c r="B546" s="13">
        <v>45856</v>
      </c>
      <c r="C546" t="s">
        <v>1487</v>
      </c>
      <c r="D546" t="s">
        <v>3114</v>
      </c>
    </row>
    <row r="547" spans="1:4" x14ac:dyDescent="0.3">
      <c r="A547">
        <v>571</v>
      </c>
      <c r="B547" s="13">
        <v>45856</v>
      </c>
      <c r="C547" t="s">
        <v>3115</v>
      </c>
      <c r="D547" t="s">
        <v>3119</v>
      </c>
    </row>
    <row r="548" spans="1:4" x14ac:dyDescent="0.3">
      <c r="A548">
        <v>572</v>
      </c>
      <c r="B548" s="13">
        <v>45856</v>
      </c>
      <c r="C548" t="s">
        <v>1517</v>
      </c>
      <c r="D548" t="s">
        <v>3121</v>
      </c>
    </row>
    <row r="549" spans="1:4" x14ac:dyDescent="0.3">
      <c r="A549">
        <v>573</v>
      </c>
      <c r="B549" s="13">
        <v>45856</v>
      </c>
      <c r="C549" t="s">
        <v>3122</v>
      </c>
      <c r="D549" t="s">
        <v>3124</v>
      </c>
    </row>
    <row r="550" spans="1:4" x14ac:dyDescent="0.3">
      <c r="A550">
        <v>574</v>
      </c>
      <c r="B550" s="13">
        <v>45856</v>
      </c>
      <c r="C550" t="s">
        <v>1922</v>
      </c>
      <c r="D550" t="s">
        <v>3125</v>
      </c>
    </row>
    <row r="551" spans="1:4" x14ac:dyDescent="0.3">
      <c r="A551">
        <v>575</v>
      </c>
      <c r="B551" s="13">
        <v>45856</v>
      </c>
      <c r="C551" t="s">
        <v>2056</v>
      </c>
      <c r="D551" t="s">
        <v>3129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9" sqref="G19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8</v>
      </c>
      <c r="C1" s="63" t="s">
        <v>3132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165</v>
      </c>
      <c r="J1" s="294"/>
      <c r="K1" s="293"/>
    </row>
    <row r="2" spans="1:11" x14ac:dyDescent="0.3">
      <c r="A2">
        <v>1</v>
      </c>
      <c r="B2" t="s">
        <v>1311</v>
      </c>
      <c r="C2" t="s">
        <v>1674</v>
      </c>
      <c r="E2" t="s">
        <v>1675</v>
      </c>
      <c r="F2" t="s">
        <v>1676</v>
      </c>
      <c r="G2" t="s">
        <v>1677</v>
      </c>
      <c r="H2" s="201">
        <f>SUMIF(주문_리스트!C:C,거래처!$B2,주문_리스트!K:K)+SUMIF(주문_리스트!C:C,거래처!B2,주문_리스트!L:L)-1543201</f>
        <v>2339999.5999999996</v>
      </c>
      <c r="I2" s="201" t="s">
        <v>3133</v>
      </c>
    </row>
    <row r="3" spans="1:11" x14ac:dyDescent="0.3">
      <c r="A3">
        <v>2</v>
      </c>
      <c r="B3" t="s">
        <v>2713</v>
      </c>
      <c r="C3" t="s">
        <v>2714</v>
      </c>
      <c r="E3" t="s">
        <v>2715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1312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1313</v>
      </c>
      <c r="C6" t="s">
        <v>2716</v>
      </c>
      <c r="E6" t="s">
        <v>2717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1314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1328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1315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1316</v>
      </c>
      <c r="C10" t="s">
        <v>1858</v>
      </c>
      <c r="E10" t="s">
        <v>1317</v>
      </c>
      <c r="F10" t="s">
        <v>1854</v>
      </c>
      <c r="G10" t="s">
        <v>1859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1318</v>
      </c>
      <c r="C11" t="s">
        <v>1657</v>
      </c>
      <c r="E11" t="s">
        <v>1658</v>
      </c>
      <c r="F11" t="s">
        <v>969</v>
      </c>
      <c r="G11" t="s">
        <v>1659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1319</v>
      </c>
      <c r="C12" t="s">
        <v>2213</v>
      </c>
      <c r="E12" t="s">
        <v>2214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1320</v>
      </c>
      <c r="C13" t="s">
        <v>1242</v>
      </c>
      <c r="E13" t="s">
        <v>1243</v>
      </c>
      <c r="F13" t="s">
        <v>2458</v>
      </c>
      <c r="G13" t="s">
        <v>2459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1321</v>
      </c>
      <c r="C14" t="s">
        <v>2619</v>
      </c>
      <c r="E14" t="s">
        <v>2620</v>
      </c>
      <c r="F14" t="s">
        <v>969</v>
      </c>
      <c r="G14" t="s">
        <v>2621</v>
      </c>
      <c r="H14" s="201">
        <f>SUMIF(주문_리스트!C:C,거래처!B14,주문_리스트!K:K)+SUMIF(주문_리스트!C:C,거래처!B14,주문_리스트!L:L)-1280000</f>
        <v>90000</v>
      </c>
      <c r="I14" s="52" t="s">
        <v>3133</v>
      </c>
    </row>
    <row r="15" spans="1:11" x14ac:dyDescent="0.3">
      <c r="A15">
        <v>14</v>
      </c>
      <c r="B15" t="s">
        <v>1322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1323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1324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14556000.199999999</v>
      </c>
      <c r="I17" s="52" t="s">
        <v>3133</v>
      </c>
    </row>
    <row r="18" spans="1:13" x14ac:dyDescent="0.3">
      <c r="A18">
        <v>17</v>
      </c>
      <c r="B18" t="s">
        <v>1325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</row>
    <row r="19" spans="1:13" x14ac:dyDescent="0.3">
      <c r="A19">
        <v>18</v>
      </c>
      <c r="B19" t="s">
        <v>1326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7537000</v>
      </c>
      <c r="I19" s="52" t="s">
        <v>3133</v>
      </c>
      <c r="M19" s="293"/>
    </row>
    <row r="20" spans="1:13" x14ac:dyDescent="0.3">
      <c r="A20">
        <v>19</v>
      </c>
      <c r="B20" t="s">
        <v>1327</v>
      </c>
      <c r="C20" t="s">
        <v>1267</v>
      </c>
      <c r="E20" t="s">
        <v>1268</v>
      </c>
      <c r="F20" t="s">
        <v>1261</v>
      </c>
      <c r="G20" t="s">
        <v>1142</v>
      </c>
      <c r="H20" s="201">
        <f>SUMIF(주문_리스트!C:C,거래처!B20,주문_리스트!K:K)+SUMIF(주문_리스트!C:C,거래처!B20,주문_리스트!L:L)-10000</f>
        <v>2639999.7000000002</v>
      </c>
      <c r="I20" s="52" t="s">
        <v>3133</v>
      </c>
    </row>
    <row r="21" spans="1:13" x14ac:dyDescent="0.3">
      <c r="A21">
        <v>20</v>
      </c>
      <c r="B21" t="s">
        <v>1269</v>
      </c>
      <c r="C21" t="s">
        <v>1270</v>
      </c>
      <c r="E21" t="s">
        <v>1271</v>
      </c>
      <c r="F21" t="s">
        <v>1272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1329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3133</v>
      </c>
    </row>
    <row r="23" spans="1:13" x14ac:dyDescent="0.3">
      <c r="A23">
        <v>22</v>
      </c>
      <c r="B23" t="s">
        <v>1330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1331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1332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3133</v>
      </c>
    </row>
    <row r="26" spans="1:13" x14ac:dyDescent="0.3">
      <c r="A26">
        <v>25</v>
      </c>
      <c r="B26" t="s">
        <v>1333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1334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1653</v>
      </c>
      <c r="C28" t="s">
        <v>1654</v>
      </c>
      <c r="E28" t="s">
        <v>1655</v>
      </c>
      <c r="F28" t="s">
        <v>1656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1979</v>
      </c>
      <c r="C29" t="s">
        <v>1980</v>
      </c>
      <c r="E29" t="s">
        <v>1981</v>
      </c>
      <c r="F29" t="s">
        <v>1974</v>
      </c>
      <c r="G29" t="s">
        <v>1982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1335</v>
      </c>
      <c r="C31" t="s">
        <v>1771</v>
      </c>
      <c r="E31" t="s">
        <v>1772</v>
      </c>
      <c r="F31" t="s">
        <v>969</v>
      </c>
      <c r="G31" t="s">
        <v>1773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1870000</v>
      </c>
      <c r="I32" s="52" t="s">
        <v>3133</v>
      </c>
    </row>
    <row r="33" spans="1:9" x14ac:dyDescent="0.3">
      <c r="A33">
        <v>32</v>
      </c>
      <c r="B33" t="s">
        <v>1336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1337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1338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1610</v>
      </c>
      <c r="C36" t="s">
        <v>1590</v>
      </c>
      <c r="E36" t="s">
        <v>1591</v>
      </c>
      <c r="F36" t="s">
        <v>1611</v>
      </c>
      <c r="G36" t="s">
        <v>1612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1339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6010000</v>
      </c>
      <c r="I37" s="52" t="s">
        <v>3133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1602</v>
      </c>
      <c r="H38" s="201">
        <f>SUMIF(주문_리스트!C:C,거래처!B38,주문_리스트!K:K)+SUMIF(주문_리스트!C:C,거래처!B38,주문_리스트!L:L)</f>
        <v>-9.999999962747097E-2</v>
      </c>
    </row>
    <row r="39" spans="1:9" x14ac:dyDescent="0.3">
      <c r="A39">
        <v>38</v>
      </c>
      <c r="B39" t="s">
        <v>1340</v>
      </c>
      <c r="C39" t="s">
        <v>1430</v>
      </c>
      <c r="E39" t="s">
        <v>1431</v>
      </c>
      <c r="F39" t="s">
        <v>969</v>
      </c>
      <c r="G39" t="s">
        <v>1432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1341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1342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1344</v>
      </c>
      <c r="C43" t="s">
        <v>1401</v>
      </c>
      <c r="E43" t="s">
        <v>1402</v>
      </c>
      <c r="F43" t="s">
        <v>2440</v>
      </c>
      <c r="G43" t="s">
        <v>2441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1345</v>
      </c>
      <c r="C44" t="s">
        <v>2772</v>
      </c>
      <c r="E44" t="s">
        <v>2773</v>
      </c>
      <c r="F44" t="s">
        <v>969</v>
      </c>
      <c r="G44" t="s">
        <v>2774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1346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1347</v>
      </c>
      <c r="C46" t="s">
        <v>2553</v>
      </c>
      <c r="E46" t="s">
        <v>2555</v>
      </c>
      <c r="F46" t="s">
        <v>1211</v>
      </c>
      <c r="G46" t="s">
        <v>2554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1348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1349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1350</v>
      </c>
      <c r="C49" t="s">
        <v>1259</v>
      </c>
      <c r="E49" t="s">
        <v>1260</v>
      </c>
      <c r="F49" t="s">
        <v>1261</v>
      </c>
      <c r="G49" t="s">
        <v>1262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1305</v>
      </c>
      <c r="C50" t="s">
        <v>1306</v>
      </c>
      <c r="E50" t="s">
        <v>1307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1308</v>
      </c>
      <c r="C51" t="s">
        <v>1309</v>
      </c>
      <c r="E51" t="s">
        <v>1310</v>
      </c>
      <c r="F51" t="s">
        <v>969</v>
      </c>
      <c r="G51" t="s">
        <v>1939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1351</v>
      </c>
      <c r="C52" t="s">
        <v>1434</v>
      </c>
      <c r="E52" t="s">
        <v>1435</v>
      </c>
      <c r="F52" t="s">
        <v>969</v>
      </c>
      <c r="G52" t="s">
        <v>1436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1352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1856</v>
      </c>
      <c r="E54" t="s">
        <v>2753</v>
      </c>
      <c r="F54" t="s">
        <v>36</v>
      </c>
      <c r="G54" t="s">
        <v>2754</v>
      </c>
      <c r="H54" s="201">
        <f>SUMIF(주문_리스트!C:C,거래처!B54,주문_리스트!K:K)+SUMIF(주문_리스트!C:C,거래처!B54,주문_리스트!L:L)-4015000</f>
        <v>3500000</v>
      </c>
      <c r="I54" s="52" t="s">
        <v>3133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1353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1354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3133</v>
      </c>
    </row>
    <row r="58" spans="1:9" x14ac:dyDescent="0.3">
      <c r="A58">
        <v>57</v>
      </c>
      <c r="B58" t="s">
        <v>1355</v>
      </c>
      <c r="C58" t="s">
        <v>1277</v>
      </c>
      <c r="E58" t="s">
        <v>1278</v>
      </c>
      <c r="F58" t="s">
        <v>969</v>
      </c>
      <c r="G58" t="s">
        <v>1279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1356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1357</v>
      </c>
      <c r="C61" t="s">
        <v>1054</v>
      </c>
      <c r="E61" t="s">
        <v>1665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1358</v>
      </c>
      <c r="C62" t="s">
        <v>2726</v>
      </c>
      <c r="E62" t="s">
        <v>2727</v>
      </c>
      <c r="F62" t="s">
        <v>2728</v>
      </c>
      <c r="G62" t="s">
        <v>2729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1359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1360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1361</v>
      </c>
      <c r="C65" t="s">
        <v>2745</v>
      </c>
      <c r="E65" t="s">
        <v>2746</v>
      </c>
      <c r="F65" t="s">
        <v>2747</v>
      </c>
      <c r="G65" t="s">
        <v>2748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2123</v>
      </c>
      <c r="G66" t="s">
        <v>2124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1362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1363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1364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1365</v>
      </c>
      <c r="C70" t="s">
        <v>2183</v>
      </c>
      <c r="E70" t="s">
        <v>2184</v>
      </c>
      <c r="F70" t="s">
        <v>36</v>
      </c>
      <c r="G70" t="s">
        <v>2556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1366</v>
      </c>
      <c r="C71" t="s">
        <v>2622</v>
      </c>
      <c r="E71" t="s">
        <v>2623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1367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0</v>
      </c>
    </row>
    <row r="73" spans="1:9" x14ac:dyDescent="0.3">
      <c r="A73">
        <v>72</v>
      </c>
      <c r="B73" t="s">
        <v>1526</v>
      </c>
      <c r="C73" t="s">
        <v>1527</v>
      </c>
      <c r="E73" t="s">
        <v>2050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1411</v>
      </c>
      <c r="C74" t="s">
        <v>1412</v>
      </c>
      <c r="E74" t="s">
        <v>1413</v>
      </c>
      <c r="F74" t="s">
        <v>1414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1368</v>
      </c>
      <c r="C75" t="s">
        <v>1001</v>
      </c>
      <c r="E75" t="s">
        <v>1369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1370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3100000</v>
      </c>
      <c r="I76" s="52" t="s">
        <v>3133</v>
      </c>
    </row>
    <row r="77" spans="1:9" x14ac:dyDescent="0.3">
      <c r="A77">
        <v>76</v>
      </c>
      <c r="B77" t="s">
        <v>1371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580000</v>
      </c>
      <c r="I77" s="52" t="s">
        <v>3133</v>
      </c>
    </row>
    <row r="78" spans="1:9" x14ac:dyDescent="0.3">
      <c r="A78">
        <v>77</v>
      </c>
      <c r="B78" t="s">
        <v>1372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1373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2950000</v>
      </c>
      <c r="I79" s="52" t="s">
        <v>3133</v>
      </c>
    </row>
    <row r="80" spans="1:9" x14ac:dyDescent="0.3">
      <c r="A80">
        <v>79</v>
      </c>
      <c r="B80" t="s">
        <v>1374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1375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1376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1377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1378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1379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1380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1381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1382</v>
      </c>
      <c r="C88" t="s">
        <v>2038</v>
      </c>
      <c r="E88" t="s">
        <v>2037</v>
      </c>
      <c r="F88" t="s">
        <v>969</v>
      </c>
      <c r="G88" t="s">
        <v>2043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1383</v>
      </c>
      <c r="C89" t="s">
        <v>1983</v>
      </c>
      <c r="E89" t="s">
        <v>1984</v>
      </c>
      <c r="F89" t="s">
        <v>969</v>
      </c>
      <c r="G89" t="s">
        <v>1985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1384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1385</v>
      </c>
      <c r="C91" t="s">
        <v>2492</v>
      </c>
      <c r="E91" t="s">
        <v>2493</v>
      </c>
      <c r="F91" t="s">
        <v>2494</v>
      </c>
      <c r="H91" s="201">
        <f>SUMIF(주문_리스트!C:C,거래처!B91,주문_리스트!K:K)+SUMIF(주문_리스트!C:C,거래처!B91,주문_리스트!L:L)-700000</f>
        <v>300000</v>
      </c>
      <c r="I91" s="52" t="s">
        <v>3133</v>
      </c>
    </row>
    <row r="92" spans="1:9" x14ac:dyDescent="0.3">
      <c r="A92">
        <v>91</v>
      </c>
      <c r="B92" t="s">
        <v>1386</v>
      </c>
      <c r="C92" t="s">
        <v>1905</v>
      </c>
      <c r="E92" t="s">
        <v>1906</v>
      </c>
      <c r="F92" t="s">
        <v>1907</v>
      </c>
      <c r="G92" t="s">
        <v>1908</v>
      </c>
      <c r="H92" s="201">
        <f>SUMIF(주문_리스트!C:C,거래처!B92,주문_리스트!K:K)+SUMIF(주문_리스트!C:C,거래처!B92,주문_리스트!L:L)-2089000</f>
        <v>132000.10000000009</v>
      </c>
      <c r="I92" s="52" t="s">
        <v>3133</v>
      </c>
    </row>
    <row r="93" spans="1:9" x14ac:dyDescent="0.3">
      <c r="A93">
        <v>92</v>
      </c>
      <c r="B93" t="s">
        <v>1387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2304</v>
      </c>
      <c r="C94" t="s">
        <v>2305</v>
      </c>
      <c r="E94" t="s">
        <v>2306</v>
      </c>
      <c r="F94" t="s">
        <v>2307</v>
      </c>
      <c r="H94" s="201">
        <f>SUMIF(주문_리스트!C:C,거래처!B94,주문_리스트!K:K)+SUMIF(주문_리스트!C:C,거래처!B94,주문_리스트!L:L)-1320000</f>
        <v>1320000</v>
      </c>
      <c r="I94" s="52" t="s">
        <v>3133</v>
      </c>
    </row>
    <row r="95" spans="1:9" x14ac:dyDescent="0.3">
      <c r="A95">
        <v>94</v>
      </c>
      <c r="B95" t="s">
        <v>1388</v>
      </c>
      <c r="C95" t="s">
        <v>1880</v>
      </c>
      <c r="E95" t="s">
        <v>1881</v>
      </c>
      <c r="F95" t="s">
        <v>969</v>
      </c>
      <c r="G95" t="s">
        <v>1882</v>
      </c>
      <c r="H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1389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1390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1452000</v>
      </c>
      <c r="I97" s="52" t="s">
        <v>3133</v>
      </c>
    </row>
    <row r="98" spans="1:14" x14ac:dyDescent="0.3">
      <c r="A98">
        <v>97</v>
      </c>
      <c r="B98" t="s">
        <v>1391</v>
      </c>
      <c r="C98" t="s">
        <v>1958</v>
      </c>
      <c r="E98" t="s">
        <v>1959</v>
      </c>
      <c r="F98" t="s">
        <v>969</v>
      </c>
      <c r="G98" t="s">
        <v>1960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2552</v>
      </c>
      <c r="H99" s="201">
        <f>SUMIF(주문_리스트!C:C,거래처!B99,주문_리스트!K:K)+SUMIF(주문_리스트!C:C,거래처!B99,주문_리스트!L:L)</f>
        <v>0</v>
      </c>
      <c r="I99" s="52" t="s">
        <v>3053</v>
      </c>
    </row>
    <row r="100" spans="1:14" x14ac:dyDescent="0.3">
      <c r="A100">
        <v>99</v>
      </c>
      <c r="B100" t="s">
        <v>2548</v>
      </c>
      <c r="C100" t="s">
        <v>2549</v>
      </c>
      <c r="E100" t="s">
        <v>2550</v>
      </c>
      <c r="F100" t="s">
        <v>2551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3030</v>
      </c>
    </row>
    <row r="102" spans="1:14" x14ac:dyDescent="0.3">
      <c r="A102">
        <v>101</v>
      </c>
      <c r="B102" t="s">
        <v>1392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1393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199000</v>
      </c>
      <c r="I104" s="52" t="s">
        <v>3133</v>
      </c>
    </row>
    <row r="105" spans="1:14" x14ac:dyDescent="0.3">
      <c r="A105">
        <v>104</v>
      </c>
      <c r="B105" t="s">
        <v>1394</v>
      </c>
      <c r="C105" t="s">
        <v>2380</v>
      </c>
      <c r="E105" t="s">
        <v>2381</v>
      </c>
      <c r="F105" t="s">
        <v>2382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3030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731000</v>
      </c>
      <c r="I109" s="52" t="s">
        <v>3133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2188</v>
      </c>
    </row>
    <row r="111" spans="1:14" x14ac:dyDescent="0.3">
      <c r="A111">
        <v>110</v>
      </c>
      <c r="B111" t="s">
        <v>1395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1660</v>
      </c>
      <c r="C112" t="s">
        <v>1661</v>
      </c>
      <c r="E112" t="s">
        <v>1662</v>
      </c>
      <c r="F112" t="s">
        <v>1656</v>
      </c>
      <c r="G112" t="s">
        <v>1663</v>
      </c>
      <c r="H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1851</v>
      </c>
      <c r="C113" t="s">
        <v>1852</v>
      </c>
      <c r="E113" t="s">
        <v>1853</v>
      </c>
      <c r="F113" t="s">
        <v>36</v>
      </c>
      <c r="G113" t="s">
        <v>1855</v>
      </c>
      <c r="H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1396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1397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1263</v>
      </c>
      <c r="C119" t="s">
        <v>1264</v>
      </c>
      <c r="E119" t="s">
        <v>1265</v>
      </c>
      <c r="F119" t="s">
        <v>969</v>
      </c>
      <c r="G119" t="s">
        <v>1266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1273</v>
      </c>
      <c r="C120" t="s">
        <v>1274</v>
      </c>
      <c r="E120" t="s">
        <v>1275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2607</v>
      </c>
      <c r="C121" t="s">
        <v>1560</v>
      </c>
      <c r="E121" t="s">
        <v>1561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2370</v>
      </c>
      <c r="C122" t="s">
        <v>2371</v>
      </c>
      <c r="E122" t="s">
        <v>2372</v>
      </c>
      <c r="F122" t="s">
        <v>2373</v>
      </c>
      <c r="G122" t="s">
        <v>2374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1603</v>
      </c>
      <c r="C123" t="s">
        <v>1604</v>
      </c>
      <c r="E123" t="s">
        <v>1605</v>
      </c>
      <c r="F123" t="s">
        <v>969</v>
      </c>
      <c r="G123" t="s">
        <v>1262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1710</v>
      </c>
      <c r="C124" t="s">
        <v>1711</v>
      </c>
      <c r="E124" t="s">
        <v>1712</v>
      </c>
      <c r="F124" t="s">
        <v>1211</v>
      </c>
      <c r="G124" t="s">
        <v>1712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1725</v>
      </c>
      <c r="C125" t="s">
        <v>1726</v>
      </c>
      <c r="E125" t="s">
        <v>1727</v>
      </c>
      <c r="H125" s="201">
        <f>SUMIF(주문_리스트!C:C,거래처!B125,주문_리스트!K:K)+SUMIF(주문_리스트!C:C,거래처!B125,주문_리스트!L:L)-4755000</f>
        <v>1705000</v>
      </c>
      <c r="I125" s="52" t="s">
        <v>3133</v>
      </c>
    </row>
    <row r="126" spans="1:9" x14ac:dyDescent="0.3">
      <c r="A126">
        <v>125</v>
      </c>
      <c r="B126" t="s">
        <v>1910</v>
      </c>
      <c r="C126" t="s">
        <v>1911</v>
      </c>
      <c r="E126" t="s">
        <v>1912</v>
      </c>
      <c r="F126" t="s">
        <v>969</v>
      </c>
      <c r="G126" t="s">
        <v>1913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1965</v>
      </c>
      <c r="C127" t="s">
        <v>1966</v>
      </c>
      <c r="E127" t="s">
        <v>1967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2093</v>
      </c>
      <c r="C128" t="s">
        <v>2094</v>
      </c>
      <c r="E128" t="s">
        <v>2095</v>
      </c>
      <c r="F128" t="s">
        <v>969</v>
      </c>
      <c r="G128" t="s">
        <v>2096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2148</v>
      </c>
      <c r="C129" t="s">
        <v>2149</v>
      </c>
      <c r="E129" t="s">
        <v>2150</v>
      </c>
      <c r="F129" t="s">
        <v>969</v>
      </c>
      <c r="G129" t="s">
        <v>1985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2110</v>
      </c>
      <c r="C130" t="s">
        <v>2111</v>
      </c>
      <c r="E130" t="s">
        <v>2112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2115</v>
      </c>
      <c r="C131" t="s">
        <v>2116</v>
      </c>
      <c r="E131" t="s">
        <v>2117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2944</v>
      </c>
      <c r="C132" t="s">
        <v>2945</v>
      </c>
      <c r="E132" t="s">
        <v>2946</v>
      </c>
      <c r="F132" t="s">
        <v>2947</v>
      </c>
      <c r="G132" t="s">
        <v>2948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2176</v>
      </c>
      <c r="C133" t="s">
        <v>2177</v>
      </c>
      <c r="E133" t="s">
        <v>2178</v>
      </c>
      <c r="F133" t="s">
        <v>983</v>
      </c>
      <c r="G133" t="s">
        <v>2179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2394</v>
      </c>
      <c r="C134" t="s">
        <v>2202</v>
      </c>
      <c r="E134" t="s">
        <v>2203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2215</v>
      </c>
      <c r="C135" t="s">
        <v>2216</v>
      </c>
      <c r="E135" t="s">
        <v>2217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2231</v>
      </c>
      <c r="C136" t="s">
        <v>2233</v>
      </c>
      <c r="E136" t="s">
        <v>2234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2364</v>
      </c>
      <c r="C137" t="s">
        <v>2365</v>
      </c>
      <c r="E137" t="s">
        <v>2366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2910</v>
      </c>
      <c r="C138" t="s">
        <v>2911</v>
      </c>
      <c r="E138" t="s">
        <v>2912</v>
      </c>
      <c r="F138" t="s">
        <v>2913</v>
      </c>
      <c r="G138" t="s">
        <v>2914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2473</v>
      </c>
      <c r="C139" t="s">
        <v>2474</v>
      </c>
      <c r="E139" t="s">
        <v>2475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2345</v>
      </c>
      <c r="C140" t="s">
        <v>2452</v>
      </c>
      <c r="E140" t="s">
        <v>2453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2463</v>
      </c>
      <c r="C141" t="s">
        <v>2464</v>
      </c>
      <c r="E141" t="s">
        <v>2465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2469</v>
      </c>
      <c r="C142" t="s">
        <v>2470</v>
      </c>
      <c r="E142" t="s">
        <v>2471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2480</v>
      </c>
      <c r="C143" t="s">
        <v>2481</v>
      </c>
      <c r="E143" t="s">
        <v>2482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2583</v>
      </c>
      <c r="C144" t="s">
        <v>2584</v>
      </c>
      <c r="E144" t="s">
        <v>2586</v>
      </c>
      <c r="F144" t="s">
        <v>2585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2587</v>
      </c>
      <c r="C145" t="s">
        <v>2571</v>
      </c>
      <c r="E145" t="s">
        <v>2572</v>
      </c>
      <c r="H145" s="201">
        <f>SUMIF(주문_리스트!C:C,거래처!B145,주문_리스트!K:K)+SUMIF(주문_리스트!C:C,거래처!B145,주문_리스트!L:L)</f>
        <v>0</v>
      </c>
    </row>
    <row r="146" spans="1:8" x14ac:dyDescent="0.3">
      <c r="A146">
        <v>145</v>
      </c>
      <c r="B146" t="s">
        <v>2603</v>
      </c>
      <c r="C146" t="s">
        <v>2604</v>
      </c>
      <c r="E146" t="s">
        <v>2605</v>
      </c>
      <c r="F146" t="s">
        <v>969</v>
      </c>
      <c r="G146" t="s">
        <v>2606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2818</v>
      </c>
      <c r="C147" t="s">
        <v>2816</v>
      </c>
      <c r="E147" t="s">
        <v>2817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2680</v>
      </c>
      <c r="C148" t="s">
        <v>2681</v>
      </c>
      <c r="E148" t="s">
        <v>2682</v>
      </c>
      <c r="F148" t="s">
        <v>983</v>
      </c>
      <c r="G148" t="s">
        <v>2683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2760</v>
      </c>
      <c r="C149" t="s">
        <v>2761</v>
      </c>
      <c r="D149" t="s">
        <v>2762</v>
      </c>
      <c r="E149" t="s">
        <v>2763</v>
      </c>
      <c r="F149" t="s">
        <v>2764</v>
      </c>
      <c r="G149" t="s">
        <v>2765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2846</v>
      </c>
      <c r="C150" t="s">
        <v>2847</v>
      </c>
      <c r="E150" t="s">
        <v>2848</v>
      </c>
      <c r="F150" t="s">
        <v>969</v>
      </c>
      <c r="G150" t="s">
        <v>2849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2883</v>
      </c>
      <c r="C151" t="s">
        <v>2884</v>
      </c>
      <c r="E151" t="s">
        <v>2885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2894</v>
      </c>
      <c r="C152" t="s">
        <v>2895</v>
      </c>
      <c r="E152" t="s">
        <v>2896</v>
      </c>
      <c r="F152" t="s">
        <v>969</v>
      </c>
      <c r="G152" t="s">
        <v>2897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2915</v>
      </c>
      <c r="C153" t="s">
        <v>2916</v>
      </c>
      <c r="E153" t="s">
        <v>2917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2925</v>
      </c>
      <c r="C154" t="s">
        <v>2930</v>
      </c>
      <c r="E154" t="s">
        <v>2931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2949</v>
      </c>
      <c r="C155" t="s">
        <v>2950</v>
      </c>
      <c r="E155" t="s">
        <v>2951</v>
      </c>
      <c r="F155" t="s">
        <v>1211</v>
      </c>
      <c r="G155" t="s">
        <v>2952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2969</v>
      </c>
      <c r="C156" t="s">
        <v>2970</v>
      </c>
      <c r="E156" t="s">
        <v>2971</v>
      </c>
      <c r="F156" t="s">
        <v>983</v>
      </c>
      <c r="G156" t="s">
        <v>2972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3034</v>
      </c>
      <c r="C157" t="s">
        <v>3035</v>
      </c>
      <c r="E157" t="s">
        <v>3036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3038</v>
      </c>
      <c r="C158" t="s">
        <v>3039</v>
      </c>
      <c r="E158" t="s">
        <v>3040</v>
      </c>
      <c r="F158" t="s">
        <v>1211</v>
      </c>
      <c r="G158" t="s">
        <v>3049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3042</v>
      </c>
      <c r="C159" t="s">
        <v>3043</v>
      </c>
      <c r="E159" t="s">
        <v>3044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3060</v>
      </c>
      <c r="C160" t="s">
        <v>3061</v>
      </c>
      <c r="E160" t="s">
        <v>3062</v>
      </c>
      <c r="F160" t="s">
        <v>969</v>
      </c>
      <c r="G160" t="s">
        <v>3063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3066</v>
      </c>
      <c r="C161" t="s">
        <v>3067</v>
      </c>
      <c r="E161" t="s">
        <v>3068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3093</v>
      </c>
      <c r="C162" t="s">
        <v>3094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3110</v>
      </c>
      <c r="C163" t="s">
        <v>3111</v>
      </c>
      <c r="E163" t="s">
        <v>3112</v>
      </c>
      <c r="F163" t="s">
        <v>983</v>
      </c>
      <c r="G163" t="s">
        <v>3113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3115</v>
      </c>
      <c r="C164" t="s">
        <v>3116</v>
      </c>
      <c r="E164" t="s">
        <v>3117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3133</v>
      </c>
    </row>
    <row r="165" spans="1:9" x14ac:dyDescent="0.3">
      <c r="A165">
        <v>164</v>
      </c>
      <c r="B165" t="s">
        <v>3122</v>
      </c>
      <c r="C165" t="s">
        <v>3111</v>
      </c>
      <c r="E165" t="s">
        <v>3112</v>
      </c>
      <c r="F165" t="s">
        <v>983</v>
      </c>
      <c r="G165" t="s">
        <v>3113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1609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1437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1475</v>
      </c>
      <c r="D3" s="49"/>
      <c r="E3" s="49" t="s">
        <v>1234</v>
      </c>
      <c r="F3" s="49" t="s">
        <v>1398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1475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1429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1437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1437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1437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1480</v>
      </c>
      <c r="D10" s="49"/>
      <c r="E10" s="49" t="s">
        <v>1234</v>
      </c>
      <c r="F10" s="49" t="s">
        <v>1398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1482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1437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1482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1482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1487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1437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1490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1492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1494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1496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1437</v>
      </c>
      <c r="D24" s="49"/>
      <c r="E24" s="49" t="s">
        <v>1234</v>
      </c>
      <c r="F24" s="49" t="s">
        <v>1398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1437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1482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1437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1437</v>
      </c>
      <c r="E30" t="s">
        <v>1158</v>
      </c>
      <c r="F30" t="s">
        <v>1502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1398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1505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1505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1505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1505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1507</v>
      </c>
      <c r="E36" t="s">
        <v>1296</v>
      </c>
      <c r="F36" t="s">
        <v>1295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1507</v>
      </c>
      <c r="E37" t="s">
        <v>1508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1302</v>
      </c>
      <c r="F38" t="s">
        <v>1301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1511</v>
      </c>
      <c r="E39" t="s">
        <v>1234</v>
      </c>
      <c r="F39" t="s">
        <v>1398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1437</v>
      </c>
      <c r="E40" t="s">
        <v>1513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1437</v>
      </c>
      <c r="E41" t="s">
        <v>1514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1517</v>
      </c>
      <c r="E43" t="s">
        <v>1518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1520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1520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1523</v>
      </c>
      <c r="E46" t="s">
        <v>1524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1528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1507</v>
      </c>
      <c r="E48" t="s">
        <v>1530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1532</v>
      </c>
      <c r="E49" t="s">
        <v>1533</v>
      </c>
      <c r="F49" t="s">
        <v>1398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1532</v>
      </c>
      <c r="E50" t="s">
        <v>1534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1536</v>
      </c>
      <c r="E51" t="s">
        <v>1234</v>
      </c>
      <c r="F51" t="s">
        <v>1398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1437</v>
      </c>
      <c r="E52" t="s">
        <v>1252</v>
      </c>
      <c r="F52" t="s">
        <v>1251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1437</v>
      </c>
      <c r="E53" t="s">
        <v>1539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1541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1416</v>
      </c>
      <c r="E55" t="s">
        <v>1543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1416</v>
      </c>
      <c r="E56" t="s">
        <v>1544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1482</v>
      </c>
      <c r="E57" t="s">
        <v>1546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1482</v>
      </c>
      <c r="E58" t="s">
        <v>1547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1482</v>
      </c>
      <c r="E59" t="s">
        <v>1548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1273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1507</v>
      </c>
      <c r="E61" t="s">
        <v>1234</v>
      </c>
      <c r="F61" t="s">
        <v>1398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1263</v>
      </c>
      <c r="E62" t="s">
        <v>1541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1553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1555</v>
      </c>
      <c r="E64" t="s">
        <v>1556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1555</v>
      </c>
      <c r="E65" t="s">
        <v>1557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1559</v>
      </c>
      <c r="E66" t="s">
        <v>1562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1482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1482</v>
      </c>
      <c r="E68" t="s">
        <v>1446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1343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1273</v>
      </c>
      <c r="E70" t="s">
        <v>1234</v>
      </c>
      <c r="F70" t="s">
        <v>1398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1410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1398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1570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1487</v>
      </c>
      <c r="E75" t="s">
        <v>1573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1398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1576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1482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1482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1579</v>
      </c>
      <c r="E80" t="s">
        <v>1580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1582</v>
      </c>
      <c r="E81" t="s">
        <v>1252</v>
      </c>
      <c r="F81" t="s">
        <v>1251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1398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1534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1429</v>
      </c>
      <c r="E84" t="s">
        <v>1234</v>
      </c>
      <c r="F84" t="s">
        <v>1398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1433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9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L84" sqref="L84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1649</v>
      </c>
      <c r="H1" s="51" t="s">
        <v>1901</v>
      </c>
      <c r="I1" s="51" t="s">
        <v>4</v>
      </c>
      <c r="J1" s="101">
        <v>209</v>
      </c>
    </row>
    <row r="2" spans="1:11" x14ac:dyDescent="0.3">
      <c r="A2">
        <v>1</v>
      </c>
      <c r="B2">
        <v>2</v>
      </c>
      <c r="C2" s="197">
        <v>28120504</v>
      </c>
      <c r="D2" s="197" t="s">
        <v>2637</v>
      </c>
      <c r="E2" s="197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2279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2027</v>
      </c>
      <c r="D5" s="197" t="s">
        <v>2026</v>
      </c>
      <c r="E5" s="197" t="s">
        <v>2027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1683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1651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1804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SUMIF(재고!E:E,제품!D9,재고!H:H)-SUMIF(주문_리스트!E:E,제품!D9,주문_리스트!H:H)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3101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SUMIF(재고!E:E,제품!D11,재고!H:H)-SUMIF(주문_리스트!E:E,제품!D11,주문_리스트!H:H)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SUMIF(재고!E:E,제품!D12,재고!H:H)-SUMIF(주문_리스트!E:E,제품!D12,주문_리스트!H:H)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SUMIF(재고!E:E,제품!D13,재고!H:H)-SUMIF(주문_리스트!E:E,제품!D13,주문_리스트!H:H)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2640</v>
      </c>
      <c r="E14" s="197">
        <v>415054509</v>
      </c>
      <c r="F14" s="52">
        <v>330000</v>
      </c>
      <c r="G14" s="52">
        <v>330000</v>
      </c>
      <c r="H14">
        <v>-12</v>
      </c>
      <c r="J14" t="s">
        <v>1687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1706</v>
      </c>
      <c r="E15" s="197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2823</v>
      </c>
      <c r="E16" s="197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2827</v>
      </c>
      <c r="E17" s="197">
        <v>2820403</v>
      </c>
      <c r="F17" s="52">
        <v>1500000</v>
      </c>
      <c r="H17">
        <f>SUMIF(재고!E:E,제품!D17,재고!H:H)-SUMIF(주문_리스트!E:E,제품!D17,주문_리스트!H:H)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2287</v>
      </c>
      <c r="F19" s="52">
        <v>150000</v>
      </c>
      <c r="H19">
        <f>SUMIF(재고!E:E,제품!D19,재고!H:H)-SUMIF(주문_리스트!E:E,제품!D19,주문_리스트!H:H)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2285</v>
      </c>
      <c r="F20" s="52">
        <v>100000</v>
      </c>
      <c r="H20">
        <f>SUMIF(재고!E:E,제품!D20,재고!H:H)-SUMIF(주문_리스트!E:E,제품!D20,주문_리스트!H:H)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1703</v>
      </c>
      <c r="F21" s="52">
        <v>230000</v>
      </c>
      <c r="H21">
        <f>SUMIF(재고!E:E,제품!D21,재고!H:H)-SUMIF(주문_리스트!E:E,제품!D21,주문_리스트!H:H)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2269</v>
      </c>
      <c r="F22" s="52">
        <v>600000</v>
      </c>
      <c r="H22">
        <f>SUMIF(재고!E:E,제품!D22,재고!H:H)-SUMIF(주문_리스트!E:E,제품!D22,주문_리스트!H:H)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2281</v>
      </c>
      <c r="E23" s="197" t="s">
        <v>1229</v>
      </c>
      <c r="F23" s="52">
        <v>1000000</v>
      </c>
      <c r="H23">
        <f>SUMIF(재고!E:E,제품!D23,재고!H:H)-SUMIF(주문_리스트!E:E,제품!D23,주문_리스트!H:H)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2281</v>
      </c>
      <c r="E24" s="197" t="s">
        <v>1230</v>
      </c>
      <c r="F24" s="52">
        <v>1000000</v>
      </c>
      <c r="H24">
        <f>SUMIF(재고!E:E,제품!D24,재고!H:H)-SUMIF(주문_리스트!E:E,제품!D24,주문_리스트!H:H)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2270</v>
      </c>
      <c r="E25" s="197" t="s">
        <v>1231</v>
      </c>
      <c r="F25" s="52">
        <v>1400000</v>
      </c>
      <c r="H25">
        <f>SUMIF(재고!E:E,제품!D25,재고!H:H)-SUMIF(주문_리스트!E:E,제품!D25,주문_리스트!H:H)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2264</v>
      </c>
      <c r="E26" s="197" t="s">
        <v>1232</v>
      </c>
      <c r="F26" s="52">
        <v>1500000</v>
      </c>
      <c r="H26">
        <f>SUMIF(재고!E:E,제품!D26,재고!H:H)-SUMIF(주문_리스트!E:E,제품!D26,주문_리스트!H:H)</f>
        <v>-34</v>
      </c>
    </row>
    <row r="27" spans="1:9" x14ac:dyDescent="0.3">
      <c r="A27">
        <v>26</v>
      </c>
      <c r="B27">
        <v>3</v>
      </c>
      <c r="C27" s="198" t="s">
        <v>2070</v>
      </c>
      <c r="D27" s="197" t="s">
        <v>1694</v>
      </c>
      <c r="E27" s="197" t="s">
        <v>2070</v>
      </c>
      <c r="F27" s="52">
        <v>1500000</v>
      </c>
      <c r="H27">
        <f>SUMIF(재고!E:E,제품!D27,재고!H:H)-SUMIF(주문_리스트!E:E,제품!D27,주문_리스트!H:H)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1256</v>
      </c>
      <c r="D28" s="197" t="s">
        <v>1254</v>
      </c>
      <c r="E28" s="197" t="s">
        <v>1256</v>
      </c>
      <c r="F28" s="52">
        <v>1400000</v>
      </c>
      <c r="H28">
        <f>SUMIF(재고!E:E,제품!D28,재고!H:H)-SUMIF(주문_리스트!E:E,제품!D28,주문_리스트!H:H)</f>
        <v>-50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SUMIF(재고!E:E,제품!D29,재고!H:H)-SUMIF(주문_리스트!E:E,제품!D29,주문_리스트!H:H)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SUMIF(재고!E:E,제품!D30,재고!H:H)-SUMIF(주문_리스트!E:E,제품!D30,주문_리스트!H:H)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1823</v>
      </c>
      <c r="D31" s="197" t="s">
        <v>2301</v>
      </c>
      <c r="E31" s="197" t="s">
        <v>1823</v>
      </c>
      <c r="F31" s="52">
        <v>569000</v>
      </c>
      <c r="G31" s="52">
        <v>480000</v>
      </c>
      <c r="H31">
        <f>SUMIF(재고!E:E,제품!D31,재고!H:H)-SUMIF(주문_리스트!E:E,제품!D31,주문_리스트!H:H)</f>
        <v>-17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SUMIF(재고!E:E,제품!D32,재고!H:H)-SUMIF(주문_리스트!E:E,제품!D32,주문_리스트!H:H)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1246</v>
      </c>
      <c r="D33" s="197" t="s">
        <v>2580</v>
      </c>
      <c r="E33" s="197" t="s">
        <v>1246</v>
      </c>
      <c r="F33" s="52">
        <v>1500000</v>
      </c>
      <c r="H33">
        <f>SUMIF(재고!E:E,제품!D33,재고!H:H)-SUMIF(주문_리스트!E:E,제품!D33,주문_리스트!H:H)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2697</v>
      </c>
      <c r="D34" s="197" t="s">
        <v>2698</v>
      </c>
      <c r="E34" s="197" t="s">
        <v>2697</v>
      </c>
      <c r="F34" s="52">
        <v>1600000</v>
      </c>
      <c r="H34">
        <f>SUMIF(재고!E:E,제품!D34,재고!H:H)-SUMIF(주문_리스트!E:E,제품!D34,주문_리스트!H:H)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1250</v>
      </c>
      <c r="D35" s="197" t="s">
        <v>2263</v>
      </c>
      <c r="E35" s="197" t="s">
        <v>1250</v>
      </c>
      <c r="F35" s="52">
        <v>2200000</v>
      </c>
      <c r="H35">
        <f>SUMIF(재고!E:E,제품!D35,재고!H:H)-SUMIF(주문_리스트!E:E,제품!D35,주문_리스트!H:H)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1251</v>
      </c>
      <c r="D36" s="197" t="s">
        <v>1695</v>
      </c>
      <c r="E36" s="197" t="s">
        <v>1251</v>
      </c>
      <c r="F36" s="52">
        <v>1500000</v>
      </c>
      <c r="H36">
        <f>SUMIF(재고!E:E,제품!D36,재고!H:H)-SUMIF(주문_리스트!E:E,제품!D36,주문_리스트!H:H)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1258</v>
      </c>
      <c r="D37" s="197" t="s">
        <v>1403</v>
      </c>
      <c r="E37" s="197" t="s">
        <v>1404</v>
      </c>
      <c r="F37" s="52">
        <v>1600000</v>
      </c>
      <c r="H37">
        <f>SUMIF(재고!E:E,제품!D37,재고!H:H)-SUMIF(주문_리스트!E:E,제품!D37,주문_리스트!H:H)</f>
        <v>-2</v>
      </c>
    </row>
    <row r="38" spans="1:8" x14ac:dyDescent="0.3">
      <c r="A38">
        <v>37</v>
      </c>
      <c r="B38">
        <v>1</v>
      </c>
      <c r="C38" s="197" t="s">
        <v>1293</v>
      </c>
      <c r="D38" s="197" t="s">
        <v>1294</v>
      </c>
      <c r="E38" s="197" t="s">
        <v>1293</v>
      </c>
      <c r="F38" s="52">
        <v>770000</v>
      </c>
      <c r="H38">
        <f>SUMIF(재고!E:E,제품!D38,재고!H:H)-SUMIF(주문_리스트!E:E,제품!D38,주문_리스트!H:H)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1732</v>
      </c>
      <c r="D39" s="197" t="s">
        <v>2272</v>
      </c>
      <c r="E39" s="197" t="s">
        <v>1732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1786</v>
      </c>
      <c r="D40" s="197" t="s">
        <v>1787</v>
      </c>
      <c r="E40" s="197" t="s">
        <v>1786</v>
      </c>
      <c r="F40" s="52">
        <v>50000</v>
      </c>
      <c r="H40">
        <f>SUMIF(재고!E:E,제품!D40,재고!H:H)-SUMIF(주문_리스트!E:E,제품!D40,주문_리스트!H:H)</f>
        <v>-28</v>
      </c>
    </row>
    <row r="41" spans="1:8" x14ac:dyDescent="0.3">
      <c r="A41">
        <v>40</v>
      </c>
      <c r="B41">
        <v>2</v>
      </c>
      <c r="D41" s="197" t="s">
        <v>1418</v>
      </c>
      <c r="F41" s="52">
        <v>1000000</v>
      </c>
      <c r="H41">
        <f>SUMIF(재고!E:E,제품!D41,재고!H:H)-SUMIF(주문_리스트!E:E,제품!D41,주문_리스트!H:H)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1508</v>
      </c>
      <c r="F42" s="52">
        <v>10000</v>
      </c>
      <c r="H42">
        <f>SUMIF(재고!E:E,제품!D42,재고!H:H)-SUMIF(주문_리스트!E:E,제품!D42,주문_리스트!H:H)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1518</v>
      </c>
      <c r="F43" s="52">
        <v>140000</v>
      </c>
      <c r="H43">
        <f>SUMIF(재고!E:E,제품!D43,재고!H:H)-SUMIF(주문_리스트!E:E,제품!D43,주문_리스트!H:H)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1524</v>
      </c>
      <c r="F44" s="52">
        <v>1600000</v>
      </c>
      <c r="H44">
        <f>SUMIF(재고!E:E,제품!D44,재고!H:H)-SUMIF(주문_리스트!E:E,제품!D44,주문_리스트!H:H)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2288</v>
      </c>
      <c r="F45" s="52">
        <v>1600000</v>
      </c>
      <c r="H45">
        <f>SUMIF(재고!E:E,제품!D45,재고!H:H)-SUMIF(주문_리스트!E:E,제품!D45,주문_리스트!H:H)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2273</v>
      </c>
      <c r="F46" s="52">
        <v>100000</v>
      </c>
      <c r="H46">
        <f>SUMIF(재고!E:E,제품!D46,재고!H:H)-SUMIF(주문_리스트!E:E,제품!D46,주문_리스트!H:H)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2863</v>
      </c>
      <c r="D47" s="197" t="s">
        <v>2425</v>
      </c>
      <c r="E47" s="197" t="s">
        <v>2863</v>
      </c>
      <c r="F47" s="52">
        <v>350000</v>
      </c>
      <c r="H47">
        <f>SUMIF(재고!E:E,제품!D47,재고!H:H)-SUMIF(주문_리스트!E:E,제품!D47,주문_리스트!H:H)</f>
        <v>-27</v>
      </c>
    </row>
    <row r="48" spans="1:8" x14ac:dyDescent="0.3">
      <c r="A48">
        <v>47</v>
      </c>
      <c r="D48" s="197" t="s">
        <v>2289</v>
      </c>
      <c r="F48" s="52">
        <v>1600000</v>
      </c>
      <c r="H48">
        <f>SUMIF(재고!E:E,제품!D48,재고!H:H)-SUMIF(주문_리스트!E:E,제품!D48,주문_리스트!H:H)</f>
        <v>-2</v>
      </c>
    </row>
    <row r="49" spans="1:9" x14ac:dyDescent="0.3">
      <c r="A49">
        <v>48</v>
      </c>
      <c r="D49" s="197" t="s">
        <v>1544</v>
      </c>
      <c r="F49" s="52">
        <v>200000</v>
      </c>
      <c r="H49">
        <f>SUMIF(재고!E:E,제품!D49,재고!H:H)-SUMIF(주문_리스트!E:E,제품!D49,주문_리스트!H:H)</f>
        <v>-2</v>
      </c>
    </row>
    <row r="50" spans="1:9" x14ac:dyDescent="0.3">
      <c r="A50">
        <v>49</v>
      </c>
      <c r="D50" s="197" t="s">
        <v>1557</v>
      </c>
      <c r="F50" s="52">
        <v>20000</v>
      </c>
      <c r="H50">
        <f>SUMIF(재고!E:E,제품!D50,재고!H:H)-SUMIF(주문_리스트!E:E,제품!D50,주문_리스트!H:H)</f>
        <v>-10</v>
      </c>
    </row>
    <row r="51" spans="1:9" x14ac:dyDescent="0.3">
      <c r="A51">
        <v>50</v>
      </c>
      <c r="D51" s="197" t="s">
        <v>1562</v>
      </c>
      <c r="F51" s="52">
        <v>250000</v>
      </c>
      <c r="H51">
        <f>SUMIF(재고!E:E,제품!D51,재고!H:H)-SUMIF(주문_리스트!E:E,제품!D51,주문_리스트!H:H)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 x14ac:dyDescent="0.3">
      <c r="A54">
        <v>53</v>
      </c>
      <c r="D54" s="197" t="s">
        <v>1573</v>
      </c>
      <c r="F54" s="52">
        <v>450000</v>
      </c>
      <c r="H54">
        <f>SUMIF(재고!E:E,제품!D54,재고!H:H)-SUMIF(주문_리스트!E:E,제품!D54,주문_리스트!H:H)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1887</v>
      </c>
      <c r="E55" s="197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1888</v>
      </c>
    </row>
    <row r="56" spans="1:9" x14ac:dyDescent="0.3">
      <c r="A56">
        <v>55</v>
      </c>
      <c r="B56">
        <v>10</v>
      </c>
      <c r="D56" s="197" t="s">
        <v>1593</v>
      </c>
      <c r="F56" s="52">
        <v>350000</v>
      </c>
      <c r="H56">
        <f>SUMIF(재고!E:E,제품!D56,재고!H:H)-SUMIF(주문_리스트!E:E,제품!D56,주문_리스트!H:H)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1696</v>
      </c>
      <c r="D57" s="197" t="s">
        <v>2045</v>
      </c>
      <c r="E57" s="197" t="s">
        <v>1696</v>
      </c>
      <c r="F57" s="52">
        <v>1800000</v>
      </c>
      <c r="H57">
        <f>SUMIF(재고!E:E,제품!D57,재고!H:H)-SUMIF(주문_리스트!E:E,제품!D57,주문_리스트!H:H)</f>
        <v>2</v>
      </c>
    </row>
    <row r="58" spans="1:9" x14ac:dyDescent="0.3">
      <c r="A58">
        <v>57</v>
      </c>
      <c r="C58" s="198" t="s">
        <v>1241</v>
      </c>
      <c r="D58" s="197" t="s">
        <v>1464</v>
      </c>
      <c r="E58" s="197" t="s">
        <v>1241</v>
      </c>
      <c r="F58" s="52">
        <v>1000000</v>
      </c>
      <c r="H58">
        <f>SUMIF(재고!E:E,제품!D58,재고!H:H)-SUMIF(주문_리스트!E:E,제품!D58,주문_리스트!H:H)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2900</v>
      </c>
      <c r="D59" s="197" t="s">
        <v>2290</v>
      </c>
      <c r="E59" s="197" t="s">
        <v>2900</v>
      </c>
      <c r="F59" s="52">
        <v>1100000</v>
      </c>
      <c r="H59">
        <f>SUMIF(재고!E:E,제품!D59,재고!H:H)-SUMIF(주문_리스트!E:E,제품!D59,주문_리스트!H:H)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1700</v>
      </c>
      <c r="D60" s="197" t="s">
        <v>1699</v>
      </c>
      <c r="E60" s="197" t="s">
        <v>1700</v>
      </c>
      <c r="F60" s="52">
        <v>1100000</v>
      </c>
      <c r="H60">
        <f>SUMIF(재고!E:E,제품!D60,재고!H:H)-SUMIF(주문_리스트!E:E,제품!D60,주문_리스트!H:H)</f>
        <v>-2</v>
      </c>
    </row>
    <row r="61" spans="1:9" x14ac:dyDescent="0.3">
      <c r="A61">
        <v>60</v>
      </c>
      <c r="B61">
        <v>1</v>
      </c>
      <c r="C61" s="198" t="s">
        <v>1701</v>
      </c>
      <c r="D61" s="197" t="s">
        <v>1702</v>
      </c>
      <c r="E61" s="197" t="s">
        <v>1701</v>
      </c>
      <c r="F61" s="52">
        <v>3500000</v>
      </c>
      <c r="H61">
        <f>SUMIF(재고!E:E,제품!D61,재고!H:H)-SUMIF(주문_리스트!E:E,제품!D61,주문_리스트!H:H)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2825</v>
      </c>
      <c r="E62" s="197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2640</v>
      </c>
      <c r="E63" s="197">
        <v>415090409</v>
      </c>
      <c r="F63" s="52">
        <v>510000</v>
      </c>
      <c r="H63">
        <f>SUMIF(재고!E:E,제품!D63,재고!H:H)-SUMIF(주문_리스트!E:E,제품!D63,주문_리스트!H:H)</f>
        <v>-13</v>
      </c>
      <c r="I63" s="52" t="s">
        <v>2641</v>
      </c>
    </row>
    <row r="64" spans="1:9" x14ac:dyDescent="0.3">
      <c r="A64">
        <v>63</v>
      </c>
      <c r="C64" s="198" t="s">
        <v>1669</v>
      </c>
      <c r="D64" s="197" t="s">
        <v>1670</v>
      </c>
      <c r="E64" s="197" t="s">
        <v>1669</v>
      </c>
      <c r="F64" s="52">
        <v>12000</v>
      </c>
      <c r="H64">
        <f>SUMIF(재고!E:E,제품!D64,재고!H:H)-SUMIF(주문_리스트!E:E,제품!D64,주문_리스트!H:H)</f>
        <v>-2</v>
      </c>
    </row>
    <row r="65" spans="1:9" x14ac:dyDescent="0.3">
      <c r="A65">
        <v>64</v>
      </c>
      <c r="D65" s="197" t="s">
        <v>1672</v>
      </c>
      <c r="F65" s="52">
        <v>27000</v>
      </c>
      <c r="H65">
        <f>SUMIF(재고!E:E,제품!D65,재고!H:H)-SUMIF(주문_리스트!E:E,제품!D65,주문_리스트!H:H)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1679</v>
      </c>
      <c r="F66" s="52">
        <v>850000</v>
      </c>
      <c r="H66">
        <f>SUMIF(재고!E:E,제품!D66,재고!H:H)-SUMIF(주문_리스트!E:E,제품!D66,주문_리스트!H:H)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2274</v>
      </c>
      <c r="E67" s="197">
        <v>50228</v>
      </c>
      <c r="F67" s="52">
        <v>110000</v>
      </c>
      <c r="H67">
        <f>SUMIF(재고!E:E,제품!D67,재고!H:H)-SUMIF(주문_리스트!E:E,제품!D67,주문_리스트!H:H)</f>
        <v>-16</v>
      </c>
    </row>
    <row r="68" spans="1:9" x14ac:dyDescent="0.3">
      <c r="A68">
        <v>67</v>
      </c>
      <c r="B68">
        <v>4</v>
      </c>
      <c r="C68" s="198">
        <v>50229</v>
      </c>
      <c r="D68" s="197" t="s">
        <v>2274</v>
      </c>
      <c r="E68" s="197">
        <v>50229</v>
      </c>
      <c r="F68" s="52">
        <v>75000</v>
      </c>
      <c r="H68">
        <f>SUMIF(재고!E:E,제품!D68,재고!H:H)-SUMIF(주문_리스트!E:E,제품!D68,주문_리스트!H:H)</f>
        <v>-16</v>
      </c>
    </row>
    <row r="69" spans="1:9" x14ac:dyDescent="0.3">
      <c r="A69">
        <v>68</v>
      </c>
      <c r="D69" s="197" t="s">
        <v>1705</v>
      </c>
      <c r="F69" s="52">
        <v>150000</v>
      </c>
      <c r="H69">
        <f>SUMIF(재고!E:E,제품!D69,재고!H:H)-SUMIF(주문_리스트!E:E,제품!D69,주문_리스트!H:H)</f>
        <v>0</v>
      </c>
    </row>
    <row r="70" spans="1:9" x14ac:dyDescent="0.3">
      <c r="A70">
        <v>69</v>
      </c>
      <c r="D70" s="197" t="s">
        <v>1705</v>
      </c>
      <c r="F70" s="52">
        <v>200000</v>
      </c>
      <c r="H70">
        <f>SUMIF(재고!E:E,제품!D70,재고!H:H)-SUMIF(주문_리스트!E:E,제품!D70,주문_리스트!H:H)</f>
        <v>0</v>
      </c>
    </row>
    <row r="71" spans="1:9" x14ac:dyDescent="0.3">
      <c r="A71">
        <v>70</v>
      </c>
      <c r="D71" s="197" t="s">
        <v>1713</v>
      </c>
      <c r="F71" s="52">
        <v>250000</v>
      </c>
      <c r="H71">
        <f>SUMIF(재고!E:E,제품!D71,재고!H:H)-SUMIF(주문_리스트!E:E,제품!D71,주문_리스트!H:H)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1720</v>
      </c>
      <c r="F72" s="52">
        <v>1850000</v>
      </c>
      <c r="H72">
        <f>SUMIF(재고!E:E,제품!D72,재고!H:H)-SUMIF(주문_리스트!E:E,제품!D72,주문_리스트!H:H)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2699</v>
      </c>
      <c r="D73" s="197" t="s">
        <v>2700</v>
      </c>
      <c r="E73" s="197" t="s">
        <v>2699</v>
      </c>
      <c r="F73" s="52">
        <v>1500000</v>
      </c>
      <c r="H73">
        <f>SUMIF(재고!E:E,제품!D73,재고!H:H)-SUMIF(주문_리스트!E:E,제품!D73,주문_리스트!H:H)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1734</v>
      </c>
      <c r="D74" s="197" t="s">
        <v>2282</v>
      </c>
      <c r="E74" s="197" t="s">
        <v>1734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1833</v>
      </c>
      <c r="E75" s="197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1839</v>
      </c>
    </row>
    <row r="76" spans="1:9" x14ac:dyDescent="0.3">
      <c r="A76">
        <v>75</v>
      </c>
      <c r="D76" s="197" t="s">
        <v>1835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1834</v>
      </c>
    </row>
    <row r="77" spans="1:9" x14ac:dyDescent="0.3">
      <c r="A77">
        <v>76</v>
      </c>
      <c r="D77" s="197" t="s">
        <v>2283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1751</v>
      </c>
      <c r="D78" s="197" t="s">
        <v>1767</v>
      </c>
      <c r="E78" s="197" t="s">
        <v>1751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1768</v>
      </c>
    </row>
    <row r="79" spans="1:9" x14ac:dyDescent="0.3">
      <c r="A79">
        <v>78</v>
      </c>
      <c r="D79" s="197" t="s">
        <v>1738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1745</v>
      </c>
      <c r="E80" s="197">
        <v>1087298441</v>
      </c>
      <c r="F80" s="52">
        <v>35000</v>
      </c>
      <c r="G80" s="52">
        <v>13000</v>
      </c>
      <c r="H80">
        <f>SUMIF(재고!E:E,제품!D80,재고!H:H)-SUMIF(주문_리스트!E:E,제품!D80,주문_리스트!H:H)</f>
        <v>-6</v>
      </c>
      <c r="I80" s="52" t="s">
        <v>1755</v>
      </c>
    </row>
    <row r="81" spans="1:9" x14ac:dyDescent="0.3">
      <c r="A81">
        <v>80</v>
      </c>
      <c r="D81" s="197" t="s">
        <v>2284</v>
      </c>
      <c r="F81" s="52">
        <v>10000</v>
      </c>
      <c r="H81">
        <f>SUMIF(재고!E:E,제품!D81,재고!H:H)-SUMIF(주문_리스트!E:E,제품!D81,주문_리스트!H:H)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1739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1740</v>
      </c>
    </row>
    <row r="83" spans="1:9" x14ac:dyDescent="0.3">
      <c r="A83">
        <v>82</v>
      </c>
      <c r="B83">
        <v>2</v>
      </c>
      <c r="D83" s="197" t="s">
        <v>1749</v>
      </c>
      <c r="F83" s="52">
        <v>280000</v>
      </c>
      <c r="H83">
        <f>SUMIF(재고!E:E,제품!D83,재고!H:H)-SUMIF(주문_리스트!E:E,제품!D83,주문_리스트!H:H)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1759</v>
      </c>
      <c r="E84" s="197">
        <v>24137542885</v>
      </c>
      <c r="H84">
        <f>SUMIF(재고!E:E,제품!D84,재고!H:H)-SUMIF(주문_리스트!E:E,제품!D84,주문_리스트!H:H)</f>
        <v>0</v>
      </c>
      <c r="I84" s="52" t="s">
        <v>1760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1765</v>
      </c>
      <c r="E85" s="197">
        <v>24137519344</v>
      </c>
      <c r="H85">
        <f>SUMIF(재고!E:E,제품!D85,재고!H:H)-SUMIF(주문_리스트!E:E,제품!D85,주문_리스트!H:H)</f>
        <v>0</v>
      </c>
      <c r="I85" s="52" t="s">
        <v>1766</v>
      </c>
    </row>
    <row r="86" spans="1:9" x14ac:dyDescent="0.3">
      <c r="A86">
        <v>85</v>
      </c>
      <c r="B86">
        <v>1</v>
      </c>
      <c r="C86" s="198" t="s">
        <v>2902</v>
      </c>
      <c r="D86" s="197" t="s">
        <v>2888</v>
      </c>
      <c r="E86" s="197" t="s">
        <v>2902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1763</v>
      </c>
      <c r="D87" s="197" t="s">
        <v>1764</v>
      </c>
      <c r="E87" s="197" t="s">
        <v>1763</v>
      </c>
      <c r="F87" s="52">
        <v>50000</v>
      </c>
      <c r="H87">
        <f>SUMIF(재고!E:E,제품!D87,재고!H:H)-SUMIF(주문_리스트!E:E,제품!D87,주문_리스트!H:H)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1774</v>
      </c>
      <c r="D88" s="197" t="s">
        <v>1775</v>
      </c>
      <c r="E88" s="197" t="s">
        <v>1774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1782</v>
      </c>
      <c r="E89" s="197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1783</v>
      </c>
      <c r="E90" s="197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1777</v>
      </c>
      <c r="D91" s="197" t="s">
        <v>2309</v>
      </c>
      <c r="E91" s="197" t="s">
        <v>1777</v>
      </c>
      <c r="F91" s="52">
        <v>250000</v>
      </c>
      <c r="G91" s="52">
        <v>45000</v>
      </c>
      <c r="H91">
        <f>SUMIF(재고!E:E,제품!D91,재고!H:H)-SUMIF(주문_리스트!E:E,제품!D91,주문_리스트!H:H)</f>
        <v>-4</v>
      </c>
      <c r="I91" s="52" t="s">
        <v>2310</v>
      </c>
    </row>
    <row r="92" spans="1:9" x14ac:dyDescent="0.3">
      <c r="A92">
        <v>91</v>
      </c>
      <c r="B92">
        <v>3</v>
      </c>
      <c r="C92" s="198" t="s">
        <v>1779</v>
      </c>
      <c r="D92" s="197" t="s">
        <v>2267</v>
      </c>
      <c r="E92" s="197" t="s">
        <v>1779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 x14ac:dyDescent="0.3">
      <c r="A93">
        <v>92</v>
      </c>
      <c r="D93" s="197" t="s">
        <v>1789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1791</v>
      </c>
      <c r="D94" s="197" t="s">
        <v>2275</v>
      </c>
      <c r="E94" s="197" t="s">
        <v>1791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1793</v>
      </c>
      <c r="D95" s="197" t="s">
        <v>2276</v>
      </c>
      <c r="E95" s="197" t="s">
        <v>1793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1847</v>
      </c>
    </row>
    <row r="96" spans="1:9" x14ac:dyDescent="0.3">
      <c r="A96">
        <v>95</v>
      </c>
      <c r="B96">
        <v>3</v>
      </c>
      <c r="C96" s="198" t="s">
        <v>1848</v>
      </c>
      <c r="D96" s="197" t="s">
        <v>2277</v>
      </c>
      <c r="E96" s="197" t="s">
        <v>1848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1794</v>
      </c>
      <c r="D97" s="197" t="s">
        <v>1795</v>
      </c>
      <c r="E97" s="197" t="s">
        <v>1794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1796</v>
      </c>
      <c r="E98" s="197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2994</v>
      </c>
      <c r="D99" s="197" t="s">
        <v>2614</v>
      </c>
      <c r="E99" s="197" t="s">
        <v>2994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1798</v>
      </c>
      <c r="E100" s="197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1799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1798</v>
      </c>
      <c r="E101" s="197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1801</v>
      </c>
      <c r="E102" s="197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1802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1801</v>
      </c>
      <c r="E103" s="197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1803</v>
      </c>
    </row>
    <row r="104" spans="1:9" x14ac:dyDescent="0.3">
      <c r="A104">
        <v>103</v>
      </c>
      <c r="B104">
        <v>3</v>
      </c>
      <c r="C104" s="198" t="s">
        <v>1816</v>
      </c>
      <c r="D104" s="197" t="s">
        <v>2265</v>
      </c>
      <c r="E104" s="197" t="s">
        <v>1816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-31</v>
      </c>
      <c r="I104" s="52" t="s">
        <v>1818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1897</v>
      </c>
      <c r="E105" s="197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1813</v>
      </c>
      <c r="D106" s="197" t="s">
        <v>1234</v>
      </c>
      <c r="E106" s="197" t="s">
        <v>1813</v>
      </c>
      <c r="F106" s="52">
        <v>1200000</v>
      </c>
      <c r="H106">
        <f>SUMIF(재고!E:E,제품!D106,재고!H:H)-SUMIF(주문_리스트!E:E,제품!D106,주문_리스트!H:H)</f>
        <v>-50</v>
      </c>
      <c r="I106" s="52" t="s">
        <v>1814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1821</v>
      </c>
      <c r="E107" s="197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1820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2169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1827</v>
      </c>
      <c r="D109" s="197" t="s">
        <v>1828</v>
      </c>
      <c r="E109" s="197" t="s">
        <v>1827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1829</v>
      </c>
    </row>
    <row r="110" spans="1:9" x14ac:dyDescent="0.3">
      <c r="A110">
        <v>109</v>
      </c>
      <c r="B110">
        <v>12</v>
      </c>
      <c r="C110" s="198" t="s">
        <v>1830</v>
      </c>
      <c r="D110" s="197" t="s">
        <v>1828</v>
      </c>
      <c r="E110" s="197" t="s">
        <v>1830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1831</v>
      </c>
    </row>
    <row r="111" spans="1:9" x14ac:dyDescent="0.3">
      <c r="A111">
        <v>110</v>
      </c>
      <c r="B111">
        <v>1</v>
      </c>
      <c r="C111" s="198" t="s">
        <v>1832</v>
      </c>
      <c r="D111" s="197" t="s">
        <v>1599</v>
      </c>
      <c r="E111" s="197" t="s">
        <v>1832</v>
      </c>
      <c r="F111" s="52">
        <v>1400000</v>
      </c>
      <c r="H111">
        <f>SUMIF(재고!E:E,제품!D111,재고!H:H)-SUMIF(주문_리스트!E:E,제품!D111,주문_리스트!H:H)</f>
        <v>-2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1885</v>
      </c>
      <c r="E112" s="197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1886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2323</v>
      </c>
      <c r="E113" s="197">
        <v>1087298388</v>
      </c>
      <c r="F113" s="52">
        <v>550000</v>
      </c>
      <c r="G113" s="52">
        <v>340000</v>
      </c>
      <c r="H113" t="s">
        <v>3002</v>
      </c>
      <c r="I113" s="52" t="s">
        <v>2321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1885</v>
      </c>
      <c r="E114" s="197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1890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1587</v>
      </c>
      <c r="E115" s="197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1889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1900</v>
      </c>
      <c r="E116" s="197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1926</v>
      </c>
      <c r="D117" s="197" t="s">
        <v>1927</v>
      </c>
      <c r="E117" s="197" t="s">
        <v>1926</v>
      </c>
      <c r="F117" s="52">
        <v>210000</v>
      </c>
      <c r="G117" s="52">
        <v>150000</v>
      </c>
      <c r="I117" s="52" t="s">
        <v>1929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2640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2984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1948</v>
      </c>
      <c r="D120" s="197" t="s">
        <v>1949</v>
      </c>
      <c r="E120" s="197" t="s">
        <v>1948</v>
      </c>
      <c r="F120" s="52">
        <v>10000</v>
      </c>
      <c r="G120" s="52">
        <v>0</v>
      </c>
      <c r="I120" s="52" t="s">
        <v>1950</v>
      </c>
    </row>
    <row r="121" spans="1:9" x14ac:dyDescent="0.3">
      <c r="A121">
        <v>120</v>
      </c>
      <c r="B121">
        <v>3</v>
      </c>
      <c r="D121" s="197" t="s">
        <v>1968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1988</v>
      </c>
      <c r="E122" s="197">
        <v>501215718</v>
      </c>
      <c r="F122" s="52">
        <v>15000</v>
      </c>
      <c r="G122" s="52">
        <v>8000</v>
      </c>
      <c r="I122" s="52" t="s">
        <v>1986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1988</v>
      </c>
      <c r="E123" s="197">
        <v>501215783</v>
      </c>
      <c r="F123" s="52">
        <v>15000</v>
      </c>
      <c r="G123" s="52">
        <v>8000</v>
      </c>
      <c r="I123" s="52" t="s">
        <v>1987</v>
      </c>
    </row>
    <row r="124" spans="1:9" x14ac:dyDescent="0.3">
      <c r="A124">
        <v>123</v>
      </c>
      <c r="B124">
        <v>4</v>
      </c>
      <c r="C124" s="198" t="s">
        <v>2132</v>
      </c>
      <c r="D124" s="197" t="s">
        <v>2133</v>
      </c>
      <c r="E124" s="197" t="s">
        <v>2132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1994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1998</v>
      </c>
      <c r="D126" s="197" t="s">
        <v>1622</v>
      </c>
      <c r="E126" s="197" t="s">
        <v>1998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2001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2014</v>
      </c>
      <c r="D128" s="197" t="s">
        <v>2015</v>
      </c>
      <c r="E128" s="197" t="s">
        <v>2014</v>
      </c>
      <c r="F128" s="52">
        <v>1200000</v>
      </c>
      <c r="G128" s="52">
        <v>400000</v>
      </c>
      <c r="I128" s="52" t="s">
        <v>2016</v>
      </c>
    </row>
    <row r="129" spans="1:7" x14ac:dyDescent="0.3">
      <c r="A129">
        <v>128</v>
      </c>
      <c r="B129">
        <v>12</v>
      </c>
      <c r="C129" s="198" t="s">
        <v>2012</v>
      </c>
      <c r="D129" s="197" t="s">
        <v>2013</v>
      </c>
      <c r="E129" s="197" t="s">
        <v>2012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2640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2025</v>
      </c>
      <c r="D131" s="197" t="s">
        <v>2024</v>
      </c>
      <c r="E131" s="197" t="s">
        <v>2025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2028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2034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2278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2059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2061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2068</v>
      </c>
      <c r="D137" s="197" t="s">
        <v>1236</v>
      </c>
      <c r="E137" s="197" t="s">
        <v>2068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2086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2098</v>
      </c>
      <c r="D139" s="197" t="s">
        <v>2099</v>
      </c>
      <c r="E139" s="197" t="s">
        <v>2098</v>
      </c>
      <c r="F139" s="52">
        <v>550000</v>
      </c>
    </row>
    <row r="140" spans="1:7" x14ac:dyDescent="0.3">
      <c r="A140">
        <v>139</v>
      </c>
      <c r="D140" s="197" t="s">
        <v>2105</v>
      </c>
      <c r="F140" s="52">
        <v>84000</v>
      </c>
    </row>
    <row r="141" spans="1:7" x14ac:dyDescent="0.3">
      <c r="A141">
        <v>140</v>
      </c>
      <c r="D141" s="197" t="s">
        <v>2108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2826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2824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2125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1986</v>
      </c>
      <c r="D145" s="197" t="s">
        <v>2223</v>
      </c>
      <c r="E145" s="197" t="s">
        <v>1986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2140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2168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2296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2190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2703</v>
      </c>
      <c r="D150" s="197" t="s">
        <v>2429</v>
      </c>
      <c r="E150" s="197" t="s">
        <v>2703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2119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2208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2209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2828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2636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2239</v>
      </c>
      <c r="F156" s="52">
        <v>990000</v>
      </c>
      <c r="G156" s="52">
        <v>940000</v>
      </c>
      <c r="I156" s="52" t="s">
        <v>2835</v>
      </c>
    </row>
    <row r="157" spans="1:9" x14ac:dyDescent="0.3">
      <c r="A157">
        <v>156</v>
      </c>
      <c r="B157">
        <v>3</v>
      </c>
      <c r="D157" s="197" t="s">
        <v>2241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2243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2640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2702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2315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2326</v>
      </c>
      <c r="F162" s="52">
        <v>800000</v>
      </c>
    </row>
    <row r="163" spans="1:9" x14ac:dyDescent="0.3">
      <c r="A163">
        <v>162</v>
      </c>
      <c r="D163" s="197" t="s">
        <v>2332</v>
      </c>
      <c r="F163" s="52">
        <v>900000</v>
      </c>
    </row>
    <row r="164" spans="1:9" x14ac:dyDescent="0.3">
      <c r="A164">
        <v>163</v>
      </c>
      <c r="D164" s="197" t="s">
        <v>2343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2359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2357</v>
      </c>
      <c r="E166" s="197">
        <v>1087327175</v>
      </c>
      <c r="F166" s="52">
        <v>90000</v>
      </c>
      <c r="G166" s="52">
        <v>65000</v>
      </c>
      <c r="I166" s="52" t="s">
        <v>2358</v>
      </c>
    </row>
    <row r="167" spans="1:9" x14ac:dyDescent="0.3">
      <c r="A167">
        <v>166</v>
      </c>
      <c r="B167">
        <v>3</v>
      </c>
      <c r="C167" s="198" t="s">
        <v>2360</v>
      </c>
      <c r="D167" s="197" t="s">
        <v>2361</v>
      </c>
      <c r="E167" s="197" t="s">
        <v>2360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2588</v>
      </c>
      <c r="D168" s="197" t="s">
        <v>2589</v>
      </c>
      <c r="E168" s="197" t="s">
        <v>2588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2640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2377</v>
      </c>
      <c r="F170" s="52">
        <v>1600000</v>
      </c>
    </row>
    <row r="171" spans="1:9" x14ac:dyDescent="0.3">
      <c r="A171">
        <v>170</v>
      </c>
      <c r="D171" s="197" t="s">
        <v>2405</v>
      </c>
      <c r="F171" s="52">
        <v>1200000</v>
      </c>
    </row>
    <row r="172" spans="1:9" x14ac:dyDescent="0.3">
      <c r="A172">
        <v>171</v>
      </c>
      <c r="D172" s="197" t="s">
        <v>2386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2640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2414</v>
      </c>
      <c r="D174" s="197" t="s">
        <v>2415</v>
      </c>
      <c r="E174" s="197" t="s">
        <v>2414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2417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2802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2432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2436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3057</v>
      </c>
      <c r="D179" s="197" t="s">
        <v>3058</v>
      </c>
      <c r="E179" s="197" t="s">
        <v>3057</v>
      </c>
      <c r="F179" s="52">
        <v>450000</v>
      </c>
      <c r="I179" s="52" t="s">
        <v>3059</v>
      </c>
    </row>
    <row r="180" spans="1:9" x14ac:dyDescent="0.3">
      <c r="A180">
        <v>179</v>
      </c>
      <c r="D180" s="197" t="s">
        <v>2499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2501</v>
      </c>
      <c r="D181" s="197" t="s">
        <v>2502</v>
      </c>
      <c r="E181" s="197" t="s">
        <v>2501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2506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2519</v>
      </c>
      <c r="D183" s="197" t="s">
        <v>2483</v>
      </c>
      <c r="E183" s="197" t="s">
        <v>2519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2526</v>
      </c>
      <c r="D184" s="197" t="s">
        <v>2527</v>
      </c>
      <c r="E184" s="197" t="s">
        <v>2526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2528</v>
      </c>
      <c r="D185" s="197" t="s">
        <v>2529</v>
      </c>
      <c r="E185" s="197" t="s">
        <v>2528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2566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2615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2631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2630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2686</v>
      </c>
      <c r="D190" s="197" t="s">
        <v>2687</v>
      </c>
      <c r="E190" s="197" t="s">
        <v>2686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2982</v>
      </c>
      <c r="D191" s="197" t="s">
        <v>2983</v>
      </c>
      <c r="E191" s="197" t="s">
        <v>2982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2740</v>
      </c>
      <c r="D192" s="197" t="s">
        <v>2741</v>
      </c>
      <c r="E192" s="197" t="s">
        <v>2740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2749</v>
      </c>
      <c r="F193" s="52">
        <v>1100000</v>
      </c>
    </row>
    <row r="194" spans="1:9" x14ac:dyDescent="0.3">
      <c r="A194">
        <v>193</v>
      </c>
      <c r="D194" s="197" t="s">
        <v>2779</v>
      </c>
      <c r="F194" s="52">
        <v>1700000</v>
      </c>
    </row>
    <row r="195" spans="1:9" x14ac:dyDescent="0.3">
      <c r="A195">
        <v>194</v>
      </c>
      <c r="C195" s="198" t="s">
        <v>2830</v>
      </c>
      <c r="D195" s="197" t="s">
        <v>2831</v>
      </c>
      <c r="E195" s="197" t="s">
        <v>2830</v>
      </c>
      <c r="F195" s="52">
        <v>400000</v>
      </c>
    </row>
    <row r="196" spans="1:9" x14ac:dyDescent="0.3">
      <c r="A196">
        <v>195</v>
      </c>
      <c r="C196" s="198" t="s">
        <v>2854</v>
      </c>
      <c r="D196" s="197" t="s">
        <v>2855</v>
      </c>
      <c r="E196" s="197" t="s">
        <v>2854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2873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2901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2903</v>
      </c>
      <c r="E199" s="197">
        <v>1094302044</v>
      </c>
      <c r="F199" s="52">
        <v>300000</v>
      </c>
      <c r="G199" s="52">
        <v>150000</v>
      </c>
      <c r="I199" s="52" t="s">
        <v>2904</v>
      </c>
    </row>
    <row r="200" spans="1:9" x14ac:dyDescent="0.3">
      <c r="A200">
        <v>199</v>
      </c>
      <c r="B200">
        <v>14</v>
      </c>
      <c r="C200" s="198" t="s">
        <v>3003</v>
      </c>
      <c r="D200" s="197" t="s">
        <v>3004</v>
      </c>
      <c r="E200" s="197" t="s">
        <v>3003</v>
      </c>
      <c r="F200" s="52">
        <v>300000</v>
      </c>
      <c r="G200" s="52">
        <v>150000</v>
      </c>
      <c r="I200" s="52" t="s">
        <v>3005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1822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3009</v>
      </c>
      <c r="D202" s="197" t="s">
        <v>3011</v>
      </c>
      <c r="E202" s="197" t="s">
        <v>3009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3102</v>
      </c>
      <c r="D203" s="197" t="s">
        <v>3103</v>
      </c>
      <c r="E203" s="197" t="s">
        <v>3102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3054</v>
      </c>
      <c r="D204" s="197" t="s">
        <v>3055</v>
      </c>
      <c r="E204" s="197" t="s">
        <v>3054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3056</v>
      </c>
      <c r="E205" s="197">
        <v>709013001</v>
      </c>
    </row>
    <row r="206" spans="1:9" x14ac:dyDescent="0.3">
      <c r="A206">
        <v>205</v>
      </c>
      <c r="D206" s="197" t="s">
        <v>3074</v>
      </c>
      <c r="F206" s="52">
        <v>50000</v>
      </c>
    </row>
    <row r="207" spans="1:9" x14ac:dyDescent="0.3">
      <c r="A207">
        <v>206</v>
      </c>
      <c r="D207" s="197" t="s">
        <v>3104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3106</v>
      </c>
      <c r="E208" s="197">
        <v>6058008117</v>
      </c>
      <c r="F208" s="52">
        <v>900000</v>
      </c>
    </row>
    <row r="209" spans="1:6" x14ac:dyDescent="0.3">
      <c r="A209">
        <v>208</v>
      </c>
      <c r="B209">
        <v>14</v>
      </c>
      <c r="D209" s="197" t="s">
        <v>3120</v>
      </c>
      <c r="F209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 x14ac:dyDescent="0.3"/>
  <cols>
    <col min="1" max="2" width="10.875" customWidth="1"/>
    <col min="3" max="3" width="12.5" customWidth="1"/>
    <col min="4" max="4" width="22" style="198" customWidth="1"/>
    <col min="5" max="5" width="26" style="197" bestFit="1" customWidth="1"/>
    <col min="6" max="6" width="14.375" style="197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 x14ac:dyDescent="0.35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1">
        <v>125</v>
      </c>
    </row>
    <row r="2" spans="1:10" x14ac:dyDescent="0.3">
      <c r="A2">
        <v>1</v>
      </c>
      <c r="C2" s="13">
        <v>45778</v>
      </c>
      <c r="D2" s="197" t="s">
        <v>1256</v>
      </c>
      <c r="E2" s="197" t="s">
        <v>1245</v>
      </c>
      <c r="F2" s="197" t="s">
        <v>1256</v>
      </c>
      <c r="G2" s="52">
        <v>1500000</v>
      </c>
      <c r="H2">
        <v>5</v>
      </c>
    </row>
    <row r="3" spans="1:10" x14ac:dyDescent="0.3">
      <c r="A3">
        <v>2</v>
      </c>
      <c r="C3" s="13"/>
      <c r="D3" s="197"/>
      <c r="E3" s="197" t="s">
        <v>1650</v>
      </c>
      <c r="G3" s="52">
        <v>1000000</v>
      </c>
    </row>
    <row r="4" spans="1:10" x14ac:dyDescent="0.3">
      <c r="A4">
        <v>3</v>
      </c>
      <c r="C4" s="13"/>
      <c r="D4" s="197"/>
      <c r="E4" s="197" t="s">
        <v>1161</v>
      </c>
      <c r="G4" s="52">
        <v>300000</v>
      </c>
    </row>
    <row r="5" spans="1:10" x14ac:dyDescent="0.3">
      <c r="A5">
        <v>4</v>
      </c>
      <c r="C5" s="13"/>
      <c r="D5" s="197"/>
      <c r="E5" s="197" t="s">
        <v>1170</v>
      </c>
      <c r="G5" s="52">
        <v>700000</v>
      </c>
    </row>
    <row r="6" spans="1:10" x14ac:dyDescent="0.3">
      <c r="A6">
        <v>5</v>
      </c>
      <c r="E6" s="197" t="s">
        <v>1285</v>
      </c>
      <c r="G6" s="52">
        <v>1000000</v>
      </c>
    </row>
    <row r="7" spans="1:10" x14ac:dyDescent="0.3">
      <c r="A7">
        <v>6</v>
      </c>
      <c r="D7" s="197"/>
      <c r="E7" s="197" t="s">
        <v>1683</v>
      </c>
      <c r="G7" s="52">
        <v>198000</v>
      </c>
    </row>
    <row r="8" spans="1:10" x14ac:dyDescent="0.3">
      <c r="A8">
        <v>7</v>
      </c>
      <c r="D8" s="197"/>
      <c r="E8" s="197" t="s">
        <v>1651</v>
      </c>
      <c r="G8" s="52">
        <v>12000</v>
      </c>
    </row>
    <row r="9" spans="1:10" x14ac:dyDescent="0.3">
      <c r="A9">
        <v>8</v>
      </c>
      <c r="D9" s="197"/>
      <c r="E9" s="197" t="s">
        <v>1804</v>
      </c>
      <c r="G9" s="52">
        <v>650000</v>
      </c>
    </row>
    <row r="10" spans="1:10" x14ac:dyDescent="0.3">
      <c r="A10">
        <v>9</v>
      </c>
      <c r="E10" s="197" t="s">
        <v>1169</v>
      </c>
      <c r="G10" s="52">
        <v>1000000</v>
      </c>
    </row>
    <row r="11" spans="1:10" x14ac:dyDescent="0.3">
      <c r="A11">
        <v>10</v>
      </c>
      <c r="E11" s="197" t="s">
        <v>1684</v>
      </c>
      <c r="F11" s="197">
        <v>602000700</v>
      </c>
      <c r="G11" s="52">
        <v>350000</v>
      </c>
    </row>
    <row r="12" spans="1:10" x14ac:dyDescent="0.3">
      <c r="A12">
        <v>11</v>
      </c>
      <c r="E12" s="197" t="s">
        <v>1685</v>
      </c>
      <c r="G12" s="52">
        <v>55000</v>
      </c>
    </row>
    <row r="13" spans="1:10" x14ac:dyDescent="0.3">
      <c r="A13">
        <v>12</v>
      </c>
      <c r="E13" s="197" t="s">
        <v>1172</v>
      </c>
      <c r="G13" s="52">
        <v>600000</v>
      </c>
    </row>
    <row r="14" spans="1:10" x14ac:dyDescent="0.3">
      <c r="A14">
        <v>13</v>
      </c>
      <c r="E14" s="197" t="s">
        <v>1173</v>
      </c>
      <c r="G14" s="52">
        <v>25000</v>
      </c>
    </row>
    <row r="15" spans="1:10" x14ac:dyDescent="0.3">
      <c r="A15">
        <v>14</v>
      </c>
      <c r="E15" s="197" t="s">
        <v>1174</v>
      </c>
      <c r="G15" s="52">
        <v>800000</v>
      </c>
    </row>
    <row r="16" spans="1:10" x14ac:dyDescent="0.3">
      <c r="A16">
        <v>15</v>
      </c>
      <c r="E16" s="197" t="s">
        <v>1686</v>
      </c>
      <c r="G16" s="52">
        <v>330000</v>
      </c>
    </row>
    <row r="17" spans="1:7" x14ac:dyDescent="0.3">
      <c r="A17">
        <v>16</v>
      </c>
      <c r="E17" s="197" t="s">
        <v>1706</v>
      </c>
      <c r="G17" s="52">
        <v>1100000</v>
      </c>
    </row>
    <row r="18" spans="1:7" x14ac:dyDescent="0.3">
      <c r="A18">
        <v>17</v>
      </c>
      <c r="E18" s="197" t="s">
        <v>1180</v>
      </c>
      <c r="G18" s="52">
        <v>1650000</v>
      </c>
    </row>
    <row r="19" spans="1:7" x14ac:dyDescent="0.3">
      <c r="A19">
        <v>18</v>
      </c>
      <c r="E19" s="197" t="s">
        <v>1184</v>
      </c>
      <c r="G19" s="52">
        <v>1500000</v>
      </c>
    </row>
    <row r="20" spans="1:7" x14ac:dyDescent="0.3">
      <c r="A20">
        <v>19</v>
      </c>
      <c r="E20" s="197" t="s">
        <v>1128</v>
      </c>
      <c r="G20" s="52">
        <v>198000</v>
      </c>
    </row>
    <row r="21" spans="1:7" x14ac:dyDescent="0.3">
      <c r="A21">
        <v>20</v>
      </c>
      <c r="E21" s="197" t="s">
        <v>1192</v>
      </c>
      <c r="G21" s="52">
        <v>150000</v>
      </c>
    </row>
    <row r="22" spans="1:7" x14ac:dyDescent="0.3">
      <c r="A22">
        <v>21</v>
      </c>
      <c r="E22" s="197" t="s">
        <v>1193</v>
      </c>
      <c r="G22" s="52">
        <v>100000</v>
      </c>
    </row>
    <row r="23" spans="1:7" x14ac:dyDescent="0.3">
      <c r="A23">
        <v>22</v>
      </c>
      <c r="E23" s="197" t="s">
        <v>1703</v>
      </c>
      <c r="G23" s="52">
        <v>230000</v>
      </c>
    </row>
    <row r="24" spans="1:7" x14ac:dyDescent="0.3">
      <c r="A24">
        <v>23</v>
      </c>
      <c r="E24" s="197" t="s">
        <v>1704</v>
      </c>
      <c r="G24" s="52">
        <v>600000</v>
      </c>
    </row>
    <row r="25" spans="1:7" x14ac:dyDescent="0.3">
      <c r="A25">
        <v>24</v>
      </c>
      <c r="D25" s="198">
        <v>927769</v>
      </c>
      <c r="E25" s="197" t="s">
        <v>1689</v>
      </c>
      <c r="F25" s="197">
        <v>927769</v>
      </c>
      <c r="G25" s="52">
        <v>1000000</v>
      </c>
    </row>
    <row r="26" spans="1:7" x14ac:dyDescent="0.3">
      <c r="A26">
        <v>25</v>
      </c>
      <c r="D26" s="198" t="s">
        <v>1229</v>
      </c>
      <c r="E26" s="197" t="s">
        <v>1689</v>
      </c>
      <c r="F26" s="197" t="s">
        <v>1229</v>
      </c>
      <c r="G26" s="52">
        <v>1000000</v>
      </c>
    </row>
    <row r="27" spans="1:7" x14ac:dyDescent="0.3">
      <c r="A27">
        <v>26</v>
      </c>
      <c r="D27" s="198" t="s">
        <v>1230</v>
      </c>
      <c r="E27" s="197" t="s">
        <v>1689</v>
      </c>
      <c r="F27" s="197" t="s">
        <v>1230</v>
      </c>
      <c r="G27" s="52">
        <v>1000000</v>
      </c>
    </row>
    <row r="28" spans="1:7" x14ac:dyDescent="0.3">
      <c r="A28">
        <v>27</v>
      </c>
      <c r="D28" s="198" t="s">
        <v>1231</v>
      </c>
      <c r="E28" s="197" t="s">
        <v>1691</v>
      </c>
      <c r="F28" s="197" t="s">
        <v>1231</v>
      </c>
      <c r="G28" s="52">
        <v>1400000</v>
      </c>
    </row>
    <row r="29" spans="1:7" x14ac:dyDescent="0.3">
      <c r="A29">
        <v>28</v>
      </c>
      <c r="D29" s="198" t="s">
        <v>1232</v>
      </c>
      <c r="E29" s="197" t="s">
        <v>1693</v>
      </c>
      <c r="F29" s="197" t="s">
        <v>1232</v>
      </c>
      <c r="G29" s="52">
        <v>1500000</v>
      </c>
    </row>
    <row r="30" spans="1:7" x14ac:dyDescent="0.3">
      <c r="A30">
        <v>29</v>
      </c>
      <c r="D30" s="198">
        <v>927156</v>
      </c>
      <c r="E30" s="197" t="s">
        <v>1694</v>
      </c>
      <c r="F30" s="197">
        <v>927156</v>
      </c>
      <c r="G30" s="52">
        <v>1500000</v>
      </c>
    </row>
    <row r="31" spans="1:7" x14ac:dyDescent="0.3">
      <c r="A31">
        <v>30</v>
      </c>
      <c r="D31" s="197" t="s">
        <v>1256</v>
      </c>
      <c r="E31" s="197" t="s">
        <v>1254</v>
      </c>
      <c r="F31" s="197" t="s">
        <v>1256</v>
      </c>
      <c r="G31" s="52">
        <v>1400000</v>
      </c>
    </row>
    <row r="32" spans="1:7" x14ac:dyDescent="0.3">
      <c r="A32">
        <v>31</v>
      </c>
      <c r="D32" s="198" t="s">
        <v>1235</v>
      </c>
      <c r="E32" s="197" t="s">
        <v>1236</v>
      </c>
      <c r="F32" s="197" t="s">
        <v>1235</v>
      </c>
      <c r="G32" s="52">
        <v>1200000</v>
      </c>
    </row>
    <row r="33" spans="1:7" x14ac:dyDescent="0.3">
      <c r="A33">
        <v>32</v>
      </c>
      <c r="D33" s="198" t="s">
        <v>1237</v>
      </c>
      <c r="E33" s="197" t="s">
        <v>1236</v>
      </c>
      <c r="F33" s="197" t="s">
        <v>1237</v>
      </c>
      <c r="G33" s="52">
        <v>1200000</v>
      </c>
    </row>
    <row r="34" spans="1:7" x14ac:dyDescent="0.3">
      <c r="A34">
        <v>33</v>
      </c>
      <c r="D34" s="198" t="s">
        <v>1823</v>
      </c>
      <c r="E34" s="197" t="s">
        <v>1824</v>
      </c>
      <c r="F34" s="197" t="s">
        <v>1823</v>
      </c>
      <c r="G34" s="52">
        <v>549000</v>
      </c>
    </row>
    <row r="35" spans="1:7" x14ac:dyDescent="0.3">
      <c r="A35">
        <v>34</v>
      </c>
      <c r="D35" s="197" t="s">
        <v>1241</v>
      </c>
      <c r="E35" s="197" t="s">
        <v>1240</v>
      </c>
      <c r="F35" s="197" t="s">
        <v>1241</v>
      </c>
      <c r="G35" s="52">
        <v>1300000</v>
      </c>
    </row>
    <row r="36" spans="1:7" x14ac:dyDescent="0.3">
      <c r="A36">
        <v>35</v>
      </c>
      <c r="D36" s="198" t="s">
        <v>1247</v>
      </c>
      <c r="E36" s="197" t="s">
        <v>1245</v>
      </c>
      <c r="F36" s="197" t="s">
        <v>1246</v>
      </c>
      <c r="G36" s="52">
        <v>1500000</v>
      </c>
    </row>
    <row r="37" spans="1:7" x14ac:dyDescent="0.3">
      <c r="A37">
        <v>36</v>
      </c>
      <c r="D37" s="198" t="s">
        <v>1247</v>
      </c>
      <c r="E37" s="197" t="s">
        <v>1248</v>
      </c>
      <c r="F37" s="197" t="s">
        <v>1247</v>
      </c>
      <c r="G37" s="52">
        <v>1600000</v>
      </c>
    </row>
    <row r="38" spans="1:7" x14ac:dyDescent="0.3">
      <c r="A38">
        <v>37</v>
      </c>
      <c r="D38" s="198" t="s">
        <v>1250</v>
      </c>
      <c r="E38" s="197" t="s">
        <v>1249</v>
      </c>
      <c r="F38" s="197" t="s">
        <v>1250</v>
      </c>
      <c r="G38" s="52">
        <v>2200000</v>
      </c>
    </row>
    <row r="39" spans="1:7" x14ac:dyDescent="0.3">
      <c r="A39">
        <v>38</v>
      </c>
      <c r="D39" s="198" t="s">
        <v>1251</v>
      </c>
      <c r="E39" s="197" t="s">
        <v>1695</v>
      </c>
      <c r="F39" s="197" t="s">
        <v>1251</v>
      </c>
      <c r="G39" s="52">
        <v>1500000</v>
      </c>
    </row>
    <row r="40" spans="1:7" x14ac:dyDescent="0.3">
      <c r="A40">
        <v>39</v>
      </c>
      <c r="D40" s="197" t="s">
        <v>1258</v>
      </c>
      <c r="E40" s="197" t="s">
        <v>1403</v>
      </c>
      <c r="F40" s="197" t="s">
        <v>1404</v>
      </c>
      <c r="G40" s="52">
        <v>1600000</v>
      </c>
    </row>
    <row r="41" spans="1:7" x14ac:dyDescent="0.3">
      <c r="A41">
        <v>40</v>
      </c>
      <c r="D41" s="197" t="s">
        <v>1293</v>
      </c>
      <c r="E41" s="197" t="s">
        <v>1294</v>
      </c>
      <c r="F41" s="197" t="s">
        <v>1293</v>
      </c>
    </row>
    <row r="42" spans="1:7" x14ac:dyDescent="0.3">
      <c r="A42">
        <v>41</v>
      </c>
      <c r="D42" s="198" t="s">
        <v>1732</v>
      </c>
      <c r="E42" s="197" t="s">
        <v>1733</v>
      </c>
      <c r="F42" s="197" t="s">
        <v>1732</v>
      </c>
      <c r="G42" s="52">
        <v>130000</v>
      </c>
    </row>
    <row r="43" spans="1:7" x14ac:dyDescent="0.3">
      <c r="A43">
        <v>42</v>
      </c>
      <c r="D43" s="198" t="s">
        <v>1786</v>
      </c>
      <c r="E43" s="197" t="s">
        <v>1787</v>
      </c>
      <c r="F43" s="197" t="s">
        <v>1786</v>
      </c>
      <c r="G43" s="52">
        <v>50000</v>
      </c>
    </row>
    <row r="44" spans="1:7" x14ac:dyDescent="0.3">
      <c r="A44">
        <v>43</v>
      </c>
      <c r="D44" s="198">
        <v>2703900</v>
      </c>
      <c r="E44" s="197" t="s">
        <v>1303</v>
      </c>
      <c r="F44" s="197">
        <v>2703900</v>
      </c>
      <c r="G44" s="52">
        <v>1600000</v>
      </c>
    </row>
    <row r="45" spans="1:7" x14ac:dyDescent="0.3">
      <c r="A45">
        <v>44</v>
      </c>
      <c r="E45" s="197" t="s">
        <v>1418</v>
      </c>
      <c r="G45" s="52">
        <v>1000000</v>
      </c>
    </row>
    <row r="46" spans="1:7" x14ac:dyDescent="0.3">
      <c r="A46">
        <v>45</v>
      </c>
      <c r="E46" s="197" t="s">
        <v>1508</v>
      </c>
      <c r="G46" s="52">
        <v>10000</v>
      </c>
    </row>
    <row r="47" spans="1:7" x14ac:dyDescent="0.3">
      <c r="A47">
        <v>46</v>
      </c>
      <c r="E47" s="197" t="s">
        <v>1518</v>
      </c>
      <c r="G47" s="52">
        <v>140000</v>
      </c>
    </row>
    <row r="48" spans="1:7" x14ac:dyDescent="0.3">
      <c r="A48">
        <v>47</v>
      </c>
      <c r="E48" s="197" t="s">
        <v>1524</v>
      </c>
      <c r="G48" s="52">
        <v>1600000</v>
      </c>
    </row>
    <row r="49" spans="1:7" x14ac:dyDescent="0.3">
      <c r="A49">
        <v>48</v>
      </c>
      <c r="E49" s="197" t="s">
        <v>1528</v>
      </c>
      <c r="G49" s="52">
        <v>1600000</v>
      </c>
    </row>
    <row r="50" spans="1:7" x14ac:dyDescent="0.3">
      <c r="A50">
        <v>49</v>
      </c>
      <c r="E50" s="197" t="s">
        <v>1530</v>
      </c>
      <c r="G50" s="52">
        <v>100000</v>
      </c>
    </row>
    <row r="51" spans="1:7" x14ac:dyDescent="0.3">
      <c r="A51">
        <v>50</v>
      </c>
      <c r="E51" s="197" t="s">
        <v>1534</v>
      </c>
      <c r="G51" s="52">
        <v>350000</v>
      </c>
    </row>
    <row r="52" spans="1:7" x14ac:dyDescent="0.3">
      <c r="A52">
        <v>51</v>
      </c>
      <c r="E52" s="197" t="s">
        <v>1541</v>
      </c>
      <c r="G52" s="52">
        <v>1600000</v>
      </c>
    </row>
    <row r="53" spans="1:7" x14ac:dyDescent="0.3">
      <c r="A53">
        <v>52</v>
      </c>
      <c r="E53" s="197" t="s">
        <v>1544</v>
      </c>
      <c r="G53" s="52">
        <v>200000</v>
      </c>
    </row>
    <row r="54" spans="1:7" x14ac:dyDescent="0.3">
      <c r="A54">
        <v>53</v>
      </c>
      <c r="E54" s="197" t="s">
        <v>1557</v>
      </c>
      <c r="G54" s="52">
        <v>20000</v>
      </c>
    </row>
    <row r="55" spans="1:7" x14ac:dyDescent="0.3">
      <c r="A55">
        <v>54</v>
      </c>
      <c r="E55" s="197" t="s">
        <v>1562</v>
      </c>
      <c r="G55" s="52">
        <v>250000</v>
      </c>
    </row>
    <row r="56" spans="1:7" x14ac:dyDescent="0.3">
      <c r="A56">
        <v>55</v>
      </c>
      <c r="E56" s="197">
        <v>2703900</v>
      </c>
      <c r="G56" s="52">
        <v>1600000</v>
      </c>
    </row>
    <row r="57" spans="1:7" x14ac:dyDescent="0.3">
      <c r="A57">
        <v>56</v>
      </c>
      <c r="E57" s="197">
        <v>2703900</v>
      </c>
      <c r="G57" s="52">
        <v>1600000</v>
      </c>
    </row>
    <row r="58" spans="1:7" x14ac:dyDescent="0.3">
      <c r="A58">
        <v>57</v>
      </c>
      <c r="E58" s="197" t="s">
        <v>1573</v>
      </c>
      <c r="G58" s="52">
        <v>450000</v>
      </c>
    </row>
    <row r="59" spans="1:7" x14ac:dyDescent="0.3">
      <c r="A59">
        <v>58</v>
      </c>
      <c r="D59" s="198">
        <v>24152333903</v>
      </c>
      <c r="E59" s="197" t="s">
        <v>1887</v>
      </c>
      <c r="F59" s="197">
        <v>24152333903</v>
      </c>
      <c r="G59" s="52">
        <v>50000</v>
      </c>
    </row>
    <row r="60" spans="1:7" x14ac:dyDescent="0.3">
      <c r="A60">
        <v>59</v>
      </c>
      <c r="E60" s="197" t="s">
        <v>1593</v>
      </c>
      <c r="G60" s="52">
        <v>350000</v>
      </c>
    </row>
    <row r="61" spans="1:7" x14ac:dyDescent="0.3">
      <c r="A61">
        <v>60</v>
      </c>
      <c r="D61" s="198" t="s">
        <v>1696</v>
      </c>
      <c r="E61" s="197" t="s">
        <v>1697</v>
      </c>
      <c r="F61" s="197" t="s">
        <v>1696</v>
      </c>
    </row>
    <row r="62" spans="1:7" x14ac:dyDescent="0.3">
      <c r="A62">
        <v>61</v>
      </c>
      <c r="D62" s="198" t="s">
        <v>1241</v>
      </c>
      <c r="E62" s="197" t="s">
        <v>1464</v>
      </c>
      <c r="F62" s="197" t="s">
        <v>1241</v>
      </c>
      <c r="G62" s="52">
        <v>1300000</v>
      </c>
    </row>
    <row r="63" spans="1:7" x14ac:dyDescent="0.3">
      <c r="A63">
        <v>62</v>
      </c>
      <c r="E63" s="197" t="s">
        <v>1616</v>
      </c>
      <c r="G63" s="52">
        <v>30000</v>
      </c>
    </row>
    <row r="64" spans="1:7" x14ac:dyDescent="0.3">
      <c r="A64">
        <v>63</v>
      </c>
      <c r="E64" s="197" t="s">
        <v>1698</v>
      </c>
      <c r="G64" s="52">
        <v>1100000</v>
      </c>
    </row>
    <row r="65" spans="1:7" x14ac:dyDescent="0.3">
      <c r="A65">
        <v>64</v>
      </c>
      <c r="D65" s="198" t="s">
        <v>1700</v>
      </c>
      <c r="E65" s="197" t="s">
        <v>1403</v>
      </c>
      <c r="F65" s="197" t="s">
        <v>1700</v>
      </c>
      <c r="G65" s="52">
        <v>1100000</v>
      </c>
    </row>
    <row r="66" spans="1:7" x14ac:dyDescent="0.3">
      <c r="A66">
        <v>65</v>
      </c>
      <c r="D66" s="198" t="s">
        <v>1701</v>
      </c>
      <c r="E66" s="197" t="s">
        <v>1702</v>
      </c>
      <c r="F66" s="197" t="s">
        <v>1701</v>
      </c>
      <c r="G66" s="52">
        <v>3500000</v>
      </c>
    </row>
    <row r="67" spans="1:7" x14ac:dyDescent="0.3">
      <c r="A67">
        <v>66</v>
      </c>
      <c r="E67" s="197" t="s">
        <v>1628</v>
      </c>
      <c r="G67" s="52">
        <v>800000</v>
      </c>
    </row>
    <row r="68" spans="1:7" x14ac:dyDescent="0.3">
      <c r="A68">
        <v>67</v>
      </c>
      <c r="D68" s="198">
        <v>415090409</v>
      </c>
      <c r="E68" s="197" t="s">
        <v>1836</v>
      </c>
      <c r="F68" s="197">
        <v>415090409</v>
      </c>
      <c r="G68" s="52">
        <v>510000</v>
      </c>
    </row>
    <row r="69" spans="1:7" x14ac:dyDescent="0.3">
      <c r="A69">
        <v>68</v>
      </c>
      <c r="D69" s="198" t="s">
        <v>1669</v>
      </c>
      <c r="E69" s="197" t="s">
        <v>1670</v>
      </c>
      <c r="F69" s="197" t="s">
        <v>1669</v>
      </c>
      <c r="G69" s="52">
        <v>12000</v>
      </c>
    </row>
    <row r="70" spans="1:7" x14ac:dyDescent="0.3">
      <c r="A70">
        <v>69</v>
      </c>
      <c r="E70" s="197" t="s">
        <v>1672</v>
      </c>
      <c r="G70" s="52">
        <v>27000</v>
      </c>
    </row>
    <row r="71" spans="1:7" x14ac:dyDescent="0.3">
      <c r="A71">
        <v>70</v>
      </c>
      <c r="E71" s="197" t="s">
        <v>1679</v>
      </c>
      <c r="G71" s="52">
        <v>850000</v>
      </c>
    </row>
    <row r="72" spans="1:7" x14ac:dyDescent="0.3">
      <c r="A72">
        <v>71</v>
      </c>
      <c r="D72" s="198">
        <v>50228</v>
      </c>
      <c r="E72" s="197" t="s">
        <v>1688</v>
      </c>
      <c r="F72" s="197">
        <v>50228</v>
      </c>
      <c r="G72" s="52">
        <v>110000</v>
      </c>
    </row>
    <row r="73" spans="1:7" x14ac:dyDescent="0.3">
      <c r="A73">
        <v>72</v>
      </c>
      <c r="D73" s="198">
        <v>50229</v>
      </c>
      <c r="E73" s="197" t="s">
        <v>1688</v>
      </c>
      <c r="F73" s="197">
        <v>50229</v>
      </c>
      <c r="G73" s="52">
        <v>75000</v>
      </c>
    </row>
    <row r="74" spans="1:7" x14ac:dyDescent="0.3">
      <c r="A74">
        <v>73</v>
      </c>
      <c r="E74" s="197" t="s">
        <v>1705</v>
      </c>
      <c r="G74" s="52">
        <v>150000</v>
      </c>
    </row>
    <row r="75" spans="1:7" x14ac:dyDescent="0.3">
      <c r="A75">
        <v>74</v>
      </c>
      <c r="E75" s="197" t="s">
        <v>1705</v>
      </c>
      <c r="G75" s="52">
        <v>200000</v>
      </c>
    </row>
    <row r="76" spans="1:7" x14ac:dyDescent="0.3">
      <c r="A76">
        <v>75</v>
      </c>
      <c r="E76" s="197" t="s">
        <v>1713</v>
      </c>
      <c r="G76" s="52">
        <v>250000</v>
      </c>
    </row>
    <row r="77" spans="1:7" x14ac:dyDescent="0.3">
      <c r="A77">
        <v>76</v>
      </c>
      <c r="E77" s="197" t="s">
        <v>1720</v>
      </c>
      <c r="G77" s="52">
        <v>1850000</v>
      </c>
    </row>
    <row r="78" spans="1:7" x14ac:dyDescent="0.3">
      <c r="A78">
        <v>77</v>
      </c>
      <c r="D78" s="198" t="s">
        <v>1722</v>
      </c>
      <c r="E78" s="197" t="s">
        <v>1723</v>
      </c>
      <c r="F78" s="197" t="s">
        <v>1722</v>
      </c>
      <c r="G78" s="52">
        <v>1500000</v>
      </c>
    </row>
    <row r="79" spans="1:7" x14ac:dyDescent="0.3">
      <c r="A79">
        <v>78</v>
      </c>
      <c r="D79" s="198" t="s">
        <v>1734</v>
      </c>
      <c r="E79" s="197" t="s">
        <v>1735</v>
      </c>
      <c r="F79" s="197" t="s">
        <v>1734</v>
      </c>
      <c r="G79" s="52">
        <v>50000</v>
      </c>
    </row>
    <row r="80" spans="1:7" x14ac:dyDescent="0.3">
      <c r="A80">
        <v>79</v>
      </c>
      <c r="D80" s="198">
        <v>28111601</v>
      </c>
      <c r="E80" s="197" t="s">
        <v>1833</v>
      </c>
      <c r="F80" s="197">
        <v>28111601</v>
      </c>
      <c r="G80" s="52">
        <v>220000</v>
      </c>
    </row>
    <row r="81" spans="1:7" x14ac:dyDescent="0.3">
      <c r="A81">
        <v>80</v>
      </c>
      <c r="E81" s="197" t="s">
        <v>1835</v>
      </c>
      <c r="G81" s="52">
        <v>200000</v>
      </c>
    </row>
    <row r="82" spans="1:7" x14ac:dyDescent="0.3">
      <c r="A82">
        <v>81</v>
      </c>
      <c r="E82" s="197" t="s">
        <v>1736</v>
      </c>
      <c r="G82" s="52">
        <v>130000</v>
      </c>
    </row>
    <row r="83" spans="1:7" x14ac:dyDescent="0.3">
      <c r="A83">
        <v>82</v>
      </c>
      <c r="D83" s="198" t="s">
        <v>1751</v>
      </c>
      <c r="E83" s="197" t="s">
        <v>1767</v>
      </c>
      <c r="F83" s="197" t="s">
        <v>1751</v>
      </c>
      <c r="G83" s="52">
        <v>20000</v>
      </c>
    </row>
    <row r="84" spans="1:7" x14ac:dyDescent="0.3">
      <c r="A84">
        <v>83</v>
      </c>
      <c r="E84" s="197" t="s">
        <v>1738</v>
      </c>
      <c r="G84" s="52">
        <v>20000</v>
      </c>
    </row>
    <row r="85" spans="1:7" x14ac:dyDescent="0.3">
      <c r="A85">
        <v>84</v>
      </c>
      <c r="E85" s="197" t="s">
        <v>1745</v>
      </c>
      <c r="G85" s="52">
        <v>35000</v>
      </c>
    </row>
    <row r="86" spans="1:7" x14ac:dyDescent="0.3">
      <c r="A86">
        <v>85</v>
      </c>
      <c r="E86" s="197" t="s">
        <v>1737</v>
      </c>
      <c r="G86" s="52">
        <v>10000</v>
      </c>
    </row>
    <row r="87" spans="1:7" x14ac:dyDescent="0.3">
      <c r="A87">
        <v>86</v>
      </c>
      <c r="E87" s="197" t="s">
        <v>1739</v>
      </c>
      <c r="G87" s="52">
        <v>130000</v>
      </c>
    </row>
    <row r="88" spans="1:7" x14ac:dyDescent="0.3">
      <c r="A88">
        <v>87</v>
      </c>
      <c r="E88" s="197" t="s">
        <v>1749</v>
      </c>
      <c r="G88" s="52">
        <v>280000</v>
      </c>
    </row>
    <row r="89" spans="1:7" x14ac:dyDescent="0.3">
      <c r="A89">
        <v>88</v>
      </c>
      <c r="D89" s="198">
        <v>24137542885</v>
      </c>
      <c r="E89" s="197" t="s">
        <v>1759</v>
      </c>
      <c r="F89" s="197">
        <v>24137542885</v>
      </c>
    </row>
    <row r="90" spans="1:7" x14ac:dyDescent="0.3">
      <c r="A90">
        <v>89</v>
      </c>
      <c r="D90" s="198">
        <v>24137519344</v>
      </c>
      <c r="E90" s="197" t="s">
        <v>1765</v>
      </c>
      <c r="F90" s="197">
        <v>24137519344</v>
      </c>
    </row>
    <row r="91" spans="1:7" x14ac:dyDescent="0.3">
      <c r="A91">
        <v>90</v>
      </c>
      <c r="D91" s="198">
        <v>7252703114</v>
      </c>
      <c r="E91" s="197" t="s">
        <v>1762</v>
      </c>
      <c r="F91" s="197">
        <v>7252703114</v>
      </c>
      <c r="G91" s="52">
        <v>129000</v>
      </c>
    </row>
    <row r="92" spans="1:7" x14ac:dyDescent="0.3">
      <c r="A92">
        <v>91</v>
      </c>
      <c r="D92" s="198" t="s">
        <v>1763</v>
      </c>
      <c r="E92" s="197" t="s">
        <v>1764</v>
      </c>
      <c r="F92" s="197" t="s">
        <v>1763</v>
      </c>
      <c r="G92" s="52">
        <v>50000</v>
      </c>
    </row>
    <row r="93" spans="1:7" x14ac:dyDescent="0.3">
      <c r="A93">
        <v>92</v>
      </c>
      <c r="D93" s="198" t="s">
        <v>1774</v>
      </c>
      <c r="E93" s="197" t="s">
        <v>1775</v>
      </c>
      <c r="F93" s="197" t="s">
        <v>1774</v>
      </c>
      <c r="G93" s="52">
        <v>20000</v>
      </c>
    </row>
    <row r="94" spans="1:7" x14ac:dyDescent="0.3">
      <c r="A94">
        <v>93</v>
      </c>
      <c r="D94" s="198">
        <v>2800802</v>
      </c>
      <c r="E94" s="197" t="s">
        <v>1782</v>
      </c>
      <c r="F94" s="197">
        <v>2800802</v>
      </c>
      <c r="G94" s="52">
        <v>150000</v>
      </c>
    </row>
    <row r="95" spans="1:7" x14ac:dyDescent="0.3">
      <c r="A95">
        <v>94</v>
      </c>
      <c r="D95" s="198">
        <v>2800801</v>
      </c>
      <c r="E95" s="197" t="s">
        <v>1783</v>
      </c>
      <c r="F95" s="197">
        <v>2800801</v>
      </c>
      <c r="G95" s="52">
        <v>150000</v>
      </c>
    </row>
    <row r="96" spans="1:7" x14ac:dyDescent="0.3">
      <c r="A96">
        <v>95</v>
      </c>
      <c r="D96" s="198" t="s">
        <v>1777</v>
      </c>
      <c r="E96" s="197" t="s">
        <v>1778</v>
      </c>
      <c r="F96" s="197" t="s">
        <v>1777</v>
      </c>
      <c r="G96" s="52">
        <v>250000</v>
      </c>
    </row>
    <row r="97" spans="1:7" x14ac:dyDescent="0.3">
      <c r="A97">
        <v>96</v>
      </c>
      <c r="D97" s="198" t="s">
        <v>1779</v>
      </c>
      <c r="E97" s="197" t="s">
        <v>1780</v>
      </c>
      <c r="F97" s="197" t="s">
        <v>1779</v>
      </c>
      <c r="G97" s="52">
        <v>60000</v>
      </c>
    </row>
    <row r="98" spans="1:7" x14ac:dyDescent="0.3">
      <c r="A98">
        <v>97</v>
      </c>
      <c r="E98" s="197" t="s">
        <v>1789</v>
      </c>
      <c r="G98" s="52">
        <v>200000</v>
      </c>
    </row>
    <row r="99" spans="1:7" x14ac:dyDescent="0.3">
      <c r="A99">
        <v>98</v>
      </c>
      <c r="D99" s="198" t="s">
        <v>1791</v>
      </c>
      <c r="E99" s="197" t="s">
        <v>1792</v>
      </c>
      <c r="F99" s="197" t="s">
        <v>1791</v>
      </c>
      <c r="G99" s="52">
        <v>30000</v>
      </c>
    </row>
    <row r="100" spans="1:7" x14ac:dyDescent="0.3">
      <c r="A100">
        <v>99</v>
      </c>
      <c r="D100" s="198" t="s">
        <v>1793</v>
      </c>
      <c r="E100" s="197" t="s">
        <v>1846</v>
      </c>
      <c r="F100" s="197" t="s">
        <v>1793</v>
      </c>
      <c r="G100" s="52">
        <v>10000</v>
      </c>
    </row>
    <row r="101" spans="1:7" x14ac:dyDescent="0.3">
      <c r="A101">
        <v>100</v>
      </c>
      <c r="D101" s="198" t="s">
        <v>1848</v>
      </c>
      <c r="E101" s="197" t="s">
        <v>1849</v>
      </c>
      <c r="F101" s="197" t="s">
        <v>1848</v>
      </c>
      <c r="G101" s="52">
        <v>10000</v>
      </c>
    </row>
    <row r="102" spans="1:7" x14ac:dyDescent="0.3">
      <c r="A102">
        <v>101</v>
      </c>
      <c r="D102" s="198" t="s">
        <v>1794</v>
      </c>
      <c r="E102" s="197" t="s">
        <v>1795</v>
      </c>
      <c r="F102" s="197" t="s">
        <v>1794</v>
      </c>
      <c r="G102" s="52">
        <v>20000</v>
      </c>
    </row>
    <row r="103" spans="1:7" x14ac:dyDescent="0.3">
      <c r="A103">
        <v>102</v>
      </c>
      <c r="D103" s="198">
        <v>2850701</v>
      </c>
      <c r="E103" s="197" t="s">
        <v>1796</v>
      </c>
      <c r="F103" s="197">
        <v>2850701</v>
      </c>
      <c r="G103" s="52">
        <v>400000</v>
      </c>
    </row>
    <row r="104" spans="1:7" x14ac:dyDescent="0.3">
      <c r="A104">
        <v>103</v>
      </c>
      <c r="D104" s="198">
        <v>2810701</v>
      </c>
      <c r="E104" s="197" t="s">
        <v>1797</v>
      </c>
      <c r="F104" s="197">
        <v>2810701</v>
      </c>
      <c r="G104" s="52">
        <v>250000</v>
      </c>
    </row>
    <row r="105" spans="1:7" x14ac:dyDescent="0.3">
      <c r="A105">
        <v>104</v>
      </c>
      <c r="D105" s="198">
        <v>2830701</v>
      </c>
      <c r="E105" s="197" t="s">
        <v>1798</v>
      </c>
      <c r="F105" s="197">
        <v>2830701</v>
      </c>
      <c r="G105" s="52">
        <v>160000</v>
      </c>
    </row>
    <row r="106" spans="1:7" x14ac:dyDescent="0.3">
      <c r="A106">
        <v>105</v>
      </c>
      <c r="D106" s="198">
        <v>2830701</v>
      </c>
      <c r="E106" s="197" t="s">
        <v>1798</v>
      </c>
      <c r="F106" s="197">
        <v>2830701</v>
      </c>
      <c r="G106" s="52">
        <v>360000</v>
      </c>
    </row>
    <row r="107" spans="1:7" x14ac:dyDescent="0.3">
      <c r="A107">
        <v>106</v>
      </c>
      <c r="D107" s="198">
        <v>2801701</v>
      </c>
      <c r="E107" s="197" t="s">
        <v>1801</v>
      </c>
      <c r="F107" s="197">
        <v>2801701</v>
      </c>
      <c r="G107" s="52">
        <v>15000</v>
      </c>
    </row>
    <row r="108" spans="1:7" x14ac:dyDescent="0.3">
      <c r="A108">
        <v>107</v>
      </c>
      <c r="D108" s="198">
        <v>2801702</v>
      </c>
      <c r="E108" s="197" t="s">
        <v>1801</v>
      </c>
      <c r="F108" s="197">
        <v>2801702</v>
      </c>
      <c r="G108" s="52">
        <v>15000</v>
      </c>
    </row>
    <row r="109" spans="1:7" x14ac:dyDescent="0.3">
      <c r="A109">
        <v>108</v>
      </c>
      <c r="D109" s="198" t="s">
        <v>1816</v>
      </c>
      <c r="E109" s="197" t="s">
        <v>1817</v>
      </c>
      <c r="F109" s="197" t="s">
        <v>1816</v>
      </c>
      <c r="G109" s="52">
        <v>50000</v>
      </c>
    </row>
    <row r="110" spans="1:7" x14ac:dyDescent="0.3">
      <c r="A110">
        <v>109</v>
      </c>
      <c r="E110" s="197" t="s">
        <v>1805</v>
      </c>
      <c r="G110" s="52">
        <v>1550000</v>
      </c>
    </row>
    <row r="111" spans="1:7" x14ac:dyDescent="0.3">
      <c r="A111">
        <v>110</v>
      </c>
      <c r="D111" s="198" t="s">
        <v>1813</v>
      </c>
      <c r="E111" s="197" t="s">
        <v>1234</v>
      </c>
      <c r="F111" s="197" t="s">
        <v>1813</v>
      </c>
      <c r="G111" s="52">
        <v>1200000</v>
      </c>
    </row>
    <row r="112" spans="1:7" x14ac:dyDescent="0.3">
      <c r="A112">
        <v>111</v>
      </c>
      <c r="D112" s="198">
        <v>24347544930</v>
      </c>
      <c r="E112" s="197" t="s">
        <v>1821</v>
      </c>
      <c r="F112" s="197">
        <v>24347544930</v>
      </c>
      <c r="G112" s="52">
        <v>250000</v>
      </c>
    </row>
    <row r="113" spans="1:8" x14ac:dyDescent="0.3">
      <c r="A113">
        <v>112</v>
      </c>
      <c r="D113" s="198">
        <v>501220641</v>
      </c>
      <c r="E113" s="197" t="s">
        <v>1822</v>
      </c>
      <c r="F113" s="197">
        <v>501220641</v>
      </c>
      <c r="G113" s="52">
        <v>300000</v>
      </c>
    </row>
    <row r="114" spans="1:8" x14ac:dyDescent="0.3">
      <c r="A114">
        <v>113</v>
      </c>
      <c r="D114" s="198" t="s">
        <v>1827</v>
      </c>
      <c r="E114" s="197" t="s">
        <v>1828</v>
      </c>
      <c r="F114" s="197" t="s">
        <v>1827</v>
      </c>
      <c r="G114" s="52">
        <v>25000</v>
      </c>
    </row>
    <row r="115" spans="1:8" x14ac:dyDescent="0.3">
      <c r="A115">
        <v>114</v>
      </c>
      <c r="D115" s="198" t="s">
        <v>1830</v>
      </c>
      <c r="E115" s="197" t="s">
        <v>1828</v>
      </c>
      <c r="F115" s="197" t="s">
        <v>1830</v>
      </c>
      <c r="G115" s="52">
        <v>65000</v>
      </c>
    </row>
    <row r="116" spans="1:8" x14ac:dyDescent="0.3">
      <c r="A116">
        <v>115</v>
      </c>
      <c r="D116" s="198" t="s">
        <v>1832</v>
      </c>
      <c r="E116" s="197" t="s">
        <v>1599</v>
      </c>
      <c r="F116" s="197" t="s">
        <v>1832</v>
      </c>
      <c r="G116" s="52">
        <v>1400000</v>
      </c>
    </row>
    <row r="117" spans="1:8" x14ac:dyDescent="0.3">
      <c r="A117">
        <v>116</v>
      </c>
      <c r="D117" s="198">
        <v>1068298046</v>
      </c>
      <c r="E117" s="197" t="s">
        <v>1885</v>
      </c>
      <c r="F117" s="197">
        <v>1068298046</v>
      </c>
      <c r="G117" s="52">
        <v>450000</v>
      </c>
    </row>
    <row r="118" spans="1:8" x14ac:dyDescent="0.3">
      <c r="A118">
        <v>117</v>
      </c>
      <c r="D118" s="198">
        <v>1087298388</v>
      </c>
      <c r="E118" s="197" t="s">
        <v>1884</v>
      </c>
      <c r="F118" s="197">
        <v>1087298388</v>
      </c>
    </row>
    <row r="119" spans="1:8" x14ac:dyDescent="0.3">
      <c r="A119">
        <v>118</v>
      </c>
      <c r="D119" s="198">
        <v>1068298044</v>
      </c>
      <c r="E119" s="197" t="s">
        <v>1885</v>
      </c>
      <c r="F119" s="197">
        <v>1068298044</v>
      </c>
      <c r="G119" s="52">
        <v>400000</v>
      </c>
    </row>
    <row r="120" spans="1:8" x14ac:dyDescent="0.3">
      <c r="A120">
        <v>119</v>
      </c>
      <c r="D120" s="198">
        <v>24152333907</v>
      </c>
      <c r="E120" s="197" t="s">
        <v>1587</v>
      </c>
      <c r="F120" s="197">
        <v>24152333907</v>
      </c>
      <c r="G120" s="52">
        <v>50000</v>
      </c>
    </row>
    <row r="121" spans="1:8" x14ac:dyDescent="0.3">
      <c r="A121">
        <v>120</v>
      </c>
      <c r="D121" s="198">
        <v>6058008122</v>
      </c>
      <c r="E121" s="197" t="s">
        <v>1900</v>
      </c>
      <c r="F121" s="197">
        <v>6058008122</v>
      </c>
      <c r="G121" s="52">
        <v>2500000</v>
      </c>
    </row>
    <row r="122" spans="1:8" x14ac:dyDescent="0.3">
      <c r="A122">
        <v>121</v>
      </c>
      <c r="D122" s="197" t="s">
        <v>1256</v>
      </c>
      <c r="E122" s="197" t="s">
        <v>1254</v>
      </c>
      <c r="F122" s="197" t="s">
        <v>1256</v>
      </c>
      <c r="G122" s="52">
        <v>1400000</v>
      </c>
      <c r="H122">
        <v>4</v>
      </c>
    </row>
    <row r="123" spans="1:8" x14ac:dyDescent="0.3">
      <c r="A123">
        <v>122</v>
      </c>
      <c r="D123" s="197" t="s">
        <v>1909</v>
      </c>
      <c r="E123" s="197" t="s">
        <v>1254</v>
      </c>
      <c r="F123" s="197" t="s">
        <v>1909</v>
      </c>
      <c r="G123" s="52">
        <v>1200000</v>
      </c>
      <c r="H123">
        <v>8</v>
      </c>
    </row>
    <row r="124" spans="1:8" x14ac:dyDescent="0.3">
      <c r="A124">
        <v>123</v>
      </c>
      <c r="C124" s="13">
        <v>45762</v>
      </c>
      <c r="D124" s="197" t="s">
        <v>1258</v>
      </c>
      <c r="E124" s="197" t="s">
        <v>1403</v>
      </c>
      <c r="F124" s="197" t="s">
        <v>1404</v>
      </c>
      <c r="G124" s="52">
        <v>1600000</v>
      </c>
      <c r="H124">
        <v>3</v>
      </c>
    </row>
    <row r="125" spans="1:8" x14ac:dyDescent="0.3">
      <c r="A125">
        <v>124</v>
      </c>
      <c r="C125" s="13">
        <v>45771</v>
      </c>
      <c r="D125" s="198" t="s">
        <v>1696</v>
      </c>
      <c r="E125" s="197" t="s">
        <v>2045</v>
      </c>
      <c r="F125" s="198" t="s">
        <v>1696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2815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1790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1826</v>
      </c>
    </row>
    <row r="12" spans="1:3" x14ac:dyDescent="0.3">
      <c r="A12">
        <v>13</v>
      </c>
      <c r="B12" t="s">
        <v>1838</v>
      </c>
    </row>
    <row r="13" spans="1:3" x14ac:dyDescent="0.3">
      <c r="A13">
        <v>14</v>
      </c>
      <c r="B13" t="s">
        <v>1993</v>
      </c>
    </row>
    <row r="14" spans="1:3" x14ac:dyDescent="0.3">
      <c r="A14">
        <v>15</v>
      </c>
      <c r="B14" t="s">
        <v>2435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1473</v>
      </c>
      <c r="B1" t="s">
        <v>47</v>
      </c>
      <c r="C1" t="s">
        <v>1473</v>
      </c>
      <c r="D1" t="s">
        <v>1438</v>
      </c>
      <c r="F1" t="s">
        <v>1440</v>
      </c>
      <c r="H1" t="s">
        <v>1441</v>
      </c>
      <c r="L1" t="s">
        <v>1448</v>
      </c>
      <c r="N1" t="s">
        <v>1452</v>
      </c>
      <c r="P1" t="s">
        <v>1757</v>
      </c>
      <c r="R1" t="s">
        <v>1756</v>
      </c>
    </row>
    <row r="2" spans="1:20" x14ac:dyDescent="0.3">
      <c r="A2">
        <v>1</v>
      </c>
      <c r="B2" t="s">
        <v>32</v>
      </c>
      <c r="C2">
        <v>1</v>
      </c>
      <c r="D2" t="s">
        <v>1440</v>
      </c>
      <c r="E2">
        <v>1</v>
      </c>
      <c r="F2" t="s">
        <v>1455</v>
      </c>
      <c r="G2">
        <v>1</v>
      </c>
      <c r="H2" t="s">
        <v>1464</v>
      </c>
      <c r="I2">
        <v>1</v>
      </c>
      <c r="J2" t="s">
        <v>1212</v>
      </c>
      <c r="K2">
        <v>1</v>
      </c>
      <c r="L2" t="s">
        <v>1468</v>
      </c>
      <c r="M2">
        <v>1</v>
      </c>
      <c r="N2" t="s">
        <v>1471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1441</v>
      </c>
      <c r="E3">
        <v>2</v>
      </c>
      <c r="F3" t="s">
        <v>1456</v>
      </c>
      <c r="G3">
        <v>2</v>
      </c>
      <c r="H3" t="s">
        <v>1254</v>
      </c>
      <c r="I3">
        <v>2</v>
      </c>
      <c r="J3" t="s">
        <v>1213</v>
      </c>
      <c r="K3">
        <v>2</v>
      </c>
      <c r="L3" t="s">
        <v>1469</v>
      </c>
      <c r="M3">
        <v>2</v>
      </c>
      <c r="N3" t="s">
        <v>1472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1442</v>
      </c>
      <c r="E4">
        <v>3</v>
      </c>
      <c r="F4" t="s">
        <v>1457</v>
      </c>
      <c r="G4">
        <v>3</v>
      </c>
      <c r="H4" t="s">
        <v>1403</v>
      </c>
      <c r="I4">
        <v>3</v>
      </c>
      <c r="J4" t="s">
        <v>1465</v>
      </c>
      <c r="M4">
        <v>3</v>
      </c>
      <c r="N4" t="s">
        <v>1470</v>
      </c>
      <c r="O4">
        <v>3</v>
      </c>
      <c r="Q4">
        <v>3</v>
      </c>
    </row>
    <row r="5" spans="1:20" x14ac:dyDescent="0.3">
      <c r="A5">
        <v>4</v>
      </c>
      <c r="B5" t="s">
        <v>1790</v>
      </c>
      <c r="C5">
        <v>4</v>
      </c>
      <c r="D5" t="s">
        <v>1443</v>
      </c>
      <c r="E5">
        <v>4</v>
      </c>
      <c r="F5" t="s">
        <v>1458</v>
      </c>
      <c r="I5">
        <v>4</v>
      </c>
      <c r="J5" t="s">
        <v>1467</v>
      </c>
    </row>
    <row r="6" spans="1:20" x14ac:dyDescent="0.3">
      <c r="A6">
        <v>5</v>
      </c>
      <c r="B6" t="s">
        <v>1439</v>
      </c>
      <c r="C6">
        <v>5</v>
      </c>
      <c r="D6" t="s">
        <v>1444</v>
      </c>
      <c r="E6">
        <v>5</v>
      </c>
      <c r="F6" t="s">
        <v>1459</v>
      </c>
      <c r="I6">
        <v>5</v>
      </c>
      <c r="J6" t="s">
        <v>1214</v>
      </c>
    </row>
    <row r="7" spans="1:20" x14ac:dyDescent="0.3">
      <c r="A7">
        <v>6</v>
      </c>
      <c r="B7" t="s">
        <v>1840</v>
      </c>
      <c r="C7">
        <v>6</v>
      </c>
      <c r="D7" t="s">
        <v>1445</v>
      </c>
      <c r="E7">
        <v>6</v>
      </c>
      <c r="F7" t="s">
        <v>1460</v>
      </c>
      <c r="I7">
        <v>6</v>
      </c>
      <c r="J7" t="s">
        <v>1215</v>
      </c>
    </row>
    <row r="8" spans="1:20" x14ac:dyDescent="0.3">
      <c r="A8">
        <v>7</v>
      </c>
      <c r="B8" t="s">
        <v>1841</v>
      </c>
      <c r="C8">
        <v>7</v>
      </c>
      <c r="D8" t="s">
        <v>1447</v>
      </c>
      <c r="E8">
        <v>7</v>
      </c>
      <c r="F8" t="s">
        <v>1461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1842</v>
      </c>
      <c r="C9">
        <v>8</v>
      </c>
      <c r="D9" t="s">
        <v>1448</v>
      </c>
      <c r="E9">
        <v>8</v>
      </c>
      <c r="F9" t="s">
        <v>1428</v>
      </c>
      <c r="I9">
        <v>8</v>
      </c>
      <c r="J9" t="s">
        <v>1217</v>
      </c>
    </row>
    <row r="10" spans="1:20" x14ac:dyDescent="0.3">
      <c r="A10">
        <v>9</v>
      </c>
      <c r="B10" t="s">
        <v>1843</v>
      </c>
      <c r="C10">
        <v>9</v>
      </c>
      <c r="D10" t="s">
        <v>1449</v>
      </c>
      <c r="E10">
        <v>9</v>
      </c>
      <c r="F10" t="s">
        <v>1462</v>
      </c>
      <c r="I10">
        <v>9</v>
      </c>
      <c r="J10" t="s">
        <v>1466</v>
      </c>
    </row>
    <row r="11" spans="1:20" x14ac:dyDescent="0.3">
      <c r="A11">
        <v>10</v>
      </c>
      <c r="B11" t="s">
        <v>1844</v>
      </c>
      <c r="C11">
        <v>10</v>
      </c>
      <c r="D11" t="s">
        <v>1450</v>
      </c>
      <c r="E11">
        <v>10</v>
      </c>
      <c r="F11" t="s">
        <v>1463</v>
      </c>
      <c r="I11">
        <v>10</v>
      </c>
      <c r="J11" t="s">
        <v>1990</v>
      </c>
    </row>
    <row r="12" spans="1:20" x14ac:dyDescent="0.3">
      <c r="A12">
        <v>11</v>
      </c>
      <c r="B12" t="s">
        <v>1845</v>
      </c>
      <c r="C12">
        <v>11</v>
      </c>
      <c r="D12" t="s">
        <v>1451</v>
      </c>
      <c r="I12">
        <v>11</v>
      </c>
      <c r="J12" t="s">
        <v>2416</v>
      </c>
    </row>
    <row r="13" spans="1:20" x14ac:dyDescent="0.3">
      <c r="A13">
        <v>12</v>
      </c>
      <c r="B13" t="s">
        <v>1989</v>
      </c>
      <c r="C13">
        <v>12</v>
      </c>
      <c r="D13" t="s">
        <v>1452</v>
      </c>
      <c r="I13">
        <v>12</v>
      </c>
      <c r="J13" t="s">
        <v>2561</v>
      </c>
    </row>
    <row r="14" spans="1:20" x14ac:dyDescent="0.3">
      <c r="B14" t="s">
        <v>2236</v>
      </c>
      <c r="C14">
        <v>13</v>
      </c>
      <c r="D14" t="s">
        <v>1453</v>
      </c>
      <c r="I14">
        <v>13</v>
      </c>
      <c r="J14" t="s">
        <v>2770</v>
      </c>
    </row>
    <row r="15" spans="1:20" x14ac:dyDescent="0.3">
      <c r="C15">
        <v>14</v>
      </c>
      <c r="D15" t="s">
        <v>1454</v>
      </c>
      <c r="T15">
        <v>28122</v>
      </c>
    </row>
    <row r="16" spans="1:20" x14ac:dyDescent="0.3">
      <c r="C16">
        <v>15</v>
      </c>
      <c r="D16" t="s">
        <v>1756</v>
      </c>
    </row>
    <row r="17" spans="3:12" x14ac:dyDescent="0.3">
      <c r="C17">
        <v>16</v>
      </c>
      <c r="D17" t="s">
        <v>1758</v>
      </c>
    </row>
    <row r="18" spans="3:12" x14ac:dyDescent="0.3">
      <c r="C18">
        <v>17</v>
      </c>
      <c r="D18" t="s">
        <v>1800</v>
      </c>
    </row>
    <row r="19" spans="3:12" x14ac:dyDescent="0.3">
      <c r="C19">
        <v>18</v>
      </c>
      <c r="D19" t="s">
        <v>1815</v>
      </c>
      <c r="H19">
        <v>2830513</v>
      </c>
      <c r="L19">
        <v>2830506</v>
      </c>
    </row>
    <row r="20" spans="3:12" x14ac:dyDescent="0.3">
      <c r="C20">
        <v>19</v>
      </c>
      <c r="D20" t="s">
        <v>1999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2503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2504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2505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1280</v>
      </c>
      <c r="D1" s="111" t="s">
        <v>1281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1291</v>
      </c>
      <c r="D2" s="114" t="s">
        <v>1290</v>
      </c>
      <c r="E2" s="107"/>
    </row>
    <row r="3" spans="1:6" ht="49.5" x14ac:dyDescent="0.3">
      <c r="B3" s="103">
        <v>45737</v>
      </c>
      <c r="C3" s="104" t="s">
        <v>1282</v>
      </c>
      <c r="D3" s="113" t="s">
        <v>1297</v>
      </c>
    </row>
    <row r="4" spans="1:6" ht="33" x14ac:dyDescent="0.3">
      <c r="B4" s="103">
        <v>45737</v>
      </c>
      <c r="C4" s="104" t="s">
        <v>1283</v>
      </c>
      <c r="D4" s="113" t="s">
        <v>1287</v>
      </c>
    </row>
    <row r="5" spans="1:6" x14ac:dyDescent="0.3">
      <c r="B5" s="103">
        <v>45737</v>
      </c>
      <c r="C5" s="104" t="s">
        <v>1284</v>
      </c>
      <c r="D5" s="104" t="s">
        <v>1286</v>
      </c>
    </row>
    <row r="6" spans="1:6" x14ac:dyDescent="0.3">
      <c r="B6" s="103">
        <v>45737</v>
      </c>
      <c r="C6" s="104" t="s">
        <v>1284</v>
      </c>
      <c r="D6" s="104" t="s">
        <v>1289</v>
      </c>
    </row>
    <row r="7" spans="1:6" x14ac:dyDescent="0.3">
      <c r="B7" s="103">
        <v>45737</v>
      </c>
      <c r="C7" s="104" t="s">
        <v>1284</v>
      </c>
      <c r="D7" s="104" t="s">
        <v>1288</v>
      </c>
    </row>
    <row r="8" spans="1:6" x14ac:dyDescent="0.3">
      <c r="B8" s="103"/>
      <c r="D8" s="104" t="s">
        <v>1292</v>
      </c>
    </row>
    <row r="9" spans="1:6" x14ac:dyDescent="0.3">
      <c r="D9" s="104" t="s">
        <v>1298</v>
      </c>
    </row>
    <row r="10" spans="1:6" x14ac:dyDescent="0.3">
      <c r="D10" s="104" t="s">
        <v>1299</v>
      </c>
    </row>
    <row r="11" spans="1:6" ht="33" x14ac:dyDescent="0.3">
      <c r="B11" s="103">
        <v>45740</v>
      </c>
      <c r="C11" s="104" t="s">
        <v>1304</v>
      </c>
      <c r="D11" s="113" t="s">
        <v>1408</v>
      </c>
    </row>
    <row r="12" spans="1:6" x14ac:dyDescent="0.3">
      <c r="B12" s="103">
        <v>45740</v>
      </c>
      <c r="C12" s="104" t="s">
        <v>1409</v>
      </c>
      <c r="D12" s="104" t="s">
        <v>1407</v>
      </c>
    </row>
    <row r="13" spans="1:6" x14ac:dyDescent="0.3">
      <c r="C13" s="104" t="s">
        <v>1419</v>
      </c>
      <c r="D13" s="104" t="s">
        <v>1420</v>
      </c>
    </row>
    <row r="14" spans="1:6" x14ac:dyDescent="0.3">
      <c r="C14" s="104" t="s">
        <v>1422</v>
      </c>
      <c r="D14" s="104" t="s">
        <v>1423</v>
      </c>
    </row>
    <row r="15" spans="1:6" x14ac:dyDescent="0.3">
      <c r="B15" s="103">
        <v>45742</v>
      </c>
      <c r="C15" s="104" t="s">
        <v>1424</v>
      </c>
      <c r="D15" s="104" t="s">
        <v>1425</v>
      </c>
    </row>
    <row r="16" spans="1:6" x14ac:dyDescent="0.3">
      <c r="B16" s="103">
        <v>45742</v>
      </c>
      <c r="C16" s="104" t="s">
        <v>1426</v>
      </c>
      <c r="D16" s="104" t="s">
        <v>1427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2025-07-18T09:35:19Z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