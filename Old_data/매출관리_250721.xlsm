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D81C860-CF95-4B85-8760-8A9D9703600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" l="1"/>
  <c r="H75" i="1"/>
  <c r="H76" i="1"/>
  <c r="H77" i="1"/>
  <c r="H78" i="1"/>
  <c r="H79" i="1"/>
  <c r="H80" i="1"/>
  <c r="H81" i="1"/>
  <c r="H82" i="1"/>
  <c r="H83" i="1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<sst xmlns="http://schemas.openxmlformats.org/spreadsheetml/2006/main" count="7820" uniqueCount="3118">
  <si>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</si>
  <si>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</si>
  <si>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</si>
  <si>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</si>
  <si>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</si>
  <si>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</si>
  <si>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</si>
  <si>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</si>
  <si>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</si>
  <si>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</si>
  <si>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</si>
  <si>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</si>
  <si>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</si>
  <si>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</si>
  <si>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</si>
  <si>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</si>
  <si>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</si>
  <si>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</si>
  <si>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</si>
  <si>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</si>
  <si>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</si>
  <si>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</si>
  <si>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</si>
  <si>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</si>
  <si>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</si>
  <si>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</si>
  <si>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</si>
  <si>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</si>
  <si>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</si>
  <si>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</si>
  <si>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</si>
  <si>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</si>
  <si>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</si>
  <si>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</si>
  <si>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</si>
  <si>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</si>
  <si>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</si>
  <si>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</si>
  <si>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</si>
  <si>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</si>
  <si>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</si>
  <si>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</si>
  <si>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</si>
  <si>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</si>
  <si>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</si>
  <si>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</si>
  <si>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</si>
  <si>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</si>
  <si>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</si>
  <si>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</si>
  <si>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</si>
  <si>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</si>
  <si>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</si>
  <si>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</si>
  <si>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</si>
  <si>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</si>
  <si>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</si>
  <si>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</si>
  <si>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</si>
  <si>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</si>
  <si>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</si>
  <si>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</si>
  <si>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</si>
  <si>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</si>
  <si>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</si>
  <si>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</si>
  <si>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</si>
  <si>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</si>
  <si>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</si>
  <si>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</si>
  <si>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</si>
  <si>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</si>
  <si>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</si>
  <si>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</si>
  <si>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</si>
  <si>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</si>
  <si>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</si>
  <si>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</si>
  <si>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</si>
  <si>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</si>
  <si>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</si>
  <si>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</si>
  <si>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</si>
  <si>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</si>
  <si>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</si>
  <si>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</si>
  <si>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</si>
  <si>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</si>
  <si>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</si>
  <si>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</si>
  <si>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</si>
  <si>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</si>
  <si>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</si>
  <si>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</si>
  <si>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</si>
  <si>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</si>
  <si>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</si>
  <si>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</si>
  <si>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</si>
  <si>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</si>
  <si>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</si>
  <si>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</si>
  <si>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</si>
  <si>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</si>
  <si>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</si>
  <si>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</si>
  <si>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</si>
  <si>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</si>
  <si>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</si>
  <si>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</si>
  <si>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</si>
  <si>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</si>
  <si>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</si>
  <si>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</si>
  <si>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</si>
  <si>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</si>
  <si>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</si>
  <si>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</si>
  <si>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</si>
  <si>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</si>
  <si>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</si>
  <si>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</si>
  <si>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</si>
  <si>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</si>
  <si>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</si>
  <si>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</si>
  <si>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</si>
  <si>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</si>
  <si>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</si>
  <si>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</si>
  <si>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</si>
  <si>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</si>
  <si>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</si>
  <si>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</si>
  <si>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</si>
  <si>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</si>
  <si>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</si>
  <si>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</si>
  <si>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</si>
  <si>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</si>
  <si>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</si>
  <si>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</si>
  <si>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</si>
  <si>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</si>
  <si>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</si>
  <si>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</si>
  <si>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</si>
  <si>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</si>
  <si>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</si>
  <si>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</si>
  <si>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</si>
  <si>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</si>
  <si>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</si>
  <si>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</si>
  <si>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</si>
  <si>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</si>
  <si>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</si>
  <si>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</si>
  <si>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</si>
  <si>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</si>
  <si>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</si>
  <si>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</si>
  <si>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</si>
  <si>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</si>
  <si>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</si>
  <si>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</si>
  <si>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</si>
  <si>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</si>
  <si>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</si>
  <si>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</si>
  <si>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</si>
  <si>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</si>
  <si>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</si>
  <si>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</si>
  <si>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</si>
  <si>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</si>
  <si>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</si>
  <si>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</si>
  <si>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</si>
  <si>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</si>
  <si>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</si>
  <si>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</si>
  <si>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</si>
  <si>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</si>
  <si>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</si>
  <si>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</si>
  <si>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</si>
  <si>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</si>
  <si>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</si>
  <si>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</si>
  <si>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</si>
  <si>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</si>
  <si>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</si>
  <si>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</si>
  <si>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</si>
  <si>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</si>
  <si>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</si>
  <si>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</si>
  <si>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</si>
  <si>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</si>
  <si>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</si>
  <si>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</si>
  <si>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</si>
  <si>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</si>
  <si>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</si>
  <si>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</si>
  <si>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</si>
  <si>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</si>
  <si>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</si>
  <si>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</si>
  <si>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</si>
  <si>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</si>
  <si>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</si>
  <si>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</si>
  <si>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</si>
  <si>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</si>
  <si>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</si>
  <si>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</si>
  <si>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</si>
  <si>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</si>
  <si>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</si>
  <si>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</si>
  <si>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</si>
  <si>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</si>
  <si>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</si>
  <si>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</si>
  <si>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</si>
  <si>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</si>
  <si>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</si>
  <si>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</si>
  <si>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</si>
  <si>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</si>
  <si>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</si>
  <si>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</si>
  <si>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</si>
  <si>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</si>
  <si>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</si>
  <si>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</si>
  <si>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</si>
  <si>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</si>
  <si>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</si>
  <si>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</si>
  <si>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</si>
  <si>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</si>
  <si>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</si>
  <si>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</si>
  <si>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</si>
  <si>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</si>
  <si>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</si>
  <si>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</si>
  <si>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</si>
  <si>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</si>
  <si>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</si>
  <si>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</si>
  <si>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</si>
  <si>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</si>
  <si>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</si>
  <si>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</si>
  <si>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</si>
  <si>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</si>
  <si>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</si>
  <si>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</si>
  <si>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</si>
  <si>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</si>
  <si>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</si>
  <si>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</si>
  <si>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</si>
  <si>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</si>
  <si>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</si>
  <si>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</si>
  <si>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</si>
  <si>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</si>
  <si>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</si>
  <si>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</si>
  <si>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</si>
  <si>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</si>
  <si>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</si>
  <si>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</si>
  <si>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</si>
  <si>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</si>
  <si>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</si>
  <si>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</si>
  <si>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</si>
  <si>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</si>
  <si>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</si>
  <si>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</si>
  <si>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</si>
  <si>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</si>
  <si>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</si>
  <si>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</si>
  <si>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</si>
  <si>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</si>
  <si>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</si>
  <si>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</si>
  <si>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</si>
  <si>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</si>
  <si>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</si>
  <si>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</si>
  <si>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</si>
  <si>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</si>
  <si>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</si>
  <si>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</si>
  <si>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</si>
  <si>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</si>
  <si>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</si>
  <si>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</si>
  <si>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</si>
  <si>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</si>
  <si>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</si>
  <si>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</si>
  <si>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</si>
  <si>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</si>
  <si>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</si>
  <si>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</si>
  <si>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</si>
  <si>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</si>
  <si>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</si>
  <si>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</si>
  <si>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</si>
  <si>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</si>
  <si>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</si>
  <si>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</si>
  <si>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</si>
  <si>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</si>
  <si>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</si>
  <si>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</si>
  <si>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</si>
  <si>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</si>
  <si>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</si>
  <si>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</si>
  <si>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</si>
  <si>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</si>
  <si>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</si>
  <si>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</si>
  <si>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</si>
  <si>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</si>
  <si>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</si>
  <si>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</si>
  <si>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</si>
  <si>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</si>
  <si>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</si>
  <si>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</si>
  <si>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</si>
  <si>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</si>
  <si>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</si>
  <si>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</si>
  <si>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</si>
  <si>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</si>
  <si>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</si>
  <si>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</si>
  <si>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</si>
  <si>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</si>
  <si>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</si>
  <si>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</si>
  <si>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</si>
  <si>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</si>
  <si>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</si>
  <si>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</si>
  <si>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</si>
  <si>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</si>
  <si>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</si>
  <si>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</si>
  <si>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</si>
  <si>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</si>
  <si>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</si>
  <si>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</si>
  <si>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</si>
  <si>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</si>
  <si>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</si>
  <si>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</si>
  <si>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</si>
  <si>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</si>
  <si>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</si>
  <si>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</si>
  <si>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</si>
  <si>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</si>
  <si>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</si>
  <si>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</si>
  <si>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</si>
  <si>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</si>
  <si>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</si>
  <si>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</si>
  <si>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</si>
  <si>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</si>
  <si>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</si>
  <si>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</si>
  <si>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</si>
  <si>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</si>
  <si>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</si>
  <si>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</si>
  <si>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</si>
  <si>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</si>
  <si>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</si>
  <si>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</si>
  <si>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</si>
  <si>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</si>
  <si>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</si>
  <si>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</si>
  <si>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</si>
  <si>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</si>
  <si>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</si>
  <si>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</si>
  <si>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</si>
  <si>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</si>
  <si>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</si>
  <si>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</si>
  <si>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</si>
  <si>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</si>
  <si>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</si>
  <si>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</si>
  <si>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</si>
  <si>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</si>
  <si>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</si>
  <si>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</si>
  <si>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</si>
  <si>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</si>
  <si>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</si>
  <si>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</si>
  <si>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</si>
  <si>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</si>
  <si>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</si>
  <si>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</si>
  <si>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</si>
  <si>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</si>
  <si>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</si>
  <si>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</si>
  <si>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</si>
  <si>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</si>
  <si>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</si>
  <si>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</si>
  <si>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</si>
  <si>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</si>
  <si>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</si>
  <si>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</si>
  <si>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</si>
  <si>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</si>
  <si>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</si>
  <si>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</si>
  <si>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</si>
  <si>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</si>
  <si>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</si>
  <si>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</si>
  <si>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</si>
  <si>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</si>
  <si>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</si>
  <si>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</si>
  <si>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</si>
  <si>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</si>
  <si>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</si>
  <si>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</si>
  <si>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</si>
  <si>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</si>
  <si>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</si>
  <si>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</si>
  <si>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</si>
  <si>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</si>
  <si>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</si>
  <si>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</si>
  <si>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</si>
  <si>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</si>
  <si>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</si>
  <si>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</si>
  <si>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</si>
  <si>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</si>
  <si>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</si>
  <si>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</si>
  <si>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</si>
  <si>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</si>
  <si>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</si>
  <si>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</si>
  <si>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</si>
  <si>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</si>
  <si>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</si>
  <si>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</si>
  <si>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</si>
  <si>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</si>
  <si>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</si>
  <si>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</si>
  <si>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</si>
  <si>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</si>
  <si>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</si>
  <si>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</si>
  <si>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</si>
  <si>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</si>
  <si>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</si>
  <si>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</si>
  <si>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</si>
  <si>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</si>
  <si>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</si>
  <si>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</si>
  <si>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</si>
  <si>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</si>
  <si>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</si>
  <si>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</si>
  <si>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</si>
  <si>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</si>
  <si>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</si>
  <si>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</si>
  <si>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</si>
  <si>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</si>
  <si>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</si>
  <si>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</si>
  <si>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</si>
  <si>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</si>
  <si>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</si>
  <si>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</si>
  <si>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</si>
  <si>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</si>
  <si>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</si>
  <si>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</si>
  <si>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</si>
  <si>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</si>
  <si>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</si>
  <si>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</si>
  <si>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</si>
  <si>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</si>
  <si>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</si>
  <si>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</si>
  <si>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</si>
  <si>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</si>
  <si>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</si>
  <si>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</si>
  <si>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</si>
  <si>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</si>
  <si>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</si>
  <si>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</si>
  <si>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</si>
  <si>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</si>
  <si>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</si>
  <si>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</si>
  <si>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</si>
  <si>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</si>
  <si>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</si>
  <si>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</si>
  <si>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</si>
  <si>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</si>
  <si>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</si>
  <si>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</si>
  <si>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</si>
  <si>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</si>
  <si>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</si>
  <si>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</si>
  <si>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</si>
  <si>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</si>
  <si>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</si>
  <si>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</si>
  <si>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</si>
  <si>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</si>
  <si>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</si>
  <si>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</si>
  <si>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</si>
  <si>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</si>
  <si>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</si>
  <si>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</si>
  <si>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</si>
  <si>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</si>
  <si>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</si>
  <si>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</si>
  <si>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</si>
  <si>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</si>
  <si>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</si>
  <si>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</si>
  <si>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</si>
  <si>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</si>
  <si>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</si>
  <si>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</si>
  <si>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</si>
  <si>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</si>
  <si>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</si>
  <si>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</si>
  <si>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</si>
  <si>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</si>
  <si>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</si>
  <si>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</si>
  <si>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</si>
  <si>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</si>
  <si>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</si>
  <si>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</si>
  <si>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</si>
  <si>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</si>
  <si>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</si>
  <si>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</si>
  <si>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</si>
  <si>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</si>
  <si>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</si>
  <si>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</si>
  <si>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</si>
  <si>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</si>
  <si>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</si>
  <si>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</si>
  <si>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</si>
  <si>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</si>
  <si>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</si>
  <si>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</si>
  <si>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</si>
  <si>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</si>
  <si>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</si>
  <si>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</si>
  <si>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</si>
  <si>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</si>
  <si>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</si>
  <si>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</si>
  <si>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</si>
  <si>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</si>
  <si>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</si>
  <si>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</si>
  <si>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</si>
  <si>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</si>
  <si>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</si>
  <si>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</si>
  <si>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</si>
  <si>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</si>
  <si>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</si>
  <si>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</si>
  <si>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</si>
  <si>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</si>
  <si>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</si>
  <si>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</si>
  <si>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</si>
  <si>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</si>
  <si>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</si>
  <si>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</si>
  <si>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</si>
  <si>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</si>
  <si>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</si>
  <si>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</si>
  <si>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</si>
  <si>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</si>
  <si>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</si>
  <si>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</si>
  <si>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</si>
  <si>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</si>
  <si>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</si>
  <si>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</si>
  <si>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</si>
  <si>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</si>
  <si>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</si>
  <si>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</si>
  <si>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</si>
  <si>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</si>
  <si>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</si>
  <si>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</si>
  <si>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</si>
  <si>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</si>
  <si>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</si>
  <si>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</si>
  <si>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</si>
  <si>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</si>
  <si>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</si>
  <si>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</si>
  <si>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</si>
  <si>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</si>
  <si>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</si>
  <si>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</si>
  <si>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</si>
  <si>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</si>
  <si>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</si>
  <si>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</si>
  <si>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</si>
  <si>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</si>
  <si>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</si>
  <si>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</si>
  <si>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</si>
  <si>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</si>
  <si>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</si>
  <si>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</si>
  <si>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</si>
  <si>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</si>
  <si>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</si>
  <si>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</si>
  <si>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</si>
  <si>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</si>
  <si>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</si>
  <si>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</si>
  <si>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</si>
  <si>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</si>
  <si>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</si>
  <si>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</si>
  <si>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</si>
  <si>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</si>
  <si>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</si>
  <si>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</si>
  <si>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</si>
  <si>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</si>
  <si>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</si>
  <si>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</si>
  <si>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</si>
  <si>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</si>
  <si>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</si>
  <si>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</si>
  <si>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</si>
  <si>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</si>
  <si>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</si>
  <si>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</si>
  <si>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</si>
  <si>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</si>
  <si>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</si>
  <si>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</si>
  <si>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</si>
  <si>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</si>
  <si>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</si>
  <si>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</si>
  <si>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</si>
  <si>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</si>
  <si>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</si>
  <si>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</si>
  <si>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</si>
  <si>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</si>
  <si>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</si>
  <si>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</si>
  <si>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</si>
  <si>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</si>
  <si>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</si>
  <si>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</si>
  <si>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</si>
  <si>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</si>
  <si>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</si>
  <si>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</si>
  <si>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</si>
  <si>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</si>
  <si>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</si>
  <si>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</si>
  <si>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</si>
  <si>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</si>
  <si>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</si>
  <si>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</si>
  <si>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</si>
  <si>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</si>
  <si>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</si>
  <si>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</si>
  <si>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</si>
  <si>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</si>
  <si>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</si>
  <si>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</si>
  <si>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</si>
  <si>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</si>
  <si>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</si>
  <si>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</si>
  <si>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</si>
  <si>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</si>
  <si>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</si>
  <si>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</si>
  <si>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</si>
  <si>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</si>
  <si>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</si>
  <si>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</si>
  <si>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</si>
  <si>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</si>
  <si>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</si>
  <si>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</si>
  <si>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</si>
  <si>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</si>
  <si>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</si>
  <si>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</si>
  <si>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</si>
  <si>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</si>
  <si>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</si>
  <si>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</si>
  <si>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</si>
  <si>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</si>
  <si>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</si>
  <si>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</si>
  <si>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</si>
  <si>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</si>
  <si>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</si>
  <si>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</si>
  <si>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</si>
  <si>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</si>
  <si>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</si>
  <si>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</si>
  <si>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</si>
  <si>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</si>
  <si>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</si>
  <si>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</si>
  <si>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</si>
  <si>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</si>
  <si>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</si>
  <si>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</si>
  <si>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</si>
  <si>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</si>
  <si>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</si>
  <si>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</si>
  <si>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</si>
  <si>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</si>
  <si>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</si>
  <si>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</si>
  <si>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</si>
  <si>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</si>
  <si>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</si>
  <si>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</si>
  <si>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</si>
  <si>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</si>
  <si>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</si>
  <si>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</si>
  <si>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</si>
  <si>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</si>
  <si>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</si>
  <si>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</si>
  <si>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</si>
  <si>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</si>
  <si>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</si>
  <si>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</si>
  <si>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</si>
  <si>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</si>
  <si>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</si>
  <si>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</si>
  <si>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</si>
  <si>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</si>
  <si>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</si>
  <si>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</si>
  <si>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</si>
  <si>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</si>
  <si>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</si>
  <si>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</si>
  <si>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</si>
  <si>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</si>
  <si>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</si>
  <si>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</si>
  <si>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</si>
  <si>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</si>
  <si>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</si>
  <si>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</si>
  <si>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</si>
  <si>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</si>
  <si>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</si>
  <si>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</si>
  <si>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</si>
  <si>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</si>
  <si>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</si>
  <si>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</si>
  <si>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</si>
  <si>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</si>
  <si>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</si>
  <si>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</si>
  <si>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</si>
  <si>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</si>
  <si>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</si>
  <si>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</si>
  <si>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</si>
  <si>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</si>
  <si>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</si>
  <si>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</si>
  <si>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</si>
  <si>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</si>
  <si>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</si>
  <si>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</si>
  <si>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</si>
  <si>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</si>
  <si>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</si>
  <si>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</si>
  <si>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</si>
  <si>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</si>
  <si>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</si>
  <si>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</si>
  <si>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</si>
  <si>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</si>
  <si>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</si>
  <si>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</si>
  <si>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</si>
  <si>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</si>
  <si>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</si>
  <si>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</si>
  <si>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</si>
  <si>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</si>
  <si>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</si>
  <si>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</si>
  <si>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</si>
  <si>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</si>
  <si>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</si>
  <si>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</si>
  <si>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</si>
  <si>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</si>
  <si>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</si>
  <si>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</si>
  <si>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</si>
  <si>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</si>
  <si>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</si>
  <si>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</si>
  <si>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</si>
  <si>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</si>
  <si>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</si>
  <si>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</si>
  <si>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</si>
  <si>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</si>
  <si>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</si>
  <si>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</si>
  <si>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</si>
  <si>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</si>
  <si>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</si>
  <si>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</si>
  <si>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</si>
  <si>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</si>
  <si>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</si>
  <si>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</si>
  <si>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</si>
  <si>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</si>
  <si>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</si>
  <si>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</si>
  <si>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</si>
  <si>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</si>
  <si>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</si>
  <si>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</si>
  <si>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</si>
  <si>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</si>
  <si>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</si>
  <si>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</si>
  <si>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</si>
  <si>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</si>
  <si>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</si>
  <si>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</si>
  <si>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</si>
  <si>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</si>
  <si>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</si>
  <si>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</si>
  <si>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</si>
  <si>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</si>
  <si>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</si>
  <si>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</si>
  <si>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</si>
  <si>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</si>
  <si>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</si>
  <si>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</si>
  <si>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</si>
  <si>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</si>
  <si>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</si>
  <si>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</si>
  <si>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</si>
  <si>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</si>
  <si>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</si>
  <si>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</si>
  <si>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</si>
  <si>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</si>
  <si>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</si>
  <si>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</si>
  <si>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</si>
  <si>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</si>
  <si>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</si>
  <si>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</si>
  <si>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</si>
  <si>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</si>
  <si>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</si>
  <si>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</si>
  <si>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</si>
  <si>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</si>
  <si>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</si>
  <si>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</si>
  <si>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</si>
  <si>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</si>
  <si>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</si>
  <si>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</si>
  <si>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</si>
  <si>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</si>
  <si>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</si>
  <si>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</si>
  <si>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</si>
  <si>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</si>
  <si>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</si>
  <si>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</si>
  <si>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</si>
  <si>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</si>
  <si>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</si>
  <si>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</si>
  <si>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</si>
  <si>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</si>
  <si>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</si>
  <si>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</si>
  <si>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</si>
  <si>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</si>
  <si>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</si>
  <si>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</si>
  <si>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</si>
  <si>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</si>
  <si>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</si>
  <si>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</si>
  <si>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</si>
  <si>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</si>
  <si>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</si>
  <si>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</si>
  <si>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</si>
  <si>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</si>
  <si>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</si>
  <si>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</si>
  <si>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</si>
  <si>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</si>
  <si>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</si>
  <si>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</si>
  <si>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</si>
  <si>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</si>
  <si>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</si>
  <si>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</si>
  <si>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</si>
  <si>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</si>
  <si>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</si>
  <si>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</si>
  <si>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</si>
  <si>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</si>
  <si>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</si>
  <si>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</si>
  <si>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</si>
  <si>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</si>
  <si>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</si>
  <si>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</si>
  <si>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</si>
  <si>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</si>
  <si>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</si>
  <si>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</si>
  <si>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</si>
  <si>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</si>
  <si>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</si>
  <si>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</si>
  <si>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</si>
  <si>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</si>
  <si>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</si>
  <si>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</si>
  <si>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</si>
  <si>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</si>
  <si>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</si>
  <si>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</si>
  <si>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</si>
  <si>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</si>
  <si>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</si>
  <si>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</si>
  <si>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</si>
  <si>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</si>
  <si>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</si>
  <si>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</si>
  <si>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</si>
  <si>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</si>
  <si>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</si>
  <si>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</si>
  <si>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</si>
  <si>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</si>
  <si>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</si>
  <si>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</si>
  <si>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</si>
  <si>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</si>
  <si>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</si>
  <si>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</si>
  <si>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</si>
  <si>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</si>
  <si>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</si>
  <si>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</si>
  <si>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</si>
  <si>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</si>
  <si>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</si>
  <si>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</si>
  <si>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</si>
  <si>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</si>
  <si>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</si>
  <si>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</si>
  <si>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</si>
  <si>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</si>
  <si>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</si>
  <si>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</si>
  <si>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</si>
  <si>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</si>
  <si>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</si>
  <si>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</si>
  <si>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</si>
  <si>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</si>
  <si>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</si>
  <si>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</si>
  <si>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</si>
  <si>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</si>
  <si>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</si>
  <si>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</si>
  <si>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</si>
  <si>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</si>
  <si>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</si>
  <si>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</si>
  <si>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</si>
  <si>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</si>
  <si>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</si>
  <si>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</si>
  <si>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</si>
  <si>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</si>
  <si>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</si>
  <si>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</si>
  <si>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</si>
  <si>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</si>
  <si>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</si>
  <si>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</si>
  <si>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</si>
  <si>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</si>
  <si>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</si>
  <si>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</si>
  <si>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</si>
  <si>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</si>
  <si>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</si>
  <si>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</si>
  <si>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</si>
  <si>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</si>
  <si>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</si>
  <si>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</si>
  <si>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</si>
  <si>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</si>
  <si>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</si>
  <si>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</si>
  <si>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</si>
  <si>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</si>
  <si>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</si>
  <si>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</si>
  <si>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</si>
  <si>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</si>
  <si>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</si>
  <si>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</si>
  <si>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</si>
  <si>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</si>
  <si>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</si>
  <si>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</si>
  <si>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</si>
  <si>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</si>
  <si>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</si>
  <si>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</si>
  <si>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</si>
  <si>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</si>
  <si>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</si>
  <si>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</si>
  <si>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</si>
  <si>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</si>
  <si>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</si>
  <si>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</si>
  <si>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</si>
  <si>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</si>
  <si>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</si>
  <si>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</si>
  <si>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</si>
  <si>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</si>
  <si>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</si>
  <si>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</si>
  <si>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</si>
  <si>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</si>
  <si>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</si>
  <si>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</si>
  <si>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</si>
  <si>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</si>
  <si>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</si>
  <si>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</si>
  <si>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</si>
  <si>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</si>
  <si>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</si>
  <si>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</si>
  <si>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</si>
  <si>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</si>
  <si>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</si>
  <si>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</si>
  <si>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</si>
  <si>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</si>
  <si>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</si>
  <si>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</si>
  <si>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</si>
  <si>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</si>
  <si>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</si>
  <si>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</si>
  <si>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</si>
  <si>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</si>
  <si>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</si>
  <si>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</si>
  <si>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</si>
  <si>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</si>
  <si>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</si>
  <si>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</si>
  <si>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</si>
  <si>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</si>
  <si>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</si>
  <si>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</si>
  <si>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</si>
  <si>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</si>
  <si>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</si>
  <si>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</si>
  <si>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</si>
  <si>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</si>
  <si>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</si>
  <si>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</si>
  <si>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</si>
  <si>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</si>
  <si>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</si>
  <si>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</si>
  <si>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</si>
  <si>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</si>
  <si>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</si>
  <si>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</si>
  <si>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</si>
  <si>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</si>
  <si>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</si>
  <si>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</si>
  <si>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</si>
  <si>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</si>
  <si>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</si>
  <si>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</si>
  <si>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</si>
  <si>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</si>
  <si>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</si>
  <si>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</si>
  <si>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</si>
  <si>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</si>
  <si>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</si>
  <si>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</si>
  <si>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</si>
  <si>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</si>
  <si>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</si>
  <si>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</si>
  <si>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</si>
  <si>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</si>
  <si>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</si>
  <si>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</si>
  <si>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</si>
  <si>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</si>
  <si>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</si>
  <si>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</si>
  <si>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</si>
  <si>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</si>
  <si>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</si>
  <si>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</si>
  <si>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</si>
  <si>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</si>
  <si>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</si>
  <si>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</si>
  <si>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</si>
  <si>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</si>
  <si>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</si>
  <si>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</si>
  <si>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</si>
  <si>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</si>
  <si>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</si>
  <si>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</si>
  <si>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</si>
  <si>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</si>
  <si>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</si>
  <si>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</si>
  <si>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</si>
  <si>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</si>
  <si>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</si>
  <si>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</si>
  <si>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</si>
  <si>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</si>
  <si>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</si>
  <si>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</si>
  <si>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</si>
  <si>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</si>
  <si>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</si>
  <si>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</si>
  <si>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</si>
  <si>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</si>
  <si>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</si>
  <si>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</si>
  <si>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</si>
  <si>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</si>
  <si>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</si>
  <si>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</si>
  <si>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</si>
  <si>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</si>
  <si>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</si>
  <si>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</si>
  <si>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</si>
  <si>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</si>
  <si>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</si>
  <si>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</si>
  <si>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</si>
  <si>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</si>
  <si>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</si>
  <si>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</si>
  <si>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</si>
  <si>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</si>
  <si>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</si>
  <si>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</si>
  <si>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</si>
  <si>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</si>
  <si>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</si>
  <si>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</si>
  <si>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</si>
  <si>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</si>
  <si>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</si>
  <si>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</si>
  <si>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</si>
  <si>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</si>
  <si>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</si>
  <si>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</si>
  <si>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</si>
  <si>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</si>
  <si>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</si>
  <si>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</si>
  <si>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</si>
  <si>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</si>
  <si>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</si>
  <si>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</si>
  <si>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</si>
  <si>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</si>
  <si>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</si>
  <si>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</si>
  <si>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</si>
  <si>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</si>
  <si>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</si>
  <si>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</si>
  <si>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</si>
  <si>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</si>
  <si>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</si>
  <si>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</si>
  <si>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</si>
  <si>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</si>
  <si>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</si>
  <si>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</si>
  <si>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</si>
  <si>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</si>
  <si>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</si>
  <si>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</si>
  <si>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</si>
  <si>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</si>
  <si>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</si>
  <si>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</si>
  <si>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</si>
  <si>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</si>
  <si>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</si>
  <si>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</si>
  <si>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</si>
  <si>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</si>
  <si>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</si>
  <si>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</si>
  <si>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</si>
  <si>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</si>
  <si>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</si>
  <si>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</si>
  <si>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</si>
  <si>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</si>
  <si>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</si>
  <si>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</si>
  <si>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</si>
  <si>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</si>
  <si>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</si>
  <si>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</si>
  <si>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</si>
  <si>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</si>
  <si>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</si>
  <si>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</si>
  <si>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</si>
  <si>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</si>
  <si>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</si>
  <si>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</si>
  <si>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</si>
  <si>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</si>
  <si>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</si>
  <si>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</si>
  <si>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</si>
  <si>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</si>
  <si>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</si>
  <si>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</si>
  <si>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</si>
  <si>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</si>
  <si>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</si>
  <si>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</si>
  <si>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</si>
  <si>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</si>
  <si>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</si>
  <si>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</si>
  <si>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</si>
  <si>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</si>
  <si>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</si>
  <si>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</si>
  <si>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</si>
  <si>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</si>
  <si>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</si>
  <si>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</si>
  <si>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</si>
  <si>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</si>
  <si>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</si>
  <si>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</si>
  <si>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</si>
  <si>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</si>
  <si>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</si>
  <si>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</si>
  <si>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</si>
  <si>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</si>
  <si>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</si>
  <si>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</si>
  <si>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</si>
  <si>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</si>
  <si>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</si>
  <si>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</si>
  <si>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</si>
  <si>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</si>
  <si>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</si>
  <si>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</si>
  <si>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</si>
  <si>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</si>
  <si>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</si>
  <si>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</si>
  <si>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</si>
  <si>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</si>
  <si>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</si>
  <si>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</si>
  <si>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</si>
  <si>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</si>
  <si>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</si>
  <si>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</si>
  <si>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</si>
  <si>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</si>
  <si>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</si>
  <si>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</si>
  <si>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</si>
  <si>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</si>
  <si>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</si>
  <si>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</si>
  <si>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</si>
  <si>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</si>
  <si>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</si>
  <si>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</si>
  <si>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</si>
  <si>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</si>
  <si>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</si>
  <si>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</si>
  <si>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</si>
  <si>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</si>
  <si>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</si>
  <si>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</si>
  <si>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</si>
  <si>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</si>
  <si>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</si>
  <si>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</si>
  <si>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</si>
  <si>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</si>
  <si>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</si>
  <si>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</si>
  <si>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</si>
  <si>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</si>
  <si>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</si>
  <si>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</si>
  <si>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</si>
  <si>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</si>
  <si>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</si>
  <si>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</si>
  <si>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</si>
  <si>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</si>
  <si>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</si>
  <si>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</si>
  <si>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</si>
  <si>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</si>
  <si>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</si>
  <si>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</si>
  <si>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</si>
  <si>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</si>
  <si>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</si>
  <si>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</si>
  <si>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</si>
  <si>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</si>
  <si>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</si>
  <si>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</si>
  <si>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</si>
  <si>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</si>
  <si>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</si>
  <si>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</si>
  <si>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</si>
  <si>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</si>
  <si>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</si>
  <si>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</si>
  <si>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</si>
  <si>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</si>
  <si>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</si>
  <si>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</si>
  <si>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</si>
  <si>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</si>
  <si>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</si>
  <si>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</si>
  <si>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</si>
  <si>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</si>
  <si>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</si>
  <si>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</si>
  <si>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</si>
  <si>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</si>
  <si>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</si>
  <si>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</si>
  <si>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</si>
  <si>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</si>
  <si>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</si>
  <si>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</si>
  <si>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</si>
  <si>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</si>
  <si>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</si>
  <si>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</si>
  <si>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</si>
  <si>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</si>
  <si>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</si>
  <si>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</si>
  <si>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</si>
  <si>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</si>
  <si>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</si>
  <si>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</si>
  <si>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</si>
  <si>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</si>
  <si>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</si>
  <si>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</si>
  <si>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</si>
  <si>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</si>
  <si>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</si>
  <si>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</si>
  <si>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</si>
  <si>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</si>
  <si>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</si>
  <si>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</si>
  <si>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</si>
  <si>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</si>
  <si>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</si>
  <si>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</si>
  <si>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</si>
  <si>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</si>
  <si>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</si>
  <si>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</si>
  <si>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</si>
  <si>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</si>
  <si>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</si>
  <si>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</si>
  <si>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</si>
  <si>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</si>
  <si>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</si>
  <si>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</si>
  <si>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</si>
  <si>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</si>
  <si>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</si>
  <si>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</si>
  <si>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</si>
  <si>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</si>
  <si>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</si>
  <si>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</si>
  <si>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</si>
  <si>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</si>
  <si>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</si>
  <si>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</si>
  <si>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</si>
  <si>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</si>
  <si>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</si>
  <si>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</si>
  <si>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</si>
  <si>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</si>
  <si>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</si>
  <si>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</si>
  <si>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</si>
  <si>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</si>
  <si>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</si>
  <si>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</si>
  <si>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</si>
  <si>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</si>
  <si>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</si>
  <si>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</si>
  <si>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</si>
  <si>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</si>
  <si>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</si>
  <si>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</si>
  <si>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</si>
  <si>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</si>
  <si>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</si>
  <si>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</si>
  <si>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</si>
  <si>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</si>
  <si>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</si>
  <si>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</si>
  <si>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</si>
  <si>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</si>
  <si>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</si>
  <si>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</si>
  <si>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</si>
  <si>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</si>
  <si>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</si>
  <si>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</si>
  <si>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</si>
  <si>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</si>
  <si>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</si>
  <si>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</si>
  <si>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</si>
  <si>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</si>
  <si>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</si>
  <si>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</si>
  <si>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</si>
  <si>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</si>
  <si>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</si>
  <si>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</si>
  <si>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</si>
  <si>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</si>
  <si>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</si>
  <si>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</si>
  <si>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</si>
  <si>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</si>
  <si>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</si>
  <si>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</si>
  <si>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</si>
  <si>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</si>
  <si>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</si>
  <si>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</si>
  <si>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</si>
  <si>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</si>
  <si>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</si>
  <si>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</si>
  <si>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</si>
  <si>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</si>
  <si>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</si>
  <si>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</si>
  <si>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</si>
  <si>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</si>
  <si>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</si>
  <si>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</si>
  <si>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</si>
  <si>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</si>
  <si>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</si>
  <si>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</si>
  <si>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</si>
  <si>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</si>
  <si>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</si>
  <si>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</si>
  <si>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</si>
  <si>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</si>
  <si>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</si>
  <si>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</si>
  <si>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</si>
  <si>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</si>
  <si>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</si>
  <si>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</si>
  <si>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</si>
  <si>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</si>
  <si>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</si>
  <si>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</si>
  <si>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</si>
  <si>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</si>
  <si>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</si>
  <si>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</si>
  <si>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</si>
  <si>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</si>
  <si>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</si>
  <si>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</si>
  <si>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</si>
  <si>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</si>
  <si>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</si>
  <si>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</si>
  <si>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</si>
  <si>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</si>
  <si>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</si>
  <si>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</si>
  <si>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</si>
  <si>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</si>
  <si>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</si>
  <si>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</si>
  <si>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</si>
  <si>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</si>
  <si>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</si>
  <si>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</si>
  <si>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</si>
  <si>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</si>
  <si>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</si>
  <si>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</si>
  <si>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</si>
  <si>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</si>
  <si>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</si>
  <si>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</si>
  <si>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</si>
  <si>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</si>
  <si>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</si>
  <si>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</si>
  <si>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</si>
  <si>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</si>
  <si>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</si>
  <si>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</si>
  <si>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</si>
  <si>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</si>
  <si>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</si>
  <si>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</si>
  <si>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</si>
  <si>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</si>
  <si>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</si>
  <si>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</si>
  <si>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</si>
  <si>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</si>
  <si>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</si>
  <si>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</si>
  <si>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</si>
  <si>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</si>
  <si>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</si>
  <si>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</si>
  <si>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</si>
  <si>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</si>
  <si>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</si>
  <si>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</si>
  <si>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</si>
  <si>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</si>
  <si>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</si>
  <si>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</si>
  <si>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</si>
  <si>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</si>
  <si>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</si>
  <si>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</si>
  <si>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</si>
  <si>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</si>
  <si>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</si>
  <si>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</si>
  <si>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</si>
  <si>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</si>
  <si>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</si>
  <si>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</si>
  <si>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</si>
  <si>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</si>
  <si>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</si>
  <si>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</si>
  <si>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</si>
  <si>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</si>
  <si>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</si>
  <si>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</si>
  <si>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</si>
  <si>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</si>
  <si>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</si>
  <si>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</si>
  <si>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</si>
  <si>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</si>
  <si>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</si>
  <si>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</si>
  <si>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</si>
  <si>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</si>
  <si>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</si>
  <si>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</si>
  <si>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</si>
  <si>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</si>
  <si>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</si>
  <si>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</si>
  <si>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</si>
  <si>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</si>
  <si>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</si>
  <si>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</si>
  <si>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</si>
  <si>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</si>
  <si>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</si>
  <si>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</si>
  <si>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</si>
  <si>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</si>
  <si>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</si>
  <si>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</si>
  <si>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</si>
  <si>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</si>
  <si>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</si>
  <si>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</si>
  <si>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</si>
  <si>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</si>
  <si>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</si>
  <si>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</si>
  <si>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</si>
  <si>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</si>
  <si>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</si>
  <si>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</si>
  <si>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</si>
  <si>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</si>
  <si>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</si>
  <si>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</si>
  <si>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</si>
  <si>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</si>
  <si>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</si>
  <si>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</si>
  <si>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</si>
  <si>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</si>
  <si>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</si>
  <si>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</si>
  <si>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</si>
  <si>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</si>
  <si>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</si>
  <si>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</si>
  <si>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</si>
  <si>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</si>
  <si>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</si>
  <si>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</si>
  <si>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</si>
  <si>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</si>
  <si>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</si>
  <si>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</si>
  <si>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</si>
  <si>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</si>
  <si>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</si>
  <si>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</si>
  <si>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</si>
  <si>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</si>
  <si>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</si>
  <si>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</si>
  <si>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</si>
  <si>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</si>
  <si>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</si>
  <si>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</si>
  <si>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</si>
  <si>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</si>
  <si>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</si>
  <si>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</si>
  <si>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</si>
  <si>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</si>
  <si>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</si>
  <si>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</si>
  <si>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</si>
  <si>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</si>
  <si>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</si>
  <si>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</si>
  <si>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</si>
  <si>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</si>
  <si>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</si>
  <si>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</si>
  <si>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</si>
  <si>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</si>
  <si>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</si>
  <si>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</si>
  <si>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</si>
  <si>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</si>
  <si>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</si>
  <si>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</si>
  <si>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</si>
  <si>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</si>
  <si>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</si>
  <si>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</si>
  <si>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</si>
  <si>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</si>
  <si>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</si>
  <si>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</si>
  <si>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</si>
  <si>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</si>
  <si>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</si>
  <si>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</si>
  <si>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</si>
  <si>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</si>
  <si>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</si>
  <si>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</si>
  <si>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</si>
  <si>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</si>
  <si>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</si>
  <si>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</si>
  <si>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</si>
  <si>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</si>
  <si>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</si>
  <si>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</si>
  <si>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</si>
  <si>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</si>
  <si>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</si>
  <si>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</si>
  <si>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</si>
  <si>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</si>
  <si>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</si>
  <si>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</si>
  <si>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</si>
  <si>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</si>
  <si>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</si>
  <si>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</si>
  <si>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</si>
  <si>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</si>
  <si>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</si>
  <si>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</si>
  <si>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</si>
  <si>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</si>
  <si>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</si>
  <si>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</si>
  <si>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</si>
  <si>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</si>
  <si>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</si>
  <si>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</si>
  <si>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</si>
  <si>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</si>
  <si>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</si>
  <si>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</si>
  <si>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</si>
  <si>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</si>
  <si>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</si>
  <si>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</si>
  <si>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</si>
  <si>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</si>
  <si>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</si>
  <si>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</si>
  <si>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</si>
  <si>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</si>
  <si>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</si>
  <si>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</si>
  <si>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</si>
  <si>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</si>
  <si>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</si>
  <si>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</si>
  <si>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</si>
  <si>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</si>
  <si>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</si>
  <si>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</si>
  <si>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</si>
  <si>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</si>
  <si>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</si>
  <si>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</si>
  <si>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</si>
  <si>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</si>
  <si>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</si>
  <si>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</si>
  <si>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</si>
  <si>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</si>
  <si>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</si>
  <si>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</si>
  <si>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</si>
  <si>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</si>
  <si>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</si>
  <si>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</si>
  <si>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</si>
  <si>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</si>
  <si>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</si>
  <si>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</si>
  <si>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</si>
  <si>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</si>
  <si>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</si>
  <si>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</si>
  <si>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</si>
  <si>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</si>
  <si>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</si>
  <si>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</si>
  <si>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</si>
  <si>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</si>
  <si>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</si>
  <si>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</si>
  <si>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</si>
  <si>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</si>
  <si>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</si>
  <si>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</si>
  <si>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</si>
  <si>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</si>
  <si>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</si>
  <si>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</si>
  <si>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</si>
  <si>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</si>
  <si>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</si>
  <si>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</si>
  <si>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</si>
  <si>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</si>
  <si>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</si>
  <si>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</si>
  <si>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</si>
  <si>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</si>
  <si>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</si>
  <si>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</si>
  <si>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</si>
  <si>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</si>
  <si>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</si>
  <si>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</si>
  <si>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</si>
  <si>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</si>
  <si>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</si>
  <si>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</si>
  <si>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</si>
  <si>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</si>
  <si>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</si>
  <si>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</si>
  <si>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</si>
  <si>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</si>
  <si>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</si>
  <si>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</si>
  <si>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</si>
  <si>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</si>
  <si>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</si>
  <si>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</si>
  <si>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</si>
  <si>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</si>
  <si>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</si>
  <si>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</si>
  <si>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</si>
  <si>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</si>
  <si>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</si>
  <si>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</si>
  <si>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</si>
  <si>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</si>
  <si>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</si>
  <si>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</si>
  <si>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</si>
  <si>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</si>
  <si>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</si>
  <si>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</si>
  <si>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</si>
  <si>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</si>
  <si>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</si>
  <si>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</si>
  <si>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</si>
  <si>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</si>
  <si>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</si>
  <si>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</si>
  <si>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</si>
  <si>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</si>
  <si>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</si>
  <si>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</si>
  <si>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</si>
  <si>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</si>
  <si>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</si>
  <si>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</si>
  <si>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</si>
  <si>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</si>
  <si>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</si>
  <si>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</si>
  <si>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</si>
  <si>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</si>
  <si>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</si>
  <si>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</si>
  <si>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</si>
  <si>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</si>
  <si>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</si>
  <si>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</si>
  <si>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</si>
  <si>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</si>
  <si>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</si>
  <si>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</si>
  <si>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</si>
  <si>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</si>
  <si>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</si>
  <si>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</si>
  <si>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</si>
  <si>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</si>
  <si>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</si>
  <si>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</si>
  <si>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</si>
  <si>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</si>
  <si>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</si>
  <si>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</si>
  <si>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</si>
  <si>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</si>
  <si>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</si>
  <si>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</si>
  <si>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</si>
  <si>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</si>
  <si>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</si>
  <si>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</si>
  <si>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</si>
  <si>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</si>
  <si>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</si>
  <si>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</si>
  <si>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</si>
  <si>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</si>
  <si>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</si>
  <si>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</si>
  <si>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</si>
  <si>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</si>
  <si>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</si>
  <si>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</si>
  <si>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</si>
  <si>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</si>
  <si>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</si>
  <si>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</si>
  <si>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</si>
  <si>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</si>
  <si>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</si>
  <si>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</si>
  <si>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</si>
  <si>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</si>
  <si>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</si>
  <si>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</si>
  <si>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</si>
  <si>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</si>
  <si>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</si>
  <si>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</si>
  <si>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</si>
  <si>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</si>
  <si>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</si>
  <si>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</si>
  <si>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</si>
  <si>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</si>
  <si>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</si>
  <si>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</si>
  <si>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</si>
  <si>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</si>
  <si>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</si>
  <si>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</si>
  <si>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</si>
  <si>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</si>
  <si>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</si>
  <si>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</si>
  <si>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</si>
  <si>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</si>
  <si>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</si>
  <si>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</si>
  <si>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</si>
  <si>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</si>
  <si>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</si>
  <si>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</si>
  <si>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</si>
  <si>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</si>
  <si>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</si>
  <si>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</si>
  <si>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</si>
  <si>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</si>
  <si>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</si>
  <si>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</si>
  <si>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</si>
  <si>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</si>
  <si>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</si>
  <si>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</si>
  <si>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</si>
  <si>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</si>
  <si>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</si>
  <si>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</si>
  <si>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</si>
  <si>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</si>
  <si>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</si>
  <si>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</si>
  <si>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</si>
  <si>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</si>
  <si>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</si>
  <si>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</si>
  <si>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</si>
  <si>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</si>
  <si>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</si>
  <si>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</si>
  <si>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</si>
  <si>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</si>
  <si>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</si>
  <si>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</si>
  <si>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</si>
  <si>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</si>
  <si>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</si>
  <si>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</si>
  <si>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</si>
  <si>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</si>
  <si>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</si>
  <si>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</si>
  <si>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</si>
  <si>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</si>
  <si>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</si>
  <si>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</si>
  <si>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</si>
  <si>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</si>
  <si>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</si>
  <si>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</si>
  <si>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</si>
  <si>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</si>
  <si>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</si>
  <si>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</si>
  <si>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</si>
  <si>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</si>
  <si>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</si>
  <si>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</si>
  <si>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</si>
  <si>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</si>
  <si>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</si>
  <si>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</si>
  <si>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</si>
  <si>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</si>
  <si>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</si>
  <si>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</si>
  <si>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</si>
  <si>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</si>
  <si>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</si>
  <si>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</si>
  <si>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</si>
  <si>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</si>
  <si>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</si>
  <si>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</si>
  <si>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</si>
  <si>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</si>
  <si>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</si>
  <si>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</si>
  <si>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</si>
  <si>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</si>
  <si>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</si>
  <si>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</si>
  <si>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</si>
  <si>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</si>
  <si>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</si>
  <si>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</si>
  <si>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</si>
  <si>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</si>
  <si>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</si>
  <si>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</si>
  <si>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</si>
  <si>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</si>
  <si>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</si>
  <si>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</si>
  <si>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</si>
  <si>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</si>
  <si>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</si>
  <si>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</si>
  <si>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</si>
  <si>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</si>
  <si>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</si>
  <si>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</si>
  <si>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</si>
  <si>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</si>
  <si>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</si>
  <si>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</si>
  <si>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</si>
  <si>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</si>
  <si>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</si>
  <si>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</si>
  <si>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</si>
  <si>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</si>
  <si>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</si>
  <si>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</si>
  <si>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</si>
  <si>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</si>
  <si>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</si>
  <si>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</si>
  <si>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</si>
  <si>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</si>
  <si>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</si>
  <si>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</si>
  <si>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</si>
  <si>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</si>
  <si>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</si>
  <si>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</si>
  <si>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</si>
  <si>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</si>
  <si>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</si>
  <si>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</si>
  <si>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</si>
  <si>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</si>
  <si>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</si>
  <si>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</si>
  <si>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</si>
  <si>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</si>
  <si>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</si>
  <si>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</si>
  <si>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</si>
  <si>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</si>
  <si>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</si>
  <si>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</si>
  <si>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</si>
  <si>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</si>
  <si>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</si>
  <si>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</si>
  <si>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</si>
  <si>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</si>
  <si>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</si>
  <si>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</si>
  <si>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</si>
  <si>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</si>
  <si>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</si>
  <si>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</si>
  <si>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</si>
  <si>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</si>
  <si>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</si>
  <si>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</si>
  <si>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</si>
  <si>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</si>
  <si>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</si>
  <si>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</si>
  <si>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</si>
  <si>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</si>
  <si>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</si>
  <si>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</si>
  <si>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</si>
  <si>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</si>
  <si>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</si>
  <si>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</si>
  <si>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</si>
  <si>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</si>
  <si>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</si>
  <si>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</si>
  <si>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</si>
  <si>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</si>
  <si>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</si>
  <si>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</si>
  <si>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</si>
  <si>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</si>
  <si>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</si>
  <si>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</si>
  <si>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</si>
  <si>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</si>
  <si>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</si>
  <si>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</si>
  <si>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</si>
  <si>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</si>
  <si>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</si>
  <si>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</si>
  <si>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</si>
  <si>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</si>
  <si>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</si>
  <si>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</si>
  <si>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</si>
  <si>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</si>
  <si>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</si>
  <si>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</si>
  <si>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</si>
  <si>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</si>
  <si>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</si>
  <si>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</si>
  <si>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</si>
  <si>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</si>
  <si>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</si>
  <si>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</si>
  <si>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</si>
  <si>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</si>
  <si>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</si>
  <si>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</si>
  <si>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</si>
  <si>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</si>
  <si>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</si>
  <si>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</si>
  <si>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</si>
  <si>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</si>
  <si>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</si>
  <si>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</si>
  <si>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</si>
  <si>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</si>
  <si>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</si>
  <si>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</si>
  <si>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</si>
  <si>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</si>
  <si>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</si>
  <si>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</si>
  <si>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</si>
  <si>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</si>
  <si>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</si>
  <si>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</si>
  <si>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</si>
  <si>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</si>
  <si>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</si>
  <si>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</si>
  <si>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</si>
  <si>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</si>
  <si>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</si>
  <si>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</si>
  <si>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</si>
  <si>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</si>
  <si>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</si>
  <si>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</si>
  <si>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</si>
  <si>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</si>
  <si>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</si>
  <si>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</si>
  <si>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</si>
  <si>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</si>
  <si>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</si>
  <si>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</si>
  <si>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</si>
  <si>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</si>
  <si>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</si>
  <si>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</si>
  <si>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</si>
  <si>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</si>
  <si>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</si>
  <si>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</si>
  <si>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</si>
  <si>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</si>
  <si>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</si>
  <si>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</si>
  <si>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</si>
  <si>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</si>
  <si>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</si>
  <si>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</si>
  <si>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</si>
  <si>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</si>
  <si>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</si>
  <si>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</si>
  <si>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</si>
  <si>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</si>
  <si>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</si>
  <si>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</si>
  <si>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</si>
  <si>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</si>
  <si>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</si>
  <si>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</si>
  <si>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</si>
  <si>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</si>
  <si>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</si>
  <si>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</si>
  <si>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</si>
  <si>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</si>
  <si>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</si>
  <si>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</si>
  <si>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</si>
  <si>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</si>
  <si>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</si>
  <si>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</si>
  <si>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</si>
  <si>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</si>
  <si>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</si>
  <si>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</si>
  <si>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</si>
  <si>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</si>
  <si>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</si>
  <si>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</si>
  <si>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</si>
  <si>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</si>
  <si>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</si>
  <si>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</si>
  <si>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</si>
  <si>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</si>
  <si>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</si>
  <si>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</si>
  <si>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</si>
  <si>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</si>
  <si>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</si>
  <si>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</si>
  <si>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</si>
  <si>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</si>
  <si>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</si>
  <si>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</si>
  <si>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</si>
  <si>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</si>
  <si>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</si>
  <si>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</si>
  <si>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</si>
  <si>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</si>
  <si>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</si>
  <si>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</si>
  <si>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</si>
  <si>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</si>
  <si>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</si>
  <si>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</si>
  <si>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</si>
  <si>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</si>
  <si>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</si>
  <si>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</si>
  <si>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</si>
  <si>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</si>
  <si>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</si>
  <si>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</si>
  <si>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</si>
  <si>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</si>
  <si>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</si>
  <si>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</si>
  <si>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</si>
  <si>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</si>
  <si>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</si>
  <si>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</si>
  <si>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</si>
  <si>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</si>
  <si>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</si>
  <si>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</si>
  <si>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</si>
  <si>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</si>
  <si>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</si>
  <si>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</si>
  <si>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</si>
  <si>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</si>
  <si>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</si>
  <si>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</si>
  <si>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</si>
  <si>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</si>
  <si>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</si>
  <si>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</si>
  <si>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</si>
  <si>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</si>
  <si>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</si>
  <si>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</si>
  <si>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</si>
  <si>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</si>
  <si>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</si>
  <si>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</si>
  <si>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</si>
  <si>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</si>
  <si>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</si>
  <si>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</si>
  <si>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</si>
  <si>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</si>
  <si>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</si>
  <si>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</si>
  <si>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</si>
  <si>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</si>
  <si>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</si>
  <si>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</si>
  <si>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</si>
  <si>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</si>
  <si>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</si>
  <si>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</si>
  <si>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</si>
  <si>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</si>
  <si>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</si>
  <si>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</si>
  <si>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</si>
  <si>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</si>
  <si>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</si>
  <si>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</si>
  <si>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</si>
  <si>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</si>
  <si>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</si>
  <si>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</si>
  <si>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</si>
  <si>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</si>
  <si>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</si>
  <si>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</si>
  <si>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</si>
  <si>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</si>
  <si>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</si>
  <si>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</si>
  <si>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</si>
  <si>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</si>
  <si>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</si>
  <si>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</si>
  <si>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</si>
  <si>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</si>
  <si>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</si>
  <si>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</si>
  <si>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</si>
  <si>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</si>
  <si>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</si>
  <si>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</si>
  <si>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</si>
  <si>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</si>
  <si>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</si>
  <si>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</si>
  <si>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</si>
  <si>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</si>
  <si>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</si>
  <si>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</si>
  <si>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</si>
  <si>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</si>
  <si>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</si>
  <si>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</si>
  <si>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</si>
  <si>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</si>
  <si>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</si>
  <si>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</si>
  <si>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</si>
  <si>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</si>
  <si>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</si>
  <si>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</si>
  <si>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</si>
  <si>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</si>
  <si>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</si>
  <si>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</si>
  <si>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</si>
  <si>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</si>
  <si>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</si>
  <si>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</si>
  <si>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</si>
  <si>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</si>
  <si>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</si>
  <si>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</si>
  <si>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</si>
  <si>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</si>
  <si>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</si>
  <si>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</si>
  <si>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</si>
  <si>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</si>
  <si>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</si>
  <si>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</si>
  <si>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</si>
  <si>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</si>
  <si>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</si>
  <si>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</si>
  <si>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</si>
  <si>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</si>
  <si>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</si>
  <si>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</si>
  <si>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</si>
  <si>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</si>
  <si>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</si>
  <si>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</si>
  <si>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</si>
  <si>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</si>
  <si>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</si>
  <si>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</si>
  <si>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</si>
  <si>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</si>
  <si>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</si>
  <si>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</si>
  <si>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</si>
  <si>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</si>
  <si>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</si>
  <si>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</si>
  <si>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</si>
  <si>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</si>
  <si>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</si>
  <si>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</si>
  <si>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</si>
  <si>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</si>
  <si>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</si>
  <si>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</si>
  <si>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</si>
  <si>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</si>
  <si>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</si>
  <si>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</si>
  <si>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</si>
  <si>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</si>
  <si>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</si>
  <si>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</si>
  <si>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</si>
  <si>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</si>
  <si>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</si>
  <si>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</si>
  <si>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</si>
  <si>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</si>
  <si>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</si>
  <si>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</si>
  <si>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</si>
  <si>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</si>
  <si>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</si>
  <si>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</si>
  <si>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</si>
  <si>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</si>
  <si>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</si>
  <si>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</si>
  <si>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</si>
  <si>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</si>
  <si>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</si>
  <si>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</si>
  <si>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</si>
  <si>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</si>
  <si>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</si>
  <si>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</si>
  <si>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</si>
  <si>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</si>
  <si>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</si>
  <si>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</si>
  <si>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</si>
  <si>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</si>
  <si>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</si>
  <si>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</si>
  <si>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</si>
  <si>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</si>
  <si>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</si>
  <si>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</si>
  <si>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</si>
  <si>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</si>
  <si>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</si>
  <si>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</si>
  <si>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</si>
  <si>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</si>
  <si>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</si>
  <si>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</si>
  <si>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</si>
  <si>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</si>
  <si>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</si>
  <si>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</si>
  <si>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</si>
  <si>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</si>
  <si>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</si>
  <si>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</si>
  <si>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</si>
  <si>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</si>
  <si>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</si>
  <si>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</si>
  <si>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</si>
  <si>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</si>
  <si>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</si>
  <si>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</si>
  <si>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</si>
  <si>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</si>
  <si>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</si>
  <si>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</si>
  <si>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</si>
  <si>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</si>
  <si>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</si>
  <si>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</si>
  <si>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</si>
  <si>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</si>
  <si>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</si>
  <si>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</si>
  <si>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</si>
  <si>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</si>
  <si>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</si>
  <si>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</si>
  <si>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</si>
  <si>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</si>
  <si>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</si>
  <si>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</si>
  <si>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</si>
  <si>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</si>
  <si>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</si>
  <si>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</si>
  <si>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</si>
  <si>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</si>
  <si>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</si>
  <si>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</si>
  <si>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</si>
  <si>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</si>
  <si>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</si>
  <si>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</si>
  <si>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</si>
  <si>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</si>
  <si>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</si>
  <si>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</si>
  <si>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</si>
  <si>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</si>
  <si>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</si>
  <si>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</si>
  <si>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</si>
  <si>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</si>
  <si>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</si>
  <si>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</si>
  <si>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</si>
  <si>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</si>
  <si>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</si>
  <si>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</si>
  <si>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</si>
  <si>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</si>
  <si>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</si>
  <si>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</si>
  <si>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</si>
  <si>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</si>
  <si>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</si>
  <si>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</si>
  <si>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</si>
  <si>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</si>
  <si>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</si>
  <si>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</si>
  <si>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</si>
  <si>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</si>
  <si>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</si>
  <si>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</si>
  <si>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</si>
  <si>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</si>
  <si>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</si>
  <si>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</si>
  <si>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</si>
  <si>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</si>
  <si>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</si>
  <si>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</si>
  <si>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</si>
  <si>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</si>
  <si>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</si>
  <si>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</si>
  <si>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</si>
  <si>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</si>
  <si>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</si>
  <si>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</si>
  <si>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</si>
  <si>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</si>
  <si>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</si>
  <si>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</si>
  <si>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</si>
  <si>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</si>
  <si>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</si>
  <si>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</si>
  <si>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</si>
  <si>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</si>
  <si>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</si>
  <si>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</si>
  <si>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</si>
  <si>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</si>
  <si>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</si>
  <si>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</si>
  <si>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</si>
  <si>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</si>
  <si>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</si>
  <si>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</si>
  <si>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</si>
  <si>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</si>
  <si>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</si>
  <si>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</si>
  <si>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</si>
  <si>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</si>
  <si>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</si>
  <si>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</si>
  <si>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</si>
  <si>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</si>
  <si>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</si>
  <si>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</si>
  <si>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</si>
  <si>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</si>
  <si>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</si>
  <si>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</si>
  <si>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</si>
  <si>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</si>
  <si>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</si>
  <si>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</si>
  <si>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</si>
  <si>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</si>
  <si>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</si>
  <si>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</si>
  <si>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</si>
  <si>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</si>
  <si>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</si>
  <si>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</si>
  <si>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</si>
  <si>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</si>
  <si>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</si>
  <si>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</si>
  <si>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</si>
  <si>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</si>
  <si>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</si>
  <si>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</si>
  <si>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</si>
  <si>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</si>
  <si>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</si>
  <si>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</si>
  <si>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</si>
  <si>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</si>
  <si>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</si>
  <si>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</si>
  <si>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</si>
  <si>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</si>
  <si>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</si>
  <si>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</si>
  <si>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</si>
  <si>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</si>
  <si>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</si>
  <si>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</si>
  <si>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</si>
  <si>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</si>
  <si>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</si>
  <si>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</si>
  <si>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</si>
  <si>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</si>
  <si>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</si>
  <si>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</si>
  <si>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</si>
  <si>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</si>
  <si>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</si>
  <si>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</si>
  <si>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</si>
  <si>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</si>
  <si>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</si>
  <si>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</si>
  <si>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</si>
  <si>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</si>
  <si>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</si>
  <si>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</si>
  <si>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</si>
  <si>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</si>
  <si>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</si>
  <si>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</si>
  <si>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</si>
  <si>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</si>
  <si>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</si>
  <si>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</si>
  <si>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</si>
  <si>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</si>
  <si>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</si>
  <si>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</si>
  <si>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</si>
  <si>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</si>
  <si>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</si>
  <si>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</si>
  <si>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</si>
  <si>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</si>
  <si>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</si>
  <si>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</si>
  <si>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</si>
  <si>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</si>
  <si>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</si>
  <si>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</si>
  <si>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</si>
  <si>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</si>
  <si>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</si>
  <si>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</si>
  <si>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</si>
  <si>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</si>
  <si>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</si>
  <si>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</si>
  <si>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</si>
  <si>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</si>
  <si>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</si>
  <si>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</si>
  <si>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</si>
  <si>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</si>
  <si>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</si>
  <si>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</si>
  <si>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</si>
  <si>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</si>
  <si>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</si>
  <si>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</si>
  <si>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</si>
  <si>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</si>
  <si>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</si>
  <si>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</si>
  <si>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</si>
  <si>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</si>
  <si>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</si>
  <si>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</si>
  <si>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</si>
  <si>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</si>
  <si>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</si>
  <si>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</si>
  <si>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</si>
  <si>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</si>
  <si>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</si>
  <si>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</si>
  <si>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</si>
  <si>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</si>
  <si>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</si>
  <si>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</si>
  <si>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</si>
  <si>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</si>
  <si>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</si>
  <si>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</si>
  <si>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</si>
  <si>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</si>
  <si>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</si>
  <si>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</si>
  <si>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</si>
  <si>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</si>
  <si>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</si>
  <si>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</si>
  <si>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</si>
  <si>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</si>
  <si>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</si>
  <si>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</si>
  <si>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</si>
  <si>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</si>
  <si>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</si>
  <si>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</si>
  <si>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</si>
  <si>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</si>
  <si>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</si>
  <si>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</si>
  <si>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</si>
  <si>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</si>
  <si>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</si>
  <si>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</si>
  <si>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</si>
  <si>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</si>
  <si>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</si>
  <si>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</si>
  <si>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</si>
  <si>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</si>
  <si>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</si>
  <si>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</si>
  <si>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</si>
  <si>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</si>
  <si>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</si>
  <si>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</si>
  <si>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</si>
  <si>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</si>
  <si>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</si>
  <si>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</si>
  <si>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</si>
  <si>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</si>
  <si>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</si>
  <si>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</si>
  <si>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</si>
  <si>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</si>
  <si>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</si>
  <si>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</si>
  <si>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</si>
  <si>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</si>
  <si>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</si>
  <si>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</si>
  <si>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</si>
  <si>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</si>
  <si>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</si>
  <si>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</si>
  <si>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</si>
  <si>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</si>
  <si>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</si>
  <si>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</si>
  <si>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</si>
  <si>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</si>
  <si>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</si>
  <si>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</si>
  <si>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</si>
  <si>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</si>
  <si>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</si>
  <si>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</si>
  <si>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</si>
  <si>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</si>
  <si>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</si>
  <si>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</si>
  <si>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</si>
  <si>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</si>
  <si>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</si>
  <si>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</si>
  <si>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</si>
  <si>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</si>
  <si>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</si>
  <si>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</si>
  <si>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</si>
  <si>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</si>
  <si>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</si>
  <si>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</si>
  <si>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</si>
  <si>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</si>
  <si>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</si>
  <si>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</si>
  <si>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</si>
  <si>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</si>
  <si>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</si>
  <si>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</si>
  <si>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</si>
  <si>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</si>
  <si>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</si>
  <si>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</si>
  <si>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</si>
  <si>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</si>
  <si>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</si>
  <si>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</si>
  <si>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</si>
  <si>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</si>
  <si>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</si>
  <si>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</si>
  <si>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</si>
  <si>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</si>
  <si>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</si>
  <si>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</si>
  <si>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</si>
  <si>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</si>
  <si>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</si>
  <si>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</si>
  <si>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</si>
  <si>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</si>
  <si>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</si>
  <si>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</si>
  <si>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</si>
  <si>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</si>
  <si>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</si>
  <si>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</si>
  <si>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</si>
  <si>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</si>
  <si>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</si>
  <si>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</si>
  <si>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</si>
  <si>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</si>
  <si>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</si>
  <si>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</si>
  <si>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</si>
  <si>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</si>
  <si>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</si>
  <si>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</si>
  <si>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</si>
  <si>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</si>
  <si>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</si>
  <si>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</si>
  <si>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</si>
  <si>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</si>
  <si>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</si>
  <si>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</si>
  <si>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</si>
  <si>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</si>
  <si>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</si>
  <si>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</si>
  <si>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</si>
  <si>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</si>
  <si>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</si>
  <si>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</si>
  <si>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</si>
  <si>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</si>
  <si>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</si>
  <si>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</si>
  <si>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</si>
  <si>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</si>
  <si>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</si>
  <si>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</si>
  <si>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</si>
  <si>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</si>
  <si>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</si>
  <si>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</si>
  <si>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</si>
  <si>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</si>
  <si>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</si>
  <si>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</si>
  <si>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</si>
  <si>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</si>
  <si>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</si>
  <si>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</si>
  <si>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</si>
  <si>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</si>
  <si>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</si>
  <si>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</si>
  <si>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</si>
  <si>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</si>
  <si>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</si>
  <si>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</si>
  <si>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</si>
  <si>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</si>
  <si>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</si>
  <si>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</si>
  <si>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</si>
  <si>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</si>
  <si>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</si>
  <si>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</si>
  <si>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</si>
  <si>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</si>
  <si>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</si>
  <si>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</si>
  <si>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</si>
  <si>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</si>
  <si>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</si>
  <si>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</si>
  <si>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</si>
  <si>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</si>
  <si>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</si>
  <si>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</si>
  <si>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</si>
  <si>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</si>
  <si>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</si>
  <si>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</si>
  <si>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</si>
  <si>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</si>
  <si>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</si>
  <si>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</si>
  <si>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</si>
  <si>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</si>
  <si>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</si>
  <si>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</si>
  <si>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</si>
  <si>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</si>
  <si>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</si>
  <si>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</si>
  <si>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</si>
  <si>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</si>
  <si>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</si>
  <si>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</si>
  <si>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</si>
  <si>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</si>
  <si>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</si>
  <si>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</si>
  <si>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</si>
  <si>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</si>
  <si>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</si>
  <si>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</si>
  <si>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</si>
  <si>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</si>
  <si>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</si>
  <si>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</si>
  <si>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</si>
  <si>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</si>
  <si>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</si>
  <si>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</si>
  <si>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</si>
  <si>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</si>
  <si>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</si>
  <si>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</si>
  <si>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</si>
  <si>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</si>
  <si>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</si>
  <si>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</si>
  <si>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</si>
  <si>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</si>
  <si>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</si>
  <si>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</si>
  <si>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</si>
  <si>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</si>
  <si>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농협 3520106511413</t>
    <phoneticPr fontId="2" type="noConversion"/>
  </si>
  <si>
    <t>2025-07-21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</si>
  <si>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</si>
  <si>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</si>
  <si>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</si>
  <si>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</si>
  <si>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</si>
  <si>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</si>
  <si>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</si>
  <si>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</si>
  <si>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010-8248-5056</t>
    <phoneticPr fontId="2" type="noConversion"/>
  </si>
  <si>
    <t>DME_Clone</t>
    <phoneticPr fontId="2" type="noConversion"/>
  </si>
  <si>
    <t>이시아오토(대구)_250721_165754.xlsx</t>
  </si>
  <si>
    <t>이시아오토(대구)_250721_165754.xlsx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</si>
</sst>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6010000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4290000</c:v>
                </c:pt>
                <c:pt idx="8">
                  <c:v>3100000</c:v>
                </c:pt>
                <c:pt idx="9">
                  <c:v>2950000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5</c:v>
                      </c:pt>
                      <c:pt idx="4">
                        <c:v>7</c:v>
                      </c:pt>
                      <c:pt idx="5">
                        <c:v>8</c:v>
                      </c:pt>
                      <c:pt idx="6">
                        <c:v>4</c:v>
                      </c:pt>
                      <c:pt idx="7">
                        <c:v>6</c:v>
                      </c:pt>
                      <c:pt idx="8">
                        <c:v>11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2439</v>
      </c>
    </row>
    <row r="4" spans="14:17" x14ac:dyDescent="0.3">
      <c r="Q4" s="99" t="s">
        <v>3056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2439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2439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1662</v>
      </c>
      <c r="D1" s="187" t="s">
        <v>40</v>
      </c>
      <c r="E1" s="187" t="s">
        <v>1663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2053</v>
      </c>
      <c r="D2" t="s">
        <v>2047</v>
      </c>
      <c r="E2" s="233">
        <v>21000</v>
      </c>
    </row>
    <row r="3" spans="1:7" x14ac:dyDescent="0.3">
      <c r="A3">
        <v>2</v>
      </c>
      <c r="B3" s="13">
        <v>45747</v>
      </c>
      <c r="C3" t="s">
        <v>2054</v>
      </c>
      <c r="D3" t="s">
        <v>2051</v>
      </c>
      <c r="E3" s="233">
        <v>48210</v>
      </c>
    </row>
    <row r="4" spans="1:7" x14ac:dyDescent="0.3">
      <c r="A4">
        <v>3</v>
      </c>
      <c r="B4" s="13">
        <v>45749</v>
      </c>
      <c r="C4" t="s">
        <v>2050</v>
      </c>
      <c r="D4" t="s">
        <v>2050</v>
      </c>
      <c r="E4" s="233">
        <v>16600</v>
      </c>
      <c r="F4" t="s">
        <v>2055</v>
      </c>
    </row>
    <row r="5" spans="1:7" x14ac:dyDescent="0.3">
      <c r="A5">
        <v>4</v>
      </c>
      <c r="B5" s="13">
        <v>45749</v>
      </c>
      <c r="C5" t="s">
        <v>1676</v>
      </c>
      <c r="D5" t="s">
        <v>2048</v>
      </c>
      <c r="E5">
        <v>19500</v>
      </c>
    </row>
    <row r="6" spans="1:7" x14ac:dyDescent="0.3">
      <c r="A6">
        <v>5</v>
      </c>
      <c r="B6" s="13">
        <v>45749</v>
      </c>
      <c r="C6" t="s">
        <v>2050</v>
      </c>
      <c r="D6" t="s">
        <v>1673</v>
      </c>
      <c r="E6">
        <v>8000</v>
      </c>
      <c r="F6" t="s">
        <v>2056</v>
      </c>
    </row>
    <row r="7" spans="1:7" x14ac:dyDescent="0.3">
      <c r="A7">
        <v>6</v>
      </c>
      <c r="B7" s="13">
        <v>45750</v>
      </c>
      <c r="C7" t="s">
        <v>1676</v>
      </c>
      <c r="D7" t="s">
        <v>2048</v>
      </c>
      <c r="E7">
        <v>22000</v>
      </c>
    </row>
    <row r="8" spans="1:7" x14ac:dyDescent="0.3">
      <c r="A8">
        <v>7</v>
      </c>
      <c r="B8" s="13">
        <v>45751</v>
      </c>
      <c r="C8" t="s">
        <v>1732</v>
      </c>
      <c r="D8" t="s">
        <v>2048</v>
      </c>
      <c r="E8">
        <v>7900</v>
      </c>
    </row>
    <row r="9" spans="1:7" x14ac:dyDescent="0.3">
      <c r="A9">
        <v>8</v>
      </c>
      <c r="B9" s="13">
        <v>45751</v>
      </c>
      <c r="C9" t="s">
        <v>1748</v>
      </c>
      <c r="D9" t="s">
        <v>2048</v>
      </c>
      <c r="E9">
        <v>5400</v>
      </c>
      <c r="F9" t="s">
        <v>1749</v>
      </c>
    </row>
    <row r="10" spans="1:7" x14ac:dyDescent="0.3">
      <c r="A10">
        <v>9</v>
      </c>
      <c r="B10" s="13">
        <v>45754</v>
      </c>
      <c r="C10" t="s">
        <v>1553</v>
      </c>
      <c r="D10" t="s">
        <v>2050</v>
      </c>
      <c r="E10">
        <v>8000</v>
      </c>
      <c r="F10" t="s">
        <v>1790</v>
      </c>
    </row>
    <row r="11" spans="1:7" x14ac:dyDescent="0.3">
      <c r="A11">
        <v>10</v>
      </c>
      <c r="B11" s="13">
        <v>45754</v>
      </c>
      <c r="C11" t="s">
        <v>1676</v>
      </c>
      <c r="D11" t="s">
        <v>2048</v>
      </c>
      <c r="E11">
        <v>11000</v>
      </c>
    </row>
    <row r="12" spans="1:7" x14ac:dyDescent="0.3">
      <c r="A12">
        <v>11</v>
      </c>
      <c r="B12" s="13">
        <v>45754</v>
      </c>
      <c r="C12" t="s">
        <v>1661</v>
      </c>
      <c r="D12" t="s">
        <v>2052</v>
      </c>
      <c r="E12">
        <v>47970</v>
      </c>
    </row>
    <row r="13" spans="1:7" x14ac:dyDescent="0.3">
      <c r="A13">
        <v>12</v>
      </c>
      <c r="B13" s="13">
        <v>45755</v>
      </c>
      <c r="C13" t="s">
        <v>1748</v>
      </c>
      <c r="D13" t="s">
        <v>2048</v>
      </c>
      <c r="E13">
        <v>5400</v>
      </c>
      <c r="F13" t="s">
        <v>1841</v>
      </c>
    </row>
    <row r="14" spans="1:7" x14ac:dyDescent="0.3">
      <c r="A14">
        <v>13</v>
      </c>
      <c r="B14" s="13">
        <v>45756</v>
      </c>
      <c r="C14" t="s">
        <v>1867</v>
      </c>
      <c r="D14" t="s">
        <v>2049</v>
      </c>
      <c r="E14">
        <v>44600</v>
      </c>
    </row>
    <row r="15" spans="1:7" x14ac:dyDescent="0.3">
      <c r="A15">
        <v>14</v>
      </c>
      <c r="B15" s="13">
        <v>45756</v>
      </c>
      <c r="C15" t="s">
        <v>1676</v>
      </c>
      <c r="D15" t="s">
        <v>2048</v>
      </c>
      <c r="E15">
        <v>11000</v>
      </c>
    </row>
    <row r="16" spans="1:7" x14ac:dyDescent="0.3">
      <c r="A16">
        <v>15</v>
      </c>
      <c r="B16" s="13">
        <v>45758</v>
      </c>
      <c r="C16" t="s">
        <v>1732</v>
      </c>
      <c r="D16" t="s">
        <v>2048</v>
      </c>
      <c r="E16">
        <v>7900</v>
      </c>
    </row>
    <row r="17" spans="1:6" x14ac:dyDescent="0.3">
      <c r="A17">
        <v>16</v>
      </c>
      <c r="B17" s="13">
        <v>45762</v>
      </c>
      <c r="C17" t="s">
        <v>1661</v>
      </c>
      <c r="D17" t="s">
        <v>2052</v>
      </c>
      <c r="E17">
        <v>47550</v>
      </c>
    </row>
    <row r="18" spans="1:6" x14ac:dyDescent="0.3">
      <c r="A18">
        <v>17</v>
      </c>
      <c r="B18" s="13">
        <v>45762</v>
      </c>
      <c r="C18" t="s">
        <v>1661</v>
      </c>
      <c r="D18" t="s">
        <v>2052</v>
      </c>
      <c r="E18">
        <v>5000</v>
      </c>
      <c r="F18" t="s">
        <v>1927</v>
      </c>
    </row>
    <row r="19" spans="1:6" x14ac:dyDescent="0.3">
      <c r="A19">
        <v>18</v>
      </c>
      <c r="B19" s="13">
        <v>45762</v>
      </c>
      <c r="C19" t="s">
        <v>1928</v>
      </c>
      <c r="D19" t="s">
        <v>2048</v>
      </c>
      <c r="E19">
        <v>40600</v>
      </c>
    </row>
    <row r="20" spans="1:6" x14ac:dyDescent="0.3">
      <c r="A20">
        <v>19</v>
      </c>
      <c r="B20" s="13">
        <v>45771</v>
      </c>
      <c r="C20" t="s">
        <v>1661</v>
      </c>
      <c r="D20" t="s">
        <v>2052</v>
      </c>
      <c r="E20">
        <v>47550</v>
      </c>
    </row>
    <row r="21" spans="1:6" x14ac:dyDescent="0.3">
      <c r="A21">
        <v>20</v>
      </c>
      <c r="B21" s="13">
        <v>45771</v>
      </c>
      <c r="C21" t="s">
        <v>2017</v>
      </c>
      <c r="D21" t="s">
        <v>2052</v>
      </c>
      <c r="E21">
        <v>5000</v>
      </c>
      <c r="F21" t="s">
        <v>1927</v>
      </c>
    </row>
    <row r="22" spans="1:6" x14ac:dyDescent="0.3">
      <c r="A22">
        <v>21</v>
      </c>
      <c r="B22" s="13">
        <v>45772</v>
      </c>
      <c r="C22" t="s">
        <v>1553</v>
      </c>
      <c r="D22" t="s">
        <v>2050</v>
      </c>
      <c r="E22">
        <v>7000</v>
      </c>
      <c r="F22" t="s">
        <v>2035</v>
      </c>
    </row>
    <row r="23" spans="1:6" x14ac:dyDescent="0.3">
      <c r="A23">
        <v>22</v>
      </c>
      <c r="B23" s="13">
        <v>45775</v>
      </c>
      <c r="C23" t="s">
        <v>2043</v>
      </c>
      <c r="D23" t="s">
        <v>2048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2050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2107</v>
      </c>
      <c r="D25" t="s">
        <v>1823</v>
      </c>
      <c r="E25">
        <v>2000</v>
      </c>
      <c r="F25" t="s">
        <v>2108</v>
      </c>
    </row>
    <row r="26" spans="1:6" x14ac:dyDescent="0.3">
      <c r="A26">
        <v>25</v>
      </c>
      <c r="B26" s="13">
        <v>45778</v>
      </c>
      <c r="C26" t="s">
        <v>2107</v>
      </c>
      <c r="D26" t="s">
        <v>1823</v>
      </c>
      <c r="E26">
        <v>2000</v>
      </c>
      <c r="F26" t="s">
        <v>2108</v>
      </c>
    </row>
    <row r="27" spans="1:6" x14ac:dyDescent="0.3">
      <c r="A27">
        <v>26</v>
      </c>
      <c r="B27" s="13">
        <v>45777</v>
      </c>
      <c r="C27" t="s">
        <v>2110</v>
      </c>
      <c r="D27" t="s">
        <v>2047</v>
      </c>
      <c r="E27">
        <v>32000</v>
      </c>
    </row>
    <row r="28" spans="1:6" x14ac:dyDescent="0.3">
      <c r="A28">
        <v>27</v>
      </c>
      <c r="B28" s="13">
        <v>45778</v>
      </c>
      <c r="C28" t="s">
        <v>2043</v>
      </c>
      <c r="D28" t="s">
        <v>2047</v>
      </c>
      <c r="E28" s="233">
        <v>8000</v>
      </c>
    </row>
    <row r="29" spans="1:6" x14ac:dyDescent="0.3">
      <c r="A29">
        <v>28</v>
      </c>
      <c r="B29" s="13">
        <v>45779</v>
      </c>
      <c r="C29" t="s">
        <v>2107</v>
      </c>
      <c r="D29" t="s">
        <v>1823</v>
      </c>
      <c r="E29">
        <v>6000</v>
      </c>
      <c r="F29" t="s">
        <v>2113</v>
      </c>
    </row>
    <row r="30" spans="1:6" x14ac:dyDescent="0.3">
      <c r="A30">
        <v>29</v>
      </c>
      <c r="B30" s="13">
        <v>45779</v>
      </c>
      <c r="C30" t="s">
        <v>2124</v>
      </c>
      <c r="D30" t="s">
        <v>2046</v>
      </c>
      <c r="E30">
        <v>74100</v>
      </c>
      <c r="F30" t="s">
        <v>2125</v>
      </c>
    </row>
    <row r="31" spans="1:6" x14ac:dyDescent="0.3">
      <c r="A31">
        <v>30</v>
      </c>
      <c r="B31" s="13">
        <v>45780</v>
      </c>
      <c r="C31" t="s">
        <v>2122</v>
      </c>
      <c r="D31" t="s">
        <v>2046</v>
      </c>
      <c r="E31">
        <v>7000</v>
      </c>
      <c r="F31" t="s">
        <v>2123</v>
      </c>
    </row>
    <row r="32" spans="1:6" x14ac:dyDescent="0.3">
      <c r="A32">
        <v>31</v>
      </c>
      <c r="B32" s="13">
        <v>45780</v>
      </c>
      <c r="C32" t="s">
        <v>2107</v>
      </c>
      <c r="D32" t="s">
        <v>1823</v>
      </c>
      <c r="E32">
        <v>7000</v>
      </c>
      <c r="F32" t="s">
        <v>1935</v>
      </c>
    </row>
    <row r="33" spans="1:6" x14ac:dyDescent="0.3">
      <c r="A33">
        <v>32</v>
      </c>
      <c r="B33" s="13">
        <v>45784</v>
      </c>
      <c r="C33" t="s">
        <v>1676</v>
      </c>
      <c r="D33" t="s">
        <v>2047</v>
      </c>
      <c r="E33">
        <v>9500</v>
      </c>
    </row>
    <row r="34" spans="1:6" x14ac:dyDescent="0.3">
      <c r="A34">
        <v>33</v>
      </c>
      <c r="B34" s="13">
        <v>45785</v>
      </c>
      <c r="C34" t="s">
        <v>2169</v>
      </c>
      <c r="D34" t="s">
        <v>2047</v>
      </c>
      <c r="E34">
        <v>14000</v>
      </c>
    </row>
    <row r="35" spans="1:6" x14ac:dyDescent="0.3">
      <c r="A35">
        <v>34</v>
      </c>
      <c r="B35" s="13">
        <v>45786</v>
      </c>
      <c r="C35" t="s">
        <v>2169</v>
      </c>
      <c r="D35" t="s">
        <v>2047</v>
      </c>
      <c r="E35">
        <v>14000</v>
      </c>
    </row>
    <row r="36" spans="1:6" x14ac:dyDescent="0.3">
      <c r="A36">
        <v>35</v>
      </c>
      <c r="B36" s="13">
        <v>45789</v>
      </c>
      <c r="C36" t="s">
        <v>2107</v>
      </c>
      <c r="D36" t="s">
        <v>1823</v>
      </c>
      <c r="E36">
        <v>2000</v>
      </c>
      <c r="F36" t="s">
        <v>2171</v>
      </c>
    </row>
    <row r="37" spans="1:6" x14ac:dyDescent="0.3">
      <c r="A37">
        <v>36</v>
      </c>
      <c r="B37" s="13">
        <v>45789</v>
      </c>
      <c r="C37" t="s">
        <v>2107</v>
      </c>
      <c r="D37" t="s">
        <v>1823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2169</v>
      </c>
      <c r="D39" t="s">
        <v>2047</v>
      </c>
      <c r="E39">
        <v>14000</v>
      </c>
    </row>
    <row r="40" spans="1:6" x14ac:dyDescent="0.3">
      <c r="A40">
        <v>39</v>
      </c>
      <c r="B40" s="13">
        <v>45790</v>
      </c>
      <c r="C40" t="s">
        <v>1748</v>
      </c>
      <c r="D40" t="s">
        <v>2047</v>
      </c>
      <c r="E40">
        <v>9600</v>
      </c>
    </row>
    <row r="41" spans="1:6" x14ac:dyDescent="0.3">
      <c r="A41">
        <v>40</v>
      </c>
      <c r="B41" s="13">
        <v>45790</v>
      </c>
      <c r="C41" t="s">
        <v>2224</v>
      </c>
      <c r="D41" t="s">
        <v>2050</v>
      </c>
      <c r="E41">
        <v>7000</v>
      </c>
      <c r="F41" t="s">
        <v>2225</v>
      </c>
    </row>
    <row r="42" spans="1:6" x14ac:dyDescent="0.3">
      <c r="A42">
        <v>41</v>
      </c>
      <c r="B42" s="13">
        <v>45790</v>
      </c>
      <c r="C42" t="s">
        <v>2222</v>
      </c>
      <c r="D42" t="s">
        <v>1823</v>
      </c>
      <c r="E42">
        <v>14000</v>
      </c>
      <c r="F42" t="s">
        <v>2223</v>
      </c>
    </row>
    <row r="43" spans="1:6" x14ac:dyDescent="0.3">
      <c r="A43">
        <v>42</v>
      </c>
      <c r="B43" s="13">
        <v>45791</v>
      </c>
      <c r="C43" t="s">
        <v>2107</v>
      </c>
      <c r="D43" t="s">
        <v>1823</v>
      </c>
      <c r="E43">
        <v>6000</v>
      </c>
      <c r="F43" t="s">
        <v>2226</v>
      </c>
    </row>
    <row r="44" spans="1:6" x14ac:dyDescent="0.3">
      <c r="A44">
        <v>43</v>
      </c>
      <c r="B44" s="13">
        <v>45791</v>
      </c>
      <c r="C44" t="s">
        <v>2107</v>
      </c>
      <c r="D44" t="s">
        <v>1823</v>
      </c>
      <c r="E44">
        <v>6000</v>
      </c>
      <c r="F44" t="s">
        <v>2227</v>
      </c>
    </row>
    <row r="45" spans="1:6" x14ac:dyDescent="0.3">
      <c r="A45">
        <v>44</v>
      </c>
      <c r="B45" s="13">
        <v>45791</v>
      </c>
      <c r="C45" t="s">
        <v>2230</v>
      </c>
      <c r="D45" t="s">
        <v>2051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1673</v>
      </c>
      <c r="E46">
        <v>7000</v>
      </c>
      <c r="F46" t="s">
        <v>2221</v>
      </c>
    </row>
    <row r="47" spans="1:6" x14ac:dyDescent="0.3">
      <c r="A47">
        <v>46</v>
      </c>
      <c r="B47" s="13">
        <v>45791</v>
      </c>
      <c r="C47" t="s">
        <v>2107</v>
      </c>
      <c r="D47" t="s">
        <v>1823</v>
      </c>
      <c r="E47">
        <v>4100</v>
      </c>
      <c r="F47" t="s">
        <v>2226</v>
      </c>
    </row>
    <row r="48" spans="1:6" x14ac:dyDescent="0.3">
      <c r="A48">
        <v>47</v>
      </c>
      <c r="B48" s="13">
        <v>45792</v>
      </c>
      <c r="C48" t="s">
        <v>2107</v>
      </c>
      <c r="D48" t="s">
        <v>1823</v>
      </c>
      <c r="E48">
        <v>6000</v>
      </c>
      <c r="F48" t="s">
        <v>2262</v>
      </c>
    </row>
    <row r="49" spans="1:6" x14ac:dyDescent="0.3">
      <c r="A49">
        <v>48</v>
      </c>
      <c r="B49" s="13">
        <v>45793</v>
      </c>
      <c r="C49" t="s">
        <v>1748</v>
      </c>
      <c r="D49" t="s">
        <v>2047</v>
      </c>
      <c r="E49">
        <v>5400</v>
      </c>
    </row>
    <row r="50" spans="1:6" x14ac:dyDescent="0.3">
      <c r="A50">
        <v>49</v>
      </c>
      <c r="B50" s="13">
        <v>45794</v>
      </c>
      <c r="C50" t="s">
        <v>2290</v>
      </c>
      <c r="D50" t="s">
        <v>1823</v>
      </c>
      <c r="E50">
        <v>8000</v>
      </c>
      <c r="F50" t="s">
        <v>2291</v>
      </c>
    </row>
    <row r="51" spans="1:6" x14ac:dyDescent="0.3">
      <c r="A51">
        <v>50</v>
      </c>
      <c r="B51" s="13">
        <v>45796</v>
      </c>
      <c r="C51" t="s">
        <v>2043</v>
      </c>
      <c r="D51" t="s">
        <v>2047</v>
      </c>
      <c r="E51">
        <v>8000</v>
      </c>
    </row>
    <row r="52" spans="1:6" x14ac:dyDescent="0.3">
      <c r="A52">
        <v>51</v>
      </c>
      <c r="B52" s="13">
        <v>45796</v>
      </c>
      <c r="C52" t="s">
        <v>2230</v>
      </c>
      <c r="D52" t="s">
        <v>2051</v>
      </c>
      <c r="E52">
        <v>46300</v>
      </c>
    </row>
    <row r="53" spans="1:6" x14ac:dyDescent="0.3">
      <c r="A53">
        <v>52</v>
      </c>
      <c r="B53" s="13">
        <v>45796</v>
      </c>
      <c r="C53" t="s">
        <v>2305</v>
      </c>
      <c r="D53" t="s">
        <v>2047</v>
      </c>
      <c r="E53">
        <v>1800</v>
      </c>
    </row>
    <row r="54" spans="1:6" x14ac:dyDescent="0.3">
      <c r="A54">
        <v>53</v>
      </c>
      <c r="B54" s="13">
        <v>45797</v>
      </c>
      <c r="C54" t="s">
        <v>2043</v>
      </c>
      <c r="D54" t="s">
        <v>2047</v>
      </c>
      <c r="E54" s="233">
        <v>8000</v>
      </c>
    </row>
    <row r="55" spans="1:6" x14ac:dyDescent="0.3">
      <c r="A55">
        <v>54</v>
      </c>
      <c r="B55" s="13">
        <v>45798</v>
      </c>
      <c r="C55" t="s">
        <v>2043</v>
      </c>
      <c r="D55" t="s">
        <v>2047</v>
      </c>
      <c r="E55">
        <v>8000</v>
      </c>
    </row>
    <row r="56" spans="1:6" x14ac:dyDescent="0.3">
      <c r="A56">
        <v>55</v>
      </c>
      <c r="B56" s="13">
        <v>45798</v>
      </c>
      <c r="C56" t="s">
        <v>2107</v>
      </c>
      <c r="D56" t="s">
        <v>1823</v>
      </c>
      <c r="E56">
        <v>6500</v>
      </c>
    </row>
    <row r="57" spans="1:6" x14ac:dyDescent="0.3">
      <c r="A57">
        <v>56</v>
      </c>
      <c r="B57" s="13">
        <v>45799</v>
      </c>
      <c r="C57" t="s">
        <v>2361</v>
      </c>
      <c r="D57" t="s">
        <v>2048</v>
      </c>
      <c r="E57">
        <v>9500</v>
      </c>
    </row>
    <row r="58" spans="1:6" x14ac:dyDescent="0.3">
      <c r="A58">
        <v>57</v>
      </c>
      <c r="B58" s="13">
        <v>45800</v>
      </c>
      <c r="C58" t="s">
        <v>2043</v>
      </c>
      <c r="D58" t="s">
        <v>2047</v>
      </c>
      <c r="E58">
        <v>8000</v>
      </c>
    </row>
    <row r="59" spans="1:6" x14ac:dyDescent="0.3">
      <c r="A59">
        <v>58</v>
      </c>
      <c r="B59" s="13">
        <v>45803</v>
      </c>
      <c r="C59" t="s">
        <v>2362</v>
      </c>
      <c r="D59" t="s">
        <v>2047</v>
      </c>
      <c r="E59">
        <v>7500</v>
      </c>
    </row>
    <row r="60" spans="1:6" x14ac:dyDescent="0.3">
      <c r="A60">
        <v>59</v>
      </c>
      <c r="B60" s="13">
        <v>45804</v>
      </c>
      <c r="C60" t="s">
        <v>1676</v>
      </c>
      <c r="D60" t="s">
        <v>2047</v>
      </c>
      <c r="E60">
        <v>10000</v>
      </c>
    </row>
    <row r="61" spans="1:6" x14ac:dyDescent="0.3">
      <c r="A61">
        <v>60</v>
      </c>
      <c r="B61" s="13">
        <v>45805</v>
      </c>
      <c r="C61" t="s">
        <v>2043</v>
      </c>
      <c r="D61" t="s">
        <v>2047</v>
      </c>
      <c r="E61">
        <v>8000</v>
      </c>
    </row>
    <row r="62" spans="1:6" x14ac:dyDescent="0.3">
      <c r="A62">
        <v>61</v>
      </c>
      <c r="B62" s="13">
        <v>45806</v>
      </c>
      <c r="C62" t="s">
        <v>2107</v>
      </c>
      <c r="D62" t="s">
        <v>1823</v>
      </c>
      <c r="E62">
        <v>11000</v>
      </c>
    </row>
    <row r="63" spans="1:6" x14ac:dyDescent="0.3">
      <c r="A63">
        <v>62</v>
      </c>
      <c r="B63" s="13">
        <v>45806</v>
      </c>
      <c r="C63" t="s">
        <v>2043</v>
      </c>
      <c r="D63" t="s">
        <v>2047</v>
      </c>
      <c r="E63">
        <v>8000</v>
      </c>
    </row>
    <row r="64" spans="1:6" x14ac:dyDescent="0.3">
      <c r="A64">
        <v>63</v>
      </c>
      <c r="B64" s="13">
        <v>45807</v>
      </c>
      <c r="C64" t="s">
        <v>1661</v>
      </c>
      <c r="D64" t="s">
        <v>2051</v>
      </c>
      <c r="E64">
        <v>46950</v>
      </c>
    </row>
    <row r="65" spans="1:6" x14ac:dyDescent="0.3">
      <c r="A65">
        <v>64</v>
      </c>
      <c r="B65" s="13">
        <v>45807</v>
      </c>
      <c r="C65" t="s">
        <v>2389</v>
      </c>
      <c r="D65" t="s">
        <v>1823</v>
      </c>
      <c r="E65">
        <v>6000</v>
      </c>
      <c r="F65" t="s">
        <v>2227</v>
      </c>
    </row>
    <row r="66" spans="1:6" x14ac:dyDescent="0.3">
      <c r="A66">
        <v>65</v>
      </c>
      <c r="B66" s="13">
        <v>45807</v>
      </c>
      <c r="C66" t="s">
        <v>2107</v>
      </c>
      <c r="D66" t="s">
        <v>1823</v>
      </c>
      <c r="E66">
        <v>6000</v>
      </c>
      <c r="F66" t="s">
        <v>2001</v>
      </c>
    </row>
    <row r="67" spans="1:6" x14ac:dyDescent="0.3">
      <c r="A67">
        <v>66</v>
      </c>
      <c r="B67" s="13">
        <v>45812</v>
      </c>
      <c r="C67" t="s">
        <v>2107</v>
      </c>
      <c r="D67" t="s">
        <v>1823</v>
      </c>
      <c r="E67">
        <v>6000</v>
      </c>
    </row>
    <row r="68" spans="1:6" x14ac:dyDescent="0.3">
      <c r="A68">
        <v>67</v>
      </c>
      <c r="B68" s="13">
        <v>45811</v>
      </c>
      <c r="C68" t="s">
        <v>2043</v>
      </c>
      <c r="D68" t="s">
        <v>2047</v>
      </c>
      <c r="E68">
        <v>8000</v>
      </c>
    </row>
    <row r="69" spans="1:6" x14ac:dyDescent="0.3">
      <c r="A69">
        <v>68</v>
      </c>
      <c r="B69" s="13">
        <v>45817</v>
      </c>
      <c r="C69" t="s">
        <v>2107</v>
      </c>
      <c r="D69" t="s">
        <v>1823</v>
      </c>
      <c r="E69">
        <v>6000</v>
      </c>
      <c r="F69" t="s">
        <v>2482</v>
      </c>
    </row>
    <row r="70" spans="1:6" x14ac:dyDescent="0.3">
      <c r="A70">
        <v>69</v>
      </c>
      <c r="B70" s="13">
        <v>45815</v>
      </c>
      <c r="C70" t="s">
        <v>2107</v>
      </c>
      <c r="D70" t="s">
        <v>1823</v>
      </c>
      <c r="E70">
        <v>6000</v>
      </c>
      <c r="F70" t="s">
        <v>2482</v>
      </c>
    </row>
    <row r="71" spans="1:6" x14ac:dyDescent="0.3">
      <c r="A71">
        <v>70</v>
      </c>
      <c r="B71" s="13">
        <v>45813</v>
      </c>
      <c r="C71" t="s">
        <v>2107</v>
      </c>
      <c r="D71" t="s">
        <v>1823</v>
      </c>
      <c r="E71">
        <v>4000</v>
      </c>
      <c r="F71" t="s">
        <v>2227</v>
      </c>
    </row>
    <row r="72" spans="1:6" x14ac:dyDescent="0.3">
      <c r="A72">
        <v>71</v>
      </c>
      <c r="B72" s="13">
        <v>45817</v>
      </c>
      <c r="C72" t="s">
        <v>2107</v>
      </c>
      <c r="D72" t="s">
        <v>1823</v>
      </c>
      <c r="E72">
        <v>4600</v>
      </c>
      <c r="F72" t="s">
        <v>2528</v>
      </c>
    </row>
    <row r="73" spans="1:6" x14ac:dyDescent="0.3">
      <c r="A73">
        <v>72</v>
      </c>
      <c r="B73" s="13">
        <v>45817</v>
      </c>
      <c r="C73" t="s">
        <v>2107</v>
      </c>
      <c r="D73" t="s">
        <v>1823</v>
      </c>
      <c r="E73">
        <v>9600</v>
      </c>
      <c r="F73" t="s">
        <v>2529</v>
      </c>
    </row>
    <row r="74" spans="1:6" x14ac:dyDescent="0.3">
      <c r="A74">
        <v>73</v>
      </c>
      <c r="B74" s="13">
        <v>45818</v>
      </c>
      <c r="C74" t="s">
        <v>2107</v>
      </c>
      <c r="D74" t="s">
        <v>1823</v>
      </c>
      <c r="E74">
        <v>6000</v>
      </c>
      <c r="F74" t="s">
        <v>2530</v>
      </c>
    </row>
    <row r="75" spans="1:6" x14ac:dyDescent="0.3">
      <c r="A75">
        <v>74</v>
      </c>
      <c r="B75" s="13">
        <v>45818</v>
      </c>
      <c r="C75" t="s">
        <v>2305</v>
      </c>
      <c r="D75" t="s">
        <v>2047</v>
      </c>
      <c r="E75">
        <v>2200</v>
      </c>
    </row>
    <row r="76" spans="1:6" x14ac:dyDescent="0.3">
      <c r="A76">
        <v>75</v>
      </c>
      <c r="B76" s="13">
        <v>45818</v>
      </c>
      <c r="C76" t="s">
        <v>2290</v>
      </c>
      <c r="D76" t="s">
        <v>1673</v>
      </c>
      <c r="E76">
        <v>10000</v>
      </c>
      <c r="F76" t="s">
        <v>2531</v>
      </c>
    </row>
    <row r="77" spans="1:6" x14ac:dyDescent="0.3">
      <c r="A77">
        <v>76</v>
      </c>
      <c r="B77" s="13">
        <v>45818</v>
      </c>
      <c r="C77" t="s">
        <v>2107</v>
      </c>
      <c r="D77" t="s">
        <v>1823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2222</v>
      </c>
      <c r="D78" t="s">
        <v>1823</v>
      </c>
      <c r="E78">
        <v>6000</v>
      </c>
      <c r="F78" t="s">
        <v>2562</v>
      </c>
    </row>
    <row r="79" spans="1:6" x14ac:dyDescent="0.3">
      <c r="A79">
        <v>78</v>
      </c>
      <c r="B79" s="13">
        <v>45820</v>
      </c>
      <c r="C79" t="s">
        <v>2107</v>
      </c>
      <c r="D79" t="s">
        <v>1823</v>
      </c>
      <c r="E79" s="233">
        <v>6000</v>
      </c>
      <c r="F79" t="s">
        <v>1863</v>
      </c>
    </row>
    <row r="80" spans="1:6" x14ac:dyDescent="0.3">
      <c r="A80">
        <v>79</v>
      </c>
      <c r="B80" s="13">
        <v>45820</v>
      </c>
      <c r="C80" t="s">
        <v>2107</v>
      </c>
      <c r="D80" t="s">
        <v>1823</v>
      </c>
      <c r="E80">
        <v>7600</v>
      </c>
      <c r="F80" t="s">
        <v>2483</v>
      </c>
    </row>
    <row r="81" spans="1:6" x14ac:dyDescent="0.3">
      <c r="A81">
        <v>80</v>
      </c>
      <c r="B81" s="13">
        <v>45824</v>
      </c>
      <c r="C81" t="s">
        <v>2230</v>
      </c>
      <c r="D81" t="s">
        <v>2051</v>
      </c>
      <c r="E81">
        <v>47970</v>
      </c>
    </row>
    <row r="82" spans="1:6" x14ac:dyDescent="0.3">
      <c r="A82">
        <v>81</v>
      </c>
      <c r="B82" s="13">
        <v>45824</v>
      </c>
      <c r="C82" t="s">
        <v>2043</v>
      </c>
      <c r="D82" t="s">
        <v>2047</v>
      </c>
      <c r="E82">
        <v>8000</v>
      </c>
    </row>
    <row r="83" spans="1:6" x14ac:dyDescent="0.3">
      <c r="A83">
        <v>82</v>
      </c>
      <c r="B83" s="13">
        <v>45824</v>
      </c>
      <c r="C83" t="s">
        <v>2107</v>
      </c>
      <c r="D83" t="s">
        <v>1823</v>
      </c>
      <c r="E83">
        <v>4600</v>
      </c>
      <c r="F83" t="s">
        <v>2597</v>
      </c>
    </row>
    <row r="84" spans="1:6" x14ac:dyDescent="0.3">
      <c r="A84">
        <v>83</v>
      </c>
      <c r="B84" s="13">
        <v>45825</v>
      </c>
      <c r="C84" t="s">
        <v>1412</v>
      </c>
      <c r="D84" t="s">
        <v>1823</v>
      </c>
      <c r="E84">
        <v>7000</v>
      </c>
      <c r="F84" t="s">
        <v>2604</v>
      </c>
    </row>
    <row r="85" spans="1:6" x14ac:dyDescent="0.3">
      <c r="A85">
        <v>84</v>
      </c>
      <c r="B85" s="13">
        <v>45825</v>
      </c>
      <c r="C85" t="s">
        <v>2290</v>
      </c>
      <c r="D85" t="s">
        <v>1673</v>
      </c>
      <c r="E85">
        <v>9000</v>
      </c>
      <c r="F85" t="s">
        <v>2604</v>
      </c>
    </row>
    <row r="86" spans="1:6" x14ac:dyDescent="0.3">
      <c r="A86">
        <v>85</v>
      </c>
      <c r="B86" s="13">
        <v>45825</v>
      </c>
      <c r="C86" t="s">
        <v>1732</v>
      </c>
      <c r="D86" t="s">
        <v>2047</v>
      </c>
      <c r="E86">
        <v>7000</v>
      </c>
    </row>
    <row r="87" spans="1:6" x14ac:dyDescent="0.3">
      <c r="A87">
        <v>86</v>
      </c>
      <c r="B87" s="13">
        <v>45826</v>
      </c>
      <c r="C87" t="s">
        <v>2107</v>
      </c>
      <c r="D87" t="s">
        <v>1823</v>
      </c>
      <c r="E87">
        <v>2000</v>
      </c>
      <c r="F87" t="s">
        <v>2483</v>
      </c>
    </row>
    <row r="88" spans="1:6" x14ac:dyDescent="0.3">
      <c r="A88">
        <v>87</v>
      </c>
      <c r="B88" s="13">
        <v>45826</v>
      </c>
      <c r="C88" t="s">
        <v>2107</v>
      </c>
      <c r="D88" t="s">
        <v>1823</v>
      </c>
      <c r="E88">
        <v>2000</v>
      </c>
      <c r="F88" t="s">
        <v>2483</v>
      </c>
    </row>
    <row r="89" spans="1:6" x14ac:dyDescent="0.3">
      <c r="A89">
        <v>88</v>
      </c>
      <c r="B89" s="13">
        <v>45826</v>
      </c>
      <c r="C89" t="s">
        <v>2107</v>
      </c>
      <c r="D89" t="s">
        <v>1823</v>
      </c>
      <c r="E89">
        <v>7500</v>
      </c>
      <c r="F89" t="s">
        <v>2653</v>
      </c>
    </row>
    <row r="90" spans="1:6" x14ac:dyDescent="0.3">
      <c r="A90">
        <v>89</v>
      </c>
      <c r="B90" s="13">
        <v>45826</v>
      </c>
      <c r="C90" t="s">
        <v>1676</v>
      </c>
      <c r="D90" t="s">
        <v>2047</v>
      </c>
      <c r="E90">
        <v>9500</v>
      </c>
    </row>
    <row r="91" spans="1:6" x14ac:dyDescent="0.3">
      <c r="A91">
        <v>90</v>
      </c>
      <c r="B91" s="13">
        <v>45827</v>
      </c>
      <c r="C91" t="s">
        <v>2107</v>
      </c>
      <c r="D91" t="s">
        <v>1823</v>
      </c>
      <c r="E91">
        <v>6000</v>
      </c>
      <c r="F91" t="s">
        <v>2530</v>
      </c>
    </row>
    <row r="92" spans="1:6" x14ac:dyDescent="0.3">
      <c r="A92">
        <v>91</v>
      </c>
      <c r="B92" s="13">
        <v>45827</v>
      </c>
      <c r="C92" t="s">
        <v>2107</v>
      </c>
      <c r="D92" t="s">
        <v>1823</v>
      </c>
      <c r="E92">
        <v>2000</v>
      </c>
      <c r="F92" t="s">
        <v>2663</v>
      </c>
    </row>
    <row r="93" spans="1:6" x14ac:dyDescent="0.3">
      <c r="A93">
        <v>92</v>
      </c>
      <c r="B93" s="13">
        <v>45827</v>
      </c>
      <c r="C93" t="s">
        <v>2107</v>
      </c>
      <c r="D93" t="s">
        <v>1823</v>
      </c>
      <c r="E93">
        <v>4600</v>
      </c>
      <c r="F93" t="s">
        <v>2681</v>
      </c>
    </row>
    <row r="94" spans="1:6" x14ac:dyDescent="0.3">
      <c r="A94">
        <v>93</v>
      </c>
      <c r="B94" s="13">
        <v>45828</v>
      </c>
      <c r="C94" t="s">
        <v>2107</v>
      </c>
      <c r="D94" t="s">
        <v>1823</v>
      </c>
      <c r="E94">
        <v>4500</v>
      </c>
      <c r="F94" t="s">
        <v>2699</v>
      </c>
    </row>
    <row r="95" spans="1:6" x14ac:dyDescent="0.3">
      <c r="A95">
        <v>94</v>
      </c>
      <c r="B95" s="13">
        <v>45829</v>
      </c>
      <c r="C95" t="s">
        <v>2230</v>
      </c>
      <c r="D95" t="s">
        <v>2051</v>
      </c>
      <c r="E95">
        <v>48750</v>
      </c>
    </row>
    <row r="96" spans="1:6" x14ac:dyDescent="0.3">
      <c r="A96">
        <v>95</v>
      </c>
      <c r="B96" s="13">
        <v>45829</v>
      </c>
      <c r="C96" t="s">
        <v>2107</v>
      </c>
      <c r="D96" t="s">
        <v>1823</v>
      </c>
      <c r="E96">
        <v>7600</v>
      </c>
      <c r="F96" t="s">
        <v>2587</v>
      </c>
    </row>
    <row r="97" spans="1:6" x14ac:dyDescent="0.3">
      <c r="A97">
        <v>96</v>
      </c>
      <c r="B97" s="13">
        <v>45829</v>
      </c>
      <c r="C97" t="s">
        <v>2107</v>
      </c>
      <c r="D97" t="s">
        <v>1823</v>
      </c>
      <c r="E97">
        <v>6100</v>
      </c>
      <c r="F97" t="s">
        <v>2587</v>
      </c>
    </row>
    <row r="98" spans="1:6" x14ac:dyDescent="0.3">
      <c r="A98">
        <v>97</v>
      </c>
      <c r="B98" s="13">
        <v>45831</v>
      </c>
      <c r="C98" t="s">
        <v>1553</v>
      </c>
      <c r="D98" t="s">
        <v>1673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2122</v>
      </c>
      <c r="D99" t="s">
        <v>2046</v>
      </c>
      <c r="E99">
        <v>2200</v>
      </c>
      <c r="F99" t="s">
        <v>2724</v>
      </c>
    </row>
    <row r="100" spans="1:6" x14ac:dyDescent="0.3">
      <c r="A100">
        <v>99</v>
      </c>
      <c r="B100" s="13">
        <v>45832</v>
      </c>
      <c r="C100" t="s">
        <v>2107</v>
      </c>
      <c r="D100" t="s">
        <v>1823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2107</v>
      </c>
      <c r="D101" t="s">
        <v>1823</v>
      </c>
      <c r="E101">
        <v>6600</v>
      </c>
      <c r="F101" t="s">
        <v>1863</v>
      </c>
    </row>
    <row r="102" spans="1:6" x14ac:dyDescent="0.3">
      <c r="A102">
        <v>101</v>
      </c>
      <c r="B102" s="13">
        <v>45833</v>
      </c>
      <c r="C102" t="s">
        <v>2107</v>
      </c>
      <c r="D102" t="s">
        <v>1823</v>
      </c>
      <c r="E102">
        <v>2200</v>
      </c>
      <c r="F102" t="s">
        <v>2740</v>
      </c>
    </row>
    <row r="103" spans="1:6" x14ac:dyDescent="0.3">
      <c r="A103">
        <v>102</v>
      </c>
      <c r="B103" s="13">
        <v>45833</v>
      </c>
      <c r="C103" t="s">
        <v>2107</v>
      </c>
      <c r="D103" t="s">
        <v>1823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2107</v>
      </c>
      <c r="D104" t="s">
        <v>1823</v>
      </c>
      <c r="E104">
        <v>4400</v>
      </c>
      <c r="F104" t="s">
        <v>2744</v>
      </c>
    </row>
    <row r="105" spans="1:6" x14ac:dyDescent="0.3">
      <c r="A105">
        <v>104</v>
      </c>
      <c r="B105" s="13">
        <v>45833</v>
      </c>
      <c r="C105" t="s">
        <v>2107</v>
      </c>
      <c r="D105" t="s">
        <v>1823</v>
      </c>
      <c r="E105">
        <v>4400</v>
      </c>
      <c r="F105" t="s">
        <v>2744</v>
      </c>
    </row>
    <row r="106" spans="1:6" x14ac:dyDescent="0.3">
      <c r="A106">
        <v>105</v>
      </c>
      <c r="B106" s="13">
        <v>45833</v>
      </c>
      <c r="C106" t="s">
        <v>2759</v>
      </c>
      <c r="D106" t="s">
        <v>2760</v>
      </c>
      <c r="E106">
        <v>24800</v>
      </c>
      <c r="F106" t="s">
        <v>2761</v>
      </c>
    </row>
    <row r="107" spans="1:6" x14ac:dyDescent="0.3">
      <c r="A107">
        <v>106</v>
      </c>
      <c r="B107" s="13">
        <v>45833</v>
      </c>
      <c r="C107" t="s">
        <v>1676</v>
      </c>
      <c r="D107" t="s">
        <v>2047</v>
      </c>
      <c r="E107">
        <v>10000</v>
      </c>
    </row>
    <row r="108" spans="1:6" x14ac:dyDescent="0.3">
      <c r="A108">
        <v>107</v>
      </c>
      <c r="B108" s="13">
        <v>45835</v>
      </c>
      <c r="C108" t="s">
        <v>2801</v>
      </c>
      <c r="D108" t="s">
        <v>2047</v>
      </c>
      <c r="E108">
        <v>22000</v>
      </c>
    </row>
    <row r="109" spans="1:6" x14ac:dyDescent="0.3">
      <c r="A109">
        <v>108</v>
      </c>
      <c r="B109" s="13">
        <v>45839</v>
      </c>
      <c r="C109" t="s">
        <v>2107</v>
      </c>
      <c r="D109" t="s">
        <v>1823</v>
      </c>
      <c r="E109">
        <v>2200</v>
      </c>
      <c r="F109" t="s">
        <v>2846</v>
      </c>
    </row>
    <row r="110" spans="1:6" x14ac:dyDescent="0.3">
      <c r="A110">
        <v>109</v>
      </c>
      <c r="B110" s="13">
        <v>45840</v>
      </c>
      <c r="C110" t="s">
        <v>2107</v>
      </c>
      <c r="D110" t="s">
        <v>1823</v>
      </c>
      <c r="E110">
        <v>6600</v>
      </c>
      <c r="F110" t="s">
        <v>2859</v>
      </c>
    </row>
    <row r="111" spans="1:6" x14ac:dyDescent="0.3">
      <c r="A111">
        <v>110</v>
      </c>
      <c r="B111" s="13">
        <v>45840</v>
      </c>
      <c r="C111" t="s">
        <v>2107</v>
      </c>
      <c r="D111" t="s">
        <v>1823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2107</v>
      </c>
      <c r="D112" t="s">
        <v>1823</v>
      </c>
      <c r="E112">
        <v>7150</v>
      </c>
      <c r="F112" t="s">
        <v>2860</v>
      </c>
    </row>
    <row r="113" spans="1:6" x14ac:dyDescent="0.3">
      <c r="A113">
        <v>112</v>
      </c>
      <c r="B113" s="13">
        <v>45840</v>
      </c>
      <c r="C113" t="s">
        <v>2107</v>
      </c>
      <c r="D113" t="s">
        <v>1823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2169</v>
      </c>
      <c r="D114" t="s">
        <v>2047</v>
      </c>
      <c r="E114">
        <v>24000</v>
      </c>
    </row>
    <row r="115" spans="1:6" x14ac:dyDescent="0.3">
      <c r="A115">
        <v>114</v>
      </c>
      <c r="B115" s="13">
        <v>45845</v>
      </c>
      <c r="C115" t="s">
        <v>1661</v>
      </c>
      <c r="D115" t="s">
        <v>2051</v>
      </c>
      <c r="E115">
        <v>47800</v>
      </c>
    </row>
    <row r="116" spans="1:6" x14ac:dyDescent="0.3">
      <c r="A116">
        <v>115</v>
      </c>
      <c r="B116" s="13">
        <v>45846</v>
      </c>
      <c r="C116" t="s">
        <v>2107</v>
      </c>
      <c r="D116" t="s">
        <v>1823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2107</v>
      </c>
      <c r="D117" t="s">
        <v>1823</v>
      </c>
      <c r="E117">
        <v>6500</v>
      </c>
      <c r="F117" t="s">
        <v>1863</v>
      </c>
    </row>
    <row r="118" spans="1:6" x14ac:dyDescent="0.3">
      <c r="A118">
        <v>117</v>
      </c>
      <c r="B118" s="13">
        <v>45846</v>
      </c>
      <c r="C118" t="s">
        <v>2107</v>
      </c>
      <c r="D118" t="s">
        <v>1823</v>
      </c>
      <c r="E118">
        <v>6000</v>
      </c>
      <c r="F118" t="s">
        <v>2530</v>
      </c>
    </row>
    <row r="119" spans="1:6" x14ac:dyDescent="0.3">
      <c r="A119">
        <v>118</v>
      </c>
      <c r="B119" s="13">
        <v>45846</v>
      </c>
      <c r="C119" t="s">
        <v>2107</v>
      </c>
      <c r="D119" t="s">
        <v>1823</v>
      </c>
      <c r="E119">
        <v>2000</v>
      </c>
      <c r="F119" t="s">
        <v>2931</v>
      </c>
    </row>
    <row r="120" spans="1:6" x14ac:dyDescent="0.3">
      <c r="A120">
        <v>119</v>
      </c>
      <c r="B120" s="13">
        <v>45847</v>
      </c>
      <c r="C120" t="s">
        <v>2107</v>
      </c>
      <c r="D120" t="s">
        <v>1823</v>
      </c>
      <c r="E120">
        <v>2000</v>
      </c>
      <c r="F120" t="s">
        <v>1786</v>
      </c>
    </row>
    <row r="121" spans="1:6" x14ac:dyDescent="0.3">
      <c r="A121">
        <v>120</v>
      </c>
      <c r="B121" s="13">
        <v>45847</v>
      </c>
      <c r="C121" t="s">
        <v>2107</v>
      </c>
      <c r="D121" t="s">
        <v>1823</v>
      </c>
      <c r="E121">
        <v>6000</v>
      </c>
      <c r="F121" t="s">
        <v>2949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1823</v>
      </c>
      <c r="E122">
        <v>8000</v>
      </c>
      <c r="F122" t="s">
        <v>1786</v>
      </c>
    </row>
    <row r="123" spans="1:6" x14ac:dyDescent="0.3">
      <c r="A123">
        <v>122</v>
      </c>
      <c r="B123" s="13">
        <v>45849</v>
      </c>
      <c r="C123" t="s">
        <v>2107</v>
      </c>
      <c r="D123" t="s">
        <v>1823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1823</v>
      </c>
      <c r="E124">
        <v>12000</v>
      </c>
      <c r="F124" t="s">
        <v>3006</v>
      </c>
    </row>
    <row r="125" spans="1:6" x14ac:dyDescent="0.3">
      <c r="A125">
        <v>124</v>
      </c>
      <c r="B125" s="13">
        <v>45852</v>
      </c>
      <c r="C125" t="s">
        <v>1732</v>
      </c>
      <c r="D125" t="s">
        <v>2047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3104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45859</v>
      </c>
      <c r="U2" s="305"/>
    </row>
    <row r="3" spans="1:21" ht="24.95" customHeight="1" x14ac:dyDescent="0.3">
      <c r="A3" s="372" t="s">
        <v>1196</v>
      </c>
      <c r="B3" s="37" t="s">
        <v>64</v>
      </c>
      <c r="C3" s="375" t="s">
        <v>1363</v>
      </c>
      <c r="D3" s="376"/>
      <c r="E3" s="376"/>
      <c r="F3" s="376"/>
      <c r="G3" s="376"/>
      <c r="H3" s="376"/>
      <c r="I3" s="376"/>
      <c r="J3" s="377"/>
      <c r="K3" s="378" t="s">
        <v>1197</v>
      </c>
      <c r="L3" s="37" t="s">
        <v>64</v>
      </c>
      <c r="M3" s="381" t="s">
        <v>970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387" t="s">
        <v>78</v>
      </c>
      <c r="U4" s="390"/>
    </row>
    <row r="5" spans="1:21" ht="24.95" customHeight="1" x14ac:dyDescent="0.3">
      <c r="A5" s="373"/>
      <c r="B5" s="38" t="s">
        <v>10</v>
      </c>
      <c r="C5" s="387" t="s">
        <v>29</v>
      </c>
      <c r="D5" s="388"/>
      <c r="E5" s="388"/>
      <c r="F5" s="388"/>
      <c r="G5" s="388"/>
      <c r="H5" s="388"/>
      <c r="I5" s="388"/>
      <c r="J5" s="389"/>
      <c r="K5" s="379"/>
      <c r="L5" s="38" t="s">
        <v>10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24.95" customHeight="1" x14ac:dyDescent="0.3">
      <c r="A6" s="374"/>
      <c r="B6" s="38" t="s">
        <v>80</v>
      </c>
      <c r="C6" s="387" t="s">
        <v>3114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1604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48</v>
      </c>
      <c r="G7" s="307"/>
      <c r="H7" s="307"/>
      <c r="I7" s="369"/>
      <c r="J7" s="370" t="s">
        <v>46</v>
      </c>
      <c r="K7" s="307"/>
      <c r="L7" s="307"/>
      <c r="M7" s="307"/>
      <c r="N7" s="369"/>
      <c r="O7" s="307" t="s">
        <v>54</v>
      </c>
      <c r="P7" s="369"/>
      <c r="Q7" s="370" t="s">
        <v>74</v>
      </c>
      <c r="R7" s="307"/>
      <c r="S7" s="369"/>
      <c r="T7" s="370" t="s">
        <v>73</v>
      </c>
      <c r="U7" s="371"/>
    </row>
    <row r="8" spans="1:21" ht="15.6" customHeight="1" x14ac:dyDescent="0.3">
      <c r="A8" s="413" t="s">
        <v>3115</v>
      </c>
      <c r="B8" s="414"/>
      <c r="C8" s="414"/>
      <c r="D8" s="414"/>
      <c r="E8" s="415"/>
      <c r="F8" s="416"/>
      <c r="G8" s="414"/>
      <c r="H8" s="414"/>
      <c r="I8" s="415"/>
      <c r="J8" s="422">
        <v>150000</v>
      </c>
      <c r="K8" s="422"/>
      <c r="L8" s="422"/>
      <c r="M8" s="422"/>
      <c r="N8" s="422"/>
      <c r="O8" s="423">
        <v>1</v>
      </c>
      <c r="P8" s="423"/>
      <c r="Q8" s="417"/>
      <c r="R8" s="418"/>
      <c r="S8" s="419"/>
      <c r="T8" s="420">
        <v>150000</v>
      </c>
      <c r="U8" s="421"/>
    </row>
    <row r="9" spans="1:21" ht="15.6" customHeight="1" x14ac:dyDescent="0.3">
      <c r="A9" s="402"/>
      <c r="B9" s="403"/>
      <c r="C9" s="403"/>
      <c r="D9" s="403"/>
      <c r="E9" s="404"/>
      <c r="F9" s="405"/>
      <c r="G9" s="403"/>
      <c r="H9" s="403"/>
      <c r="I9" s="404"/>
      <c r="J9" s="411"/>
      <c r="K9" s="411"/>
      <c r="L9" s="411"/>
      <c r="M9" s="411"/>
      <c r="N9" s="411"/>
      <c r="O9" s="412"/>
      <c r="P9" s="412"/>
      <c r="Q9" s="406"/>
      <c r="R9" s="407"/>
      <c r="S9" s="408"/>
      <c r="T9" s="409"/>
      <c r="U9" s="410"/>
    </row>
    <row r="10" spans="1:21" ht="15.6" customHeight="1" x14ac:dyDescent="0.3">
      <c r="A10" s="402"/>
      <c r="B10" s="403"/>
      <c r="C10" s="403"/>
      <c r="D10" s="403"/>
      <c r="E10" s="404"/>
      <c r="F10" s="405"/>
      <c r="G10" s="403"/>
      <c r="H10" s="403"/>
      <c r="I10" s="404"/>
      <c r="J10" s="411"/>
      <c r="K10" s="411"/>
      <c r="L10" s="411"/>
      <c r="M10" s="411"/>
      <c r="N10" s="411"/>
      <c r="O10" s="412"/>
      <c r="P10" s="412"/>
      <c r="Q10" s="406"/>
      <c r="R10" s="407"/>
      <c r="S10" s="408"/>
      <c r="T10" s="409"/>
      <c r="U10" s="410"/>
    </row>
    <row r="11" spans="1:21" ht="15.6" customHeight="1" x14ac:dyDescent="0.3">
      <c r="A11" s="402"/>
      <c r="B11" s="403"/>
      <c r="C11" s="403"/>
      <c r="D11" s="403"/>
      <c r="E11" s="404"/>
      <c r="F11" s="405"/>
      <c r="G11" s="403"/>
      <c r="H11" s="403"/>
      <c r="I11" s="404"/>
      <c r="J11" s="411"/>
      <c r="K11" s="411"/>
      <c r="L11" s="411"/>
      <c r="M11" s="411"/>
      <c r="N11" s="411"/>
      <c r="O11" s="412"/>
      <c r="P11" s="412"/>
      <c r="Q11" s="406"/>
      <c r="R11" s="407"/>
      <c r="S11" s="408"/>
      <c r="T11" s="409"/>
      <c r="U11" s="410"/>
    </row>
    <row r="12" spans="1:21" ht="15.6" customHeight="1" x14ac:dyDescent="0.3">
      <c r="A12" s="402"/>
      <c r="B12" s="403"/>
      <c r="C12" s="403"/>
      <c r="D12" s="403"/>
      <c r="E12" s="404"/>
      <c r="F12" s="405"/>
      <c r="G12" s="403"/>
      <c r="H12" s="403"/>
      <c r="I12" s="404"/>
      <c r="J12" s="411"/>
      <c r="K12" s="411"/>
      <c r="L12" s="411"/>
      <c r="M12" s="411"/>
      <c r="N12" s="411"/>
      <c r="O12" s="412"/>
      <c r="P12" s="412"/>
      <c r="Q12" s="406"/>
      <c r="R12" s="407"/>
      <c r="S12" s="408"/>
      <c r="T12" s="409"/>
      <c r="U12" s="410"/>
    </row>
    <row r="13" spans="1:21" ht="15.6" customHeight="1" x14ac:dyDescent="0.3">
      <c r="A13" s="402"/>
      <c r="B13" s="403"/>
      <c r="C13" s="403"/>
      <c r="D13" s="403"/>
      <c r="E13" s="404"/>
      <c r="F13" s="405"/>
      <c r="G13" s="403"/>
      <c r="H13" s="403"/>
      <c r="I13" s="404"/>
      <c r="J13" s="411"/>
      <c r="K13" s="411"/>
      <c r="L13" s="411"/>
      <c r="M13" s="411"/>
      <c r="N13" s="411"/>
      <c r="O13" s="412"/>
      <c r="P13" s="412"/>
      <c r="Q13" s="406"/>
      <c r="R13" s="407"/>
      <c r="S13" s="408"/>
      <c r="T13" s="409"/>
      <c r="U13" s="410"/>
    </row>
    <row r="14" spans="1:21" ht="15.6" customHeight="1" x14ac:dyDescent="0.3">
      <c r="A14" s="402"/>
      <c r="B14" s="403"/>
      <c r="C14" s="403"/>
      <c r="D14" s="403"/>
      <c r="E14" s="404"/>
      <c r="F14" s="405"/>
      <c r="G14" s="403"/>
      <c r="H14" s="403"/>
      <c r="I14" s="404"/>
      <c r="J14" s="411"/>
      <c r="K14" s="411"/>
      <c r="L14" s="411"/>
      <c r="M14" s="411"/>
      <c r="N14" s="411"/>
      <c r="O14" s="412"/>
      <c r="P14" s="412"/>
      <c r="Q14" s="406"/>
      <c r="R14" s="407"/>
      <c r="S14" s="408"/>
      <c r="T14" s="409"/>
      <c r="U14" s="410"/>
    </row>
    <row r="15" spans="1:21" ht="15.6" customHeight="1" thickBot="1" x14ac:dyDescent="0.35">
      <c r="A15" s="391"/>
      <c r="B15" s="392"/>
      <c r="C15" s="392"/>
      <c r="D15" s="392"/>
      <c r="E15" s="393"/>
      <c r="F15" s="394"/>
      <c r="G15" s="392"/>
      <c r="H15" s="392"/>
      <c r="I15" s="393"/>
      <c r="J15" s="400"/>
      <c r="K15" s="400"/>
      <c r="L15" s="400"/>
      <c r="M15" s="400"/>
      <c r="N15" s="400"/>
      <c r="O15" s="401"/>
      <c r="P15" s="401"/>
      <c r="Q15" s="395"/>
      <c r="R15" s="396"/>
      <c r="S15" s="397"/>
      <c r="T15" s="398"/>
      <c r="U15" s="399"/>
    </row>
    <row r="16" spans="1:21" ht="15" customHeight="1" thickTop="1" x14ac:dyDescent="0.3">
      <c r="A16" s="322" t="s">
        <v>2375</v>
      </c>
      <c r="B16" s="323"/>
      <c r="C16" s="323"/>
      <c r="D16" s="323"/>
      <c r="E16" s="324"/>
      <c r="F16" s="331"/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3"/>
    </row>
    <row r="17" spans="1:21" ht="15" customHeight="1" x14ac:dyDescent="0.3">
      <c r="A17" s="325"/>
      <c r="B17" s="326"/>
      <c r="C17" s="326"/>
      <c r="D17" s="326"/>
      <c r="E17" s="327"/>
      <c r="F17" s="334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6"/>
    </row>
    <row r="18" spans="1:21" ht="15" customHeight="1" x14ac:dyDescent="0.3">
      <c r="A18" s="325"/>
      <c r="B18" s="326"/>
      <c r="C18" s="326"/>
      <c r="D18" s="326"/>
      <c r="E18" s="327"/>
      <c r="F18" s="334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6"/>
    </row>
    <row r="19" spans="1:21" ht="15" customHeight="1" x14ac:dyDescent="0.3">
      <c r="A19" s="328"/>
      <c r="B19" s="329"/>
      <c r="C19" s="329"/>
      <c r="D19" s="329"/>
      <c r="E19" s="330"/>
      <c r="F19" s="337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</row>
    <row r="20" spans="1:21" ht="20.100000000000001" customHeight="1" x14ac:dyDescent="0.3">
      <c r="A20" s="306" t="s">
        <v>86</v>
      </c>
      <c r="B20" s="307"/>
      <c r="C20" s="307"/>
      <c r="D20" s="307"/>
      <c r="E20" s="307"/>
      <c r="F20" s="308"/>
      <c r="G20" s="308"/>
      <c r="H20" s="308"/>
      <c r="I20" s="309"/>
      <c r="J20" s="345">
        <f>SUM(J8:N19)</f>
        <v>150000</v>
      </c>
      <c r="K20" s="346"/>
      <c r="L20" s="346"/>
      <c r="M20" s="346"/>
      <c r="N20" s="347"/>
      <c r="O20" s="310">
        <f>SUM(O8:P19)</f>
        <v>1</v>
      </c>
      <c r="P20" s="310"/>
      <c r="Q20" s="348">
        <f>SUM(Q8:S19)</f>
        <v>0</v>
      </c>
      <c r="R20" s="308"/>
      <c r="S20" s="309"/>
      <c r="T20" s="308">
        <f>SUM(T8:U15)</f>
        <v>150000</v>
      </c>
      <c r="U20" s="349"/>
    </row>
    <row r="21" spans="1:21" ht="20.100000000000001" customHeight="1" thickBot="1" x14ac:dyDescent="0.35">
      <c r="A21" s="311" t="s">
        <v>96</v>
      </c>
      <c r="B21" s="312"/>
      <c r="C21" s="312"/>
      <c r="D21" s="312"/>
      <c r="E21" s="312"/>
      <c r="F21" s="313">
        <f>F20+T20+Q20</f>
        <v>150000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12"/>
      <c r="Q21" s="316" t="str">
        <f>C3</f>
        <v>이시아오토(대구)</v>
      </c>
      <c r="R21" s="316"/>
      <c r="S21" s="316"/>
      <c r="T21" s="316"/>
      <c r="U21" s="368"/>
    </row>
    <row r="22" spans="1:21" ht="20.100000000000001" customHeight="1" x14ac:dyDescent="0.3">
      <c r="A22" s="295" t="s">
        <v>3117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</row>
    <row r="23" spans="1:21" ht="20.100000000000001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">
      <c r="A24" s="317"/>
      <c r="B24" s="318"/>
      <c r="C24" s="318"/>
      <c r="D24" s="318"/>
      <c r="E24" s="318"/>
      <c r="F24" s="318"/>
      <c r="G24" s="31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19" t="s">
        <v>1228</v>
      </c>
      <c r="R24" s="319"/>
      <c r="S24" s="320">
        <f>S1</f>
        <v>0</v>
      </c>
      <c r="T24" s="320"/>
      <c r="U24" s="321"/>
    </row>
    <row r="25" spans="1:21" x14ac:dyDescent="0.3">
      <c r="A25" s="297" t="s">
        <v>70</v>
      </c>
      <c r="B25" s="298"/>
      <c r="C25" s="299" t="str">
        <f>C2</f>
        <v>농협 3520106511413</v>
      </c>
      <c r="D25" s="300"/>
      <c r="E25" s="300"/>
      <c r="F25" s="300"/>
      <c r="G25" s="301"/>
      <c r="H25" s="299" t="s">
        <v>81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45859</v>
      </c>
      <c r="U25" s="305"/>
    </row>
    <row r="26" spans="1:21" ht="24.95" customHeight="1" x14ac:dyDescent="0.3">
      <c r="A26" s="372" t="s">
        <v>1196</v>
      </c>
      <c r="B26" s="37" t="s">
        <v>64</v>
      </c>
      <c r="C26" s="375" t="str">
        <f>C3</f>
        <v>이시아오토(대구)</v>
      </c>
      <c r="D26" s="376"/>
      <c r="E26" s="376"/>
      <c r="F26" s="376"/>
      <c r="G26" s="376"/>
      <c r="H26" s="376"/>
      <c r="I26" s="376"/>
      <c r="J26" s="377"/>
      <c r="K26" s="378" t="s">
        <v>1197</v>
      </c>
      <c r="L26" s="37" t="s">
        <v>64</v>
      </c>
      <c r="M26" s="381" t="s">
        <v>970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 x14ac:dyDescent="0.3">
      <c r="A27" s="373"/>
      <c r="B27" s="37" t="s">
        <v>66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79"/>
      <c r="L27" s="37" t="s">
        <v>66</v>
      </c>
      <c r="M27" s="387" t="s">
        <v>968</v>
      </c>
      <c r="N27" s="388"/>
      <c r="O27" s="388"/>
      <c r="P27" s="388"/>
      <c r="Q27" s="388"/>
      <c r="R27" s="389"/>
      <c r="S27" s="38" t="s">
        <v>67</v>
      </c>
      <c r="T27" s="387" t="s">
        <v>78</v>
      </c>
      <c r="U27" s="390"/>
    </row>
    <row r="28" spans="1:21" ht="24.95" customHeight="1" x14ac:dyDescent="0.3">
      <c r="A28" s="373"/>
      <c r="B28" s="38" t="s">
        <v>10</v>
      </c>
      <c r="C28" s="387" t="str">
        <f>C5</f>
        <v>대구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">
        <v>79</v>
      </c>
      <c r="N28" s="388"/>
      <c r="O28" s="388"/>
      <c r="P28" s="388"/>
      <c r="Q28" s="388"/>
      <c r="R28" s="388"/>
      <c r="S28" s="388"/>
      <c r="T28" s="388"/>
      <c r="U28" s="390"/>
    </row>
    <row r="29" spans="1:21" ht="24.95" customHeight="1" x14ac:dyDescent="0.3">
      <c r="A29" s="374"/>
      <c r="B29" s="38" t="s">
        <v>80</v>
      </c>
      <c r="C29" s="387" t="str">
        <f>C6</f>
        <v>010-8248-5056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">
        <v>71</v>
      </c>
      <c r="N29" s="388"/>
      <c r="O29" s="388"/>
      <c r="P29" s="388"/>
      <c r="Q29" s="388"/>
      <c r="R29" s="389"/>
      <c r="S29" s="38" t="s">
        <v>26</v>
      </c>
      <c r="T29" s="387" t="str">
        <f>T6</f>
        <v/>
      </c>
      <c r="U29" s="390"/>
    </row>
    <row r="30" spans="1:21" ht="15.6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46</v>
      </c>
      <c r="K30" s="307"/>
      <c r="L30" s="307"/>
      <c r="M30" s="307"/>
      <c r="N30" s="369"/>
      <c r="O30" s="307" t="s">
        <v>54</v>
      </c>
      <c r="P30" s="369"/>
      <c r="Q30" s="370" t="s">
        <v>74</v>
      </c>
      <c r="R30" s="307"/>
      <c r="S30" s="369"/>
      <c r="T30" s="370" t="s">
        <v>73</v>
      </c>
      <c r="U30" s="371"/>
    </row>
    <row r="31" spans="1:21" ht="15.6" customHeight="1" x14ac:dyDescent="0.3">
      <c r="A31" s="362" t="str">
        <f>A8</f>
        <v>DME_Clone</v>
      </c>
      <c r="B31" s="363"/>
      <c r="C31" s="363"/>
      <c r="D31" s="363"/>
      <c r="E31" s="363"/>
      <c r="F31" s="363">
        <f>F8</f>
        <v>0</v>
      </c>
      <c r="G31" s="363"/>
      <c r="H31" s="363"/>
      <c r="I31" s="363"/>
      <c r="J31" s="367">
        <f>J8</f>
        <v>150000</v>
      </c>
      <c r="K31" s="367"/>
      <c r="L31" s="367"/>
      <c r="M31" s="367"/>
      <c r="N31" s="367"/>
      <c r="O31" s="367">
        <f>O8</f>
        <v>1</v>
      </c>
      <c r="P31" s="367"/>
      <c r="Q31" s="364">
        <f>Q8</f>
        <v>0</v>
      </c>
      <c r="R31" s="364"/>
      <c r="S31" s="364"/>
      <c r="T31" s="365">
        <f>T8</f>
        <v>150000</v>
      </c>
      <c r="U31" s="366"/>
    </row>
    <row r="32" spans="1:21" ht="15.6" customHeight="1" x14ac:dyDescent="0.3">
      <c r="A32" s="355">
        <f t="shared" ref="A32:A38" si="0">A9</f>
        <v>0</v>
      </c>
      <c r="B32" s="356"/>
      <c r="C32" s="356"/>
      <c r="D32" s="356"/>
      <c r="E32" s="356"/>
      <c r="F32" s="356">
        <f t="shared" ref="F32:F38" si="1">F9</f>
        <v>0</v>
      </c>
      <c r="G32" s="356"/>
      <c r="H32" s="356"/>
      <c r="I32" s="356"/>
      <c r="J32" s="360">
        <f t="shared" ref="J32:J38" si="2">J9</f>
        <v>0</v>
      </c>
      <c r="K32" s="360"/>
      <c r="L32" s="360"/>
      <c r="M32" s="360"/>
      <c r="N32" s="360"/>
      <c r="O32" s="360">
        <f t="shared" ref="O32:O38" si="3">O9</f>
        <v>0</v>
      </c>
      <c r="P32" s="360"/>
      <c r="Q32" s="357">
        <f t="shared" ref="Q32:Q38" si="4">Q9</f>
        <v>0</v>
      </c>
      <c r="R32" s="357"/>
      <c r="S32" s="357"/>
      <c r="T32" s="358">
        <f t="shared" ref="T32:T38" si="5">T9</f>
        <v>0</v>
      </c>
      <c r="U32" s="359"/>
    </row>
    <row r="33" spans="1:21" ht="15.6" customHeight="1" x14ac:dyDescent="0.3">
      <c r="A33" s="355">
        <f t="shared" si="0"/>
        <v>0</v>
      </c>
      <c r="B33" s="356"/>
      <c r="C33" s="356"/>
      <c r="D33" s="356"/>
      <c r="E33" s="356"/>
      <c r="F33" s="356">
        <f t="shared" si="1"/>
        <v>0</v>
      </c>
      <c r="G33" s="356"/>
      <c r="H33" s="356"/>
      <c r="I33" s="356"/>
      <c r="J33" s="360">
        <f t="shared" si="2"/>
        <v>0</v>
      </c>
      <c r="K33" s="360"/>
      <c r="L33" s="360"/>
      <c r="M33" s="360"/>
      <c r="N33" s="360"/>
      <c r="O33" s="360">
        <f t="shared" si="3"/>
        <v>0</v>
      </c>
      <c r="P33" s="360"/>
      <c r="Q33" s="357">
        <f t="shared" si="4"/>
        <v>0</v>
      </c>
      <c r="R33" s="357"/>
      <c r="S33" s="357"/>
      <c r="T33" s="358">
        <f t="shared" si="5"/>
        <v>0</v>
      </c>
      <c r="U33" s="359"/>
    </row>
    <row r="34" spans="1:21" ht="15.6" customHeight="1" x14ac:dyDescent="0.3">
      <c r="A34" s="355">
        <f t="shared" si="0"/>
        <v>0</v>
      </c>
      <c r="B34" s="356"/>
      <c r="C34" s="356"/>
      <c r="D34" s="356"/>
      <c r="E34" s="356"/>
      <c r="F34" s="356">
        <f t="shared" si="1"/>
        <v>0</v>
      </c>
      <c r="G34" s="356"/>
      <c r="H34" s="356"/>
      <c r="I34" s="356"/>
      <c r="J34" s="360">
        <f t="shared" si="2"/>
        <v>0</v>
      </c>
      <c r="K34" s="360"/>
      <c r="L34" s="360"/>
      <c r="M34" s="360"/>
      <c r="N34" s="360"/>
      <c r="O34" s="360">
        <f t="shared" si="3"/>
        <v>0</v>
      </c>
      <c r="P34" s="360"/>
      <c r="Q34" s="357">
        <f t="shared" si="4"/>
        <v>0</v>
      </c>
      <c r="R34" s="357"/>
      <c r="S34" s="357"/>
      <c r="T34" s="358">
        <f t="shared" si="5"/>
        <v>0</v>
      </c>
      <c r="U34" s="359"/>
    </row>
    <row r="35" spans="1:21" ht="15.6" customHeight="1" x14ac:dyDescent="0.3">
      <c r="A35" s="355">
        <f t="shared" si="0"/>
        <v>0</v>
      </c>
      <c r="B35" s="356"/>
      <c r="C35" s="356"/>
      <c r="D35" s="356"/>
      <c r="E35" s="356"/>
      <c r="F35" s="356">
        <f t="shared" si="1"/>
        <v>0</v>
      </c>
      <c r="G35" s="356"/>
      <c r="H35" s="356"/>
      <c r="I35" s="356"/>
      <c r="J35" s="360">
        <f t="shared" si="2"/>
        <v>0</v>
      </c>
      <c r="K35" s="360"/>
      <c r="L35" s="360"/>
      <c r="M35" s="360"/>
      <c r="N35" s="360"/>
      <c r="O35" s="360">
        <f t="shared" si="3"/>
        <v>0</v>
      </c>
      <c r="P35" s="360"/>
      <c r="Q35" s="357">
        <f t="shared" si="4"/>
        <v>0</v>
      </c>
      <c r="R35" s="357"/>
      <c r="S35" s="357"/>
      <c r="T35" s="358">
        <f t="shared" si="5"/>
        <v>0</v>
      </c>
      <c r="U35" s="359"/>
    </row>
    <row r="36" spans="1:21" ht="15.6" customHeight="1" x14ac:dyDescent="0.3">
      <c r="A36" s="355">
        <f t="shared" si="0"/>
        <v>0</v>
      </c>
      <c r="B36" s="356"/>
      <c r="C36" s="356"/>
      <c r="D36" s="356"/>
      <c r="E36" s="356"/>
      <c r="F36" s="356">
        <f t="shared" si="1"/>
        <v>0</v>
      </c>
      <c r="G36" s="356"/>
      <c r="H36" s="356"/>
      <c r="I36" s="356"/>
      <c r="J36" s="360">
        <f t="shared" si="2"/>
        <v>0</v>
      </c>
      <c r="K36" s="360"/>
      <c r="L36" s="360"/>
      <c r="M36" s="360"/>
      <c r="N36" s="360"/>
      <c r="O36" s="360">
        <f t="shared" si="3"/>
        <v>0</v>
      </c>
      <c r="P36" s="360"/>
      <c r="Q36" s="357">
        <f t="shared" si="4"/>
        <v>0</v>
      </c>
      <c r="R36" s="357"/>
      <c r="S36" s="357"/>
      <c r="T36" s="358">
        <f t="shared" si="5"/>
        <v>0</v>
      </c>
      <c r="U36" s="359"/>
    </row>
    <row r="37" spans="1:21" ht="15.6" customHeight="1" x14ac:dyDescent="0.3">
      <c r="A37" s="355">
        <f t="shared" si="0"/>
        <v>0</v>
      </c>
      <c r="B37" s="356"/>
      <c r="C37" s="356"/>
      <c r="D37" s="356"/>
      <c r="E37" s="356"/>
      <c r="F37" s="356">
        <f t="shared" si="1"/>
        <v>0</v>
      </c>
      <c r="G37" s="356"/>
      <c r="H37" s="356"/>
      <c r="I37" s="356"/>
      <c r="J37" s="360">
        <f t="shared" si="2"/>
        <v>0</v>
      </c>
      <c r="K37" s="360"/>
      <c r="L37" s="360"/>
      <c r="M37" s="360"/>
      <c r="N37" s="360"/>
      <c r="O37" s="360">
        <f t="shared" si="3"/>
        <v>0</v>
      </c>
      <c r="P37" s="360"/>
      <c r="Q37" s="357">
        <f t="shared" si="4"/>
        <v>0</v>
      </c>
      <c r="R37" s="357"/>
      <c r="S37" s="357"/>
      <c r="T37" s="358">
        <f t="shared" si="5"/>
        <v>0</v>
      </c>
      <c r="U37" s="359"/>
    </row>
    <row r="38" spans="1:21" ht="15.6" customHeight="1" thickBot="1" x14ac:dyDescent="0.35">
      <c r="A38" s="350">
        <f t="shared" si="0"/>
        <v>0</v>
      </c>
      <c r="B38" s="351"/>
      <c r="C38" s="351"/>
      <c r="D38" s="351"/>
      <c r="E38" s="351"/>
      <c r="F38" s="351">
        <f t="shared" si="1"/>
        <v>0</v>
      </c>
      <c r="G38" s="351"/>
      <c r="H38" s="351"/>
      <c r="I38" s="351"/>
      <c r="J38" s="361">
        <f t="shared" si="2"/>
        <v>0</v>
      </c>
      <c r="K38" s="361"/>
      <c r="L38" s="361"/>
      <c r="M38" s="361"/>
      <c r="N38" s="361"/>
      <c r="O38" s="361">
        <f t="shared" si="3"/>
        <v>0</v>
      </c>
      <c r="P38" s="361"/>
      <c r="Q38" s="352">
        <f t="shared" si="4"/>
        <v>0</v>
      </c>
      <c r="R38" s="352"/>
      <c r="S38" s="352"/>
      <c r="T38" s="353">
        <f t="shared" si="5"/>
        <v>0</v>
      </c>
      <c r="U38" s="354"/>
    </row>
    <row r="39" spans="1:21" ht="15" customHeight="1" thickTop="1" x14ac:dyDescent="0.3">
      <c r="A39" s="322" t="s">
        <v>2375</v>
      </c>
      <c r="B39" s="323"/>
      <c r="C39" s="323"/>
      <c r="D39" s="323"/>
      <c r="E39" s="324"/>
      <c r="F39" s="331">
        <f>F16</f>
        <v>0</v>
      </c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3"/>
    </row>
    <row r="40" spans="1:21" ht="15" customHeight="1" x14ac:dyDescent="0.3">
      <c r="A40" s="325"/>
      <c r="B40" s="326"/>
      <c r="C40" s="326"/>
      <c r="D40" s="326"/>
      <c r="E40" s="327"/>
      <c r="F40" s="334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6"/>
    </row>
    <row r="41" spans="1:21" ht="15" customHeight="1" x14ac:dyDescent="0.3">
      <c r="A41" s="325"/>
      <c r="B41" s="326"/>
      <c r="C41" s="326"/>
      <c r="D41" s="326"/>
      <c r="E41" s="327"/>
      <c r="F41" s="334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6"/>
    </row>
    <row r="42" spans="1:21" ht="15" customHeight="1" x14ac:dyDescent="0.3">
      <c r="A42" s="328"/>
      <c r="B42" s="329"/>
      <c r="C42" s="329"/>
      <c r="D42" s="329"/>
      <c r="E42" s="330"/>
      <c r="F42" s="337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</row>
    <row r="43" spans="1:21" ht="20.100000000000001" customHeight="1" x14ac:dyDescent="0.3">
      <c r="A43" s="306" t="s">
        <v>86</v>
      </c>
      <c r="B43" s="307"/>
      <c r="C43" s="307"/>
      <c r="D43" s="307"/>
      <c r="E43" s="307"/>
      <c r="F43" s="308">
        <f>F20</f>
        <v>0</v>
      </c>
      <c r="G43" s="308"/>
      <c r="H43" s="308"/>
      <c r="I43" s="309"/>
      <c r="J43" s="345">
        <f>J20</f>
        <v>150000</v>
      </c>
      <c r="K43" s="346"/>
      <c r="L43" s="346"/>
      <c r="M43" s="346"/>
      <c r="N43" s="347"/>
      <c r="O43" s="310">
        <f>O20</f>
        <v>1</v>
      </c>
      <c r="P43" s="310"/>
      <c r="Q43" s="348">
        <f>Q20</f>
        <v>0</v>
      </c>
      <c r="R43" s="308"/>
      <c r="S43" s="308"/>
      <c r="T43" s="308">
        <f>T20</f>
        <v>150000</v>
      </c>
      <c r="U43" s="349"/>
    </row>
    <row r="44" spans="1:21" ht="20.100000000000001" customHeight="1" thickBot="1" x14ac:dyDescent="0.35">
      <c r="A44" s="311" t="s">
        <v>96</v>
      </c>
      <c r="B44" s="312"/>
      <c r="C44" s="312"/>
      <c r="D44" s="312"/>
      <c r="E44" s="312"/>
      <c r="F44" s="313">
        <f>F21</f>
        <v>150000</v>
      </c>
      <c r="G44" s="313"/>
      <c r="H44" s="313"/>
      <c r="I44" s="314"/>
      <c r="J44" s="315" t="s">
        <v>971</v>
      </c>
      <c r="K44" s="312"/>
      <c r="L44" s="340" t="str">
        <f>T27</f>
        <v>장효주</v>
      </c>
      <c r="M44" s="340"/>
      <c r="N44" s="340"/>
      <c r="O44" s="315" t="s">
        <v>69</v>
      </c>
      <c r="P44" s="341"/>
      <c r="Q44" s="342" t="str">
        <f>Q21</f>
        <v>이시아오토(대구)</v>
      </c>
      <c r="R44" s="343"/>
      <c r="S44" s="343"/>
      <c r="T44" s="343"/>
      <c r="U44" s="34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2380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3105</v>
      </c>
      <c r="C2" s="47" t="s">
        <v>1503</v>
      </c>
      <c r="E2" t="s">
        <v>2477</v>
      </c>
      <c r="G2">
        <v>150000</v>
      </c>
      <c r="H2">
        <v>1</v>
      </c>
      <c r="I2" s="233"/>
      <c r="J2" s="233">
        <v>150000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2022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2373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2370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2371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95"/>
  <sheetViews>
    <sheetView workbookViewId="0">
      <pane xSplit="1" ySplit="1" topLeftCell="B955" activePane="bottomRight" state="frozen"/>
      <selection activeCell="N26" sqref="N26"/>
      <selection pane="topRight" activeCell="N26" sqref="N26"/>
      <selection pane="bottomLeft" activeCell="N26" sqref="N26"/>
      <selection pane="bottomRight" activeCell="L985" sqref="L985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1708</v>
      </c>
      <c r="M1" s="101">
        <v>994</v>
      </c>
    </row>
    <row r="2" spans="1:15" x14ac:dyDescent="0.3">
      <c r="A2" s="282">
        <v>1</v>
      </c>
      <c r="B2" s="272">
        <v>45723</v>
      </c>
      <c r="C2" s="271" t="s">
        <v>2193</v>
      </c>
      <c r="D2" s="273">
        <v>2821402</v>
      </c>
      <c r="E2" s="271" t="s">
        <v>2813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1796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2609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2611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1664</v>
      </c>
      <c r="E122" s="279" t="s">
        <v>1665</v>
      </c>
      <c r="F122" s="279" t="s">
        <v>1664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2611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1664</v>
      </c>
      <c r="E124" s="279" t="s">
        <v>1665</v>
      </c>
      <c r="F124" s="279" t="s">
        <v>1664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1667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1674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1677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1681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1696</v>
      </c>
      <c r="E133" s="279" t="s">
        <v>1699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1701</v>
      </c>
      <c r="E134" s="279" t="s">
        <v>1702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1704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1706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1709</v>
      </c>
      <c r="E137" s="279" t="s">
        <v>1712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1714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1871</v>
      </c>
      <c r="E145" s="279" t="s">
        <v>1869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1760</v>
      </c>
      <c r="D147" s="273">
        <v>2800802</v>
      </c>
      <c r="E147" s="279" t="s">
        <v>1755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1760</v>
      </c>
      <c r="D148" s="273" t="s">
        <v>1753</v>
      </c>
      <c r="E148" s="279" t="s">
        <v>1754</v>
      </c>
      <c r="F148" s="279" t="s">
        <v>1753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1760</v>
      </c>
      <c r="D149" s="273">
        <v>7252703114</v>
      </c>
      <c r="E149" s="279" t="s">
        <v>1741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1760</v>
      </c>
      <c r="D150" s="273" t="s">
        <v>1742</v>
      </c>
      <c r="E150" s="279" t="s">
        <v>1743</v>
      </c>
      <c r="F150" s="279" t="s">
        <v>1742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1760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1783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1785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1786</v>
      </c>
      <c r="E156" s="279" t="s">
        <v>1787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1680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1760</v>
      </c>
      <c r="D159" s="273">
        <v>415090409</v>
      </c>
      <c r="E159" s="279" t="s">
        <v>2611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1830</v>
      </c>
      <c r="E161" s="279" t="s">
        <v>1834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1830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1830</v>
      </c>
      <c r="D163" s="273" t="s">
        <v>1835</v>
      </c>
      <c r="E163" s="279" t="s">
        <v>1836</v>
      </c>
      <c r="F163" s="279" t="s">
        <v>1835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1760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1760</v>
      </c>
      <c r="D165" s="273">
        <v>415090409</v>
      </c>
      <c r="E165" s="279" t="s">
        <v>2611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1791</v>
      </c>
      <c r="E166" s="279" t="s">
        <v>1234</v>
      </c>
      <c r="F166" s="279" t="s">
        <v>1791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1840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1842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1843</v>
      </c>
      <c r="E169" s="279" t="s">
        <v>1612</v>
      </c>
      <c r="F169" s="279" t="s">
        <v>1843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1845</v>
      </c>
      <c r="D170" s="273" t="s">
        <v>1231</v>
      </c>
      <c r="E170" s="279" t="s">
        <v>1681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1755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1849</v>
      </c>
      <c r="D172" s="273" t="s">
        <v>1806</v>
      </c>
      <c r="E172" s="279" t="s">
        <v>1804</v>
      </c>
      <c r="F172" s="279" t="s">
        <v>1806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1849</v>
      </c>
      <c r="D173" s="273" t="s">
        <v>1803</v>
      </c>
      <c r="E173" s="279" t="s">
        <v>1804</v>
      </c>
      <c r="F173" s="279" t="s">
        <v>1803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1852</v>
      </c>
      <c r="E175" s="279" t="s">
        <v>1782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1760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1760</v>
      </c>
      <c r="D177" s="273" t="s">
        <v>1864</v>
      </c>
      <c r="E177" s="279" t="s">
        <v>1865</v>
      </c>
      <c r="F177" s="279" t="s">
        <v>1864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1760</v>
      </c>
      <c r="D178" s="273" t="s">
        <v>1835</v>
      </c>
      <c r="E178" s="279" t="s">
        <v>1836</v>
      </c>
      <c r="F178" s="279" t="s">
        <v>1835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1783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1783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1845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1885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1881</v>
      </c>
      <c r="E183" s="279" t="s">
        <v>1887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1791</v>
      </c>
      <c r="E184" s="279" t="s">
        <v>1234</v>
      </c>
      <c r="F184" s="279" t="s">
        <v>1791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1791</v>
      </c>
      <c r="E186" s="279" t="s">
        <v>1234</v>
      </c>
      <c r="F186" s="279" t="s">
        <v>1791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1742</v>
      </c>
      <c r="E187" s="279" t="s">
        <v>1743</v>
      </c>
      <c r="F187" s="279" t="s">
        <v>1742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1755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1835</v>
      </c>
      <c r="E189" s="279" t="s">
        <v>1836</v>
      </c>
      <c r="F189" s="279" t="s">
        <v>1835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1864</v>
      </c>
      <c r="E190" s="279" t="s">
        <v>1865</v>
      </c>
      <c r="F190" s="279" t="s">
        <v>1864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1893</v>
      </c>
      <c r="D191" s="273" t="s">
        <v>1895</v>
      </c>
      <c r="E191" s="279" t="s">
        <v>1896</v>
      </c>
      <c r="F191" s="279" t="s">
        <v>1895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1901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2611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1680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1849</v>
      </c>
      <c r="D196" s="273">
        <v>2830402</v>
      </c>
      <c r="E196" s="279" t="s">
        <v>1905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1907</v>
      </c>
      <c r="E197" s="279" t="s">
        <v>1908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1913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1913</v>
      </c>
      <c r="E199" s="279" t="s">
        <v>1915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1916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1916</v>
      </c>
      <c r="E201" s="279" t="s">
        <v>1918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1922</v>
      </c>
      <c r="E202" s="279" t="s">
        <v>1782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1760</v>
      </c>
      <c r="D203" s="273" t="s">
        <v>1919</v>
      </c>
      <c r="E203" s="279" t="s">
        <v>1920</v>
      </c>
      <c r="F203" s="279" t="s">
        <v>1919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1709</v>
      </c>
      <c r="D204" s="273" t="s">
        <v>1232</v>
      </c>
      <c r="E204" s="279" t="s">
        <v>1682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1849</v>
      </c>
      <c r="D205" s="273" t="s">
        <v>1806</v>
      </c>
      <c r="E205" s="279" t="s">
        <v>1804</v>
      </c>
      <c r="F205" s="279" t="s">
        <v>1806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1849</v>
      </c>
      <c r="D206" s="273" t="s">
        <v>1803</v>
      </c>
      <c r="E206" s="279" t="s">
        <v>1804</v>
      </c>
      <c r="F206" s="279" t="s">
        <v>1803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1936</v>
      </c>
      <c r="E207" s="279" t="s">
        <v>1939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1940</v>
      </c>
      <c r="D208" s="273" t="s">
        <v>1791</v>
      </c>
      <c r="E208" s="279" t="s">
        <v>1234</v>
      </c>
      <c r="F208" s="279" t="s">
        <v>1791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1791</v>
      </c>
      <c r="E209" s="279" t="s">
        <v>1234</v>
      </c>
      <c r="F209" s="279" t="s">
        <v>1791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1791</v>
      </c>
      <c r="E210" s="279" t="s">
        <v>1234</v>
      </c>
      <c r="F210" s="279" t="s">
        <v>1791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1947</v>
      </c>
      <c r="E212" s="279" t="s">
        <v>1948</v>
      </c>
      <c r="F212" s="279" t="s">
        <v>1947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1962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1965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1709</v>
      </c>
      <c r="D216" s="273" t="s">
        <v>1791</v>
      </c>
      <c r="E216" s="279" t="s">
        <v>1234</v>
      </c>
      <c r="F216" s="279" t="s">
        <v>1791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1709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1760</v>
      </c>
      <c r="E218" s="279" t="s">
        <v>1972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1760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1969</v>
      </c>
      <c r="E220" s="279" t="s">
        <v>1618</v>
      </c>
      <c r="F220" s="279" t="s">
        <v>1969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1977</v>
      </c>
      <c r="D221" s="273" t="s">
        <v>1835</v>
      </c>
      <c r="E221" s="279" t="s">
        <v>1836</v>
      </c>
      <c r="F221" s="279" t="s">
        <v>1835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1977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1977</v>
      </c>
      <c r="D223" s="273" t="s">
        <v>1947</v>
      </c>
      <c r="E223" s="279" t="s">
        <v>1948</v>
      </c>
      <c r="F223" s="279" t="s">
        <v>1947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1988</v>
      </c>
      <c r="D224" s="273" t="s">
        <v>1979</v>
      </c>
      <c r="E224" s="279" t="s">
        <v>1980</v>
      </c>
      <c r="F224" s="279" t="s">
        <v>1979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1988</v>
      </c>
      <c r="D225" s="273" t="s">
        <v>1982</v>
      </c>
      <c r="E225" s="279" t="s">
        <v>1981</v>
      </c>
      <c r="F225" s="279" t="s">
        <v>1982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1783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2611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1843</v>
      </c>
      <c r="E231" s="279" t="s">
        <v>1612</v>
      </c>
      <c r="F231" s="279" t="s">
        <v>1843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1760</v>
      </c>
      <c r="E232" s="279" t="s">
        <v>1999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2002</v>
      </c>
      <c r="E233" s="279" t="s">
        <v>2003</v>
      </c>
      <c r="F233" s="279" t="s">
        <v>2002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1843</v>
      </c>
      <c r="E234" s="279" t="s">
        <v>1612</v>
      </c>
      <c r="F234" s="279" t="s">
        <v>1843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2005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2007</v>
      </c>
      <c r="D236" s="273">
        <v>2830402</v>
      </c>
      <c r="E236" s="279" t="s">
        <v>1905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2007</v>
      </c>
      <c r="E237" s="279" t="s">
        <v>2011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2007</v>
      </c>
      <c r="E238" s="279" t="s">
        <v>2012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2007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2007</v>
      </c>
      <c r="D240" s="273">
        <v>50229</v>
      </c>
      <c r="E240" s="279" t="s">
        <v>1680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2007</v>
      </c>
      <c r="D241" s="273" t="s">
        <v>1835</v>
      </c>
      <c r="E241" s="279" t="s">
        <v>1836</v>
      </c>
      <c r="F241" s="279" t="s">
        <v>1835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1742</v>
      </c>
      <c r="E242" s="279" t="s">
        <v>1743</v>
      </c>
      <c r="F242" s="279" t="s">
        <v>1742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1755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2019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2020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2024</v>
      </c>
      <c r="D247" s="273" t="s">
        <v>1229</v>
      </c>
      <c r="E247" s="279" t="s">
        <v>2025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2027</v>
      </c>
      <c r="D248" s="273" t="s">
        <v>1864</v>
      </c>
      <c r="E248" s="279" t="s">
        <v>1865</v>
      </c>
      <c r="F248" s="279" t="s">
        <v>1864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2027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2027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1977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1830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2032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1849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1708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1755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2039</v>
      </c>
      <c r="E262" s="279" t="s">
        <v>1236</v>
      </c>
      <c r="F262" s="279" t="s">
        <v>2039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1782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2045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2062</v>
      </c>
      <c r="D266" s="273" t="s">
        <v>1835</v>
      </c>
      <c r="E266" s="279" t="s">
        <v>1836</v>
      </c>
      <c r="F266" s="279" t="s">
        <v>1835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2062</v>
      </c>
      <c r="D267" s="273" t="s">
        <v>1864</v>
      </c>
      <c r="E267" s="279" t="s">
        <v>1865</v>
      </c>
      <c r="F267" s="279" t="s">
        <v>1864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2062</v>
      </c>
      <c r="D268" s="273" t="s">
        <v>2059</v>
      </c>
      <c r="E268" s="279" t="s">
        <v>2060</v>
      </c>
      <c r="F268" s="279" t="s">
        <v>2059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2062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2062</v>
      </c>
      <c r="E270" s="279" t="s">
        <v>2061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2062</v>
      </c>
      <c r="D271" s="273">
        <v>50229</v>
      </c>
      <c r="E271" s="279" t="s">
        <v>1680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2062</v>
      </c>
      <c r="D272" s="273" t="s">
        <v>1947</v>
      </c>
      <c r="E272" s="279" t="s">
        <v>1948</v>
      </c>
      <c r="F272" s="279" t="s">
        <v>1947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1849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1760</v>
      </c>
      <c r="D274" s="273" t="s">
        <v>1791</v>
      </c>
      <c r="E274" s="279" t="s">
        <v>1234</v>
      </c>
      <c r="F274" s="279" t="s">
        <v>1791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1760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2071</v>
      </c>
      <c r="D276" s="273" t="s">
        <v>2069</v>
      </c>
      <c r="E276" s="279" t="s">
        <v>2070</v>
      </c>
      <c r="F276" s="279" t="s">
        <v>2069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2027</v>
      </c>
      <c r="D277" s="273" t="s">
        <v>1231</v>
      </c>
      <c r="E277" s="279" t="s">
        <v>1681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1786</v>
      </c>
      <c r="D278" s="273" t="s">
        <v>1249</v>
      </c>
      <c r="E278" s="279" t="s">
        <v>2074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2027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2027</v>
      </c>
      <c r="D280" s="273" t="s">
        <v>1742</v>
      </c>
      <c r="E280" s="279" t="s">
        <v>1743</v>
      </c>
      <c r="F280" s="279" t="s">
        <v>1742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2027</v>
      </c>
      <c r="E281" s="279" t="s">
        <v>2076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2027</v>
      </c>
      <c r="D282" s="273" t="s">
        <v>1835</v>
      </c>
      <c r="E282" s="279" t="s">
        <v>1836</v>
      </c>
      <c r="F282" s="279" t="s">
        <v>1835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2079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2081</v>
      </c>
      <c r="E285" s="279" t="s">
        <v>2084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2086</v>
      </c>
      <c r="D286" s="273" t="s">
        <v>1232</v>
      </c>
      <c r="E286" s="279" t="s">
        <v>1682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2086</v>
      </c>
      <c r="D287" s="273" t="s">
        <v>1843</v>
      </c>
      <c r="E287" s="279" t="s">
        <v>1612</v>
      </c>
      <c r="F287" s="279" t="s">
        <v>1843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2086</v>
      </c>
      <c r="D288" s="273" t="s">
        <v>1758</v>
      </c>
      <c r="E288" s="279" t="s">
        <v>1759</v>
      </c>
      <c r="F288" s="279" t="s">
        <v>1758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2090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1782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2093</v>
      </c>
      <c r="E291" s="279" t="s">
        <v>2096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2100</v>
      </c>
      <c r="E293" s="279" t="s">
        <v>2101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2102</v>
      </c>
      <c r="E294" s="279" t="s">
        <v>2101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2086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2027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2027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2109</v>
      </c>
      <c r="E301" s="279" t="s">
        <v>2106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2024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2062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1843</v>
      </c>
      <c r="E308" s="279" t="s">
        <v>1612</v>
      </c>
      <c r="F308" s="279" t="s">
        <v>1843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2105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2081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1760</v>
      </c>
      <c r="D312" s="273">
        <v>2800802</v>
      </c>
      <c r="E312" s="279" t="s">
        <v>1755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2024</v>
      </c>
      <c r="D314" s="273" t="s">
        <v>1229</v>
      </c>
      <c r="E314" s="279" t="s">
        <v>2025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2611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2024</v>
      </c>
      <c r="E317" s="279" t="s">
        <v>2128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2129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2007</v>
      </c>
      <c r="E319" s="279" t="s">
        <v>2126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2130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1755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2070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1791</v>
      </c>
      <c r="E323" s="279" t="s">
        <v>1234</v>
      </c>
      <c r="F323" s="279" t="s">
        <v>1791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1791</v>
      </c>
      <c r="E325" s="279" t="s">
        <v>2136</v>
      </c>
      <c r="F325" s="279" t="s">
        <v>1791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2007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1681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2141</v>
      </c>
      <c r="D329" s="273" t="s">
        <v>1232</v>
      </c>
      <c r="E329" s="279" t="s">
        <v>1682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2141</v>
      </c>
      <c r="D330" s="273" t="s">
        <v>1843</v>
      </c>
      <c r="E330" s="279" t="s">
        <v>1612</v>
      </c>
      <c r="F330" s="279" t="s">
        <v>1843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2141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2143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2141</v>
      </c>
      <c r="D337" s="273" t="s">
        <v>1232</v>
      </c>
      <c r="E337" s="279" t="s">
        <v>1682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2141</v>
      </c>
      <c r="D338" s="273" t="s">
        <v>1843</v>
      </c>
      <c r="E338" s="279" t="s">
        <v>1612</v>
      </c>
      <c r="F338" s="279" t="s">
        <v>1843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2147</v>
      </c>
      <c r="D339" s="273" t="s">
        <v>1232</v>
      </c>
      <c r="E339" s="279" t="s">
        <v>1682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2147</v>
      </c>
      <c r="D340" s="273" t="s">
        <v>1843</v>
      </c>
      <c r="E340" s="279" t="s">
        <v>1612</v>
      </c>
      <c r="F340" s="279" t="s">
        <v>1843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2147</v>
      </c>
      <c r="D341" s="273" t="s">
        <v>1758</v>
      </c>
      <c r="E341" s="279" t="s">
        <v>1759</v>
      </c>
      <c r="F341" s="279" t="s">
        <v>1758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2147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2141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2266</v>
      </c>
      <c r="E344" s="279" t="s">
        <v>2267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1760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2130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1760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2162</v>
      </c>
      <c r="E351" s="279" t="s">
        <v>2011</v>
      </c>
      <c r="F351" s="279" t="s">
        <v>2162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2062</v>
      </c>
      <c r="D352" s="273">
        <v>36050661</v>
      </c>
      <c r="E352" s="279" t="s">
        <v>2160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2399</v>
      </c>
      <c r="E353" s="279" t="s">
        <v>2400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2399</v>
      </c>
      <c r="D354" s="273" t="s">
        <v>2401</v>
      </c>
      <c r="E354" s="279" t="s">
        <v>2402</v>
      </c>
      <c r="F354" s="279" t="s">
        <v>2401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1830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1785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2062</v>
      </c>
      <c r="E357" s="279" t="s">
        <v>1785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1830</v>
      </c>
      <c r="E358" s="279" t="s">
        <v>1785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2364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2364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2143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2024</v>
      </c>
      <c r="D362" s="273" t="s">
        <v>1791</v>
      </c>
      <c r="E362" s="279" t="s">
        <v>1234</v>
      </c>
      <c r="F362" s="279" t="s">
        <v>1791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2179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2180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2182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2186</v>
      </c>
      <c r="D367" s="273" t="s">
        <v>1232</v>
      </c>
      <c r="E367" s="279" t="s">
        <v>1682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2190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2186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2143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1977</v>
      </c>
      <c r="D373" s="273">
        <v>1068298046</v>
      </c>
      <c r="E373" s="279" t="s">
        <v>2143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1977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2216</v>
      </c>
      <c r="D375" s="273" t="s">
        <v>2217</v>
      </c>
      <c r="E375" s="279" t="s">
        <v>2218</v>
      </c>
      <c r="F375" s="279" t="s">
        <v>2217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1830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2199</v>
      </c>
      <c r="D377" s="273">
        <v>7252703114</v>
      </c>
      <c r="E377" s="279" t="s">
        <v>1741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2203</v>
      </c>
      <c r="D378" s="273">
        <v>2800802</v>
      </c>
      <c r="E378" s="279" t="s">
        <v>1755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2206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2209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2199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1709</v>
      </c>
      <c r="E382" s="279" t="s">
        <v>2212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2214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2024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1760</v>
      </c>
      <c r="E386" s="279" t="s">
        <v>2084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1760</v>
      </c>
      <c r="E387" s="279" t="s">
        <v>2219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2226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2611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1830</v>
      </c>
      <c r="E392" s="279" t="s">
        <v>1782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2242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2141</v>
      </c>
      <c r="D396" s="273" t="s">
        <v>1232</v>
      </c>
      <c r="E396" s="279" t="s">
        <v>2235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2141</v>
      </c>
      <c r="D397" s="273" t="s">
        <v>1843</v>
      </c>
      <c r="E397" s="279" t="s">
        <v>2236</v>
      </c>
      <c r="F397" s="279" t="s">
        <v>1843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2141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2057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2153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1786</v>
      </c>
      <c r="D401" s="273">
        <v>50229</v>
      </c>
      <c r="E401" s="279" t="s">
        <v>2245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2271</v>
      </c>
      <c r="E402" s="279" t="s">
        <v>2269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1916</v>
      </c>
      <c r="D403" s="273" t="s">
        <v>1232</v>
      </c>
      <c r="E403" s="279" t="s">
        <v>2235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1916</v>
      </c>
      <c r="D404" s="273" t="s">
        <v>1843</v>
      </c>
      <c r="E404" s="279" t="s">
        <v>2236</v>
      </c>
      <c r="F404" s="279" t="s">
        <v>1843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1916</v>
      </c>
      <c r="D405" s="273" t="s">
        <v>2273</v>
      </c>
      <c r="E405" s="279" t="s">
        <v>2237</v>
      </c>
      <c r="F405" s="279" t="s">
        <v>2273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1916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2147</v>
      </c>
      <c r="D407" s="273" t="s">
        <v>2273</v>
      </c>
      <c r="E407" s="279" t="s">
        <v>2237</v>
      </c>
      <c r="F407" s="279" t="s">
        <v>2273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1977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1786</v>
      </c>
      <c r="D409" s="273">
        <v>50229</v>
      </c>
      <c r="E409" s="279" t="s">
        <v>2245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1786</v>
      </c>
      <c r="D410" s="273" t="s">
        <v>1292</v>
      </c>
      <c r="E410" s="279" t="s">
        <v>2243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1786</v>
      </c>
      <c r="D411" s="273" t="s">
        <v>1864</v>
      </c>
      <c r="E411" s="279" t="s">
        <v>2247</v>
      </c>
      <c r="F411" s="279" t="s">
        <v>1864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1916</v>
      </c>
      <c r="E412" s="279" t="s">
        <v>2284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1916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1893</v>
      </c>
      <c r="E414" s="279" t="s">
        <v>2286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1786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1786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2300</v>
      </c>
      <c r="D418" s="273">
        <v>1087298388</v>
      </c>
      <c r="E418" s="279" t="s">
        <v>2301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2311</v>
      </c>
      <c r="D419" s="273" t="s">
        <v>2312</v>
      </c>
      <c r="E419" s="279" t="s">
        <v>2313</v>
      </c>
      <c r="F419" s="279" t="s">
        <v>2312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1893</v>
      </c>
      <c r="E420" s="279" t="s">
        <v>1785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1709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1760</v>
      </c>
      <c r="D423" s="273" t="s">
        <v>1232</v>
      </c>
      <c r="E423" s="279" t="s">
        <v>2235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1760</v>
      </c>
      <c r="D424" s="273" t="s">
        <v>1843</v>
      </c>
      <c r="E424" s="279" t="s">
        <v>2236</v>
      </c>
      <c r="F424" s="279" t="s">
        <v>1843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1760</v>
      </c>
      <c r="D425" s="273" t="s">
        <v>1758</v>
      </c>
      <c r="E425" s="279" t="s">
        <v>2238</v>
      </c>
      <c r="F425" s="279" t="s">
        <v>1758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1760</v>
      </c>
      <c r="E426" s="279" t="s">
        <v>2297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2084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2302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2303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1791</v>
      </c>
      <c r="E430" s="279" t="s">
        <v>1234</v>
      </c>
      <c r="F430" s="279" t="s">
        <v>1791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2241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2408</v>
      </c>
      <c r="D433" s="273" t="s">
        <v>2409</v>
      </c>
      <c r="E433" s="279" t="s">
        <v>2410</v>
      </c>
      <c r="F433" s="279" t="s">
        <v>2409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1907</v>
      </c>
      <c r="D434" s="273" t="s">
        <v>1231</v>
      </c>
      <c r="E434" s="279" t="s">
        <v>2241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2147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2295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2314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2316</v>
      </c>
      <c r="D439" s="273" t="s">
        <v>1246</v>
      </c>
      <c r="E439" s="279" t="s">
        <v>2233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1709</v>
      </c>
      <c r="D440" s="273" t="s">
        <v>2002</v>
      </c>
      <c r="E440" s="279" t="s">
        <v>2257</v>
      </c>
      <c r="F440" s="279" t="s">
        <v>2002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1709</v>
      </c>
      <c r="D441" s="273" t="s">
        <v>1843</v>
      </c>
      <c r="E441" s="279" t="s">
        <v>2236</v>
      </c>
      <c r="F441" s="279" t="s">
        <v>1843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1709</v>
      </c>
      <c r="E442" s="279" t="s">
        <v>2258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2319</v>
      </c>
      <c r="D443" s="273" t="s">
        <v>1232</v>
      </c>
      <c r="E443" s="279" t="s">
        <v>2235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2319</v>
      </c>
      <c r="D444" s="273" t="s">
        <v>1843</v>
      </c>
      <c r="E444" s="279" t="s">
        <v>2236</v>
      </c>
      <c r="F444" s="279" t="s">
        <v>1843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1907</v>
      </c>
      <c r="D445" s="273" t="s">
        <v>1232</v>
      </c>
      <c r="E445" s="279" t="s">
        <v>2235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1907</v>
      </c>
      <c r="D446" s="273" t="s">
        <v>1843</v>
      </c>
      <c r="E446" s="279" t="s">
        <v>2236</v>
      </c>
      <c r="F446" s="279" t="s">
        <v>1843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2319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2316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2325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1782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2517</v>
      </c>
      <c r="E459" s="279" t="s">
        <v>1757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1760</v>
      </c>
      <c r="D460" s="273">
        <v>4150862090</v>
      </c>
      <c r="E460" s="279" t="s">
        <v>2611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1783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2611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2245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2239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1864</v>
      </c>
      <c r="E465" s="279" t="s">
        <v>2247</v>
      </c>
      <c r="F465" s="279" t="s">
        <v>1864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2348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1785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2350</v>
      </c>
      <c r="D469" s="273" t="s">
        <v>1229</v>
      </c>
      <c r="E469" s="279" t="s">
        <v>2252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2350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1782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1709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2242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2245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1835</v>
      </c>
      <c r="E478" s="279" t="s">
        <v>2246</v>
      </c>
      <c r="F478" s="279" t="s">
        <v>1835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2364</v>
      </c>
      <c r="D479" s="273" t="s">
        <v>1791</v>
      </c>
      <c r="E479" s="279" t="s">
        <v>2357</v>
      </c>
      <c r="F479" s="279" t="s">
        <v>1791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2364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2243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1709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1907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2233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2364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1709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1799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1760</v>
      </c>
      <c r="E489" s="279" t="s">
        <v>1783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1830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1782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2374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2202</v>
      </c>
      <c r="E496" s="279" t="s">
        <v>1901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2376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1786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1940</v>
      </c>
      <c r="E500" s="279" t="s">
        <v>2378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2090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2377</v>
      </c>
      <c r="E502" s="279" t="s">
        <v>2252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2377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2379</v>
      </c>
      <c r="E504" s="279" t="s">
        <v>1755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1940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2334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2379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1786</v>
      </c>
      <c r="E508" s="279" t="s">
        <v>2357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1786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1786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2611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2074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2416</v>
      </c>
      <c r="E514" s="279" t="s">
        <v>2417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1791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2546</v>
      </c>
      <c r="E516" s="279" t="s">
        <v>2386</v>
      </c>
      <c r="F516" s="279" t="s">
        <v>2385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2153</v>
      </c>
      <c r="E517" s="279" t="s">
        <v>1234</v>
      </c>
      <c r="F517" s="279" t="s">
        <v>1791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2153</v>
      </c>
      <c r="E518" s="279" t="s">
        <v>2396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1786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2166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2403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2233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2105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2414</v>
      </c>
      <c r="E525" s="279" t="s">
        <v>2415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1785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1785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2391</v>
      </c>
      <c r="E528" s="279" t="s">
        <v>1785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1785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1785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2426</v>
      </c>
      <c r="E532" s="279" t="s">
        <v>2427</v>
      </c>
      <c r="F532" s="279" t="s">
        <v>2428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2350</v>
      </c>
      <c r="E534" s="279" t="s">
        <v>2242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2350</v>
      </c>
      <c r="E535" s="279" t="s">
        <v>2245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2350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1755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1791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2316</v>
      </c>
      <c r="E542" s="279" t="s">
        <v>2251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2459</v>
      </c>
      <c r="E544" s="279" t="s">
        <v>2460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2432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2447</v>
      </c>
      <c r="E546" s="279" t="s">
        <v>2443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2251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2451</v>
      </c>
      <c r="E550" s="279" t="s">
        <v>2456</v>
      </c>
      <c r="F550" s="279" t="s">
        <v>2457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2458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2450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1760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1760</v>
      </c>
      <c r="E557" s="279" t="s">
        <v>2462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2242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2245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2243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2247</v>
      </c>
      <c r="F561" s="279" t="s">
        <v>1864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2246</v>
      </c>
      <c r="F562" s="279" t="s">
        <v>1835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1755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2469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2246</v>
      </c>
      <c r="F566" s="279" t="s">
        <v>1835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2249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2470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2478</v>
      </c>
      <c r="E570" s="279" t="s">
        <v>2477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1760</v>
      </c>
      <c r="E571" s="279" t="s">
        <v>2242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2502</v>
      </c>
      <c r="E572" s="279" t="s">
        <v>2503</v>
      </c>
      <c r="F572" s="279" t="s">
        <v>2504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2509</v>
      </c>
      <c r="E573" s="279" t="s">
        <v>2510</v>
      </c>
      <c r="F573" s="279" t="s">
        <v>2511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2509</v>
      </c>
      <c r="E574" s="279" t="s">
        <v>2512</v>
      </c>
      <c r="F574" s="279" t="s">
        <v>2513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2486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1920</v>
      </c>
      <c r="F576" s="279" t="s">
        <v>2487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1760</v>
      </c>
      <c r="E577" s="279" t="s">
        <v>1782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2491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2251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2251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2242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2243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2514</v>
      </c>
      <c r="E583" s="279" t="s">
        <v>2515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2496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2498</v>
      </c>
      <c r="F585" s="279" t="s">
        <v>2497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2500</v>
      </c>
      <c r="F586" s="279" t="s">
        <v>2499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2247</v>
      </c>
      <c r="F587" s="279" t="s">
        <v>1864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2483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2505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2506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2507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2508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2316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2398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2153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2434</v>
      </c>
      <c r="E599" s="279" t="s">
        <v>2533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1786</v>
      </c>
      <c r="E600" s="279" t="s">
        <v>2245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1786</v>
      </c>
      <c r="E601" s="279" t="s">
        <v>2243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2837</v>
      </c>
      <c r="E602" s="279" t="s">
        <v>2838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2537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2156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2260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2540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2377</v>
      </c>
      <c r="E608" s="279" t="s">
        <v>2542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1940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2545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2548</v>
      </c>
      <c r="D612" s="273" t="s">
        <v>1246</v>
      </c>
      <c r="E612" s="279" t="s">
        <v>2549</v>
      </c>
      <c r="F612" s="279" t="s">
        <v>2550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2560</v>
      </c>
      <c r="E615" s="279" t="s">
        <v>1234</v>
      </c>
      <c r="F615" s="279" t="s">
        <v>1791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1774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2551</v>
      </c>
      <c r="E618" s="279" t="s">
        <v>1755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1791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2434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2551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2377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2568</v>
      </c>
      <c r="E624" s="279" t="s">
        <v>2235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2568</v>
      </c>
      <c r="E625" s="279" t="s">
        <v>2236</v>
      </c>
      <c r="F625" s="279" t="s">
        <v>1843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2251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2560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2202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2571</v>
      </c>
      <c r="E630" s="279" t="s">
        <v>1755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1940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2246</v>
      </c>
      <c r="F633" s="279" t="s">
        <v>1835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2247</v>
      </c>
      <c r="F634" s="279" t="s">
        <v>1864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1849</v>
      </c>
      <c r="E635" s="279" t="s">
        <v>2233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2027</v>
      </c>
      <c r="E636" s="279" t="s">
        <v>2241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2581</v>
      </c>
      <c r="E637" s="279" t="s">
        <v>2235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2581</v>
      </c>
      <c r="E638" s="279" t="s">
        <v>2236</v>
      </c>
      <c r="F638" s="279" t="s">
        <v>1843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2798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2585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2357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2581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2027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1782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2571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1782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2180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1808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2598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2810</v>
      </c>
      <c r="E653" s="279" t="s">
        <v>2812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1775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1782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1791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2643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2645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1782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2646</v>
      </c>
      <c r="E665" s="279" t="s">
        <v>2233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2646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2810</v>
      </c>
      <c r="E668" s="279" t="s">
        <v>2811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2656</v>
      </c>
      <c r="F669" s="279" t="s">
        <v>2655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2294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2907</v>
      </c>
    </row>
    <row r="671" spans="1:12" x14ac:dyDescent="0.3">
      <c r="A671" s="282">
        <v>670</v>
      </c>
      <c r="B671" s="272">
        <v>45826</v>
      </c>
      <c r="C671" s="279" t="s">
        <v>2024</v>
      </c>
      <c r="E671" s="279" t="s">
        <v>2252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2024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2024</v>
      </c>
      <c r="E673" s="279" t="s">
        <v>2252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2350</v>
      </c>
      <c r="E674" s="279" t="s">
        <v>2084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2350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2024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1760</v>
      </c>
      <c r="E678" s="279" t="s">
        <v>2388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1791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1896</v>
      </c>
      <c r="F680" s="279" t="s">
        <v>1895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2024</v>
      </c>
      <c r="E681" s="279" t="s">
        <v>2260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1791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2646</v>
      </c>
      <c r="E683" s="279" t="s">
        <v>1234</v>
      </c>
      <c r="F683" s="279" t="s">
        <v>1791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2646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2235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2236</v>
      </c>
      <c r="F686" s="279" t="s">
        <v>1843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2233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2757</v>
      </c>
      <c r="E688" s="279" t="s">
        <v>2758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2483</v>
      </c>
      <c r="E689" s="279" t="s">
        <v>2074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2677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1799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2165</v>
      </c>
      <c r="F692" s="279" t="s">
        <v>2672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2679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2024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1849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2702</v>
      </c>
      <c r="E696" s="279" t="s">
        <v>2703</v>
      </c>
      <c r="F696" s="279" t="s">
        <v>2704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2702</v>
      </c>
      <c r="E697" s="279" t="s">
        <v>2705</v>
      </c>
      <c r="F697" s="279" t="s">
        <v>2706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2483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1791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1743</v>
      </c>
      <c r="F701" s="279" t="s">
        <v>1742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2775</v>
      </c>
      <c r="E702" s="279" t="s">
        <v>2776</v>
      </c>
      <c r="F702" s="279" t="s">
        <v>2777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2775</v>
      </c>
      <c r="E703" s="279" t="s">
        <v>2778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1791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2692</v>
      </c>
      <c r="E707" s="279" t="s">
        <v>1234</v>
      </c>
      <c r="F707" s="279" t="s">
        <v>1791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2692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2700</v>
      </c>
      <c r="E712" s="279" t="s">
        <v>1755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2700</v>
      </c>
      <c r="E713" s="279" t="s">
        <v>1785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2687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1782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2782</v>
      </c>
      <c r="E716" s="279" t="s">
        <v>2783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1760</v>
      </c>
      <c r="E717" s="279" t="s">
        <v>2710</v>
      </c>
      <c r="F717" s="279" t="s">
        <v>2709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1786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2692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2712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2712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2719</v>
      </c>
      <c r="E722" s="279" t="s">
        <v>2718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2753</v>
      </c>
      <c r="E723" s="279" t="s">
        <v>2754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2721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2725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2235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2236</v>
      </c>
      <c r="F728" s="279" t="s">
        <v>1843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2779</v>
      </c>
      <c r="E729" s="279" t="s">
        <v>2776</v>
      </c>
      <c r="F729" s="279" t="s">
        <v>2777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2779</v>
      </c>
      <c r="E730" s="279" t="s">
        <v>2780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2728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1760</v>
      </c>
      <c r="E732" s="279" t="s">
        <v>2241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2236</v>
      </c>
      <c r="F733" s="279" t="s">
        <v>1843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2235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2236</v>
      </c>
      <c r="F735" s="279" t="s">
        <v>1843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1969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1940</v>
      </c>
      <c r="E737" s="279" t="s">
        <v>1234</v>
      </c>
      <c r="F737" s="279" t="s">
        <v>1791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2751</v>
      </c>
      <c r="E738" s="279" t="s">
        <v>2752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2740</v>
      </c>
      <c r="E739" s="279" t="s">
        <v>2357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1782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2740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2728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2770</v>
      </c>
      <c r="E745" s="279" t="s">
        <v>2771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2764</v>
      </c>
      <c r="E746" s="279" t="s">
        <v>2765</v>
      </c>
      <c r="F746" s="279" t="s">
        <v>2766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1760</v>
      </c>
      <c r="E747" s="279" t="s">
        <v>2767</v>
      </c>
      <c r="F747" s="279" t="s">
        <v>1835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2235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2236</v>
      </c>
      <c r="F749" s="279" t="s">
        <v>1843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2773</v>
      </c>
      <c r="E752" s="279" t="s">
        <v>2774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2781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2587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2560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2348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2257</v>
      </c>
      <c r="F757" s="279" t="s">
        <v>2002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2236</v>
      </c>
      <c r="F758" s="279" t="s">
        <v>1843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2790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1755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1901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3046</v>
      </c>
      <c r="E762" s="279" t="s">
        <v>3054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2235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2236</v>
      </c>
      <c r="F764" s="279" t="s">
        <v>1843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1760</v>
      </c>
      <c r="E768" s="279" t="s">
        <v>1595</v>
      </c>
      <c r="F768" s="279" t="s">
        <v>2807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2251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2350</v>
      </c>
      <c r="E771" s="279" t="s">
        <v>1783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2719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2834</v>
      </c>
      <c r="E773" s="279" t="s">
        <v>2835</v>
      </c>
      <c r="F773" s="279" t="s">
        <v>2836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2824</v>
      </c>
      <c r="F774" s="279" t="s">
        <v>2823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2830</v>
      </c>
      <c r="E775" s="279" t="s">
        <v>2831</v>
      </c>
      <c r="F775" s="279" t="s">
        <v>2832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2235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2236</v>
      </c>
      <c r="F777" s="279" t="s">
        <v>1843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1760</v>
      </c>
      <c r="E778" s="279" t="s">
        <v>2243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2027</v>
      </c>
      <c r="E779" s="279" t="s">
        <v>2235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2027</v>
      </c>
      <c r="E780" s="279" t="s">
        <v>2236</v>
      </c>
      <c r="F780" s="279" t="s">
        <v>1843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2233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2815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1940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2350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2840</v>
      </c>
      <c r="E789" s="279" t="s">
        <v>2841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2839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2843</v>
      </c>
      <c r="E792" s="279" t="s">
        <v>2842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1783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1785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2848</v>
      </c>
      <c r="E796" s="279" t="s">
        <v>2850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2851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2852</v>
      </c>
      <c r="E799" s="279" t="s">
        <v>2403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2858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2852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2027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2861</v>
      </c>
      <c r="E804" s="279" t="s">
        <v>2357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2863</v>
      </c>
      <c r="E805" s="279" t="s">
        <v>1234</v>
      </c>
      <c r="F805" s="279" t="s">
        <v>1791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2863</v>
      </c>
      <c r="E806" s="279" t="s">
        <v>2868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2007</v>
      </c>
      <c r="E809" s="279" t="s">
        <v>2235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2007</v>
      </c>
      <c r="E810" s="279" t="s">
        <v>2236</v>
      </c>
      <c r="F810" s="279" t="s">
        <v>1843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2007</v>
      </c>
      <c r="E811" s="279" t="s">
        <v>2237</v>
      </c>
      <c r="F811" s="279" t="s">
        <v>2273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2007</v>
      </c>
      <c r="E812" s="279" t="s">
        <v>2238</v>
      </c>
      <c r="F812" s="279" t="s">
        <v>1758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3064</v>
      </c>
      <c r="E813" s="279" t="s">
        <v>3065</v>
      </c>
      <c r="F813" s="279" t="s">
        <v>3066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2235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2236</v>
      </c>
      <c r="F815" s="279" t="s">
        <v>1843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2843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2884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1849</v>
      </c>
      <c r="E818" s="279" t="s">
        <v>1530</v>
      </c>
      <c r="F818" s="279" t="s">
        <v>2789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2319</v>
      </c>
      <c r="E819" s="279" t="s">
        <v>1234</v>
      </c>
      <c r="F819" s="279" t="s">
        <v>1791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2891</v>
      </c>
      <c r="E820" s="279" t="s">
        <v>2892</v>
      </c>
      <c r="F820" s="279" t="s">
        <v>2893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2884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2319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2007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2894</v>
      </c>
      <c r="E824" s="279" t="s">
        <v>2895</v>
      </c>
      <c r="F824" s="279" t="s">
        <v>2896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2894</v>
      </c>
      <c r="E825" s="279" t="s">
        <v>2897</v>
      </c>
      <c r="F825" s="279" t="s">
        <v>2898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2901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2851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1791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1743</v>
      </c>
      <c r="F830" s="279" t="s">
        <v>1742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3046</v>
      </c>
      <c r="E831" s="279" t="s">
        <v>3047</v>
      </c>
      <c r="F831" s="279" t="s">
        <v>3048</v>
      </c>
      <c r="G831" s="274">
        <v>1500000</v>
      </c>
      <c r="H831" s="279">
        <v>1</v>
      </c>
      <c r="J831" s="275" t="s">
        <v>3049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1791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2861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1849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1760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1791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2789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2491</v>
      </c>
      <c r="F843" s="279" t="s">
        <v>2869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2918</v>
      </c>
      <c r="E844" s="279" t="s">
        <v>2235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2918</v>
      </c>
      <c r="E845" s="279" t="s">
        <v>2236</v>
      </c>
      <c r="F845" s="279" t="s">
        <v>1843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2687</v>
      </c>
      <c r="E846" s="279" t="s">
        <v>2235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2687</v>
      </c>
      <c r="E847" s="279" t="s">
        <v>2236</v>
      </c>
      <c r="F847" s="279" t="s">
        <v>1843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2912</v>
      </c>
      <c r="E848" s="279" t="s">
        <v>2235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2912</v>
      </c>
      <c r="E849" s="279" t="s">
        <v>2236</v>
      </c>
      <c r="F849" s="279" t="s">
        <v>1843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2473</v>
      </c>
      <c r="F850" s="279" t="s">
        <v>2472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2486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1916</v>
      </c>
      <c r="E852" s="279" t="s">
        <v>2241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2242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2245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1760</v>
      </c>
      <c r="E855" s="279" t="s">
        <v>2928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2912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2918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1916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1760</v>
      </c>
      <c r="E859" s="279" t="s">
        <v>2930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1782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2242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2243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2247</v>
      </c>
      <c r="F864" s="279" t="s">
        <v>1864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2246</v>
      </c>
      <c r="F865" s="279" t="s">
        <v>1835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2918</v>
      </c>
      <c r="E866" s="279" t="s">
        <v>2934</v>
      </c>
      <c r="F866" s="279" t="s">
        <v>2933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2918</v>
      </c>
      <c r="E867" s="279" t="s">
        <v>2238</v>
      </c>
      <c r="F867" s="279" t="s">
        <v>1758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1791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2789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1849</v>
      </c>
      <c r="E870" s="279" t="s">
        <v>1804</v>
      </c>
      <c r="F870" s="279" t="s">
        <v>1806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1849</v>
      </c>
      <c r="E871" s="279" t="s">
        <v>1804</v>
      </c>
      <c r="F871" s="279" t="s">
        <v>1803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2938</v>
      </c>
      <c r="E872" s="279" t="s">
        <v>1774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1791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2241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2245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2246</v>
      </c>
      <c r="F877" s="279" t="s">
        <v>1835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2242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1791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2687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2918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1782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2483</v>
      </c>
      <c r="E884" s="279" t="s">
        <v>2074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2316</v>
      </c>
      <c r="E885" s="279" t="s">
        <v>2238</v>
      </c>
      <c r="F885" s="279" t="s">
        <v>1758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2235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2236</v>
      </c>
      <c r="F887" s="279" t="s">
        <v>1843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1760</v>
      </c>
      <c r="E888" s="279" t="s">
        <v>2388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1786</v>
      </c>
      <c r="E889" s="279" t="s">
        <v>2357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1786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2316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2938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2483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2843</v>
      </c>
      <c r="E895" s="279" t="s">
        <v>2242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2843</v>
      </c>
      <c r="E896" s="279" t="s">
        <v>2245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2843</v>
      </c>
      <c r="E897" s="279" t="s">
        <v>1948</v>
      </c>
      <c r="F897" s="279" t="s">
        <v>1947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2377</v>
      </c>
      <c r="E898" s="279" t="s">
        <v>2965</v>
      </c>
      <c r="F898" s="279" t="s">
        <v>2039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2156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2251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1791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2969</v>
      </c>
      <c r="F902" s="279" t="s">
        <v>2871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2486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2977</v>
      </c>
      <c r="F905" s="279" t="s">
        <v>2976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2979</v>
      </c>
      <c r="F906" s="279" t="s">
        <v>2975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2235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2236</v>
      </c>
      <c r="F908" s="279" t="s">
        <v>1843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1782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2870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1791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2789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1775</v>
      </c>
      <c r="F914" s="279" t="s">
        <v>2963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2990</v>
      </c>
      <c r="E916" s="279" t="s">
        <v>2991</v>
      </c>
      <c r="F916" s="279" t="s">
        <v>2992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2990</v>
      </c>
      <c r="E917" s="279" t="s">
        <v>2993</v>
      </c>
      <c r="F917" s="279" t="s">
        <v>2994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2997</v>
      </c>
      <c r="E918" s="279" t="s">
        <v>2998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2988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2995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2377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2843</v>
      </c>
      <c r="E924" s="279" t="s">
        <v>2241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3001</v>
      </c>
      <c r="E925" s="279" t="s">
        <v>3002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3050</v>
      </c>
      <c r="E927" s="279" t="s">
        <v>3051</v>
      </c>
      <c r="G927" s="274">
        <v>1750000</v>
      </c>
      <c r="H927" s="279">
        <v>1</v>
      </c>
      <c r="J927" s="275" t="s">
        <v>3052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3011</v>
      </c>
      <c r="E928" s="279" t="s">
        <v>2454</v>
      </c>
      <c r="F928" s="279" t="s">
        <v>3014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1782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2483</v>
      </c>
      <c r="E930" s="279" t="s">
        <v>2074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3055</v>
      </c>
    </row>
    <row r="931" spans="1:13" x14ac:dyDescent="0.3">
      <c r="A931" s="282">
        <v>930</v>
      </c>
      <c r="B931" s="272">
        <v>45852</v>
      </c>
      <c r="C931" s="279" t="s">
        <v>2377</v>
      </c>
      <c r="E931" s="279" t="s">
        <v>2965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2235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2236</v>
      </c>
      <c r="F934" s="279" t="s">
        <v>1843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2377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3050</v>
      </c>
      <c r="E937" s="279" t="s">
        <v>3053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2483</v>
      </c>
      <c r="E938" s="279" t="s">
        <v>2235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2483</v>
      </c>
      <c r="E939" s="279" t="s">
        <v>2236</v>
      </c>
      <c r="F939" s="279" t="s">
        <v>1843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3035</v>
      </c>
      <c r="E941" s="279" t="s">
        <v>2235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3035</v>
      </c>
      <c r="E942" s="279" t="s">
        <v>2236</v>
      </c>
      <c r="F942" s="279" t="s">
        <v>1843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3035</v>
      </c>
      <c r="E943" s="279" t="s">
        <v>2237</v>
      </c>
      <c r="F943" s="279" t="s">
        <v>2273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2377</v>
      </c>
      <c r="E944" s="279" t="s">
        <v>2233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3097</v>
      </c>
      <c r="E945" s="279" t="s">
        <v>3098</v>
      </c>
      <c r="F945" s="279" t="s">
        <v>3099</v>
      </c>
      <c r="G945" s="274">
        <v>1500000</v>
      </c>
      <c r="H945" s="279">
        <v>1</v>
      </c>
      <c r="J945" s="275" t="s">
        <v>3049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1755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1755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3029</v>
      </c>
      <c r="E948" s="279" t="s">
        <v>2251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3029</v>
      </c>
      <c r="E949" s="279" t="s">
        <v>3043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1760</v>
      </c>
      <c r="E950" s="279" t="s">
        <v>2824</v>
      </c>
      <c r="F950" s="279" t="s">
        <v>2823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3035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2377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2483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2350</v>
      </c>
      <c r="E954" s="279" t="s">
        <v>2242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2350</v>
      </c>
      <c r="E955" s="279" t="s">
        <v>2245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1845</v>
      </c>
      <c r="E956" s="279" t="s">
        <v>3058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1709</v>
      </c>
      <c r="E957" s="279" t="s">
        <v>2235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1709</v>
      </c>
      <c r="E958" s="279" t="s">
        <v>2236</v>
      </c>
      <c r="F958" s="279" t="s">
        <v>1843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3061</v>
      </c>
      <c r="E959" s="279" t="s">
        <v>2235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2350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3061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3029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3011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2153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3067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3068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3072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3074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2719</v>
      </c>
      <c r="E971" s="279" t="s">
        <v>2348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2235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1483</v>
      </c>
      <c r="E973" s="279" t="s">
        <v>2242</v>
      </c>
      <c r="F973" s="279" t="s">
        <v>1238</v>
      </c>
      <c r="G973" s="274">
        <v>510000</v>
      </c>
      <c r="H973" s="279">
        <v>1</v>
      </c>
      <c r="K973" s="274">
        <v>510000</v>
      </c>
    </row>
    <row r="974" spans="1:12" x14ac:dyDescent="0.3">
      <c r="A974" s="282">
        <v>973</v>
      </c>
      <c r="B974" s="272">
        <v>45856</v>
      </c>
      <c r="C974" s="279" t="s">
        <v>1483</v>
      </c>
      <c r="E974" s="279" t="s">
        <v>2245</v>
      </c>
      <c r="F974" s="279">
        <v>50229</v>
      </c>
      <c r="G974" s="274">
        <v>70000</v>
      </c>
      <c r="H974" s="279">
        <v>1</v>
      </c>
      <c r="K974" s="274">
        <v>70000</v>
      </c>
    </row>
    <row r="975" spans="1:12" x14ac:dyDescent="0.3">
      <c r="A975" s="282">
        <v>974</v>
      </c>
      <c r="B975" s="272">
        <v>45856</v>
      </c>
      <c r="C975" s="279" t="s">
        <v>3083</v>
      </c>
      <c r="E975" s="279" t="s">
        <v>2235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3083</v>
      </c>
      <c r="E976" s="279" t="s">
        <v>3086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3088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3090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3090</v>
      </c>
      <c r="E979" s="279" t="s">
        <v>3091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1893</v>
      </c>
      <c r="E980" s="279" t="s">
        <v>2242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2027</v>
      </c>
      <c r="E981" s="279" t="s">
        <v>1234</v>
      </c>
      <c r="F981" s="279" t="s">
        <v>1791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2027</v>
      </c>
      <c r="E982" s="279" t="s">
        <v>1234</v>
      </c>
      <c r="F982" s="279" t="s">
        <v>1791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3090</v>
      </c>
      <c r="E983" s="279" t="s">
        <v>3095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3083</v>
      </c>
      <c r="E984" s="279" t="s">
        <v>3095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2377</v>
      </c>
      <c r="E985" s="279" t="s">
        <v>2235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1849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2719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2700</v>
      </c>
      <c r="E988" s="279" t="s">
        <v>3106</v>
      </c>
      <c r="F988" s="279" t="s">
        <v>1791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2316</v>
      </c>
      <c r="E989" s="279" t="s">
        <v>3109</v>
      </c>
      <c r="F989" s="279" t="s">
        <v>3108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3112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2700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2316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2477</v>
      </c>
      <c r="G995" s="274">
        <v>150000</v>
      </c>
      <c r="H995" s="279">
        <v>1</v>
      </c>
      <c r="K995" s="274">
        <v>150000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14"/>
  <sheetViews>
    <sheetView workbookViewId="0">
      <selection activeCell="C5" sqref="C5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45859</v>
      </c>
      <c r="B3" s="242" t="s">
        <v>1155</v>
      </c>
      <c r="C3" s="243">
        <f>SUMIF($B:$B,A3,I:I)</f>
        <v>2890000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102971500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102971500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2843</v>
      </c>
      <c r="D11" s="119" t="s">
        <v>2842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1783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1785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2849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2851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2852</v>
      </c>
      <c r="D18" s="119" t="s">
        <v>2403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2877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2852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2027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2861</v>
      </c>
      <c r="D23" s="119" t="s">
        <v>2357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2863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2863</v>
      </c>
      <c r="D25" s="119" t="s">
        <v>2868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2007</v>
      </c>
      <c r="D28" s="119" t="s">
        <v>2235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2007</v>
      </c>
      <c r="D29" s="119" t="s">
        <v>2236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2007</v>
      </c>
      <c r="D30" s="119" t="s">
        <v>2237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2007</v>
      </c>
      <c r="D31" s="119" t="s">
        <v>2238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2153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2235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2236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2843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2884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1849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2319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2884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2319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2007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2901</v>
      </c>
      <c r="D43" s="119" t="s">
        <v>2235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2901</v>
      </c>
      <c r="D44" s="119" t="s">
        <v>2236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2901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2851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1743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2904</v>
      </c>
      <c r="F50" s="127">
        <v>1500000</v>
      </c>
      <c r="G50" s="88">
        <v>1</v>
      </c>
      <c r="H50" s="133" t="s">
        <v>3049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2861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1849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1760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2491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2918</v>
      </c>
      <c r="D63" s="120" t="s">
        <v>2235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2918</v>
      </c>
      <c r="D64" s="120" t="s">
        <v>2236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2687</v>
      </c>
      <c r="D65" s="120" t="s">
        <v>2235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2687</v>
      </c>
      <c r="D66" s="120" t="s">
        <v>2236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2912</v>
      </c>
      <c r="D67" s="120" t="s">
        <v>2235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2912</v>
      </c>
      <c r="D68" s="120" t="s">
        <v>2236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2473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2486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1916</v>
      </c>
      <c r="D71" s="120" t="s">
        <v>2241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2242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2245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1760</v>
      </c>
      <c r="D74" s="120" t="s">
        <v>2928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2912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2918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1916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1760</v>
      </c>
      <c r="D78" s="120" t="s">
        <v>2930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1782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2242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2243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2247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2246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2918</v>
      </c>
      <c r="D85" s="120" t="s">
        <v>2934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2918</v>
      </c>
      <c r="D86" s="120" t="s">
        <v>2238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1849</v>
      </c>
      <c r="D89" s="120" t="s">
        <v>1804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1849</v>
      </c>
      <c r="D90" s="120" t="s">
        <v>1804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2938</v>
      </c>
      <c r="D91" s="120" t="s">
        <v>1774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2943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2241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2245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2246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2242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2687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2918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1782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2483</v>
      </c>
      <c r="D103" s="120" t="s">
        <v>2074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2316</v>
      </c>
      <c r="D104" s="120" t="s">
        <v>2238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2235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2236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1760</v>
      </c>
      <c r="D107" s="120" t="s">
        <v>2388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1786</v>
      </c>
      <c r="D108" s="120" t="s">
        <v>2357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1786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2316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2938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2483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2843</v>
      </c>
      <c r="D114" s="120" t="s">
        <v>2242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2843</v>
      </c>
      <c r="D115" s="120" t="s">
        <v>2245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2843</v>
      </c>
      <c r="D116" s="120" t="s">
        <v>1948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2377</v>
      </c>
      <c r="D117" s="120" t="s">
        <v>2965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2156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2251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2969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2486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2977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2979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2235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2236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1782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2870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1775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2962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2988</v>
      </c>
      <c r="D135" s="120" t="s">
        <v>2235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2988</v>
      </c>
      <c r="D136" s="120" t="s">
        <v>2236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2988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2995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2377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2843</v>
      </c>
      <c r="D143" s="120" t="s">
        <v>2241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3007</v>
      </c>
      <c r="D146" s="120" t="s">
        <v>2748</v>
      </c>
      <c r="F146" s="127">
        <v>1750000</v>
      </c>
      <c r="G146" s="88">
        <v>1</v>
      </c>
      <c r="H146" s="133" t="s">
        <v>3052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3011</v>
      </c>
      <c r="D147" s="120" t="s">
        <v>2454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1782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2483</v>
      </c>
      <c r="D149" s="120" t="s">
        <v>2074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2377</v>
      </c>
      <c r="D150" s="120" t="s">
        <v>2965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2235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2236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2377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3007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2483</v>
      </c>
      <c r="D157" s="120" t="s">
        <v>2235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2483</v>
      </c>
      <c r="D158" s="120" t="s">
        <v>2236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3035</v>
      </c>
      <c r="D160" s="120" t="s">
        <v>2235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3035</v>
      </c>
      <c r="D161" s="120" t="s">
        <v>2236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3035</v>
      </c>
      <c r="D162" s="120" t="s">
        <v>2237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2377</v>
      </c>
      <c r="D163" s="120" t="s">
        <v>2233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2904</v>
      </c>
      <c r="F164" s="127">
        <v>1500000</v>
      </c>
      <c r="G164" s="88">
        <v>1</v>
      </c>
      <c r="H164" s="133" t="s">
        <v>3049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1755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1755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3029</v>
      </c>
      <c r="D167" s="120" t="s">
        <v>2251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3029</v>
      </c>
      <c r="D168" s="120" t="s">
        <v>3043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1760</v>
      </c>
      <c r="D169" s="120" t="s">
        <v>2824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3035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2377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2483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2350</v>
      </c>
      <c r="D173" s="120" t="s">
        <v>2242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2350</v>
      </c>
      <c r="D174" s="120" t="s">
        <v>2245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1845</v>
      </c>
      <c r="D175" s="120" t="s">
        <v>3058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1709</v>
      </c>
      <c r="D176" s="120" t="s">
        <v>2235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1709</v>
      </c>
      <c r="D177" s="120" t="s">
        <v>2236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3061</v>
      </c>
      <c r="D178" s="120" t="s">
        <v>2235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2350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3061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3029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3011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2153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3067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3068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3072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3074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2719</v>
      </c>
      <c r="D190" s="120" t="s">
        <v>2348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2235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2242</v>
      </c>
      <c r="F192" s="127">
        <v>510000</v>
      </c>
      <c r="G192" s="88">
        <v>1</v>
      </c>
      <c r="I192" s="83">
        <v>510000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2245</v>
      </c>
      <c r="F193" s="127">
        <v>70000</v>
      </c>
      <c r="G193" s="88">
        <v>1</v>
      </c>
      <c r="I193" s="83">
        <v>70000</v>
      </c>
    </row>
    <row r="194" spans="1:10" ht="18" customHeight="1" x14ac:dyDescent="0.3">
      <c r="A194" s="85">
        <v>974</v>
      </c>
      <c r="B194" s="97">
        <v>45856</v>
      </c>
      <c r="C194" s="86" t="s">
        <v>3083</v>
      </c>
      <c r="D194" s="120" t="s">
        <v>2235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3083</v>
      </c>
      <c r="D195" s="120" t="s">
        <v>3086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3088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3090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3090</v>
      </c>
      <c r="D198" s="120" t="s">
        <v>3091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1893</v>
      </c>
      <c r="D199" s="120" t="s">
        <v>2242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2027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2027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3090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3083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2377</v>
      </c>
      <c r="D204" s="120" t="s">
        <v>2235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1849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2719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2700</v>
      </c>
      <c r="D207" s="120" t="s">
        <v>3106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2316</v>
      </c>
      <c r="D208" s="120" t="s">
        <v>3109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3112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2700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2316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2477</v>
      </c>
      <c r="F214" s="127">
        <v>150000</v>
      </c>
      <c r="G214" s="88">
        <v>1</v>
      </c>
      <c r="I214" s="83">
        <v>150000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2961</v>
      </c>
      <c r="D1" s="294" t="s">
        <v>2960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5517000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3</v>
      </c>
    </row>
    <row r="4" spans="1:6" x14ac:dyDescent="0.3">
      <c r="B4" t="s">
        <v>1335</v>
      </c>
      <c r="C4" s="52">
        <f>SUMIF(BTS_매출관리!C:C,B4,BTS_매출관리!I:I)</f>
        <v>6010000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4455000</v>
      </c>
      <c r="D5">
        <f t="shared" si="0"/>
        <v>5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7</v>
      </c>
    </row>
    <row r="7" spans="1:6" x14ac:dyDescent="0.3">
      <c r="B7" t="s">
        <v>2271</v>
      </c>
      <c r="C7" s="52">
        <f>SUMIF(BTS_매출관리!C:C,B7,BTS_매출관리!I:I)</f>
        <v>3954500</v>
      </c>
      <c r="D7">
        <f t="shared" si="0"/>
        <v>8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4</v>
      </c>
    </row>
    <row r="9" spans="1:6" x14ac:dyDescent="0.3">
      <c r="B9" t="s">
        <v>1323</v>
      </c>
      <c r="C9" s="52">
        <f>SUMIF(BTS_매출관리!C:C,B9,BTS_매출관리!I:I)</f>
        <v>4290000</v>
      </c>
      <c r="D9">
        <f t="shared" si="0"/>
        <v>6</v>
      </c>
    </row>
    <row r="10" spans="1:6" x14ac:dyDescent="0.3">
      <c r="B10" t="s">
        <v>1366</v>
      </c>
      <c r="C10" s="52">
        <f>SUMIF(BTS_매출관리!C:C,B10,BTS_매출관리!I:I)</f>
        <v>3100000</v>
      </c>
      <c r="D10">
        <f t="shared" si="0"/>
        <v>11</v>
      </c>
    </row>
    <row r="11" spans="1:6" x14ac:dyDescent="0.3">
      <c r="B11" t="s">
        <v>1369</v>
      </c>
      <c r="C11" s="52">
        <f>SUMIF(BTS_매출관리!C:C,B11,BTS_매출관리!I:I)</f>
        <v>2950000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3650000</v>
      </c>
      <c r="D12">
        <f t="shared" si="0"/>
        <v>9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13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2370000</v>
      </c>
      <c r="D14">
        <f t="shared" si="0"/>
        <v>14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15</v>
      </c>
    </row>
    <row r="16" spans="1:6" x14ac:dyDescent="0.3">
      <c r="B16" t="s">
        <v>2918</v>
      </c>
      <c r="C16" s="52">
        <f>SUMIF(BTS_매출관리!C:C,B16,BTS_매출관리!I:I)</f>
        <v>2020000</v>
      </c>
      <c r="D16">
        <f t="shared" si="0"/>
        <v>16</v>
      </c>
    </row>
    <row r="17" spans="2:4" x14ac:dyDescent="0.3">
      <c r="B17" t="s">
        <v>2556</v>
      </c>
      <c r="C17" s="52">
        <f>SUMIF(BTS_매출관리!C:C,B17,BTS_매출관리!I:I)</f>
        <v>3450000</v>
      </c>
      <c r="D17">
        <f t="shared" si="0"/>
        <v>10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17</v>
      </c>
    </row>
    <row r="19" spans="2:4" x14ac:dyDescent="0.3">
      <c r="B19" t="s">
        <v>2894</v>
      </c>
      <c r="C19" s="52">
        <f>SUMIF(BTS_매출관리!C:C,B19,BTS_매출관리!I:I)</f>
        <v>1815000</v>
      </c>
      <c r="D19">
        <f t="shared" si="0"/>
        <v>19</v>
      </c>
    </row>
    <row r="20" spans="2:4" x14ac:dyDescent="0.3">
      <c r="B20" t="s">
        <v>2884</v>
      </c>
      <c r="C20" s="52">
        <f>SUMIF(BTS_매출관리!C:C,B20,BTS_매출관리!I:I)</f>
        <v>1600000</v>
      </c>
      <c r="D20">
        <f t="shared" si="0"/>
        <v>21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2913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1386</v>
      </c>
      <c r="C25" s="52">
        <f>SUMIF(BTS_매출관리!C:C,B25,BTS_매출관리!I:I)</f>
        <v>1452000</v>
      </c>
      <c r="D25">
        <f t="shared" si="0"/>
        <v>26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27</v>
      </c>
    </row>
    <row r="27" spans="2:4" x14ac:dyDescent="0.3">
      <c r="B27" t="s">
        <v>2879</v>
      </c>
      <c r="C27" s="52">
        <f>SUMIF(BTS_매출관리!C:C,B27,BTS_매출관리!I:I)</f>
        <v>1200000</v>
      </c>
      <c r="D27">
        <f t="shared" si="0"/>
        <v>27</v>
      </c>
    </row>
    <row r="28" spans="2:4" x14ac:dyDescent="0.3">
      <c r="B28" t="s">
        <v>2863</v>
      </c>
      <c r="C28" s="52">
        <f>SUMIF(BTS_매출관리!C:C,B28,BTS_매출관리!I:I)</f>
        <v>1200000</v>
      </c>
      <c r="D28">
        <f t="shared" si="0"/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32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34</v>
      </c>
    </row>
    <row r="31" spans="2:4" x14ac:dyDescent="0.3">
      <c r="B31" t="s">
        <v>1367</v>
      </c>
      <c r="C31" s="52">
        <f>SUMIF(BTS_매출관리!C:C,B31,BTS_매출관리!I:I)</f>
        <v>1030000</v>
      </c>
      <c r="D31">
        <f t="shared" si="0"/>
        <v>31</v>
      </c>
    </row>
    <row r="32" spans="2:4" x14ac:dyDescent="0.3">
      <c r="B32" t="s">
        <v>2938</v>
      </c>
      <c r="C32" s="52">
        <f>SUMIF(BTS_매출관리!C:C,B32,BTS_매출관리!I:I)</f>
        <v>450000</v>
      </c>
      <c r="D32">
        <f t="shared" si="0"/>
        <v>39</v>
      </c>
    </row>
    <row r="33" spans="2:4" x14ac:dyDescent="0.3">
      <c r="B33" t="s">
        <v>1317</v>
      </c>
      <c r="C33" s="52">
        <f>SUMIF(BTS_매출관리!C:C,B33,BTS_매출관리!I:I)</f>
        <v>440000</v>
      </c>
      <c r="D33">
        <f t="shared" si="0"/>
        <v>40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41</v>
      </c>
    </row>
    <row r="35" spans="2:4" x14ac:dyDescent="0.3">
      <c r="B35" t="s">
        <v>1389</v>
      </c>
      <c r="C35" s="52">
        <f>SUMIF(BTS_매출관리!C:C,B35,BTS_매출관리!I:I)</f>
        <v>199000</v>
      </c>
      <c r="D35">
        <f t="shared" si="0"/>
        <v>43</v>
      </c>
    </row>
    <row r="36" spans="2:4" x14ac:dyDescent="0.3">
      <c r="B36" t="s">
        <v>2852</v>
      </c>
      <c r="C36" s="52">
        <f>SUMIF(BTS_매출관리!C:C,B36,BTS_매출관리!I:I)</f>
        <v>150000</v>
      </c>
      <c r="D36">
        <f t="shared" si="0"/>
        <v>44</v>
      </c>
    </row>
    <row r="37" spans="2:4" x14ac:dyDescent="0.3">
      <c r="B37" t="s">
        <v>2316</v>
      </c>
      <c r="C37" s="52">
        <f>SUMIF(BTS_매출관리!C:C,B37,BTS_매출관리!I:I)</f>
        <v>570000</v>
      </c>
      <c r="D37">
        <f t="shared" si="0"/>
        <v>37</v>
      </c>
    </row>
    <row r="38" spans="2:4" x14ac:dyDescent="0.3">
      <c r="B38" t="s">
        <v>1824</v>
      </c>
      <c r="C38" s="52">
        <f>SUMIF(BTS_매출관리!C:C,B38,BTS_매출관리!I:I)</f>
        <v>0</v>
      </c>
      <c r="D38">
        <f t="shared" si="0"/>
        <v>47</v>
      </c>
    </row>
    <row r="39" spans="2:4" x14ac:dyDescent="0.3">
      <c r="B39" t="s">
        <v>1027</v>
      </c>
      <c r="C39" s="52">
        <f>SUMIF(BTS_매출관리!C:C,B39,BTS_매출관리!I:I)</f>
        <v>731000</v>
      </c>
      <c r="D39">
        <f t="shared" si="0"/>
        <v>33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47</v>
      </c>
    </row>
    <row r="41" spans="2:4" x14ac:dyDescent="0.3">
      <c r="B41" t="s">
        <v>1709</v>
      </c>
      <c r="C41" s="52">
        <f>SUMIF(BTS_매출관리!C:C,B41,BTS_매출관리!I:I)</f>
        <v>1705000</v>
      </c>
      <c r="D41">
        <f t="shared" si="0"/>
        <v>20</v>
      </c>
    </row>
    <row r="42" spans="2:4" x14ac:dyDescent="0.3">
      <c r="B42" t="s">
        <v>1379</v>
      </c>
      <c r="C42" s="52">
        <f>SUMIF(BTS_매출관리!C:C,B42,BTS_매출관리!I:I)</f>
        <v>1200000</v>
      </c>
      <c r="D42">
        <f t="shared" si="0"/>
        <v>27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47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47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47</v>
      </c>
    </row>
    <row r="46" spans="2:4" x14ac:dyDescent="0.3">
      <c r="B46" t="s">
        <v>2426</v>
      </c>
      <c r="C46" s="52">
        <f>SUMIF(BTS_매출관리!C:C,B46,BTS_매출관리!I:I)</f>
        <v>0</v>
      </c>
      <c r="D46">
        <f t="shared" si="0"/>
        <v>47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42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47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36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47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47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47</v>
      </c>
    </row>
    <row r="53" spans="2:4" x14ac:dyDescent="0.3">
      <c r="B53" t="s">
        <v>1950</v>
      </c>
      <c r="C53" s="52">
        <f>SUMIF(BTS_매출관리!C:C,B53,BTS_매출관리!I:I)</f>
        <v>0</v>
      </c>
      <c r="D53">
        <f t="shared" si="0"/>
        <v>47</v>
      </c>
    </row>
    <row r="54" spans="2:4" x14ac:dyDescent="0.3">
      <c r="B54" t="s">
        <v>2341</v>
      </c>
      <c r="C54" s="52">
        <f>SUMIF(BTS_매출관리!C:C,B54,BTS_매출관리!I:I)</f>
        <v>0</v>
      </c>
      <c r="D54">
        <f t="shared" si="0"/>
        <v>47</v>
      </c>
    </row>
    <row r="55" spans="2:4" x14ac:dyDescent="0.3">
      <c r="B55" t="s">
        <v>1363</v>
      </c>
      <c r="C55" s="52">
        <f>SUMIF(BTS_매출관리!C:C,B55,BTS_매출관리!I:I)</f>
        <v>150000</v>
      </c>
      <c r="D55">
        <f t="shared" si="0"/>
        <v>44</v>
      </c>
    </row>
    <row r="56" spans="2:4" x14ac:dyDescent="0.3">
      <c r="B56" t="s">
        <v>2434</v>
      </c>
      <c r="C56" s="52">
        <f>SUMIF(BTS_매출관리!C:C,B56,BTS_매출관리!I:I)</f>
        <v>0</v>
      </c>
      <c r="D56">
        <f t="shared" si="0"/>
        <v>47</v>
      </c>
    </row>
    <row r="57" spans="2:4" x14ac:dyDescent="0.3">
      <c r="B57" t="s">
        <v>1655</v>
      </c>
      <c r="C57" s="52">
        <f>SUMIF(BTS_매출관리!C:C,B57,BTS_매출관리!I:I)</f>
        <v>0</v>
      </c>
      <c r="D57">
        <f t="shared" si="0"/>
        <v>47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47</v>
      </c>
    </row>
    <row r="59" spans="2:4" x14ac:dyDescent="0.3">
      <c r="B59" t="s">
        <v>2649</v>
      </c>
      <c r="C59" s="52">
        <f>SUMIF(BTS_매출관리!C:C,B59,BTS_매출관리!I:I)</f>
        <v>0</v>
      </c>
      <c r="D59">
        <f t="shared" si="0"/>
        <v>47</v>
      </c>
    </row>
    <row r="60" spans="2:4" x14ac:dyDescent="0.3">
      <c r="B60" t="s">
        <v>1648</v>
      </c>
      <c r="C60" s="52">
        <f>SUMIF(BTS_매출관리!C:C,B60,BTS_매출관리!I:I)</f>
        <v>0</v>
      </c>
      <c r="D60">
        <f t="shared" si="0"/>
        <v>47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47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47</v>
      </c>
    </row>
    <row r="63" spans="2:4" x14ac:dyDescent="0.3">
      <c r="B63" t="s">
        <v>2064</v>
      </c>
      <c r="C63" s="52">
        <f>SUMIF(BTS_매출관리!C:C,B63,BTS_매출관리!I:I)</f>
        <v>0</v>
      </c>
      <c r="D63">
        <f t="shared" si="0"/>
        <v>47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47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47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47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46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47</v>
      </c>
    </row>
    <row r="69" spans="2:4" x14ac:dyDescent="0.3">
      <c r="B69" t="s">
        <v>2444</v>
      </c>
      <c r="C69" s="52">
        <f>SUMIF(BTS_매출관리!C:C,B69,BTS_매출관리!I:I)</f>
        <v>0</v>
      </c>
      <c r="D69">
        <f t="shared" si="1"/>
        <v>47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47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47</v>
      </c>
    </row>
    <row r="72" spans="2:4" x14ac:dyDescent="0.3">
      <c r="B72" t="s">
        <v>2147</v>
      </c>
      <c r="C72" s="52">
        <f>SUMIF(BTS_매출관리!C:C,B72,BTS_매출관리!I:I)</f>
        <v>0</v>
      </c>
      <c r="D72">
        <f t="shared" si="1"/>
        <v>47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47</v>
      </c>
    </row>
    <row r="74" spans="2:4" x14ac:dyDescent="0.3">
      <c r="B74" t="s">
        <v>2365</v>
      </c>
      <c r="C74" s="52">
        <f>SUMIF(BTS_매출관리!C:C,B74,BTS_매출관리!I:I)</f>
        <v>0</v>
      </c>
      <c r="D74">
        <f t="shared" si="1"/>
        <v>47</v>
      </c>
    </row>
    <row r="75" spans="2:4" x14ac:dyDescent="0.3">
      <c r="B75" t="s">
        <v>2186</v>
      </c>
      <c r="C75" s="52">
        <f>SUMIF(BTS_매출관리!C:C,B75,BTS_매출관리!I:I)</f>
        <v>0</v>
      </c>
      <c r="D75">
        <f t="shared" si="1"/>
        <v>47</v>
      </c>
    </row>
    <row r="76" spans="2:4" x14ac:dyDescent="0.3">
      <c r="B76" t="s">
        <v>2086</v>
      </c>
      <c r="C76" s="52">
        <f>SUMIF(BTS_매출관리!C:C,B76,BTS_매출관리!I:I)</f>
        <v>0</v>
      </c>
      <c r="D76">
        <f t="shared" si="1"/>
        <v>47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47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47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47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47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47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47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47</v>
      </c>
    </row>
    <row r="84" spans="2:4" x14ac:dyDescent="0.3">
      <c r="B84" t="s">
        <v>2682</v>
      </c>
      <c r="C84" s="52">
        <f>SUMIF(BTS_매출관리!C:C,B84,BTS_매출관리!I:I)</f>
        <v>0</v>
      </c>
      <c r="D84">
        <f t="shared" si="1"/>
        <v>47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17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47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47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47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47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47</v>
      </c>
    </row>
    <row r="91" spans="2:4" x14ac:dyDescent="0.3">
      <c r="B91" t="s">
        <v>2081</v>
      </c>
      <c r="C91" s="52">
        <f>SUMIF(BTS_매출관리!C:C,B91,BTS_매출관리!I:I)</f>
        <v>0</v>
      </c>
      <c r="D91">
        <f t="shared" si="1"/>
        <v>47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47</v>
      </c>
    </row>
    <row r="93" spans="2:4" x14ac:dyDescent="0.3">
      <c r="B93" t="s">
        <v>2202</v>
      </c>
      <c r="C93" s="52">
        <f>SUMIF(BTS_매출관리!C:C,B93,BTS_매출관리!I:I)</f>
        <v>0</v>
      </c>
      <c r="D93">
        <f t="shared" si="1"/>
        <v>47</v>
      </c>
    </row>
    <row r="94" spans="2:4" x14ac:dyDescent="0.3">
      <c r="B94" t="s">
        <v>2451</v>
      </c>
      <c r="C94" s="52">
        <f>SUMIF(BTS_매출관리!C:C,B94,BTS_매출관리!I:I)</f>
        <v>0</v>
      </c>
      <c r="D94">
        <f t="shared" si="1"/>
        <v>47</v>
      </c>
    </row>
    <row r="95" spans="2:4" x14ac:dyDescent="0.3">
      <c r="B95" t="s">
        <v>1384</v>
      </c>
      <c r="C95" s="52">
        <f>SUMIF(BTS_매출관리!C:C,B95,BTS_매출관리!I:I)</f>
        <v>0</v>
      </c>
      <c r="D95">
        <f t="shared" si="1"/>
        <v>47</v>
      </c>
    </row>
    <row r="96" spans="2:4" x14ac:dyDescent="0.3">
      <c r="B96" t="s">
        <v>2576</v>
      </c>
      <c r="C96" s="52">
        <f>SUMIF(BTS_매출관리!C:C,B96,BTS_매출관리!I:I)</f>
        <v>0</v>
      </c>
      <c r="D96">
        <f t="shared" si="1"/>
        <v>47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47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47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47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47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47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47</v>
      </c>
    </row>
    <row r="103" spans="2:4" x14ac:dyDescent="0.3">
      <c r="B103" t="s">
        <v>2102</v>
      </c>
      <c r="C103" s="52">
        <f>SUMIF(BTS_매출관리!C:C,B103,BTS_매출관리!I:I)</f>
        <v>0</v>
      </c>
      <c r="D103">
        <f t="shared" si="1"/>
        <v>47</v>
      </c>
    </row>
    <row r="104" spans="2:4" x14ac:dyDescent="0.3">
      <c r="B104" t="s">
        <v>2729</v>
      </c>
      <c r="C104" s="52">
        <f>SUMIF(BTS_매출관리!C:C,B104,BTS_매출관리!I:I)</f>
        <v>0</v>
      </c>
      <c r="D104">
        <f t="shared" si="1"/>
        <v>47</v>
      </c>
    </row>
    <row r="105" spans="2:4" x14ac:dyDescent="0.3">
      <c r="B105" t="s">
        <v>2815</v>
      </c>
      <c r="C105" s="52">
        <f>SUMIF(BTS_매출관리!C:C,B105,BTS_매출관리!I:I)</f>
        <v>0</v>
      </c>
      <c r="D105">
        <f t="shared" si="1"/>
        <v>47</v>
      </c>
    </row>
    <row r="106" spans="2:4" x14ac:dyDescent="0.3">
      <c r="B106" t="s">
        <v>1328</v>
      </c>
      <c r="C106" s="52">
        <f>SUMIF(BTS_매출관리!C:C,B106,BTS_매출관리!I:I)</f>
        <v>510000</v>
      </c>
      <c r="D106">
        <f t="shared" si="1"/>
        <v>38</v>
      </c>
    </row>
    <row r="107" spans="2:4" x14ac:dyDescent="0.3">
      <c r="B107" t="s">
        <v>2335</v>
      </c>
      <c r="C107" s="52">
        <f>SUMIF(BTS_매출관리!C:C,B107,BTS_매출관리!I:I)</f>
        <v>0</v>
      </c>
      <c r="D107">
        <f t="shared" si="1"/>
        <v>47</v>
      </c>
    </row>
    <row r="108" spans="2:4" x14ac:dyDescent="0.3">
      <c r="B108" t="s">
        <v>1696</v>
      </c>
      <c r="C108" s="52">
        <f>SUMIF(BTS_매출관리!C:C,B108,BTS_매출관리!I:I)</f>
        <v>0</v>
      </c>
      <c r="D108">
        <f t="shared" si="1"/>
        <v>47</v>
      </c>
    </row>
    <row r="109" spans="2:4" x14ac:dyDescent="0.3">
      <c r="B109" t="s">
        <v>1936</v>
      </c>
      <c r="C109" s="52">
        <f>SUMIF(BTS_매출관리!C:C,B109,BTS_매출관리!I:I)</f>
        <v>0</v>
      </c>
      <c r="D109">
        <f t="shared" si="1"/>
        <v>47</v>
      </c>
    </row>
    <row r="110" spans="2:4" x14ac:dyDescent="0.3">
      <c r="B110" t="s">
        <v>2552</v>
      </c>
      <c r="C110" s="52">
        <f>SUMIF(BTS_매출관리!C:C,B110,BTS_매출관리!I:I)</f>
        <v>0</v>
      </c>
      <c r="D110">
        <f t="shared" si="1"/>
        <v>47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47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34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47</v>
      </c>
    </row>
    <row r="114" spans="2:4" x14ac:dyDescent="0.3">
      <c r="B114" t="s">
        <v>2572</v>
      </c>
      <c r="C114" s="52">
        <f>SUMIF(BTS_매출관리!C:C,B114,BTS_매출관리!I:I)</f>
        <v>0</v>
      </c>
      <c r="D114">
        <f t="shared" si="1"/>
        <v>47</v>
      </c>
    </row>
    <row r="115" spans="2:4" x14ac:dyDescent="0.3">
      <c r="B115" t="s">
        <v>1881</v>
      </c>
      <c r="C115" s="52">
        <f>SUMIF(BTS_매출관리!C:C,B115,BTS_매출관리!I:I)</f>
        <v>0</v>
      </c>
      <c r="D115">
        <f t="shared" si="1"/>
        <v>47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47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47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47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47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47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47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47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47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47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47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47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47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47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47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47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47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47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47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47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47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47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47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47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47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47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47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47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47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47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47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47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47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47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47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47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47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47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47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47</v>
      </c>
    </row>
    <row r="155" spans="2:4" x14ac:dyDescent="0.3">
      <c r="B155" t="s">
        <v>2440</v>
      </c>
      <c r="C155" s="52">
        <f>SUMIF(BTS_매출관리!C:C,B155,BTS_매출관리!I:I)</f>
        <v>0</v>
      </c>
      <c r="D155">
        <f t="shared" si="2"/>
        <v>47</v>
      </c>
    </row>
    <row r="156" spans="2:4" x14ac:dyDescent="0.3">
      <c r="B156" t="s">
        <v>2787</v>
      </c>
      <c r="C156" s="52">
        <f>SUMIF(BTS_매출관리!C:C,B156,BTS_매출관리!I:I)</f>
        <v>0</v>
      </c>
      <c r="D156">
        <f t="shared" si="2"/>
        <v>47</v>
      </c>
    </row>
    <row r="157" spans="2:4" x14ac:dyDescent="0.3">
      <c r="C157" s="52">
        <f>SUMIF(BTS_매출관리!C:C,B157,BTS_매출관리!I:I)</f>
        <v>0</v>
      </c>
      <c r="D157">
        <f t="shared" si="2"/>
        <v>47</v>
      </c>
    </row>
    <row r="158" spans="2:4" x14ac:dyDescent="0.3">
      <c r="C158" s="52">
        <f>SUMIF(BTS_매출관리!C:C,B158,BTS_매출관리!I:I)</f>
        <v>0</v>
      </c>
      <c r="D158">
        <f t="shared" si="2"/>
        <v>47</v>
      </c>
    </row>
    <row r="159" spans="2:4" x14ac:dyDescent="0.3">
      <c r="C159" s="52">
        <f>SUMIF(BTS_매출관리!C:C,B159,BTS_매출관리!I:I)</f>
        <v>0</v>
      </c>
      <c r="D159">
        <f t="shared" si="2"/>
        <v>47</v>
      </c>
    </row>
    <row r="160" spans="2:4" x14ac:dyDescent="0.3">
      <c r="C160" s="52">
        <f>SUMIF(BTS_매출관리!C:C,B160,BTS_매출관리!I:I)</f>
        <v>0</v>
      </c>
      <c r="D160">
        <f t="shared" si="2"/>
        <v>47</v>
      </c>
    </row>
    <row r="161" spans="3:4" x14ac:dyDescent="0.3">
      <c r="C161" s="52">
        <f>SUMIF(BTS_매출관리!C:C,B161,BTS_매출관리!I:I)</f>
        <v>0</v>
      </c>
      <c r="D161">
        <f t="shared" si="2"/>
        <v>47</v>
      </c>
    </row>
    <row r="162" spans="3:4" x14ac:dyDescent="0.3">
      <c r="C162" s="52">
        <f>SUMIF(BTS_매출관리!C:C,B162,BTS_매출관리!I:I)</f>
        <v>0</v>
      </c>
      <c r="D162">
        <f t="shared" si="2"/>
        <v>47</v>
      </c>
    </row>
    <row r="163" spans="3:4" x14ac:dyDescent="0.3">
      <c r="C163" s="52">
        <f>SUMIF(BTS_매출관리!C:C,B163,BTS_매출관리!I:I)</f>
        <v>0</v>
      </c>
      <c r="D163">
        <f t="shared" si="2"/>
        <v>47</v>
      </c>
    </row>
    <row r="164" spans="3:4" x14ac:dyDescent="0.3">
      <c r="C164" s="52">
        <f>SUMIF(BTS_매출관리!C:C,B164,BTS_매출관리!I:I)</f>
        <v>0</v>
      </c>
      <c r="D164">
        <f t="shared" si="2"/>
        <v>47</v>
      </c>
    </row>
    <row r="165" spans="3:4" x14ac:dyDescent="0.3">
      <c r="C165" s="52">
        <f>SUMIF(BTS_매출관리!C:C,B165,BTS_매출관리!I:I)</f>
        <v>0</v>
      </c>
      <c r="D165">
        <f t="shared" si="2"/>
        <v>47</v>
      </c>
    </row>
    <row r="166" spans="3:4" x14ac:dyDescent="0.3">
      <c r="C166" s="52">
        <f>SUMIF(BTS_매출관리!C:C,B166,BTS_매출관리!I:I)</f>
        <v>0</v>
      </c>
      <c r="D166">
        <f t="shared" si="2"/>
        <v>47</v>
      </c>
    </row>
    <row r="167" spans="3:4" x14ac:dyDescent="0.3">
      <c r="C167" s="52">
        <f>SUMIF(BTS_매출관리!C:C,B167,BTS_매출관리!I:I)</f>
        <v>0</v>
      </c>
      <c r="D167">
        <f t="shared" si="2"/>
        <v>47</v>
      </c>
    </row>
    <row r="168" spans="3:4" x14ac:dyDescent="0.3">
      <c r="C168" s="52">
        <f>SUMIF(BTS_매출관리!C:C,B168,BTS_매출관리!I:I)</f>
        <v>0</v>
      </c>
      <c r="D168">
        <f t="shared" si="2"/>
        <v>47</v>
      </c>
    </row>
    <row r="169" spans="3:4" x14ac:dyDescent="0.3">
      <c r="C169" s="52">
        <f>SUMIF(BTS_매출관리!C:C,B169,BTS_매출관리!I:I)</f>
        <v>0</v>
      </c>
      <c r="D169">
        <f t="shared" si="2"/>
        <v>47</v>
      </c>
    </row>
    <row r="170" spans="3:4" x14ac:dyDescent="0.3">
      <c r="C170" s="52">
        <f>SUMIF(BTS_매출관리!C:C,B170,BTS_매출관리!I:I)</f>
        <v>0</v>
      </c>
      <c r="D170">
        <f t="shared" si="2"/>
        <v>47</v>
      </c>
    </row>
    <row r="171" spans="3:4" x14ac:dyDescent="0.3">
      <c r="C171" s="52">
        <f>SUMIF(BTS_매출관리!C:C,B171,BTS_매출관리!I:I)</f>
        <v>0</v>
      </c>
      <c r="D171">
        <f t="shared" si="2"/>
        <v>47</v>
      </c>
    </row>
    <row r="172" spans="3:4" x14ac:dyDescent="0.3">
      <c r="C172" s="52">
        <f>SUMIF(BTS_매출관리!C:C,B172,BTS_매출관리!I:I)</f>
        <v>0</v>
      </c>
      <c r="D172">
        <f t="shared" si="2"/>
        <v>47</v>
      </c>
    </row>
    <row r="173" spans="3:4" x14ac:dyDescent="0.3">
      <c r="C173" s="52">
        <f>SUMIF(BTS_매출관리!C:C,B173,BTS_매출관리!I:I)</f>
        <v>0</v>
      </c>
      <c r="D173">
        <f t="shared" si="2"/>
        <v>47</v>
      </c>
    </row>
    <row r="174" spans="3:4" x14ac:dyDescent="0.3">
      <c r="C174" s="52">
        <f>SUMIF(BTS_매출관리!C:C,B174,BTS_매출관리!I:I)</f>
        <v>0</v>
      </c>
      <c r="D174">
        <f t="shared" si="2"/>
        <v>47</v>
      </c>
    </row>
    <row r="175" spans="3:4" x14ac:dyDescent="0.3">
      <c r="C175" s="52">
        <f>SUMIF(BTS_매출관리!C:C,B175,BTS_매출관리!I:I)</f>
        <v>0</v>
      </c>
      <c r="D175">
        <f t="shared" si="2"/>
        <v>47</v>
      </c>
    </row>
    <row r="176" spans="3:4" x14ac:dyDescent="0.3">
      <c r="C176" s="52">
        <f>SUMIF(BTS_매출관리!C:C,B176,BTS_매출관리!I:I)</f>
        <v>0</v>
      </c>
      <c r="D176">
        <f t="shared" si="2"/>
        <v>47</v>
      </c>
    </row>
    <row r="177" spans="3:4" x14ac:dyDescent="0.3">
      <c r="C177" s="52">
        <f>SUMIF(BTS_매출관리!C:C,B177,BTS_매출관리!I:I)</f>
        <v>0</v>
      </c>
      <c r="D177">
        <f t="shared" si="2"/>
        <v>47</v>
      </c>
    </row>
    <row r="178" spans="3:4" x14ac:dyDescent="0.3">
      <c r="C178" s="52">
        <f>SUMIF(BTS_매출관리!C:C,B178,BTS_매출관리!I:I)</f>
        <v>0</v>
      </c>
      <c r="D178">
        <f t="shared" si="2"/>
        <v>47</v>
      </c>
    </row>
    <row r="179" spans="3:4" x14ac:dyDescent="0.3">
      <c r="C179" s="52">
        <f>SUMIF(BTS_매출관리!C:C,B179,BTS_매출관리!I:I)</f>
        <v>0</v>
      </c>
      <c r="D179">
        <f t="shared" si="2"/>
        <v>47</v>
      </c>
    </row>
    <row r="180" spans="3:4" x14ac:dyDescent="0.3">
      <c r="C180" s="52">
        <f>SUMIF(BTS_매출관리!C:C,B180,BTS_매출관리!I:I)</f>
        <v>0</v>
      </c>
      <c r="D180">
        <f t="shared" si="2"/>
        <v>47</v>
      </c>
    </row>
    <row r="181" spans="3:4" x14ac:dyDescent="0.3">
      <c r="C181" s="52">
        <f>SUMIF(BTS_매출관리!C:C,B181,BTS_매출관리!I:I)</f>
        <v>0</v>
      </c>
      <c r="D181">
        <f t="shared" si="2"/>
        <v>47</v>
      </c>
    </row>
    <row r="182" spans="3:4" x14ac:dyDescent="0.3">
      <c r="C182" s="52">
        <f>SUMIF(BTS_매출관리!C:C,B182,BTS_매출관리!I:I)</f>
        <v>0</v>
      </c>
      <c r="D182">
        <f t="shared" si="2"/>
        <v>47</v>
      </c>
    </row>
    <row r="183" spans="3:4" x14ac:dyDescent="0.3">
      <c r="C183" s="52">
        <f>SUMIF(BTS_매출관리!C:C,B183,BTS_매출관리!I:I)</f>
        <v>0</v>
      </c>
      <c r="D183">
        <f t="shared" si="2"/>
        <v>47</v>
      </c>
    </row>
    <row r="184" spans="3:4" x14ac:dyDescent="0.3">
      <c r="C184" s="52">
        <f>SUMIF(BTS_매출관리!C:C,B184,BTS_매출관리!I:I)</f>
        <v>0</v>
      </c>
      <c r="D184">
        <f t="shared" si="2"/>
        <v>47</v>
      </c>
    </row>
    <row r="185" spans="3:4" x14ac:dyDescent="0.3">
      <c r="C185" s="52">
        <f>SUMIF(BTS_매출관리!C:C,B185,BTS_매출관리!I:I)</f>
        <v>0</v>
      </c>
      <c r="D185">
        <f t="shared" si="2"/>
        <v>47</v>
      </c>
    </row>
    <row r="186" spans="3:4" x14ac:dyDescent="0.3">
      <c r="C186" s="52">
        <f>SUMIF(BTS_매출관리!C:C,B186,BTS_매출관리!I:I)</f>
        <v>0</v>
      </c>
      <c r="D186">
        <f t="shared" si="2"/>
        <v>47</v>
      </c>
    </row>
    <row r="187" spans="3:4" x14ac:dyDescent="0.3">
      <c r="C187" s="52">
        <f>SUMIF(BTS_매출관리!C:C,B187,BTS_매출관리!I:I)</f>
        <v>0</v>
      </c>
      <c r="D187">
        <f t="shared" si="2"/>
        <v>47</v>
      </c>
    </row>
    <row r="188" spans="3:4" x14ac:dyDescent="0.3">
      <c r="C188" s="52">
        <f>SUMIF(BTS_매출관리!C:C,B188,BTS_매출관리!I:I)</f>
        <v>0</v>
      </c>
      <c r="D188">
        <f t="shared" si="2"/>
        <v>47</v>
      </c>
    </row>
    <row r="189" spans="3:4" x14ac:dyDescent="0.3">
      <c r="C189" s="52">
        <f>SUMIF(BTS_매출관리!C:C,B189,BTS_매출관리!I:I)</f>
        <v>0</v>
      </c>
      <c r="D189">
        <f t="shared" si="2"/>
        <v>47</v>
      </c>
    </row>
    <row r="190" spans="3:4" x14ac:dyDescent="0.3">
      <c r="C190" s="52">
        <f>SUMIF(BTS_매출관리!C:C,B190,BTS_매출관리!I:I)</f>
        <v>0</v>
      </c>
      <c r="D190">
        <f t="shared" si="2"/>
        <v>47</v>
      </c>
    </row>
    <row r="191" spans="3:4" x14ac:dyDescent="0.3">
      <c r="C191" s="52">
        <f>SUMIF(BTS_매출관리!C:C,B191,BTS_매출관리!I:I)</f>
        <v>0</v>
      </c>
      <c r="D191">
        <f t="shared" si="2"/>
        <v>47</v>
      </c>
    </row>
    <row r="192" spans="3:4" x14ac:dyDescent="0.3">
      <c r="C192" s="52">
        <f>SUMIF(BTS_매출관리!C:C,B192,BTS_매출관리!I:I)</f>
        <v>0</v>
      </c>
      <c r="D192">
        <f t="shared" si="2"/>
        <v>47</v>
      </c>
    </row>
    <row r="193" spans="3:4" x14ac:dyDescent="0.3">
      <c r="C193" s="52">
        <f>SUMIF(BTS_매출관리!C:C,B193,BTS_매출관리!I:I)</f>
        <v>0</v>
      </c>
      <c r="D193">
        <f t="shared" si="2"/>
        <v>47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47</v>
      </c>
    </row>
    <row r="195" spans="3:4" x14ac:dyDescent="0.3">
      <c r="C195" s="52">
        <f>SUMIF(BTS_매출관리!C:C,B195,BTS_매출관리!I:I)</f>
        <v>0</v>
      </c>
      <c r="D195">
        <f t="shared" si="3"/>
        <v>47</v>
      </c>
    </row>
    <row r="196" spans="3:4" x14ac:dyDescent="0.3">
      <c r="C196" s="52">
        <f>SUMIF(BTS_매출관리!C:C,B196,BTS_매출관리!I:I)</f>
        <v>0</v>
      </c>
      <c r="D196">
        <f t="shared" si="3"/>
        <v>47</v>
      </c>
    </row>
    <row r="197" spans="3:4" x14ac:dyDescent="0.3">
      <c r="C197" s="52">
        <f>SUMIF(BTS_매출관리!C:C,B197,BTS_매출관리!I:I)</f>
        <v>0</v>
      </c>
      <c r="D197">
        <f t="shared" si="3"/>
        <v>47</v>
      </c>
    </row>
    <row r="198" spans="3:4" x14ac:dyDescent="0.3">
      <c r="C198" s="52">
        <f>SUMIF(BTS_매출관리!C:C,B198,BTS_매출관리!I:I)</f>
        <v>0</v>
      </c>
      <c r="D198">
        <f t="shared" si="3"/>
        <v>47</v>
      </c>
    </row>
    <row r="199" spans="3:4" x14ac:dyDescent="0.3">
      <c r="C199" s="52">
        <f>SUMIF(BTS_매출관리!C:C,B199,BTS_매출관리!I:I)</f>
        <v>0</v>
      </c>
      <c r="D199">
        <f t="shared" si="3"/>
        <v>47</v>
      </c>
    </row>
    <row r="200" spans="3:4" x14ac:dyDescent="0.3">
      <c r="C200" s="52">
        <f>SUMIF(BTS_매출관리!C:C,B200,BTS_매출관리!I:I)</f>
        <v>0</v>
      </c>
      <c r="D200">
        <f t="shared" si="3"/>
        <v>47</v>
      </c>
    </row>
    <row r="201" spans="3:4" x14ac:dyDescent="0.3">
      <c r="C201" s="52">
        <f>SUMIF(BTS_매출관리!C:C,B201,BTS_매출관리!I:I)</f>
        <v>0</v>
      </c>
      <c r="D201">
        <f t="shared" si="3"/>
        <v>47</v>
      </c>
    </row>
    <row r="202" spans="3:4" x14ac:dyDescent="0.3">
      <c r="C202" s="52">
        <f>SUMIF(BTS_매출관리!C:C,B202,BTS_매출관리!I:I)</f>
        <v>0</v>
      </c>
      <c r="D202">
        <f t="shared" si="3"/>
        <v>47</v>
      </c>
    </row>
    <row r="203" spans="3:4" x14ac:dyDescent="0.3">
      <c r="C203" s="52">
        <f>SUMIF(BTS_매출관리!C:C,B203,BTS_매출관리!I:I)</f>
        <v>0</v>
      </c>
      <c r="D203">
        <f t="shared" si="3"/>
        <v>47</v>
      </c>
    </row>
    <row r="204" spans="3:4" x14ac:dyDescent="0.3">
      <c r="C204" s="52">
        <f>SUMIF(BTS_매출관리!C:C,B204,BTS_매출관리!I:I)</f>
        <v>0</v>
      </c>
      <c r="D204">
        <f t="shared" si="3"/>
        <v>47</v>
      </c>
    </row>
    <row r="205" spans="3:4" x14ac:dyDescent="0.3">
      <c r="C205" s="52">
        <f>SUMIF(BTS_매출관리!C:C,B205,BTS_매출관리!I:I)</f>
        <v>0</v>
      </c>
      <c r="D205">
        <f t="shared" si="3"/>
        <v>47</v>
      </c>
    </row>
    <row r="206" spans="3:4" x14ac:dyDescent="0.3">
      <c r="C206" s="52">
        <f>SUMIF(BTS_매출관리!C:C,B206,BTS_매출관리!I:I)</f>
        <v>0</v>
      </c>
      <c r="D206">
        <f t="shared" si="3"/>
        <v>47</v>
      </c>
    </row>
    <row r="207" spans="3:4" x14ac:dyDescent="0.3">
      <c r="C207" s="52">
        <f>SUMIF(BTS_매출관리!C:C,B207,BTS_매출관리!I:I)</f>
        <v>0</v>
      </c>
      <c r="D207">
        <f t="shared" si="3"/>
        <v>47</v>
      </c>
    </row>
    <row r="208" spans="3:4" x14ac:dyDescent="0.3">
      <c r="C208" s="52">
        <f>SUMIF(BTS_매출관리!C:C,B208,BTS_매출관리!I:I)</f>
        <v>0</v>
      </c>
      <c r="D208">
        <f t="shared" si="3"/>
        <v>47</v>
      </c>
    </row>
    <row r="209" spans="3:4" x14ac:dyDescent="0.3">
      <c r="C209" s="52">
        <f>SUMIF(BTS_매출관리!C:C,B209,BTS_매출관리!I:I)</f>
        <v>0</v>
      </c>
      <c r="D209">
        <f t="shared" si="3"/>
        <v>47</v>
      </c>
    </row>
    <row r="210" spans="3:4" x14ac:dyDescent="0.3">
      <c r="C210" s="52">
        <f>SUMIF(BTS_매출관리!C:C,B210,BTS_매출관리!I:I)</f>
        <v>0</v>
      </c>
      <c r="D210">
        <f t="shared" si="3"/>
        <v>47</v>
      </c>
    </row>
    <row r="211" spans="3:4" x14ac:dyDescent="0.3">
      <c r="C211" s="52">
        <f>SUMIF(BTS_매출관리!C:C,B211,BTS_매출관리!I:I)</f>
        <v>0</v>
      </c>
      <c r="D211">
        <f t="shared" si="3"/>
        <v>47</v>
      </c>
    </row>
    <row r="212" spans="3:4" x14ac:dyDescent="0.3">
      <c r="C212" s="52">
        <f>SUMIF(BTS_매출관리!C:C,B212,BTS_매출관리!I:I)</f>
        <v>0</v>
      </c>
      <c r="D212">
        <f t="shared" si="3"/>
        <v>47</v>
      </c>
    </row>
    <row r="213" spans="3:4" x14ac:dyDescent="0.3">
      <c r="C213" s="52">
        <f>SUMIF(BTS_매출관리!C:C,B213,BTS_매출관리!I:I)</f>
        <v>0</v>
      </c>
      <c r="D213">
        <f t="shared" si="3"/>
        <v>47</v>
      </c>
    </row>
    <row r="214" spans="3:4" x14ac:dyDescent="0.3">
      <c r="C214" s="52">
        <f>SUMIF(BTS_매출관리!C:C,B214,BTS_매출관리!I:I)</f>
        <v>0</v>
      </c>
      <c r="D214">
        <f t="shared" si="3"/>
        <v>47</v>
      </c>
    </row>
    <row r="215" spans="3:4" x14ac:dyDescent="0.3">
      <c r="C215" s="52">
        <f>SUMIF(BTS_매출관리!C:C,B215,BTS_매출관리!I:I)</f>
        <v>0</v>
      </c>
      <c r="D215">
        <f t="shared" si="3"/>
        <v>47</v>
      </c>
    </row>
    <row r="216" spans="3:4" x14ac:dyDescent="0.3">
      <c r="C216" s="52">
        <f>SUMIF(BTS_매출관리!C:C,B216,BTS_매출관리!I:I)</f>
        <v>0</v>
      </c>
      <c r="D216">
        <f t="shared" si="3"/>
        <v>47</v>
      </c>
    </row>
    <row r="217" spans="3:4" x14ac:dyDescent="0.3">
      <c r="C217" s="52">
        <f>SUMIF(BTS_매출관리!C:C,B217,BTS_매출관리!I:I)</f>
        <v>0</v>
      </c>
      <c r="D217">
        <f t="shared" si="3"/>
        <v>47</v>
      </c>
    </row>
    <row r="218" spans="3:4" x14ac:dyDescent="0.3">
      <c r="C218" s="52">
        <f>SUMIF(BTS_매출관리!C:C,B218,BTS_매출관리!I:I)</f>
        <v>0</v>
      </c>
      <c r="D218">
        <f t="shared" si="3"/>
        <v>47</v>
      </c>
    </row>
    <row r="219" spans="3:4" x14ac:dyDescent="0.3">
      <c r="C219" s="52">
        <f>SUMIF(BTS_매출관리!C:C,B219,BTS_매출관리!I:I)</f>
        <v>0</v>
      </c>
      <c r="D219">
        <f t="shared" si="3"/>
        <v>47</v>
      </c>
    </row>
    <row r="220" spans="3:4" x14ac:dyDescent="0.3">
      <c r="C220" s="52">
        <f>SUMIF(BTS_매출관리!C:C,B220,BTS_매출관리!I:I)</f>
        <v>0</v>
      </c>
      <c r="D220">
        <f t="shared" si="3"/>
        <v>47</v>
      </c>
    </row>
    <row r="221" spans="3:4" x14ac:dyDescent="0.3">
      <c r="C221" s="52">
        <f>SUMIF(BTS_매출관리!C:C,B221,BTS_매출관리!I:I)</f>
        <v>0</v>
      </c>
      <c r="D221">
        <f t="shared" si="3"/>
        <v>47</v>
      </c>
    </row>
    <row r="222" spans="3:4" x14ac:dyDescent="0.3">
      <c r="C222" s="52">
        <f>SUMIF(BTS_매출관리!C:C,B222,BTS_매출관리!I:I)</f>
        <v>0</v>
      </c>
      <c r="D222">
        <f t="shared" si="3"/>
        <v>47</v>
      </c>
    </row>
    <row r="223" spans="3:4" x14ac:dyDescent="0.3">
      <c r="C223" s="52">
        <f>SUMIF(BTS_매출관리!C:C,B223,BTS_매출관리!I:I)</f>
        <v>0</v>
      </c>
      <c r="D223">
        <f t="shared" si="3"/>
        <v>47</v>
      </c>
    </row>
    <row r="224" spans="3:4" x14ac:dyDescent="0.3">
      <c r="C224" s="52">
        <f>SUMIF(BTS_매출관리!C:C,B224,BTS_매출관리!I:I)</f>
        <v>0</v>
      </c>
      <c r="D224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2380</v>
      </c>
      <c r="C1" s="441" t="s">
        <v>2612</v>
      </c>
      <c r="D1" s="438" t="s">
        <v>2641</v>
      </c>
      <c r="E1" s="438" t="s">
        <v>40</v>
      </c>
      <c r="F1" s="438" t="s">
        <v>2819</v>
      </c>
      <c r="G1" s="438"/>
      <c r="H1" s="438" t="s">
        <v>2820</v>
      </c>
      <c r="I1" s="438"/>
      <c r="J1" s="438" t="s">
        <v>2821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2613</v>
      </c>
      <c r="G2" s="292" t="s">
        <v>2614</v>
      </c>
      <c r="H2" s="292" t="s">
        <v>2615</v>
      </c>
      <c r="I2" s="292" t="s">
        <v>2616</v>
      </c>
      <c r="J2" s="292" t="s">
        <v>2615</v>
      </c>
      <c r="K2" s="292" t="s">
        <v>2616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2617</v>
      </c>
      <c r="D3" s="288" t="s">
        <v>2618</v>
      </c>
      <c r="E3" s="288" t="s">
        <v>2619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2620</v>
      </c>
      <c r="D4" s="259" t="s">
        <v>2621</v>
      </c>
      <c r="E4" s="259" t="s">
        <v>2619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2617</v>
      </c>
      <c r="D5" s="259" t="s">
        <v>2618</v>
      </c>
      <c r="E5" s="259" t="s">
        <v>2619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2617</v>
      </c>
      <c r="D6" s="259" t="s">
        <v>2618</v>
      </c>
      <c r="E6" s="259" t="s">
        <v>2619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2617</v>
      </c>
      <c r="D7" s="259" t="s">
        <v>2618</v>
      </c>
      <c r="E7" s="259" t="s">
        <v>2622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2623</v>
      </c>
      <c r="D8" s="259" t="s">
        <v>2624</v>
      </c>
      <c r="E8" s="259" t="s">
        <v>2619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2625</v>
      </c>
      <c r="D9" s="259" t="s">
        <v>2626</v>
      </c>
      <c r="E9" s="259" t="s">
        <v>2619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2627</v>
      </c>
      <c r="D10" s="259" t="s">
        <v>2618</v>
      </c>
      <c r="E10" s="259" t="s">
        <v>2622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2628</v>
      </c>
      <c r="D11" s="259" t="s">
        <v>2618</v>
      </c>
      <c r="E11" s="259" t="s">
        <v>2622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2617</v>
      </c>
      <c r="D12" s="259" t="s">
        <v>2618</v>
      </c>
      <c r="E12" s="259" t="s">
        <v>2619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2617</v>
      </c>
      <c r="D13" s="259" t="s">
        <v>2618</v>
      </c>
      <c r="E13" s="259" t="s">
        <v>2619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2620</v>
      </c>
      <c r="D14" s="259" t="s">
        <v>2621</v>
      </c>
      <c r="E14" s="259" t="s">
        <v>2622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2617</v>
      </c>
      <c r="D15" s="259" t="s">
        <v>2618</v>
      </c>
      <c r="E15" s="259" t="s">
        <v>2622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2629</v>
      </c>
      <c r="D16" s="259" t="s">
        <v>2630</v>
      </c>
      <c r="E16" s="259" t="s">
        <v>2622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2617</v>
      </c>
      <c r="D17" s="259" t="s">
        <v>2618</v>
      </c>
      <c r="E17" s="259" t="s">
        <v>2622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2628</v>
      </c>
      <c r="D18" s="259" t="s">
        <v>2618</v>
      </c>
      <c r="E18" s="259" t="s">
        <v>2619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2631</v>
      </c>
      <c r="D19" s="259" t="s">
        <v>2632</v>
      </c>
      <c r="E19" s="259" t="s">
        <v>2622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2627</v>
      </c>
      <c r="D20" s="259" t="s">
        <v>2618</v>
      </c>
      <c r="E20" s="259" t="s">
        <v>2622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2633</v>
      </c>
      <c r="D21" s="259" t="s">
        <v>2630</v>
      </c>
      <c r="E21" s="259" t="s">
        <v>2622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2634</v>
      </c>
      <c r="D22" s="259" t="s">
        <v>2635</v>
      </c>
      <c r="E22" s="259" t="s">
        <v>2622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2636</v>
      </c>
      <c r="D23" s="259" t="s">
        <v>2637</v>
      </c>
      <c r="E23" s="259" t="s">
        <v>2622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2620</v>
      </c>
      <c r="D24" s="259" t="s">
        <v>2621</v>
      </c>
      <c r="E24" s="259" t="s">
        <v>2622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2617</v>
      </c>
      <c r="D25" s="259" t="s">
        <v>2618</v>
      </c>
      <c r="E25" s="259" t="s">
        <v>2622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2617</v>
      </c>
      <c r="D26" s="259" t="s">
        <v>2638</v>
      </c>
      <c r="E26" s="259" t="s">
        <v>2622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2639</v>
      </c>
      <c r="D27" s="259" t="s">
        <v>2618</v>
      </c>
      <c r="E27" s="259" t="s">
        <v>2622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2617</v>
      </c>
      <c r="D28" s="259" t="s">
        <v>2618</v>
      </c>
      <c r="E28" s="259" t="s">
        <v>2622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2617</v>
      </c>
      <c r="D29" s="259" t="s">
        <v>2618</v>
      </c>
      <c r="E29" s="259" t="s">
        <v>2622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2627</v>
      </c>
      <c r="D30" s="259" t="s">
        <v>2618</v>
      </c>
      <c r="E30" s="259" t="s">
        <v>2622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2631</v>
      </c>
      <c r="D31" s="259" t="s">
        <v>2632</v>
      </c>
      <c r="E31" s="259" t="s">
        <v>2622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2629</v>
      </c>
      <c r="D32" s="259" t="s">
        <v>2630</v>
      </c>
      <c r="E32" s="259" t="s">
        <v>2622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2628</v>
      </c>
      <c r="D33" s="259" t="s">
        <v>2618</v>
      </c>
      <c r="E33" s="259" t="s">
        <v>2622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2633</v>
      </c>
      <c r="D34" s="259" t="s">
        <v>2630</v>
      </c>
      <c r="E34" s="259" t="s">
        <v>2622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2620</v>
      </c>
      <c r="D35" s="259" t="s">
        <v>2621</v>
      </c>
      <c r="E35" s="259" t="s">
        <v>2622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2617</v>
      </c>
      <c r="D36" s="259" t="s">
        <v>2618</v>
      </c>
      <c r="E36" s="259" t="s">
        <v>2622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2620</v>
      </c>
      <c r="D37" s="259" t="s">
        <v>2621</v>
      </c>
      <c r="E37" s="259" t="s">
        <v>2622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2636</v>
      </c>
      <c r="D38" s="259" t="s">
        <v>2637</v>
      </c>
      <c r="E38" s="259" t="s">
        <v>2622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2617</v>
      </c>
      <c r="D39" s="259" t="s">
        <v>2618</v>
      </c>
      <c r="E39" s="259" t="s">
        <v>2622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2620</v>
      </c>
      <c r="D40" s="259" t="s">
        <v>2621</v>
      </c>
      <c r="E40" s="259" t="s">
        <v>2622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2634</v>
      </c>
      <c r="D41" s="259" t="s">
        <v>2635</v>
      </c>
      <c r="E41" s="259" t="s">
        <v>2622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2636</v>
      </c>
      <c r="D42" s="259" t="s">
        <v>2637</v>
      </c>
      <c r="E42" s="259" t="s">
        <v>2622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2617</v>
      </c>
      <c r="D43" s="259" t="s">
        <v>2618</v>
      </c>
      <c r="E43" s="259" t="s">
        <v>2622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2627</v>
      </c>
      <c r="D44" s="259" t="s">
        <v>2618</v>
      </c>
      <c r="E44" s="259" t="s">
        <v>2622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2633</v>
      </c>
      <c r="D45" s="259" t="s">
        <v>2630</v>
      </c>
      <c r="E45" s="259" t="s">
        <v>2622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2628</v>
      </c>
      <c r="D46" s="259" t="s">
        <v>2618</v>
      </c>
      <c r="E46" s="259" t="s">
        <v>2622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2629</v>
      </c>
      <c r="D47" s="259" t="s">
        <v>2630</v>
      </c>
      <c r="E47" s="259" t="s">
        <v>2622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2622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2622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2622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2622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2622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2622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2622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2622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2622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2622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2622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2622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2622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2622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2622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2622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2622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2622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2622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2622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2622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2622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2622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2622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2622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2622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2622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2622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2622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2622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2622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2622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2622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2622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2622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2622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2622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2622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2622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2622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2622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2622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2619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2622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2622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2622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2622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2622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2622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2622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2622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2622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2622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2622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2622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2622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2622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2622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2622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2622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2622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2622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2622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2622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2622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2622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2622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2622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2622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2622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2622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2622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2622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2622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2622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2622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2622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2622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2622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2622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2622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2622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2622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2622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2622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2622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2622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2622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2640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2641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1663</v>
      </c>
      <c r="J8" s="126" t="s">
        <v>2642</v>
      </c>
      <c r="K8" s="80" t="s">
        <v>1663</v>
      </c>
      <c r="L8" s="80" t="s">
        <v>2642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2046</v>
      </c>
    </row>
    <row r="3" spans="1:2" x14ac:dyDescent="0.3">
      <c r="A3" t="s">
        <v>2048</v>
      </c>
    </row>
    <row r="4" spans="1:2" x14ac:dyDescent="0.3">
      <c r="A4" t="s">
        <v>2049</v>
      </c>
    </row>
    <row r="5" spans="1:2" x14ac:dyDescent="0.3">
      <c r="A5" t="s">
        <v>2050</v>
      </c>
    </row>
    <row r="6" spans="1:2" x14ac:dyDescent="0.3">
      <c r="A6" t="s">
        <v>2052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2279</v>
      </c>
      <c r="D2" s="300"/>
      <c r="E2" s="300"/>
      <c r="F2" s="300"/>
      <c r="G2" s="301"/>
      <c r="H2" s="299" t="s">
        <v>81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72" t="s">
        <v>1196</v>
      </c>
      <c r="B3" s="37" t="s">
        <v>64</v>
      </c>
      <c r="C3" s="494" t="s">
        <v>1575</v>
      </c>
      <c r="D3" s="495"/>
      <c r="E3" s="495"/>
      <c r="F3" s="495"/>
      <c r="G3" s="495"/>
      <c r="H3" s="495"/>
      <c r="I3" s="495"/>
      <c r="J3" s="496"/>
      <c r="K3" s="378" t="s">
        <v>1197</v>
      </c>
      <c r="L3" s="37" t="s">
        <v>64</v>
      </c>
      <c r="M3" s="480" t="s">
        <v>970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460" t="s">
        <v>78</v>
      </c>
      <c r="U4" s="461"/>
    </row>
    <row r="5" spans="1:21" ht="15.75" customHeight="1" x14ac:dyDescent="0.3">
      <c r="A5" s="373"/>
      <c r="B5" s="38" t="s">
        <v>65</v>
      </c>
      <c r="C5" s="387" t="s">
        <v>1113</v>
      </c>
      <c r="D5" s="388"/>
      <c r="E5" s="388"/>
      <c r="F5" s="388"/>
      <c r="G5" s="388"/>
      <c r="H5" s="388"/>
      <c r="I5" s="388"/>
      <c r="J5" s="389"/>
      <c r="K5" s="379"/>
      <c r="L5" s="38" t="s">
        <v>65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15.75" customHeight="1" x14ac:dyDescent="0.3">
      <c r="A6" s="374"/>
      <c r="B6" s="38" t="s">
        <v>80</v>
      </c>
      <c r="C6" s="387" t="s">
        <v>1112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980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83</v>
      </c>
      <c r="G7" s="307"/>
      <c r="H7" s="307"/>
      <c r="I7" s="369"/>
      <c r="J7" s="370" t="s">
        <v>72</v>
      </c>
      <c r="K7" s="369"/>
      <c r="L7" s="370" t="s">
        <v>46</v>
      </c>
      <c r="M7" s="307"/>
      <c r="N7" s="307"/>
      <c r="O7" s="307"/>
      <c r="P7" s="369"/>
      <c r="Q7" s="370" t="s">
        <v>73</v>
      </c>
      <c r="R7" s="307"/>
      <c r="S7" s="369"/>
      <c r="T7" s="370" t="s">
        <v>74</v>
      </c>
      <c r="U7" s="371"/>
    </row>
    <row r="8" spans="1:21" ht="15" customHeight="1" x14ac:dyDescent="0.3">
      <c r="A8" s="497" t="s">
        <v>1160</v>
      </c>
      <c r="B8" s="498"/>
      <c r="C8" s="498"/>
      <c r="D8" s="498"/>
      <c r="E8" s="499"/>
      <c r="F8" s="500"/>
      <c r="G8" s="498"/>
      <c r="H8" s="498"/>
      <c r="I8" s="499"/>
      <c r="J8" s="416">
        <v>1</v>
      </c>
      <c r="K8" s="415"/>
      <c r="L8" s="501">
        <v>1000000</v>
      </c>
      <c r="M8" s="502"/>
      <c r="N8" s="502"/>
      <c r="O8" s="502"/>
      <c r="P8" s="503"/>
      <c r="Q8" s="501">
        <v>1000000</v>
      </c>
      <c r="R8" s="502"/>
      <c r="S8" s="503"/>
      <c r="T8" s="420"/>
      <c r="U8" s="42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405"/>
      <c r="K9" s="404"/>
      <c r="L9" s="484"/>
      <c r="M9" s="485"/>
      <c r="N9" s="485"/>
      <c r="O9" s="485"/>
      <c r="P9" s="486"/>
      <c r="Q9" s="484"/>
      <c r="R9" s="485"/>
      <c r="S9" s="486"/>
      <c r="T9" s="409"/>
      <c r="U9" s="41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405"/>
      <c r="K10" s="404"/>
      <c r="L10" s="484"/>
      <c r="M10" s="485"/>
      <c r="N10" s="485"/>
      <c r="O10" s="485"/>
      <c r="P10" s="486"/>
      <c r="Q10" s="484"/>
      <c r="R10" s="485"/>
      <c r="S10" s="486"/>
      <c r="T10" s="409"/>
      <c r="U10" s="41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405"/>
      <c r="K11" s="404"/>
      <c r="L11" s="484"/>
      <c r="M11" s="485"/>
      <c r="N11" s="485"/>
      <c r="O11" s="485"/>
      <c r="P11" s="486"/>
      <c r="Q11" s="484"/>
      <c r="R11" s="485"/>
      <c r="S11" s="486"/>
      <c r="T11" s="409"/>
      <c r="U11" s="41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405"/>
      <c r="K12" s="404"/>
      <c r="L12" s="484"/>
      <c r="M12" s="485"/>
      <c r="N12" s="485"/>
      <c r="O12" s="485"/>
      <c r="P12" s="486"/>
      <c r="Q12" s="484"/>
      <c r="R12" s="485"/>
      <c r="S12" s="486"/>
      <c r="T12" s="409"/>
      <c r="U12" s="410"/>
    </row>
    <row r="13" spans="1:21" ht="15" customHeight="1" x14ac:dyDescent="0.3">
      <c r="A13" s="487"/>
      <c r="B13" s="488"/>
      <c r="C13" s="488"/>
      <c r="D13" s="488"/>
      <c r="E13" s="489"/>
      <c r="F13" s="491"/>
      <c r="G13" s="492"/>
      <c r="H13" s="492"/>
      <c r="I13" s="493"/>
      <c r="J13" s="405"/>
      <c r="K13" s="404"/>
      <c r="L13" s="484"/>
      <c r="M13" s="485"/>
      <c r="N13" s="485"/>
      <c r="O13" s="485"/>
      <c r="P13" s="486"/>
      <c r="Q13" s="484"/>
      <c r="R13" s="485"/>
      <c r="S13" s="486"/>
      <c r="T13" s="409"/>
      <c r="U13" s="41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405"/>
      <c r="K14" s="404"/>
      <c r="L14" s="484"/>
      <c r="M14" s="485"/>
      <c r="N14" s="485"/>
      <c r="O14" s="485"/>
      <c r="P14" s="486"/>
      <c r="Q14" s="484"/>
      <c r="R14" s="485"/>
      <c r="S14" s="486"/>
      <c r="T14" s="409"/>
      <c r="U14" s="410"/>
    </row>
    <row r="15" spans="1:21" ht="15" customHeight="1" x14ac:dyDescent="0.3">
      <c r="A15" s="402"/>
      <c r="B15" s="403"/>
      <c r="C15" s="403"/>
      <c r="D15" s="403"/>
      <c r="E15" s="404"/>
      <c r="F15" s="405"/>
      <c r="G15" s="403"/>
      <c r="H15" s="403"/>
      <c r="I15" s="404"/>
      <c r="J15" s="405"/>
      <c r="K15" s="404"/>
      <c r="L15" s="474"/>
      <c r="M15" s="475"/>
      <c r="N15" s="475"/>
      <c r="O15" s="475"/>
      <c r="P15" s="476"/>
      <c r="Q15" s="474"/>
      <c r="R15" s="475"/>
      <c r="S15" s="476"/>
      <c r="T15" s="409"/>
      <c r="U15" s="410"/>
    </row>
    <row r="16" spans="1:21" ht="15" customHeight="1" x14ac:dyDescent="0.3">
      <c r="A16" s="402"/>
      <c r="B16" s="403"/>
      <c r="C16" s="403"/>
      <c r="D16" s="403"/>
      <c r="E16" s="404"/>
      <c r="F16" s="405"/>
      <c r="G16" s="403"/>
      <c r="H16" s="403"/>
      <c r="I16" s="404"/>
      <c r="J16" s="405"/>
      <c r="K16" s="404"/>
      <c r="L16" s="474"/>
      <c r="M16" s="475"/>
      <c r="N16" s="475"/>
      <c r="O16" s="475"/>
      <c r="P16" s="476"/>
      <c r="Q16" s="474"/>
      <c r="R16" s="475"/>
      <c r="S16" s="476"/>
      <c r="T16" s="409"/>
      <c r="U16" s="410"/>
    </row>
    <row r="17" spans="1:21" ht="15" customHeight="1" x14ac:dyDescent="0.3">
      <c r="A17" s="402"/>
      <c r="B17" s="403"/>
      <c r="C17" s="403"/>
      <c r="D17" s="403"/>
      <c r="E17" s="404"/>
      <c r="F17" s="405"/>
      <c r="G17" s="403"/>
      <c r="H17" s="403"/>
      <c r="I17" s="404"/>
      <c r="J17" s="405"/>
      <c r="K17" s="404"/>
      <c r="L17" s="474"/>
      <c r="M17" s="475"/>
      <c r="N17" s="475"/>
      <c r="O17" s="475"/>
      <c r="P17" s="476"/>
      <c r="Q17" s="474"/>
      <c r="R17" s="475"/>
      <c r="S17" s="476"/>
      <c r="T17" s="409"/>
      <c r="U17" s="410"/>
    </row>
    <row r="18" spans="1:21" ht="15" customHeight="1" x14ac:dyDescent="0.3">
      <c r="A18" s="402"/>
      <c r="B18" s="403"/>
      <c r="C18" s="403"/>
      <c r="D18" s="403"/>
      <c r="E18" s="404"/>
      <c r="F18" s="405"/>
      <c r="G18" s="403"/>
      <c r="H18" s="403"/>
      <c r="I18" s="404"/>
      <c r="J18" s="405"/>
      <c r="K18" s="404"/>
      <c r="L18" s="474"/>
      <c r="M18" s="475"/>
      <c r="N18" s="475"/>
      <c r="O18" s="475"/>
      <c r="P18" s="476"/>
      <c r="Q18" s="474"/>
      <c r="R18" s="475"/>
      <c r="S18" s="476"/>
      <c r="T18" s="409"/>
      <c r="U18" s="410"/>
    </row>
    <row r="19" spans="1:21" ht="15" customHeight="1" x14ac:dyDescent="0.3">
      <c r="A19" s="445"/>
      <c r="B19" s="446"/>
      <c r="C19" s="446"/>
      <c r="D19" s="446"/>
      <c r="E19" s="447"/>
      <c r="F19" s="448"/>
      <c r="G19" s="446"/>
      <c r="H19" s="446"/>
      <c r="I19" s="447"/>
      <c r="J19" s="448"/>
      <c r="K19" s="447"/>
      <c r="L19" s="462"/>
      <c r="M19" s="463"/>
      <c r="N19" s="463"/>
      <c r="O19" s="463"/>
      <c r="P19" s="464"/>
      <c r="Q19" s="462"/>
      <c r="R19" s="463"/>
      <c r="S19" s="464"/>
      <c r="T19" s="465"/>
      <c r="U19" s="466"/>
    </row>
    <row r="20" spans="1:21" x14ac:dyDescent="0.3">
      <c r="A20" s="306" t="s">
        <v>86</v>
      </c>
      <c r="B20" s="307"/>
      <c r="C20" s="307"/>
      <c r="D20" s="307"/>
      <c r="E20" s="307"/>
      <c r="F20" s="308">
        <v>2450000</v>
      </c>
      <c r="G20" s="308"/>
      <c r="H20" s="308"/>
      <c r="I20" s="309"/>
      <c r="J20" s="453">
        <f>SUM(J8:K19)</f>
        <v>1</v>
      </c>
      <c r="K20" s="453"/>
      <c r="L20" s="507" t="s">
        <v>965</v>
      </c>
      <c r="M20" s="508"/>
      <c r="N20" s="508"/>
      <c r="O20" s="508"/>
      <c r="P20" s="509"/>
      <c r="Q20" s="348">
        <f>SUM(Q8:S19)</f>
        <v>1000000</v>
      </c>
      <c r="R20" s="308"/>
      <c r="S20" s="308"/>
      <c r="T20" s="308"/>
      <c r="U20" s="349"/>
    </row>
    <row r="21" spans="1:21" ht="17.25" thickBot="1" x14ac:dyDescent="0.35">
      <c r="A21" s="311" t="s">
        <v>96</v>
      </c>
      <c r="B21" s="312"/>
      <c r="C21" s="312"/>
      <c r="D21" s="312"/>
      <c r="E21" s="312"/>
      <c r="F21" s="313">
        <f>F20+Q20</f>
        <v>3450000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41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5">
      <c r="A24" s="457" t="s">
        <v>76</v>
      </c>
      <c r="B24" s="458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9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72" t="s">
        <v>1196</v>
      </c>
      <c r="B26" s="37" t="s">
        <v>64</v>
      </c>
      <c r="C26" s="477" t="str">
        <f>C3</f>
        <v>제이오토(대구)</v>
      </c>
      <c r="D26" s="478"/>
      <c r="E26" s="478"/>
      <c r="F26" s="478"/>
      <c r="G26" s="478"/>
      <c r="H26" s="478"/>
      <c r="I26" s="478"/>
      <c r="J26" s="479"/>
      <c r="K26" s="378" t="s">
        <v>1197</v>
      </c>
      <c r="L26" s="37" t="s">
        <v>64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73"/>
      <c r="B27" s="37" t="s">
        <v>66</v>
      </c>
      <c r="C27" s="504">
        <f>C4</f>
        <v>0</v>
      </c>
      <c r="D27" s="505"/>
      <c r="E27" s="505"/>
      <c r="F27" s="505"/>
      <c r="G27" s="505"/>
      <c r="H27" s="505"/>
      <c r="I27" s="505"/>
      <c r="J27" s="506"/>
      <c r="K27" s="379"/>
      <c r="L27" s="37" t="s">
        <v>66</v>
      </c>
      <c r="M27" s="387" t="str">
        <f>M4</f>
        <v>259-12-01768</v>
      </c>
      <c r="N27" s="388"/>
      <c r="O27" s="388"/>
      <c r="P27" s="388"/>
      <c r="Q27" s="388"/>
      <c r="R27" s="389"/>
      <c r="S27" s="38" t="s">
        <v>67</v>
      </c>
      <c r="T27" s="460" t="str">
        <f>T4</f>
        <v>장효주</v>
      </c>
      <c r="U27" s="461"/>
    </row>
    <row r="28" spans="1:21" ht="15.75" customHeight="1" x14ac:dyDescent="0.3">
      <c r="A28" s="373"/>
      <c r="B28" s="38" t="s">
        <v>10</v>
      </c>
      <c r="C28" s="387" t="str">
        <f>C5</f>
        <v>대구광역시 서구 가르뱅이로 53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tr">
        <f>M5</f>
        <v>대구 달서구 용산로 28(본리동)</v>
      </c>
      <c r="N28" s="388"/>
      <c r="O28" s="388"/>
      <c r="P28" s="388"/>
      <c r="Q28" s="388"/>
      <c r="R28" s="388"/>
      <c r="S28" s="388"/>
      <c r="T28" s="388"/>
      <c r="U28" s="390"/>
    </row>
    <row r="29" spans="1:21" ht="15.75" customHeight="1" x14ac:dyDescent="0.3">
      <c r="A29" s="374"/>
      <c r="B29" s="38" t="s">
        <v>80</v>
      </c>
      <c r="C29" s="387" t="str">
        <f>C6</f>
        <v>010-5102-8176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tr">
        <f>M6</f>
        <v>010-5168-3542</v>
      </c>
      <c r="N29" s="388"/>
      <c r="O29" s="388"/>
      <c r="P29" s="388"/>
      <c r="Q29" s="388"/>
      <c r="R29" s="389"/>
      <c r="S29" s="38" t="s">
        <v>26</v>
      </c>
      <c r="T29" s="387"/>
      <c r="U29" s="390"/>
    </row>
    <row r="30" spans="1:21" ht="15.75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72</v>
      </c>
      <c r="K30" s="369"/>
      <c r="L30" s="370" t="s">
        <v>46</v>
      </c>
      <c r="M30" s="307"/>
      <c r="N30" s="307"/>
      <c r="O30" s="307"/>
      <c r="P30" s="369"/>
      <c r="Q30" s="370" t="s">
        <v>73</v>
      </c>
      <c r="R30" s="307"/>
      <c r="S30" s="369"/>
      <c r="T30" s="370" t="s">
        <v>74</v>
      </c>
      <c r="U30" s="371"/>
    </row>
    <row r="31" spans="1:21" ht="15" customHeight="1" x14ac:dyDescent="0.3">
      <c r="A31" s="471" t="str">
        <f>A8</f>
        <v>8HP70 VALBEBODY</v>
      </c>
      <c r="B31" s="472"/>
      <c r="C31" s="472"/>
      <c r="D31" s="472"/>
      <c r="E31" s="472"/>
      <c r="F31" s="472">
        <f>F8</f>
        <v>0</v>
      </c>
      <c r="G31" s="472"/>
      <c r="H31" s="472"/>
      <c r="I31" s="472"/>
      <c r="J31" s="472">
        <f>J8</f>
        <v>1</v>
      </c>
      <c r="K31" s="472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472">
        <f>T8</f>
        <v>0</v>
      </c>
      <c r="U31" s="483"/>
    </row>
    <row r="32" spans="1:21" ht="15" customHeight="1" x14ac:dyDescent="0.3">
      <c r="A32" s="452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51">
        <f t="shared" ref="L32:L42" si="3">L9</f>
        <v>0</v>
      </c>
      <c r="M32" s="451"/>
      <c r="N32" s="451"/>
      <c r="O32" s="451"/>
      <c r="P32" s="451"/>
      <c r="Q32" s="451">
        <f t="shared" ref="Q32:Q42" si="4">Q9</f>
        <v>0</v>
      </c>
      <c r="R32" s="451"/>
      <c r="S32" s="451"/>
      <c r="T32" s="449">
        <f t="shared" ref="T32:T42" si="5">T9</f>
        <v>0</v>
      </c>
      <c r="U32" s="450"/>
    </row>
    <row r="33" spans="1:21" ht="15" customHeight="1" x14ac:dyDescent="0.3">
      <c r="A33" s="452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51">
        <f t="shared" si="3"/>
        <v>0</v>
      </c>
      <c r="M33" s="451"/>
      <c r="N33" s="451"/>
      <c r="O33" s="451"/>
      <c r="P33" s="451"/>
      <c r="Q33" s="451">
        <f t="shared" si="4"/>
        <v>0</v>
      </c>
      <c r="R33" s="451"/>
      <c r="S33" s="451"/>
      <c r="T33" s="449">
        <f t="shared" si="5"/>
        <v>0</v>
      </c>
      <c r="U33" s="450"/>
    </row>
    <row r="34" spans="1:21" ht="15" customHeight="1" x14ac:dyDescent="0.3">
      <c r="A34" s="452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51">
        <f t="shared" si="3"/>
        <v>0</v>
      </c>
      <c r="M34" s="451"/>
      <c r="N34" s="451"/>
      <c r="O34" s="451"/>
      <c r="P34" s="451"/>
      <c r="Q34" s="451">
        <f t="shared" si="4"/>
        <v>0</v>
      </c>
      <c r="R34" s="451"/>
      <c r="S34" s="451"/>
      <c r="T34" s="449">
        <f t="shared" si="5"/>
        <v>0</v>
      </c>
      <c r="U34" s="450"/>
    </row>
    <row r="35" spans="1:21" ht="15" customHeight="1" x14ac:dyDescent="0.3">
      <c r="A35" s="452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51">
        <f t="shared" si="3"/>
        <v>0</v>
      </c>
      <c r="M35" s="451"/>
      <c r="N35" s="451"/>
      <c r="O35" s="451"/>
      <c r="P35" s="451"/>
      <c r="Q35" s="451">
        <f t="shared" si="4"/>
        <v>0</v>
      </c>
      <c r="R35" s="451"/>
      <c r="S35" s="451"/>
      <c r="T35" s="449">
        <f t="shared" si="5"/>
        <v>0</v>
      </c>
      <c r="U35" s="450"/>
    </row>
    <row r="36" spans="1:21" ht="15" customHeight="1" x14ac:dyDescent="0.3">
      <c r="A36" s="452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51">
        <f t="shared" si="3"/>
        <v>0</v>
      </c>
      <c r="M36" s="451"/>
      <c r="N36" s="451"/>
      <c r="O36" s="451"/>
      <c r="P36" s="451"/>
      <c r="Q36" s="451">
        <f t="shared" si="4"/>
        <v>0</v>
      </c>
      <c r="R36" s="451"/>
      <c r="S36" s="451"/>
      <c r="T36" s="449">
        <f t="shared" si="5"/>
        <v>0</v>
      </c>
      <c r="U36" s="450"/>
    </row>
    <row r="37" spans="1:21" ht="15" customHeight="1" x14ac:dyDescent="0.3">
      <c r="A37" s="452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51">
        <f t="shared" si="3"/>
        <v>0</v>
      </c>
      <c r="M37" s="451"/>
      <c r="N37" s="451"/>
      <c r="O37" s="451"/>
      <c r="P37" s="451"/>
      <c r="Q37" s="451">
        <f t="shared" si="4"/>
        <v>0</v>
      </c>
      <c r="R37" s="451"/>
      <c r="S37" s="451"/>
      <c r="T37" s="449">
        <f t="shared" si="5"/>
        <v>0</v>
      </c>
      <c r="U37" s="450"/>
    </row>
    <row r="38" spans="1:21" ht="15" customHeight="1" x14ac:dyDescent="0.3">
      <c r="A38" s="452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51">
        <f t="shared" si="3"/>
        <v>0</v>
      </c>
      <c r="M38" s="451"/>
      <c r="N38" s="451"/>
      <c r="O38" s="451"/>
      <c r="P38" s="451"/>
      <c r="Q38" s="451">
        <f t="shared" si="4"/>
        <v>0</v>
      </c>
      <c r="R38" s="451"/>
      <c r="S38" s="451"/>
      <c r="T38" s="449">
        <f t="shared" si="5"/>
        <v>0</v>
      </c>
      <c r="U38" s="450"/>
    </row>
    <row r="39" spans="1:21" ht="15" customHeight="1" x14ac:dyDescent="0.3">
      <c r="A39" s="452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51">
        <f t="shared" si="3"/>
        <v>0</v>
      </c>
      <c r="M39" s="451"/>
      <c r="N39" s="451"/>
      <c r="O39" s="451"/>
      <c r="P39" s="451"/>
      <c r="Q39" s="451">
        <f t="shared" si="4"/>
        <v>0</v>
      </c>
      <c r="R39" s="451"/>
      <c r="S39" s="451"/>
      <c r="T39" s="449">
        <f t="shared" si="5"/>
        <v>0</v>
      </c>
      <c r="U39" s="450"/>
    </row>
    <row r="40" spans="1:21" ht="15" customHeight="1" x14ac:dyDescent="0.3">
      <c r="A40" s="452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51">
        <f t="shared" si="3"/>
        <v>0</v>
      </c>
      <c r="M40" s="451"/>
      <c r="N40" s="451"/>
      <c r="O40" s="451"/>
      <c r="P40" s="451"/>
      <c r="Q40" s="451">
        <f t="shared" si="4"/>
        <v>0</v>
      </c>
      <c r="R40" s="451"/>
      <c r="S40" s="451"/>
      <c r="T40" s="449">
        <f t="shared" si="5"/>
        <v>0</v>
      </c>
      <c r="U40" s="450"/>
    </row>
    <row r="41" spans="1:21" ht="15" customHeight="1" x14ac:dyDescent="0.3">
      <c r="A41" s="452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51">
        <f t="shared" si="3"/>
        <v>0</v>
      </c>
      <c r="M41" s="451"/>
      <c r="N41" s="451"/>
      <c r="O41" s="451"/>
      <c r="P41" s="451"/>
      <c r="Q41" s="451">
        <f t="shared" si="4"/>
        <v>0</v>
      </c>
      <c r="R41" s="451"/>
      <c r="S41" s="451"/>
      <c r="T41" s="449">
        <f t="shared" si="5"/>
        <v>0</v>
      </c>
      <c r="U41" s="450"/>
    </row>
    <row r="42" spans="1:21" ht="15" customHeight="1" x14ac:dyDescent="0.3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 x14ac:dyDescent="0.3">
      <c r="A43" s="306" t="s">
        <v>86</v>
      </c>
      <c r="B43" s="307"/>
      <c r="C43" s="307"/>
      <c r="D43" s="307"/>
      <c r="E43" s="307"/>
      <c r="F43" s="308">
        <f>F20</f>
        <v>2450000</v>
      </c>
      <c r="G43" s="308"/>
      <c r="H43" s="308"/>
      <c r="I43" s="309"/>
      <c r="J43" s="453">
        <f>J20</f>
        <v>1</v>
      </c>
      <c r="K43" s="453"/>
      <c r="L43" s="507" t="s">
        <v>965</v>
      </c>
      <c r="M43" s="508"/>
      <c r="N43" s="508"/>
      <c r="O43" s="508"/>
      <c r="P43" s="509"/>
      <c r="Q43" s="510">
        <f>Q20</f>
        <v>1000000</v>
      </c>
      <c r="R43" s="511"/>
      <c r="S43" s="511"/>
      <c r="T43" s="511"/>
      <c r="U43" s="512"/>
    </row>
    <row r="44" spans="1:21" ht="17.25" thickBot="1" x14ac:dyDescent="0.35">
      <c r="A44" s="311" t="s">
        <v>96</v>
      </c>
      <c r="B44" s="312"/>
      <c r="C44" s="312"/>
      <c r="D44" s="312"/>
      <c r="E44" s="312"/>
      <c r="F44" s="313">
        <f>F21</f>
        <v>3450000</v>
      </c>
      <c r="G44" s="313"/>
      <c r="H44" s="313"/>
      <c r="I44" s="314"/>
      <c r="J44" s="315" t="s">
        <v>971</v>
      </c>
      <c r="K44" s="312"/>
      <c r="L44" s="316" t="str">
        <f>L21</f>
        <v>장효주</v>
      </c>
      <c r="M44" s="316"/>
      <c r="N44" s="316"/>
      <c r="O44" s="315" t="s">
        <v>69</v>
      </c>
      <c r="P44" s="341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57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582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1659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1666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1668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1675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1693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1694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1695</v>
      </c>
    </row>
    <row r="107" spans="1:4" x14ac:dyDescent="0.3">
      <c r="A107">
        <v>104</v>
      </c>
      <c r="B107" s="13">
        <v>45749</v>
      </c>
      <c r="C107" t="s">
        <v>1696</v>
      </c>
      <c r="D107" t="s">
        <v>1700</v>
      </c>
    </row>
    <row r="108" spans="1:4" x14ac:dyDescent="0.3">
      <c r="A108">
        <v>105</v>
      </c>
      <c r="B108" s="13">
        <v>45749</v>
      </c>
      <c r="C108" t="s">
        <v>1701</v>
      </c>
      <c r="D108" t="s">
        <v>1703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1705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1707</v>
      </c>
    </row>
    <row r="111" spans="1:4" x14ac:dyDescent="0.3">
      <c r="A111">
        <v>108</v>
      </c>
      <c r="B111" s="13">
        <v>45750</v>
      </c>
      <c r="C111" t="s">
        <v>1709</v>
      </c>
      <c r="D111" t="s">
        <v>1713</v>
      </c>
    </row>
    <row r="112" spans="1:4" x14ac:dyDescent="0.3">
      <c r="A112">
        <v>109</v>
      </c>
      <c r="B112" s="13">
        <v>45750</v>
      </c>
      <c r="C112" t="s">
        <v>1714</v>
      </c>
      <c r="D112" t="s">
        <v>1715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1724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1730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1734</v>
      </c>
    </row>
    <row r="116" spans="1:4" x14ac:dyDescent="0.3">
      <c r="A116">
        <v>113</v>
      </c>
      <c r="B116" s="13">
        <v>45751</v>
      </c>
      <c r="C116" t="s">
        <v>1760</v>
      </c>
      <c r="D116" t="s">
        <v>1763</v>
      </c>
    </row>
    <row r="117" spans="1:4" x14ac:dyDescent="0.3">
      <c r="A117">
        <v>114</v>
      </c>
      <c r="B117" s="13">
        <v>45751</v>
      </c>
      <c r="C117" t="s">
        <v>1760</v>
      </c>
      <c r="D117" t="s">
        <v>1764</v>
      </c>
    </row>
    <row r="118" spans="1:4" x14ac:dyDescent="0.3">
      <c r="A118">
        <v>115</v>
      </c>
      <c r="B118" s="13">
        <v>45751</v>
      </c>
      <c r="C118" t="s">
        <v>1760</v>
      </c>
      <c r="D118" t="s">
        <v>1767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1784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1788</v>
      </c>
    </row>
    <row r="121" spans="1:4" x14ac:dyDescent="0.3">
      <c r="A121">
        <v>118</v>
      </c>
      <c r="B121" s="13">
        <v>45754</v>
      </c>
      <c r="C121" t="s">
        <v>1786</v>
      </c>
      <c r="D121" t="s">
        <v>1789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1801</v>
      </c>
    </row>
    <row r="123" spans="1:4" x14ac:dyDescent="0.3">
      <c r="A123">
        <v>119</v>
      </c>
      <c r="B123" s="13">
        <v>45754</v>
      </c>
      <c r="C123" t="s">
        <v>1760</v>
      </c>
      <c r="D123" t="s">
        <v>1812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1833</v>
      </c>
    </row>
    <row r="125" spans="1:4" x14ac:dyDescent="0.3">
      <c r="A125">
        <v>121</v>
      </c>
      <c r="B125" s="13">
        <v>45754</v>
      </c>
      <c r="C125" t="s">
        <v>1830</v>
      </c>
      <c r="D125" t="s">
        <v>1837</v>
      </c>
    </row>
    <row r="126" spans="1:4" x14ac:dyDescent="0.3">
      <c r="A126">
        <v>122</v>
      </c>
      <c r="B126" s="13">
        <v>45754</v>
      </c>
      <c r="C126" t="s">
        <v>1760</v>
      </c>
      <c r="D126" t="s">
        <v>1838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1839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1844</v>
      </c>
    </row>
    <row r="129" spans="1:5" x14ac:dyDescent="0.3">
      <c r="A129">
        <v>125</v>
      </c>
      <c r="B129" s="13">
        <v>45755</v>
      </c>
      <c r="C129" t="s">
        <v>1845</v>
      </c>
      <c r="D129" t="s">
        <v>1847</v>
      </c>
      <c r="E129" t="s">
        <v>1846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1848</v>
      </c>
    </row>
    <row r="131" spans="1:5" x14ac:dyDescent="0.3">
      <c r="A131">
        <v>127</v>
      </c>
      <c r="B131" s="13">
        <v>45755</v>
      </c>
      <c r="C131" t="s">
        <v>1849</v>
      </c>
      <c r="D131" t="s">
        <v>1850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1851</v>
      </c>
    </row>
    <row r="133" spans="1:5" x14ac:dyDescent="0.3">
      <c r="A133">
        <v>129</v>
      </c>
      <c r="B133" s="13">
        <v>45755</v>
      </c>
      <c r="C133" t="s">
        <v>1852</v>
      </c>
      <c r="D133" t="s">
        <v>1856</v>
      </c>
    </row>
    <row r="134" spans="1:5" x14ac:dyDescent="0.3">
      <c r="A134">
        <v>130</v>
      </c>
      <c r="B134" s="13">
        <v>45756</v>
      </c>
      <c r="C134" t="s">
        <v>1760</v>
      </c>
      <c r="D134" t="s">
        <v>1866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1868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1870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1874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1875</v>
      </c>
    </row>
    <row r="139" spans="1:5" x14ac:dyDescent="0.3">
      <c r="A139">
        <v>135</v>
      </c>
      <c r="B139" s="13">
        <v>45757</v>
      </c>
      <c r="C139" t="s">
        <v>1845</v>
      </c>
      <c r="D139" t="s">
        <v>1876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1886</v>
      </c>
    </row>
    <row r="141" spans="1:5" x14ac:dyDescent="0.3">
      <c r="A141">
        <v>137</v>
      </c>
      <c r="B141" s="13">
        <v>45758</v>
      </c>
      <c r="C141" t="s">
        <v>1881</v>
      </c>
      <c r="D141" t="s">
        <v>1888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1889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1891</v>
      </c>
      <c r="E143" t="s">
        <v>1890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1892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1894</v>
      </c>
    </row>
    <row r="146" spans="1:4" x14ac:dyDescent="0.3">
      <c r="A146">
        <v>142</v>
      </c>
      <c r="B146" s="13">
        <v>45759</v>
      </c>
      <c r="C146" t="s">
        <v>1893</v>
      </c>
      <c r="D146" t="s">
        <v>1899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1902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1903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1904</v>
      </c>
    </row>
    <row r="150" spans="1:4" x14ac:dyDescent="0.3">
      <c r="A150">
        <v>146</v>
      </c>
      <c r="B150" s="13">
        <v>45761</v>
      </c>
      <c r="C150" t="s">
        <v>1849</v>
      </c>
      <c r="D150" t="s">
        <v>1906</v>
      </c>
    </row>
    <row r="151" spans="1:4" x14ac:dyDescent="0.3">
      <c r="A151">
        <v>147</v>
      </c>
      <c r="B151" s="13">
        <v>45761</v>
      </c>
      <c r="C151" t="s">
        <v>1907</v>
      </c>
      <c r="D151" t="s">
        <v>1909</v>
      </c>
    </row>
    <row r="152" spans="1:4" x14ac:dyDescent="0.3">
      <c r="A152">
        <v>148</v>
      </c>
      <c r="B152" s="13">
        <v>45691</v>
      </c>
      <c r="C152" t="s">
        <v>1760</v>
      </c>
      <c r="D152" t="s">
        <v>1911</v>
      </c>
    </row>
    <row r="153" spans="1:4" x14ac:dyDescent="0.3">
      <c r="A153">
        <v>149</v>
      </c>
      <c r="B153" s="13">
        <v>45761</v>
      </c>
      <c r="C153" t="s">
        <v>1760</v>
      </c>
      <c r="D153" t="s">
        <v>1912</v>
      </c>
    </row>
    <row r="154" spans="1:4" x14ac:dyDescent="0.3">
      <c r="A154">
        <v>150</v>
      </c>
      <c r="B154" s="13">
        <v>45761</v>
      </c>
      <c r="C154" t="s">
        <v>1913</v>
      </c>
      <c r="D154" t="s">
        <v>1914</v>
      </c>
    </row>
    <row r="155" spans="1:4" x14ac:dyDescent="0.3">
      <c r="A155">
        <v>151</v>
      </c>
      <c r="B155" s="13">
        <v>45761</v>
      </c>
      <c r="C155" t="s">
        <v>1916</v>
      </c>
      <c r="D155" t="s">
        <v>1917</v>
      </c>
    </row>
    <row r="156" spans="1:4" x14ac:dyDescent="0.3">
      <c r="A156">
        <v>152</v>
      </c>
      <c r="B156" s="13">
        <v>45762</v>
      </c>
      <c r="C156" t="s">
        <v>1922</v>
      </c>
      <c r="D156" t="s">
        <v>1923</v>
      </c>
    </row>
    <row r="157" spans="1:4" x14ac:dyDescent="0.3">
      <c r="A157">
        <v>153</v>
      </c>
      <c r="B157" s="13">
        <v>45762</v>
      </c>
      <c r="C157" t="s">
        <v>1760</v>
      </c>
      <c r="D157" t="s">
        <v>1924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1925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1926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1932</v>
      </c>
    </row>
    <row r="161" spans="1:5" x14ac:dyDescent="0.3">
      <c r="A161">
        <v>157</v>
      </c>
      <c r="B161" s="13">
        <v>45762</v>
      </c>
      <c r="C161" t="s">
        <v>1709</v>
      </c>
      <c r="D161" t="s">
        <v>1933</v>
      </c>
    </row>
    <row r="162" spans="1:5" x14ac:dyDescent="0.3">
      <c r="A162">
        <v>158</v>
      </c>
      <c r="B162" s="13">
        <v>45762</v>
      </c>
      <c r="C162" t="s">
        <v>1849</v>
      </c>
      <c r="D162" t="s">
        <v>1934</v>
      </c>
    </row>
    <row r="163" spans="1:5" x14ac:dyDescent="0.3">
      <c r="A163">
        <v>159</v>
      </c>
      <c r="B163" s="13">
        <v>45763</v>
      </c>
      <c r="C163" t="s">
        <v>1936</v>
      </c>
      <c r="D163" t="s">
        <v>2170</v>
      </c>
    </row>
    <row r="164" spans="1:5" x14ac:dyDescent="0.3">
      <c r="A164">
        <v>160</v>
      </c>
      <c r="B164" s="13">
        <v>45763</v>
      </c>
      <c r="C164" t="s">
        <v>1940</v>
      </c>
      <c r="D164" t="s">
        <v>1941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1942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1944</v>
      </c>
      <c r="E166" t="s">
        <v>1943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1946</v>
      </c>
      <c r="E167" t="s">
        <v>1943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1949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1963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1966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1968</v>
      </c>
      <c r="E171" t="s">
        <v>1967</v>
      </c>
    </row>
    <row r="172" spans="1:5" x14ac:dyDescent="0.3">
      <c r="A172">
        <v>168</v>
      </c>
      <c r="B172" s="13">
        <v>45765</v>
      </c>
      <c r="C172" t="s">
        <v>1709</v>
      </c>
      <c r="D172" t="s">
        <v>1971</v>
      </c>
    </row>
    <row r="173" spans="1:5" x14ac:dyDescent="0.3">
      <c r="A173">
        <v>169</v>
      </c>
      <c r="B173" s="13">
        <v>45765</v>
      </c>
      <c r="C173" t="s">
        <v>1760</v>
      </c>
      <c r="D173" t="s">
        <v>1973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1974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1975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1976</v>
      </c>
    </row>
    <row r="177" spans="1:5" x14ac:dyDescent="0.3">
      <c r="A177">
        <v>173</v>
      </c>
      <c r="B177" s="13">
        <v>45768</v>
      </c>
      <c r="C177" t="s">
        <v>1977</v>
      </c>
      <c r="D177" t="s">
        <v>1978</v>
      </c>
    </row>
    <row r="178" spans="1:5" x14ac:dyDescent="0.3">
      <c r="A178">
        <v>174</v>
      </c>
      <c r="B178" s="13">
        <v>45768</v>
      </c>
      <c r="C178" t="s">
        <v>1988</v>
      </c>
      <c r="D178" t="s">
        <v>1989</v>
      </c>
    </row>
    <row r="179" spans="1:5" x14ac:dyDescent="0.3">
      <c r="A179">
        <v>175</v>
      </c>
      <c r="B179" s="13">
        <v>45768</v>
      </c>
      <c r="C179" t="s">
        <v>1988</v>
      </c>
      <c r="D179" t="s">
        <v>1990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1992</v>
      </c>
      <c r="E180" t="s">
        <v>1991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1993</v>
      </c>
      <c r="E181" t="s">
        <v>1991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1994</v>
      </c>
    </row>
    <row r="183" spans="1:5" x14ac:dyDescent="0.3">
      <c r="A183">
        <v>179</v>
      </c>
      <c r="B183" s="13">
        <v>45768</v>
      </c>
      <c r="C183" t="s">
        <v>1760</v>
      </c>
      <c r="D183" t="s">
        <v>2000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2004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2006</v>
      </c>
    </row>
    <row r="186" spans="1:5" x14ac:dyDescent="0.3">
      <c r="A186">
        <v>182</v>
      </c>
      <c r="B186" s="13">
        <v>45770</v>
      </c>
      <c r="C186" t="s">
        <v>2007</v>
      </c>
      <c r="D186" t="s">
        <v>2010</v>
      </c>
    </row>
    <row r="187" spans="1:5" x14ac:dyDescent="0.3">
      <c r="A187">
        <v>183</v>
      </c>
      <c r="B187" s="13">
        <v>45770</v>
      </c>
      <c r="C187" t="s">
        <v>2007</v>
      </c>
      <c r="D187" t="s">
        <v>2013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2015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2018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2023</v>
      </c>
    </row>
    <row r="191" spans="1:5" x14ac:dyDescent="0.3">
      <c r="A191">
        <v>187</v>
      </c>
      <c r="B191" s="13">
        <v>45772</v>
      </c>
      <c r="C191" t="s">
        <v>2024</v>
      </c>
      <c r="D191" t="s">
        <v>2026</v>
      </c>
    </row>
    <row r="192" spans="1:5" x14ac:dyDescent="0.3">
      <c r="A192">
        <v>188</v>
      </c>
      <c r="B192" s="13">
        <v>45772</v>
      </c>
      <c r="C192" t="s">
        <v>2027</v>
      </c>
      <c r="D192" t="s">
        <v>2028</v>
      </c>
    </row>
    <row r="193" spans="1:4" x14ac:dyDescent="0.3">
      <c r="A193">
        <v>189</v>
      </c>
      <c r="B193" s="13">
        <v>45772</v>
      </c>
      <c r="C193" t="s">
        <v>1830</v>
      </c>
      <c r="D193" t="s">
        <v>2029</v>
      </c>
    </row>
    <row r="194" spans="1:4" x14ac:dyDescent="0.3">
      <c r="A194">
        <v>190</v>
      </c>
      <c r="B194" s="13">
        <v>45772</v>
      </c>
      <c r="C194" t="s">
        <v>1830</v>
      </c>
      <c r="D194" t="s">
        <v>2031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2033</v>
      </c>
    </row>
    <row r="196" spans="1:4" x14ac:dyDescent="0.3">
      <c r="A196">
        <v>192</v>
      </c>
      <c r="B196" s="13">
        <v>45772</v>
      </c>
      <c r="C196" t="s">
        <v>1849</v>
      </c>
      <c r="D196" t="s">
        <v>2034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2036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2037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2038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2040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2042</v>
      </c>
    </row>
    <row r="202" spans="1:4" x14ac:dyDescent="0.3">
      <c r="A202">
        <v>198</v>
      </c>
      <c r="B202" s="13">
        <v>45775</v>
      </c>
      <c r="C202" t="s">
        <v>2027</v>
      </c>
      <c r="D202" t="s">
        <v>2044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2058</v>
      </c>
    </row>
    <row r="204" spans="1:4" x14ac:dyDescent="0.3">
      <c r="A204">
        <v>200</v>
      </c>
      <c r="B204" s="13">
        <v>45776</v>
      </c>
      <c r="C204" t="s">
        <v>2062</v>
      </c>
      <c r="D204" t="s">
        <v>2063</v>
      </c>
    </row>
    <row r="205" spans="1:4" x14ac:dyDescent="0.3">
      <c r="A205">
        <v>201</v>
      </c>
      <c r="B205" s="13">
        <v>45776</v>
      </c>
      <c r="C205" t="s">
        <v>1760</v>
      </c>
      <c r="D205" t="s">
        <v>2068</v>
      </c>
    </row>
    <row r="206" spans="1:4" x14ac:dyDescent="0.3">
      <c r="A206">
        <v>202</v>
      </c>
      <c r="B206" s="13">
        <v>45776</v>
      </c>
      <c r="C206" t="s">
        <v>2071</v>
      </c>
      <c r="D206" t="s">
        <v>2072</v>
      </c>
    </row>
    <row r="207" spans="1:4" x14ac:dyDescent="0.3">
      <c r="A207">
        <v>203</v>
      </c>
      <c r="B207" s="13">
        <v>45776</v>
      </c>
      <c r="C207" t="s">
        <v>2027</v>
      </c>
      <c r="D207" t="s">
        <v>2073</v>
      </c>
    </row>
    <row r="208" spans="1:4" x14ac:dyDescent="0.3">
      <c r="A208">
        <v>204</v>
      </c>
      <c r="B208" s="13">
        <v>45776</v>
      </c>
      <c r="C208" t="s">
        <v>1786</v>
      </c>
      <c r="D208" t="s">
        <v>2075</v>
      </c>
    </row>
    <row r="209" spans="1:4" x14ac:dyDescent="0.3">
      <c r="A209">
        <v>205</v>
      </c>
      <c r="B209" s="13">
        <v>45776</v>
      </c>
      <c r="C209" t="s">
        <v>2027</v>
      </c>
      <c r="D209" t="s">
        <v>2077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2078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2080</v>
      </c>
    </row>
    <row r="212" spans="1:4" x14ac:dyDescent="0.3">
      <c r="A212">
        <v>208</v>
      </c>
      <c r="B212" s="13">
        <v>45777</v>
      </c>
      <c r="C212" t="s">
        <v>2081</v>
      </c>
      <c r="D212" t="s">
        <v>2085</v>
      </c>
    </row>
    <row r="213" spans="1:4" x14ac:dyDescent="0.3">
      <c r="A213">
        <v>209</v>
      </c>
      <c r="B213" s="13">
        <v>45777</v>
      </c>
      <c r="C213" t="s">
        <v>2086</v>
      </c>
      <c r="D213" t="s">
        <v>2089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2091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2092</v>
      </c>
    </row>
    <row r="216" spans="1:4" x14ac:dyDescent="0.3">
      <c r="A216">
        <v>212</v>
      </c>
      <c r="B216" s="13">
        <v>45777</v>
      </c>
      <c r="C216" t="s">
        <v>2093</v>
      </c>
      <c r="D216" t="s">
        <v>2097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2098</v>
      </c>
    </row>
    <row r="218" spans="1:4" x14ac:dyDescent="0.3">
      <c r="A218">
        <v>214</v>
      </c>
      <c r="B218" s="13">
        <v>45775</v>
      </c>
      <c r="C218" t="s">
        <v>2027</v>
      </c>
      <c r="D218" t="s">
        <v>2099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2112</v>
      </c>
    </row>
    <row r="220" spans="1:4" x14ac:dyDescent="0.3">
      <c r="A220">
        <v>216</v>
      </c>
      <c r="B220" s="13">
        <v>45777</v>
      </c>
      <c r="C220" t="s">
        <v>1760</v>
      </c>
      <c r="D220" t="s">
        <v>2114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2115</v>
      </c>
    </row>
    <row r="222" spans="1:4" x14ac:dyDescent="0.3">
      <c r="A222">
        <v>218</v>
      </c>
      <c r="B222" s="13">
        <v>45779</v>
      </c>
      <c r="C222" t="s">
        <v>2024</v>
      </c>
      <c r="D222" t="s">
        <v>2116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2117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2118</v>
      </c>
    </row>
    <row r="225" spans="1:4" x14ac:dyDescent="0.3">
      <c r="A225">
        <v>221</v>
      </c>
      <c r="B225" s="13">
        <v>45780</v>
      </c>
      <c r="C225" t="s">
        <v>2007</v>
      </c>
      <c r="D225" t="s">
        <v>2127</v>
      </c>
    </row>
    <row r="226" spans="1:4" x14ac:dyDescent="0.3">
      <c r="A226">
        <v>222</v>
      </c>
      <c r="B226" s="13">
        <v>45782</v>
      </c>
      <c r="C226" t="s">
        <v>2130</v>
      </c>
      <c r="D226" t="s">
        <v>2131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2132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2133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2134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2135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2137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2138</v>
      </c>
    </row>
    <row r="233" spans="1:4" x14ac:dyDescent="0.3">
      <c r="A233">
        <v>229</v>
      </c>
      <c r="B233" s="13">
        <v>45784</v>
      </c>
      <c r="C233" t="s">
        <v>2141</v>
      </c>
      <c r="D233" t="s">
        <v>2142</v>
      </c>
    </row>
    <row r="234" spans="1:4" x14ac:dyDescent="0.3">
      <c r="A234">
        <v>230</v>
      </c>
      <c r="B234" s="13">
        <v>45784</v>
      </c>
      <c r="C234" t="s">
        <v>2141</v>
      </c>
      <c r="D234" t="s">
        <v>2144</v>
      </c>
    </row>
    <row r="235" spans="1:4" x14ac:dyDescent="0.3">
      <c r="A235">
        <v>231</v>
      </c>
      <c r="B235" s="13">
        <v>45784</v>
      </c>
      <c r="C235" t="s">
        <v>2141</v>
      </c>
      <c r="D235" t="s">
        <v>2145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2146</v>
      </c>
    </row>
    <row r="237" spans="1:4" x14ac:dyDescent="0.3">
      <c r="A237">
        <v>233</v>
      </c>
      <c r="B237" s="13">
        <v>45784</v>
      </c>
      <c r="C237" t="s">
        <v>2141</v>
      </c>
      <c r="D237" t="s">
        <v>2151</v>
      </c>
    </row>
    <row r="238" spans="1:4" x14ac:dyDescent="0.3">
      <c r="A238">
        <v>234</v>
      </c>
      <c r="B238" s="13">
        <v>45784</v>
      </c>
      <c r="C238" t="s">
        <v>2147</v>
      </c>
      <c r="D238" t="s">
        <v>2152</v>
      </c>
    </row>
    <row r="239" spans="1:4" x14ac:dyDescent="0.3">
      <c r="A239">
        <v>235</v>
      </c>
      <c r="B239" s="13">
        <v>45785</v>
      </c>
      <c r="C239" t="s">
        <v>2153</v>
      </c>
      <c r="D239" t="s">
        <v>2157</v>
      </c>
    </row>
    <row r="240" spans="1:4" x14ac:dyDescent="0.3">
      <c r="A240">
        <v>236</v>
      </c>
      <c r="B240" s="13">
        <v>45785</v>
      </c>
      <c r="C240" t="s">
        <v>1760</v>
      </c>
      <c r="D240" t="s">
        <v>2158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2163</v>
      </c>
    </row>
    <row r="242" spans="1:4" x14ac:dyDescent="0.3">
      <c r="A242">
        <v>238</v>
      </c>
      <c r="B242" s="13">
        <v>45786</v>
      </c>
      <c r="C242" t="s">
        <v>2062</v>
      </c>
      <c r="D242" t="s">
        <v>2164</v>
      </c>
    </row>
    <row r="243" spans="1:4" x14ac:dyDescent="0.3">
      <c r="A243">
        <v>239</v>
      </c>
      <c r="B243" s="13">
        <v>45786</v>
      </c>
      <c r="C243" t="s">
        <v>2166</v>
      </c>
      <c r="D243" t="s">
        <v>2167</v>
      </c>
    </row>
    <row r="244" spans="1:4" x14ac:dyDescent="0.3">
      <c r="A244">
        <v>240</v>
      </c>
      <c r="B244" s="13">
        <v>45786</v>
      </c>
      <c r="C244" t="s">
        <v>2166</v>
      </c>
      <c r="D244" t="s">
        <v>2168</v>
      </c>
    </row>
    <row r="245" spans="1:4" x14ac:dyDescent="0.3">
      <c r="A245">
        <v>241</v>
      </c>
      <c r="B245" s="13">
        <v>45789</v>
      </c>
      <c r="C245" t="s">
        <v>2172</v>
      </c>
      <c r="D245" t="s">
        <v>2175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2176</v>
      </c>
    </row>
    <row r="247" spans="1:4" x14ac:dyDescent="0.3">
      <c r="A247">
        <v>243</v>
      </c>
      <c r="B247" s="13">
        <v>45789</v>
      </c>
      <c r="C247" t="s">
        <v>2024</v>
      </c>
      <c r="D247" t="s">
        <v>2177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2178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2181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2183</v>
      </c>
    </row>
    <row r="251" spans="1:4" x14ac:dyDescent="0.3">
      <c r="A251">
        <v>247</v>
      </c>
      <c r="B251" s="13">
        <v>45789</v>
      </c>
      <c r="C251" t="s">
        <v>2186</v>
      </c>
      <c r="D251" t="s">
        <v>2189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2191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2192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2195</v>
      </c>
    </row>
    <row r="255" spans="1:4" x14ac:dyDescent="0.3">
      <c r="A255">
        <v>251</v>
      </c>
      <c r="B255" s="13">
        <v>45790</v>
      </c>
      <c r="C255" t="s">
        <v>1977</v>
      </c>
      <c r="D255" t="s">
        <v>2196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2197</v>
      </c>
    </row>
    <row r="257" spans="1:4" x14ac:dyDescent="0.3">
      <c r="A257">
        <v>253</v>
      </c>
      <c r="B257" s="13">
        <v>45790</v>
      </c>
      <c r="C257" t="s">
        <v>1830</v>
      </c>
      <c r="D257" t="s">
        <v>2198</v>
      </c>
    </row>
    <row r="258" spans="1:4" x14ac:dyDescent="0.3">
      <c r="A258">
        <v>254</v>
      </c>
      <c r="B258" s="13">
        <v>45790</v>
      </c>
      <c r="C258" t="s">
        <v>2199</v>
      </c>
      <c r="D258" t="s">
        <v>2200</v>
      </c>
    </row>
    <row r="259" spans="1:4" x14ac:dyDescent="0.3">
      <c r="A259">
        <v>255</v>
      </c>
      <c r="B259" s="13">
        <v>45790</v>
      </c>
      <c r="C259" t="s">
        <v>1922</v>
      </c>
      <c r="D259" t="s">
        <v>2201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2208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2211</v>
      </c>
    </row>
    <row r="262" spans="1:4" x14ac:dyDescent="0.3">
      <c r="A262">
        <v>258</v>
      </c>
      <c r="B262" s="13">
        <v>45790</v>
      </c>
      <c r="C262" t="s">
        <v>1709</v>
      </c>
      <c r="D262" t="s">
        <v>2213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2215</v>
      </c>
    </row>
    <row r="264" spans="1:4" x14ac:dyDescent="0.3">
      <c r="A264">
        <v>260</v>
      </c>
      <c r="B264" s="13">
        <v>45791</v>
      </c>
      <c r="C264" t="s">
        <v>1760</v>
      </c>
      <c r="D264" t="s">
        <v>2220</v>
      </c>
    </row>
    <row r="265" spans="1:4" x14ac:dyDescent="0.3">
      <c r="A265">
        <v>261</v>
      </c>
      <c r="B265" s="13">
        <v>45791</v>
      </c>
      <c r="C265" t="s">
        <v>2226</v>
      </c>
      <c r="D265" t="s">
        <v>2228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2229</v>
      </c>
    </row>
    <row r="267" spans="1:4" x14ac:dyDescent="0.3">
      <c r="A267">
        <v>263</v>
      </c>
      <c r="B267" s="13">
        <v>45791</v>
      </c>
      <c r="C267" t="s">
        <v>1830</v>
      </c>
      <c r="D267" t="s">
        <v>2231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2232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2263</v>
      </c>
    </row>
    <row r="270" spans="1:4" x14ac:dyDescent="0.3">
      <c r="A270">
        <v>266</v>
      </c>
      <c r="B270" s="13">
        <v>45792</v>
      </c>
      <c r="C270" t="s">
        <v>2141</v>
      </c>
      <c r="D270" t="s">
        <v>2264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2265</v>
      </c>
    </row>
    <row r="272" spans="1:4" x14ac:dyDescent="0.3">
      <c r="A272">
        <v>268</v>
      </c>
      <c r="B272" s="13">
        <v>45792</v>
      </c>
      <c r="C272" t="s">
        <v>1786</v>
      </c>
      <c r="D272" t="s">
        <v>2268</v>
      </c>
    </row>
    <row r="273" spans="1:5" x14ac:dyDescent="0.3">
      <c r="A273">
        <v>269</v>
      </c>
      <c r="B273" s="13">
        <v>45792</v>
      </c>
      <c r="C273" t="s">
        <v>1786</v>
      </c>
      <c r="D273" t="s">
        <v>2270</v>
      </c>
    </row>
    <row r="274" spans="1:5" x14ac:dyDescent="0.3">
      <c r="A274">
        <v>270</v>
      </c>
      <c r="B274" s="13">
        <v>45792</v>
      </c>
      <c r="C274" t="s">
        <v>1916</v>
      </c>
      <c r="D274" t="s">
        <v>2274</v>
      </c>
    </row>
    <row r="275" spans="1:5" x14ac:dyDescent="0.3">
      <c r="A275">
        <v>271</v>
      </c>
      <c r="B275" s="13">
        <v>45793</v>
      </c>
      <c r="C275" t="s">
        <v>2147</v>
      </c>
      <c r="D275" t="s">
        <v>2282</v>
      </c>
    </row>
    <row r="276" spans="1:5" x14ac:dyDescent="0.3">
      <c r="A276">
        <v>272</v>
      </c>
      <c r="B276" s="13">
        <v>45793</v>
      </c>
      <c r="C276" t="s">
        <v>1786</v>
      </c>
      <c r="D276" t="s">
        <v>2283</v>
      </c>
    </row>
    <row r="277" spans="1:5" x14ac:dyDescent="0.3">
      <c r="A277">
        <v>273</v>
      </c>
      <c r="B277" s="13">
        <v>45793</v>
      </c>
      <c r="C277" t="s">
        <v>1916</v>
      </c>
      <c r="D277" t="s">
        <v>2285</v>
      </c>
    </row>
    <row r="278" spans="1:5" x14ac:dyDescent="0.3">
      <c r="A278">
        <v>274</v>
      </c>
      <c r="B278" s="13">
        <v>45794</v>
      </c>
      <c r="C278" t="s">
        <v>1893</v>
      </c>
      <c r="D278" t="s">
        <v>2287</v>
      </c>
    </row>
    <row r="279" spans="1:5" x14ac:dyDescent="0.3">
      <c r="A279">
        <v>275</v>
      </c>
      <c r="B279" s="13">
        <v>45794</v>
      </c>
      <c r="C279" t="s">
        <v>1786</v>
      </c>
      <c r="D279" t="s">
        <v>2288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2289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2293</v>
      </c>
    </row>
    <row r="282" spans="1:5" x14ac:dyDescent="0.3">
      <c r="A282">
        <v>278</v>
      </c>
      <c r="B282" s="13">
        <v>45794</v>
      </c>
      <c r="C282" t="s">
        <v>2295</v>
      </c>
      <c r="D282" t="s">
        <v>2296</v>
      </c>
    </row>
    <row r="283" spans="1:5" x14ac:dyDescent="0.3">
      <c r="A283">
        <v>279</v>
      </c>
      <c r="B283" s="13">
        <v>45794</v>
      </c>
      <c r="C283" t="s">
        <v>1760</v>
      </c>
      <c r="D283" t="s">
        <v>2298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2299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2304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2307</v>
      </c>
      <c r="E286" t="s">
        <v>2306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2308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2309</v>
      </c>
    </row>
    <row r="289" spans="1:4" x14ac:dyDescent="0.3">
      <c r="A289">
        <v>285</v>
      </c>
      <c r="B289" s="13">
        <v>45797</v>
      </c>
      <c r="C289" t="s">
        <v>1907</v>
      </c>
      <c r="D289" t="s">
        <v>2310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2315</v>
      </c>
    </row>
    <row r="291" spans="1:4" x14ac:dyDescent="0.3">
      <c r="A291">
        <v>287</v>
      </c>
      <c r="B291" s="13">
        <v>45798</v>
      </c>
      <c r="C291" t="s">
        <v>2316</v>
      </c>
      <c r="D291" t="s">
        <v>2317</v>
      </c>
    </row>
    <row r="292" spans="1:4" x14ac:dyDescent="0.3">
      <c r="A292">
        <v>288</v>
      </c>
      <c r="B292" s="13">
        <v>45798</v>
      </c>
      <c r="C292" t="s">
        <v>1709</v>
      </c>
      <c r="D292" t="s">
        <v>2318</v>
      </c>
    </row>
    <row r="293" spans="1:4" x14ac:dyDescent="0.3">
      <c r="A293">
        <v>289</v>
      </c>
      <c r="B293" s="13">
        <v>45798</v>
      </c>
      <c r="C293" t="s">
        <v>2319</v>
      </c>
      <c r="D293" t="s">
        <v>2320</v>
      </c>
    </row>
    <row r="294" spans="1:4" x14ac:dyDescent="0.3">
      <c r="A294">
        <v>290</v>
      </c>
      <c r="B294" s="13">
        <v>45798</v>
      </c>
      <c r="C294" t="s">
        <v>1907</v>
      </c>
      <c r="D294" t="s">
        <v>2321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2322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2323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2324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2326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2327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2333</v>
      </c>
    </row>
    <row r="301" spans="1:4" x14ac:dyDescent="0.3">
      <c r="A301">
        <v>297</v>
      </c>
      <c r="B301" s="13">
        <v>45800</v>
      </c>
      <c r="C301" t="s">
        <v>2334</v>
      </c>
      <c r="D301" t="s">
        <v>2338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2339</v>
      </c>
    </row>
    <row r="303" spans="1:4" x14ac:dyDescent="0.3">
      <c r="A303">
        <v>299</v>
      </c>
      <c r="B303" s="13">
        <v>45800</v>
      </c>
      <c r="C303" t="s">
        <v>1760</v>
      </c>
      <c r="D303" t="s">
        <v>2340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2346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2347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2349</v>
      </c>
    </row>
    <row r="307" spans="1:4" x14ac:dyDescent="0.3">
      <c r="A307">
        <v>303</v>
      </c>
      <c r="B307" s="13">
        <v>45803</v>
      </c>
      <c r="C307" t="s">
        <v>2350</v>
      </c>
      <c r="D307" t="s">
        <v>2354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2355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2356</v>
      </c>
    </row>
    <row r="310" spans="1:4" x14ac:dyDescent="0.3">
      <c r="A310">
        <v>306</v>
      </c>
      <c r="B310" s="13">
        <v>45803</v>
      </c>
      <c r="C310" t="s">
        <v>2172</v>
      </c>
      <c r="D310" t="s">
        <v>2358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2359</v>
      </c>
    </row>
    <row r="312" spans="1:4" x14ac:dyDescent="0.3">
      <c r="A312">
        <v>308</v>
      </c>
      <c r="B312" s="13">
        <v>45803</v>
      </c>
      <c r="C312" t="s">
        <v>1709</v>
      </c>
      <c r="D312" t="s">
        <v>2360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2363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2366</v>
      </c>
    </row>
    <row r="315" spans="1:4" x14ac:dyDescent="0.3">
      <c r="A315">
        <v>311</v>
      </c>
      <c r="B315" s="13">
        <v>45804</v>
      </c>
      <c r="C315" t="s">
        <v>1760</v>
      </c>
      <c r="D315" t="s">
        <v>2367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2368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2369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2372</v>
      </c>
    </row>
    <row r="319" spans="1:4" x14ac:dyDescent="0.3">
      <c r="A319">
        <v>343</v>
      </c>
      <c r="B319" s="13">
        <v>45806</v>
      </c>
      <c r="C319" t="s">
        <v>2319</v>
      </c>
      <c r="D319" t="s">
        <v>2381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2382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2383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2384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2390</v>
      </c>
    </row>
    <row r="324" spans="1:4" x14ac:dyDescent="0.3">
      <c r="A324">
        <v>348</v>
      </c>
      <c r="B324" s="13">
        <v>45807</v>
      </c>
      <c r="C324" t="s">
        <v>2391</v>
      </c>
      <c r="D324" t="s">
        <v>2392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2393</v>
      </c>
    </row>
    <row r="326" spans="1:4" x14ac:dyDescent="0.3">
      <c r="A326">
        <v>350</v>
      </c>
      <c r="B326" s="13">
        <v>45807</v>
      </c>
      <c r="C326" t="s">
        <v>2377</v>
      </c>
      <c r="D326" t="s">
        <v>2394</v>
      </c>
    </row>
    <row r="327" spans="1:4" x14ac:dyDescent="0.3">
      <c r="A327">
        <v>351</v>
      </c>
      <c r="B327" s="13">
        <v>45807</v>
      </c>
      <c r="C327" t="s">
        <v>2153</v>
      </c>
      <c r="D327" t="s">
        <v>2395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2397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2404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2405</v>
      </c>
    </row>
    <row r="331" spans="1:4" x14ac:dyDescent="0.3">
      <c r="A331">
        <v>355</v>
      </c>
      <c r="B331" s="13">
        <v>45808</v>
      </c>
      <c r="C331" t="s">
        <v>1760</v>
      </c>
      <c r="D331" t="s">
        <v>2413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2418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2419</v>
      </c>
    </row>
    <row r="334" spans="1:4" x14ac:dyDescent="0.3">
      <c r="A334">
        <v>358</v>
      </c>
      <c r="B334" s="13">
        <v>45810</v>
      </c>
      <c r="C334" t="s">
        <v>2350</v>
      </c>
      <c r="D334" t="s">
        <v>2420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2421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2422</v>
      </c>
    </row>
    <row r="337" spans="1:4" x14ac:dyDescent="0.3">
      <c r="A337">
        <v>361</v>
      </c>
      <c r="B337" s="13">
        <v>45810</v>
      </c>
      <c r="C337" t="s">
        <v>2316</v>
      </c>
      <c r="D337" t="s">
        <v>2425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2431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2433</v>
      </c>
    </row>
    <row r="340" spans="1:4" x14ac:dyDescent="0.3">
      <c r="A340">
        <v>364</v>
      </c>
      <c r="B340" s="13">
        <v>45811</v>
      </c>
      <c r="C340" t="s">
        <v>2434</v>
      </c>
      <c r="D340" t="s">
        <v>2437</v>
      </c>
    </row>
    <row r="341" spans="1:4" x14ac:dyDescent="0.3">
      <c r="A341">
        <v>365</v>
      </c>
      <c r="B341" s="13">
        <v>45811</v>
      </c>
      <c r="C341" t="s">
        <v>2434</v>
      </c>
      <c r="D341" t="s">
        <v>2438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2448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2449</v>
      </c>
    </row>
    <row r="344" spans="1:4" x14ac:dyDescent="0.3">
      <c r="A344">
        <v>368</v>
      </c>
      <c r="B344" s="13">
        <v>45812</v>
      </c>
      <c r="C344" t="s">
        <v>2450</v>
      </c>
      <c r="D344" t="s">
        <v>2455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2461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2466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2467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2468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2471</v>
      </c>
    </row>
    <row r="350" spans="1:4" x14ac:dyDescent="0.3">
      <c r="A350">
        <v>374</v>
      </c>
      <c r="B350" s="13">
        <v>45813</v>
      </c>
      <c r="C350" t="s">
        <v>2478</v>
      </c>
      <c r="D350" t="s">
        <v>2479</v>
      </c>
    </row>
    <row r="351" spans="1:4" x14ac:dyDescent="0.3">
      <c r="A351">
        <v>375</v>
      </c>
      <c r="B351" s="13">
        <v>45814</v>
      </c>
      <c r="C351" t="s">
        <v>1760</v>
      </c>
      <c r="D351" t="s">
        <v>2480</v>
      </c>
    </row>
    <row r="352" spans="1:4" x14ac:dyDescent="0.3">
      <c r="A352">
        <v>376</v>
      </c>
      <c r="B352" s="13">
        <v>45815</v>
      </c>
      <c r="C352" t="s">
        <v>1760</v>
      </c>
      <c r="D352" t="s">
        <v>2481</v>
      </c>
    </row>
    <row r="353" spans="1:4" x14ac:dyDescent="0.3">
      <c r="A353">
        <v>377</v>
      </c>
      <c r="B353" s="13">
        <v>45817</v>
      </c>
      <c r="C353" t="s">
        <v>2483</v>
      </c>
      <c r="D353" t="s">
        <v>2484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2485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2488</v>
      </c>
    </row>
    <row r="356" spans="1:4" x14ac:dyDescent="0.3">
      <c r="A356">
        <v>380</v>
      </c>
      <c r="B356" s="13">
        <v>45817</v>
      </c>
      <c r="C356" t="s">
        <v>1760</v>
      </c>
      <c r="D356" t="s">
        <v>2489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2492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2493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2494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2495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2501</v>
      </c>
    </row>
    <row r="362" spans="1:4" x14ac:dyDescent="0.3">
      <c r="A362">
        <v>386</v>
      </c>
      <c r="B362" s="13">
        <v>45817</v>
      </c>
      <c r="C362" t="s">
        <v>1760</v>
      </c>
      <c r="D362" t="s">
        <v>2516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2518</v>
      </c>
    </row>
    <row r="364" spans="1:4" x14ac:dyDescent="0.3">
      <c r="A364">
        <v>388</v>
      </c>
      <c r="B364" s="13">
        <v>45818</v>
      </c>
      <c r="C364" t="s">
        <v>2434</v>
      </c>
      <c r="D364" t="s">
        <v>2534</v>
      </c>
    </row>
    <row r="365" spans="1:4" x14ac:dyDescent="0.3">
      <c r="A365">
        <v>389</v>
      </c>
      <c r="B365" s="13">
        <v>45818</v>
      </c>
      <c r="C365" t="s">
        <v>1786</v>
      </c>
      <c r="D365" t="s">
        <v>2535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2536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2538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2539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2541</v>
      </c>
    </row>
    <row r="370" spans="1:4" x14ac:dyDescent="0.3">
      <c r="A370">
        <v>394</v>
      </c>
      <c r="B370" s="13">
        <v>45818</v>
      </c>
      <c r="C370" t="s">
        <v>2377</v>
      </c>
      <c r="D370" t="s">
        <v>2543</v>
      </c>
    </row>
    <row r="371" spans="1:4" x14ac:dyDescent="0.3">
      <c r="A371">
        <v>395</v>
      </c>
      <c r="B371" s="13">
        <v>45818</v>
      </c>
      <c r="C371" t="s">
        <v>1940</v>
      </c>
      <c r="D371" t="s">
        <v>2544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2547</v>
      </c>
    </row>
    <row r="373" spans="1:4" x14ac:dyDescent="0.3">
      <c r="A373">
        <v>397</v>
      </c>
      <c r="B373" s="13">
        <v>45819</v>
      </c>
      <c r="C373" t="s">
        <v>2440</v>
      </c>
      <c r="D373" t="s">
        <v>2559</v>
      </c>
    </row>
    <row r="374" spans="1:4" x14ac:dyDescent="0.3">
      <c r="A374">
        <v>398</v>
      </c>
      <c r="B374" s="13">
        <v>45819</v>
      </c>
      <c r="C374" t="s">
        <v>2560</v>
      </c>
      <c r="D374" t="s">
        <v>2561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2563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2564</v>
      </c>
    </row>
    <row r="377" spans="1:4" x14ac:dyDescent="0.3">
      <c r="A377">
        <v>401</v>
      </c>
      <c r="B377" s="13">
        <v>45819</v>
      </c>
      <c r="C377" t="s">
        <v>2551</v>
      </c>
      <c r="D377" t="s">
        <v>2565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2566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2567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2569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2570</v>
      </c>
    </row>
    <row r="382" spans="1:4" x14ac:dyDescent="0.3">
      <c r="A382">
        <v>406</v>
      </c>
      <c r="B382" s="13">
        <v>45821</v>
      </c>
      <c r="C382" t="s">
        <v>2571</v>
      </c>
      <c r="D382" t="s">
        <v>2577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2578</v>
      </c>
    </row>
    <row r="384" spans="1:4" x14ac:dyDescent="0.3">
      <c r="A384">
        <v>408</v>
      </c>
      <c r="B384" s="13">
        <v>45821</v>
      </c>
      <c r="C384" t="s">
        <v>1849</v>
      </c>
      <c r="D384" t="s">
        <v>2579</v>
      </c>
    </row>
    <row r="385" spans="1:4" x14ac:dyDescent="0.3">
      <c r="A385">
        <v>409</v>
      </c>
      <c r="B385" s="13">
        <v>45821</v>
      </c>
      <c r="C385" t="s">
        <v>2027</v>
      </c>
      <c r="D385" t="s">
        <v>2580</v>
      </c>
    </row>
    <row r="386" spans="1:4" x14ac:dyDescent="0.3">
      <c r="A386">
        <v>410</v>
      </c>
      <c r="B386" s="13">
        <v>45821</v>
      </c>
      <c r="C386" t="s">
        <v>2581</v>
      </c>
      <c r="D386" t="s">
        <v>2582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2586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2593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2594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2595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2596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2601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2602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2603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2644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2647</v>
      </c>
    </row>
    <row r="397" spans="1:4" x14ac:dyDescent="0.3">
      <c r="A397">
        <v>421</v>
      </c>
      <c r="B397" s="13">
        <v>45825</v>
      </c>
      <c r="C397" t="s">
        <v>2646</v>
      </c>
      <c r="D397" t="s">
        <v>2648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2654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2657</v>
      </c>
    </row>
    <row r="400" spans="1:4" x14ac:dyDescent="0.3">
      <c r="A400">
        <v>424</v>
      </c>
      <c r="B400" s="13">
        <v>45826</v>
      </c>
      <c r="C400" t="s">
        <v>2560</v>
      </c>
      <c r="D400" t="s">
        <v>2658</v>
      </c>
    </row>
    <row r="401" spans="1:4" x14ac:dyDescent="0.3">
      <c r="A401">
        <v>425</v>
      </c>
      <c r="B401" s="13">
        <v>45826</v>
      </c>
      <c r="C401" t="s">
        <v>2024</v>
      </c>
      <c r="D401" t="s">
        <v>2659</v>
      </c>
    </row>
    <row r="402" spans="1:4" x14ac:dyDescent="0.3">
      <c r="A402">
        <v>426</v>
      </c>
      <c r="B402" s="13">
        <v>45826</v>
      </c>
      <c r="C402" t="s">
        <v>2350</v>
      </c>
      <c r="D402" t="s">
        <v>2660</v>
      </c>
    </row>
    <row r="403" spans="1:4" x14ac:dyDescent="0.3">
      <c r="A403">
        <v>427</v>
      </c>
      <c r="B403" s="13">
        <v>45826</v>
      </c>
      <c r="C403" t="s">
        <v>1760</v>
      </c>
      <c r="D403" t="s">
        <v>2661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2662</v>
      </c>
    </row>
    <row r="405" spans="1:4" x14ac:dyDescent="0.3">
      <c r="A405">
        <v>429</v>
      </c>
      <c r="B405" s="13">
        <v>45827</v>
      </c>
      <c r="C405" t="s">
        <v>2024</v>
      </c>
      <c r="D405" t="s">
        <v>2664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2665</v>
      </c>
    </row>
    <row r="407" spans="1:4" x14ac:dyDescent="0.3">
      <c r="A407">
        <v>431</v>
      </c>
      <c r="B407" s="13">
        <v>45827</v>
      </c>
      <c r="C407" t="s">
        <v>2646</v>
      </c>
      <c r="D407" t="s">
        <v>2670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2673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2674</v>
      </c>
    </row>
    <row r="410" spans="1:4" x14ac:dyDescent="0.3">
      <c r="A410">
        <v>434</v>
      </c>
      <c r="B410" s="13">
        <v>45827</v>
      </c>
      <c r="C410" t="s">
        <v>1760</v>
      </c>
      <c r="D410" t="s">
        <v>2675</v>
      </c>
    </row>
    <row r="411" spans="1:4" x14ac:dyDescent="0.3">
      <c r="A411">
        <v>435</v>
      </c>
      <c r="B411" s="13">
        <v>45827</v>
      </c>
      <c r="C411" t="s">
        <v>2483</v>
      </c>
      <c r="D411" t="s">
        <v>2676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2678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2680</v>
      </c>
    </row>
    <row r="414" spans="1:4" x14ac:dyDescent="0.3">
      <c r="A414">
        <v>438</v>
      </c>
      <c r="B414" s="13">
        <v>45828</v>
      </c>
      <c r="C414" t="s">
        <v>2687</v>
      </c>
      <c r="D414" t="s">
        <v>2688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2689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2690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2691</v>
      </c>
    </row>
    <row r="418" spans="1:4" x14ac:dyDescent="0.3">
      <c r="A418">
        <v>442</v>
      </c>
      <c r="B418" s="13">
        <v>45828</v>
      </c>
      <c r="C418" t="s">
        <v>2692</v>
      </c>
      <c r="D418" t="s">
        <v>2693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2694</v>
      </c>
    </row>
    <row r="420" spans="1:4" x14ac:dyDescent="0.3">
      <c r="A420">
        <v>444</v>
      </c>
      <c r="B420" s="13">
        <v>45828</v>
      </c>
      <c r="C420" t="s">
        <v>2700</v>
      </c>
      <c r="D420" t="s">
        <v>2701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2707</v>
      </c>
    </row>
    <row r="422" spans="1:4" x14ac:dyDescent="0.3">
      <c r="A422">
        <v>446</v>
      </c>
      <c r="B422" s="13">
        <v>45829</v>
      </c>
      <c r="C422" t="s">
        <v>2587</v>
      </c>
      <c r="D422" t="s">
        <v>2708</v>
      </c>
    </row>
    <row r="423" spans="1:4" x14ac:dyDescent="0.3">
      <c r="A423">
        <v>447</v>
      </c>
      <c r="B423" s="13">
        <v>45829</v>
      </c>
      <c r="C423" t="s">
        <v>1760</v>
      </c>
      <c r="D423" t="s">
        <v>2711</v>
      </c>
    </row>
    <row r="424" spans="1:4" x14ac:dyDescent="0.3">
      <c r="A424">
        <v>448</v>
      </c>
      <c r="B424" s="13">
        <v>45831</v>
      </c>
      <c r="C424" t="s">
        <v>2712</v>
      </c>
      <c r="D424" t="s">
        <v>2713</v>
      </c>
    </row>
    <row r="425" spans="1:4" x14ac:dyDescent="0.3">
      <c r="A425">
        <v>449</v>
      </c>
      <c r="B425" s="13">
        <v>45831</v>
      </c>
      <c r="C425" t="s">
        <v>2719</v>
      </c>
      <c r="D425" t="s">
        <v>2720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2726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2727</v>
      </c>
    </row>
    <row r="428" spans="1:4" x14ac:dyDescent="0.3">
      <c r="A428">
        <v>452</v>
      </c>
      <c r="B428" s="13">
        <v>45832</v>
      </c>
      <c r="C428" t="s">
        <v>2560</v>
      </c>
      <c r="D428" t="s">
        <v>2735</v>
      </c>
    </row>
    <row r="429" spans="1:4" x14ac:dyDescent="0.3">
      <c r="A429">
        <v>453</v>
      </c>
      <c r="B429" s="13">
        <v>45832</v>
      </c>
      <c r="C429" t="s">
        <v>2728</v>
      </c>
      <c r="D429" t="s">
        <v>2736</v>
      </c>
    </row>
    <row r="430" spans="1:4" x14ac:dyDescent="0.3">
      <c r="A430">
        <v>454</v>
      </c>
      <c r="B430" s="13">
        <v>45832</v>
      </c>
      <c r="C430" t="s">
        <v>1760</v>
      </c>
      <c r="D430" t="s">
        <v>2737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2738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2745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2746</v>
      </c>
    </row>
    <row r="434" spans="1:4" x14ac:dyDescent="0.3">
      <c r="A434">
        <v>458</v>
      </c>
      <c r="B434" s="13">
        <v>45833</v>
      </c>
      <c r="C434" t="s">
        <v>1940</v>
      </c>
      <c r="D434" t="s">
        <v>2747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2749</v>
      </c>
    </row>
    <row r="436" spans="1:4" x14ac:dyDescent="0.3">
      <c r="A436">
        <v>460</v>
      </c>
      <c r="B436" s="13">
        <v>45833</v>
      </c>
      <c r="C436" t="s">
        <v>2740</v>
      </c>
      <c r="D436" t="s">
        <v>2750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2755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2756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2762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2763</v>
      </c>
    </row>
    <row r="441" spans="1:4" x14ac:dyDescent="0.3">
      <c r="A441">
        <v>465</v>
      </c>
      <c r="B441" s="13">
        <v>45834</v>
      </c>
      <c r="C441" t="s">
        <v>1760</v>
      </c>
      <c r="D441" t="s">
        <v>2768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2769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2772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2788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2791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2802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2803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2805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2806</v>
      </c>
    </row>
    <row r="450" spans="1:4" x14ac:dyDescent="0.3">
      <c r="A450">
        <v>474</v>
      </c>
      <c r="B450" s="13">
        <v>45835</v>
      </c>
      <c r="C450" t="s">
        <v>1760</v>
      </c>
      <c r="D450" t="s">
        <v>2808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2809</v>
      </c>
    </row>
    <row r="452" spans="1:4" x14ac:dyDescent="0.3">
      <c r="A452">
        <v>476</v>
      </c>
      <c r="B452" s="13">
        <v>45838</v>
      </c>
      <c r="C452" t="s">
        <v>2350</v>
      </c>
      <c r="D452" t="s">
        <v>2814</v>
      </c>
    </row>
    <row r="453" spans="1:4" x14ac:dyDescent="0.3">
      <c r="A453">
        <v>477</v>
      </c>
      <c r="B453" s="13">
        <v>45838</v>
      </c>
      <c r="C453" t="s">
        <v>1760</v>
      </c>
      <c r="D453" t="s">
        <v>2822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2825</v>
      </c>
    </row>
    <row r="455" spans="1:4" x14ac:dyDescent="0.3">
      <c r="A455">
        <v>479</v>
      </c>
      <c r="B455" s="13">
        <v>45838</v>
      </c>
      <c r="C455" t="s">
        <v>2815</v>
      </c>
      <c r="D455" t="s">
        <v>2826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2827</v>
      </c>
    </row>
    <row r="457" spans="1:4" x14ac:dyDescent="0.3">
      <c r="A457">
        <v>481</v>
      </c>
      <c r="B457" s="13">
        <v>45838</v>
      </c>
      <c r="C457" t="s">
        <v>1760</v>
      </c>
      <c r="D457" t="s">
        <v>2828</v>
      </c>
    </row>
    <row r="458" spans="1:4" x14ac:dyDescent="0.3">
      <c r="A458">
        <v>482</v>
      </c>
      <c r="B458" s="13">
        <v>45838</v>
      </c>
      <c r="C458" t="s">
        <v>2027</v>
      </c>
      <c r="D458" t="s">
        <v>2829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2833</v>
      </c>
    </row>
    <row r="460" spans="1:4" x14ac:dyDescent="0.3">
      <c r="A460">
        <v>484</v>
      </c>
      <c r="B460" s="13">
        <v>45839</v>
      </c>
      <c r="C460" t="s">
        <v>2843</v>
      </c>
      <c r="D460" t="s">
        <v>2844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2845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2847</v>
      </c>
    </row>
    <row r="463" spans="1:4" x14ac:dyDescent="0.3">
      <c r="A463">
        <v>487</v>
      </c>
      <c r="B463" s="13">
        <v>45839</v>
      </c>
      <c r="C463" t="s">
        <v>2852</v>
      </c>
      <c r="D463" t="s">
        <v>2855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2856</v>
      </c>
    </row>
    <row r="465" spans="1:4" x14ac:dyDescent="0.3">
      <c r="A465">
        <v>489</v>
      </c>
      <c r="B465" s="13">
        <v>45840</v>
      </c>
      <c r="C465" t="s">
        <v>2861</v>
      </c>
      <c r="D465" t="s">
        <v>2862</v>
      </c>
    </row>
    <row r="466" spans="1:4" x14ac:dyDescent="0.3">
      <c r="A466">
        <v>490</v>
      </c>
      <c r="B466" s="13">
        <v>45840</v>
      </c>
      <c r="C466" t="s">
        <v>2863</v>
      </c>
      <c r="D466" t="s">
        <v>2867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2874</v>
      </c>
    </row>
    <row r="468" spans="1:4" x14ac:dyDescent="0.3">
      <c r="A468">
        <v>492</v>
      </c>
      <c r="B468" s="13">
        <v>45840</v>
      </c>
      <c r="C468" t="s">
        <v>2007</v>
      </c>
      <c r="D468" t="s">
        <v>2875</v>
      </c>
    </row>
    <row r="469" spans="1:4" x14ac:dyDescent="0.3">
      <c r="A469">
        <v>493</v>
      </c>
      <c r="B469" s="13">
        <v>45840</v>
      </c>
      <c r="C469" t="s">
        <v>2153</v>
      </c>
      <c r="D469" t="s">
        <v>2876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2878</v>
      </c>
    </row>
    <row r="471" spans="1:4" x14ac:dyDescent="0.3">
      <c r="A471">
        <v>495</v>
      </c>
      <c r="B471" s="13">
        <v>45841</v>
      </c>
      <c r="C471" t="s">
        <v>2884</v>
      </c>
      <c r="D471" t="s">
        <v>2887</v>
      </c>
    </row>
    <row r="472" spans="1:4" x14ac:dyDescent="0.3">
      <c r="A472">
        <v>496</v>
      </c>
      <c r="B472" s="13">
        <v>45841</v>
      </c>
      <c r="C472" t="s">
        <v>1849</v>
      </c>
      <c r="D472" t="s">
        <v>2888</v>
      </c>
    </row>
    <row r="473" spans="1:4" x14ac:dyDescent="0.3">
      <c r="A473">
        <v>497</v>
      </c>
      <c r="B473" s="13">
        <v>45841</v>
      </c>
      <c r="C473" t="s">
        <v>2319</v>
      </c>
      <c r="D473" t="s">
        <v>2889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2890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2902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2903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2905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2906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2908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2909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2910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2911</v>
      </c>
    </row>
    <row r="483" spans="1:4" x14ac:dyDescent="0.3">
      <c r="A483">
        <v>507</v>
      </c>
      <c r="B483" s="13">
        <v>45845</v>
      </c>
      <c r="C483" t="s">
        <v>2918</v>
      </c>
      <c r="D483" t="s">
        <v>2922</v>
      </c>
    </row>
    <row r="484" spans="1:4" x14ac:dyDescent="0.3">
      <c r="A484">
        <v>508</v>
      </c>
      <c r="B484" s="13">
        <v>45845</v>
      </c>
      <c r="C484" t="s">
        <v>2687</v>
      </c>
      <c r="D484" t="s">
        <v>2923</v>
      </c>
    </row>
    <row r="485" spans="1:4" x14ac:dyDescent="0.3">
      <c r="A485">
        <v>509</v>
      </c>
      <c r="B485" s="13">
        <v>45845</v>
      </c>
      <c r="C485" t="s">
        <v>2912</v>
      </c>
      <c r="D485" t="s">
        <v>2924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2925</v>
      </c>
    </row>
    <row r="487" spans="1:4" x14ac:dyDescent="0.3">
      <c r="A487">
        <v>511</v>
      </c>
      <c r="B487" s="13">
        <v>45845</v>
      </c>
      <c r="C487" t="s">
        <v>1916</v>
      </c>
      <c r="D487" t="s">
        <v>2926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2927</v>
      </c>
    </row>
    <row r="489" spans="1:4" x14ac:dyDescent="0.3">
      <c r="A489">
        <v>513</v>
      </c>
      <c r="B489" s="13">
        <v>45845</v>
      </c>
      <c r="C489" t="s">
        <v>1760</v>
      </c>
      <c r="D489" t="s">
        <v>2929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2932</v>
      </c>
    </row>
    <row r="491" spans="1:4" x14ac:dyDescent="0.3">
      <c r="A491">
        <v>515</v>
      </c>
      <c r="B491" s="13">
        <v>45846</v>
      </c>
      <c r="C491" t="s">
        <v>2918</v>
      </c>
      <c r="D491" t="s">
        <v>2935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2936</v>
      </c>
    </row>
    <row r="493" spans="1:4" x14ac:dyDescent="0.3">
      <c r="A493">
        <v>517</v>
      </c>
      <c r="B493" s="13">
        <v>45846</v>
      </c>
      <c r="C493" t="s">
        <v>1849</v>
      </c>
      <c r="D493" t="s">
        <v>2937</v>
      </c>
    </row>
    <row r="494" spans="1:4" x14ac:dyDescent="0.3">
      <c r="A494">
        <v>518</v>
      </c>
      <c r="B494" s="13">
        <v>45846</v>
      </c>
      <c r="C494" t="s">
        <v>2938</v>
      </c>
      <c r="D494" t="s">
        <v>2942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2944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2945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2946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2947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2948</v>
      </c>
    </row>
    <row r="500" spans="1:4" x14ac:dyDescent="0.3">
      <c r="A500">
        <v>524</v>
      </c>
      <c r="B500" s="13">
        <v>45847</v>
      </c>
      <c r="C500" t="s">
        <v>2483</v>
      </c>
      <c r="D500" t="s">
        <v>2950</v>
      </c>
    </row>
    <row r="501" spans="1:4" x14ac:dyDescent="0.3">
      <c r="A501">
        <v>525</v>
      </c>
      <c r="B501" s="13">
        <v>45847</v>
      </c>
      <c r="C501" t="s">
        <v>2316</v>
      </c>
      <c r="D501" t="s">
        <v>2954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2955</v>
      </c>
    </row>
    <row r="503" spans="1:4" x14ac:dyDescent="0.3">
      <c r="A503">
        <v>527</v>
      </c>
      <c r="B503" s="13">
        <v>45847</v>
      </c>
      <c r="C503" t="s">
        <v>1760</v>
      </c>
      <c r="D503" t="s">
        <v>2956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2957</v>
      </c>
    </row>
    <row r="505" spans="1:4" x14ac:dyDescent="0.3">
      <c r="A505">
        <v>529</v>
      </c>
      <c r="B505" s="13">
        <v>45847</v>
      </c>
      <c r="C505" t="s">
        <v>1786</v>
      </c>
      <c r="D505" t="s">
        <v>2958</v>
      </c>
    </row>
    <row r="506" spans="1:4" x14ac:dyDescent="0.3">
      <c r="A506">
        <v>530</v>
      </c>
      <c r="B506" s="13">
        <v>45847</v>
      </c>
      <c r="C506" t="s">
        <v>2483</v>
      </c>
      <c r="D506" t="s">
        <v>2959</v>
      </c>
    </row>
    <row r="507" spans="1:4" x14ac:dyDescent="0.3">
      <c r="A507">
        <v>531</v>
      </c>
      <c r="B507" s="13">
        <v>45848</v>
      </c>
      <c r="C507" t="s">
        <v>2843</v>
      </c>
      <c r="D507" t="s">
        <v>2964</v>
      </c>
    </row>
    <row r="508" spans="1:4" x14ac:dyDescent="0.3">
      <c r="A508">
        <v>532</v>
      </c>
      <c r="B508" s="13">
        <v>45848</v>
      </c>
      <c r="C508" t="s">
        <v>2377</v>
      </c>
      <c r="D508" t="s">
        <v>2966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2970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2981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2982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2983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2984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2985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2986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2987</v>
      </c>
    </row>
    <row r="519" spans="1:4" x14ac:dyDescent="0.3">
      <c r="A519">
        <v>543</v>
      </c>
      <c r="B519" s="13">
        <v>45849</v>
      </c>
      <c r="C519" t="s">
        <v>2988</v>
      </c>
      <c r="D519" t="s">
        <v>2989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2996</v>
      </c>
    </row>
    <row r="521" spans="1:4" x14ac:dyDescent="0.3">
      <c r="A521">
        <v>545</v>
      </c>
      <c r="B521" s="13">
        <v>45850</v>
      </c>
      <c r="C521" t="s">
        <v>2843</v>
      </c>
      <c r="D521" t="s">
        <v>3000</v>
      </c>
    </row>
    <row r="522" spans="1:4" x14ac:dyDescent="0.3">
      <c r="A522">
        <v>546</v>
      </c>
      <c r="B522" s="13">
        <v>45852</v>
      </c>
      <c r="C522" t="s">
        <v>3007</v>
      </c>
      <c r="D522" t="s">
        <v>3010</v>
      </c>
    </row>
    <row r="523" spans="1:4" x14ac:dyDescent="0.3">
      <c r="A523">
        <v>547</v>
      </c>
      <c r="B523" s="13">
        <v>45852</v>
      </c>
      <c r="C523" t="s">
        <v>3011</v>
      </c>
      <c r="D523" t="s">
        <v>3015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3016</v>
      </c>
    </row>
    <row r="525" spans="1:4" x14ac:dyDescent="0.3">
      <c r="A525">
        <v>549</v>
      </c>
      <c r="B525" s="13">
        <v>45852</v>
      </c>
      <c r="C525" t="s">
        <v>2483</v>
      </c>
      <c r="D525" t="s">
        <v>3017</v>
      </c>
    </row>
    <row r="526" spans="1:4" x14ac:dyDescent="0.3">
      <c r="A526">
        <v>550</v>
      </c>
      <c r="B526" s="13">
        <v>45852</v>
      </c>
      <c r="C526" t="s">
        <v>2377</v>
      </c>
      <c r="D526" t="s">
        <v>3019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3020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3021</v>
      </c>
    </row>
    <row r="529" spans="1:4" x14ac:dyDescent="0.3">
      <c r="A529">
        <v>553</v>
      </c>
      <c r="B529" s="13">
        <v>45853</v>
      </c>
      <c r="C529" t="s">
        <v>2483</v>
      </c>
      <c r="D529" t="s">
        <v>3033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3034</v>
      </c>
    </row>
    <row r="531" spans="1:4" x14ac:dyDescent="0.3">
      <c r="A531">
        <v>555</v>
      </c>
      <c r="B531" s="13">
        <v>45853</v>
      </c>
      <c r="C531" t="s">
        <v>3035</v>
      </c>
      <c r="D531" t="s">
        <v>3038</v>
      </c>
    </row>
    <row r="532" spans="1:4" x14ac:dyDescent="0.3">
      <c r="A532">
        <v>556</v>
      </c>
      <c r="B532" s="13">
        <v>45853</v>
      </c>
      <c r="C532" t="s">
        <v>2377</v>
      </c>
      <c r="D532" t="s">
        <v>3039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3040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3041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3042</v>
      </c>
    </row>
    <row r="536" spans="1:4" x14ac:dyDescent="0.3">
      <c r="A536">
        <v>560</v>
      </c>
      <c r="B536" s="13">
        <v>45853</v>
      </c>
      <c r="C536" t="s">
        <v>3029</v>
      </c>
      <c r="D536" t="s">
        <v>3044</v>
      </c>
    </row>
    <row r="537" spans="1:4" x14ac:dyDescent="0.3">
      <c r="A537">
        <v>561</v>
      </c>
      <c r="B537" s="13">
        <v>45853</v>
      </c>
      <c r="C537" t="s">
        <v>1760</v>
      </c>
      <c r="D537" t="s">
        <v>3045</v>
      </c>
    </row>
    <row r="538" spans="1:4" x14ac:dyDescent="0.3">
      <c r="A538">
        <v>562</v>
      </c>
      <c r="B538" s="13">
        <v>45854</v>
      </c>
      <c r="C538" t="s">
        <v>2350</v>
      </c>
      <c r="D538" t="s">
        <v>3057</v>
      </c>
    </row>
    <row r="539" spans="1:4" x14ac:dyDescent="0.3">
      <c r="A539">
        <v>563</v>
      </c>
      <c r="B539" s="13">
        <v>45854</v>
      </c>
      <c r="C539" t="s">
        <v>1845</v>
      </c>
      <c r="D539" t="s">
        <v>3059</v>
      </c>
    </row>
    <row r="540" spans="1:4" x14ac:dyDescent="0.3">
      <c r="A540">
        <v>564</v>
      </c>
      <c r="B540" s="13">
        <v>45854</v>
      </c>
      <c r="C540" t="s">
        <v>1709</v>
      </c>
      <c r="D540" t="s">
        <v>3060</v>
      </c>
    </row>
    <row r="541" spans="1:4" x14ac:dyDescent="0.3">
      <c r="A541">
        <v>565</v>
      </c>
      <c r="B541" s="13">
        <v>45854</v>
      </c>
      <c r="C541" t="s">
        <v>3061</v>
      </c>
      <c r="D541" t="s">
        <v>3063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3073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3075</v>
      </c>
    </row>
    <row r="544" spans="1:4" x14ac:dyDescent="0.3">
      <c r="A544">
        <v>568</v>
      </c>
      <c r="B544" s="13">
        <v>45855</v>
      </c>
      <c r="C544" t="s">
        <v>2719</v>
      </c>
      <c r="D544" t="s">
        <v>3076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3077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3082</v>
      </c>
    </row>
    <row r="547" spans="1:4" x14ac:dyDescent="0.3">
      <c r="A547">
        <v>571</v>
      </c>
      <c r="B547" s="13">
        <v>45856</v>
      </c>
      <c r="C547" t="s">
        <v>3083</v>
      </c>
      <c r="D547" t="s">
        <v>3087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3089</v>
      </c>
    </row>
    <row r="549" spans="1:4" x14ac:dyDescent="0.3">
      <c r="A549">
        <v>573</v>
      </c>
      <c r="B549" s="13">
        <v>45856</v>
      </c>
      <c r="C549" t="s">
        <v>3090</v>
      </c>
      <c r="D549" t="s">
        <v>3092</v>
      </c>
    </row>
    <row r="550" spans="1:4" x14ac:dyDescent="0.3">
      <c r="A550">
        <v>574</v>
      </c>
      <c r="B550" s="13">
        <v>45856</v>
      </c>
      <c r="C550" t="s">
        <v>1893</v>
      </c>
      <c r="D550" t="s">
        <v>3093</v>
      </c>
    </row>
    <row r="551" spans="1:4" x14ac:dyDescent="0.3">
      <c r="A551">
        <v>575</v>
      </c>
      <c r="B551" s="13">
        <v>45856</v>
      </c>
      <c r="C551" t="s">
        <v>2027</v>
      </c>
      <c r="D551" t="s">
        <v>3094</v>
      </c>
    </row>
    <row r="552" spans="1:4" x14ac:dyDescent="0.3">
      <c r="A552">
        <v>576</v>
      </c>
      <c r="B552" s="13">
        <v>45857</v>
      </c>
      <c r="C552" t="s">
        <v>2377</v>
      </c>
      <c r="D552" t="s">
        <v>3103</v>
      </c>
    </row>
    <row r="553" spans="1:4" x14ac:dyDescent="0.3">
      <c r="A553">
        <v>577</v>
      </c>
      <c r="B553" s="13">
        <v>45859</v>
      </c>
      <c r="C553" t="s">
        <v>2700</v>
      </c>
      <c r="D553" t="s">
        <v>3107</v>
      </c>
    </row>
    <row r="554" spans="1:4" x14ac:dyDescent="0.3">
      <c r="A554">
        <v>578</v>
      </c>
      <c r="B554" s="13">
        <v>45859</v>
      </c>
      <c r="C554" t="s">
        <v>2316</v>
      </c>
      <c r="D554" t="s">
        <v>3110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3111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3113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E21" sqref="E21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165</v>
      </c>
      <c r="J1" s="294"/>
      <c r="K1" s="293"/>
    </row>
    <row r="2" spans="1:11" x14ac:dyDescent="0.3">
      <c r="A2">
        <v>1</v>
      </c>
      <c r="B2" t="s">
        <v>1307</v>
      </c>
      <c r="C2" t="s">
        <v>1669</v>
      </c>
      <c r="E2" t="s">
        <v>1670</v>
      </c>
      <c r="F2" t="s">
        <v>1671</v>
      </c>
      <c r="G2" t="s">
        <v>1672</v>
      </c>
      <c r="H2" s="201">
        <f>SUMIF(주문_리스트!C:C,거래처!$B2,주문_리스트!K:K)+SUMIF(주문_리스트!C:C,거래처!B2,주문_리스트!L:L)-1543201</f>
        <v>2339999.5999999996</v>
      </c>
      <c r="I2" s="201" t="s">
        <v>3096</v>
      </c>
    </row>
    <row r="3" spans="1:11" x14ac:dyDescent="0.3">
      <c r="A3">
        <v>2</v>
      </c>
      <c r="B3" t="s">
        <v>2682</v>
      </c>
      <c r="C3" t="s">
        <v>2683</v>
      </c>
      <c r="E3" t="s">
        <v>2684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2685</v>
      </c>
      <c r="E6" t="s">
        <v>2686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1831</v>
      </c>
      <c r="E10" t="s">
        <v>1313</v>
      </c>
      <c r="F10" t="s">
        <v>1827</v>
      </c>
      <c r="G10" t="s">
        <v>1832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1654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2184</v>
      </c>
      <c r="E12" t="s">
        <v>2185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2429</v>
      </c>
      <c r="G13" t="s">
        <v>2430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2588</v>
      </c>
      <c r="E14" t="s">
        <v>2589</v>
      </c>
      <c r="F14" t="s">
        <v>969</v>
      </c>
      <c r="G14" t="s">
        <v>2590</v>
      </c>
      <c r="H14" s="201">
        <f>SUMIF(주문_리스트!C:C,거래처!B14,주문_리스트!K:K)+SUMIF(주문_리스트!C:C,거래처!B14,주문_리스트!L:L)-1280000</f>
        <v>0</v>
      </c>
      <c r="I14" s="52" t="s">
        <v>3096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14556000.199999999</v>
      </c>
      <c r="I17" s="52" t="s">
        <v>3096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7537000</v>
      </c>
      <c r="I19" s="52" t="s">
        <v>3096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2639999.7000000002</v>
      </c>
      <c r="I20" s="52" t="s">
        <v>3096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3096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3096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1950</v>
      </c>
      <c r="C29" t="s">
        <v>1951</v>
      </c>
      <c r="E29" t="s">
        <v>1952</v>
      </c>
      <c r="F29" t="s">
        <v>1945</v>
      </c>
      <c r="G29" t="s">
        <v>1953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1750</v>
      </c>
      <c r="E31" t="s">
        <v>1751</v>
      </c>
      <c r="F31" t="s">
        <v>969</v>
      </c>
      <c r="G31" t="s">
        <v>1752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3096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6010000</v>
      </c>
      <c r="I37" s="52" t="s">
        <v>3096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2411</v>
      </c>
      <c r="G43" t="s">
        <v>2412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2741</v>
      </c>
      <c r="E44" t="s">
        <v>2742</v>
      </c>
      <c r="F44" t="s">
        <v>969</v>
      </c>
      <c r="G44" t="s">
        <v>2743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2524</v>
      </c>
      <c r="E46" t="s">
        <v>2526</v>
      </c>
      <c r="F46" t="s">
        <v>1211</v>
      </c>
      <c r="G46" t="s">
        <v>2525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1910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1829</v>
      </c>
      <c r="E54" t="s">
        <v>2722</v>
      </c>
      <c r="F54" t="s">
        <v>36</v>
      </c>
      <c r="G54" t="s">
        <v>2723</v>
      </c>
      <c r="H54" s="201">
        <f>SUMIF(주문_리스트!C:C,거래처!B54,주문_리스트!K:K)+SUMIF(주문_리스트!C:C,거래처!B54,주문_리스트!L:L)-4015000</f>
        <v>4750000</v>
      </c>
      <c r="I54" s="52" t="s">
        <v>3096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4338000</v>
      </c>
      <c r="I57" s="52" t="s">
        <v>3096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1660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2695</v>
      </c>
      <c r="E62" t="s">
        <v>2696</v>
      </c>
      <c r="F62" t="s">
        <v>2697</v>
      </c>
      <c r="G62" t="s">
        <v>2698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2714</v>
      </c>
      <c r="E65" t="s">
        <v>2715</v>
      </c>
      <c r="F65" t="s">
        <v>2716</v>
      </c>
      <c r="G65" t="s">
        <v>2717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2094</v>
      </c>
      <c r="G66" t="s">
        <v>2095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2154</v>
      </c>
      <c r="E70" t="s">
        <v>2155</v>
      </c>
      <c r="F70" t="s">
        <v>36</v>
      </c>
      <c r="G70" t="s">
        <v>2527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2591</v>
      </c>
      <c r="E71" t="s">
        <v>2592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</row>
    <row r="73" spans="1:9" x14ac:dyDescent="0.3">
      <c r="A73">
        <v>72</v>
      </c>
      <c r="B73" t="s">
        <v>1522</v>
      </c>
      <c r="C73" t="s">
        <v>1523</v>
      </c>
      <c r="E73" t="s">
        <v>2021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3100000</v>
      </c>
      <c r="I76" s="52" t="s">
        <v>3096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580000</v>
      </c>
      <c r="I77" s="52" t="s">
        <v>3096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2950000</v>
      </c>
      <c r="I79" s="52" t="s">
        <v>3096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2009</v>
      </c>
      <c r="E88" t="s">
        <v>2008</v>
      </c>
      <c r="F88" t="s">
        <v>969</v>
      </c>
      <c r="G88" t="s">
        <v>2014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1954</v>
      </c>
      <c r="E89" t="s">
        <v>1955</v>
      </c>
      <c r="F89" t="s">
        <v>969</v>
      </c>
      <c r="G89" t="s">
        <v>1956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2463</v>
      </c>
      <c r="E91" t="s">
        <v>2464</v>
      </c>
      <c r="F91" t="s">
        <v>2465</v>
      </c>
      <c r="H91" s="201">
        <f>SUMIF(주문_리스트!C:C,거래처!B91,주문_리스트!K:K)+SUMIF(주문_리스트!C:C,거래처!B91,주문_리스트!L:L)-700000</f>
        <v>300000</v>
      </c>
      <c r="I91" s="52" t="s">
        <v>3096</v>
      </c>
    </row>
    <row r="92" spans="1:9" x14ac:dyDescent="0.3">
      <c r="A92">
        <v>91</v>
      </c>
      <c r="B92" t="s">
        <v>1382</v>
      </c>
      <c r="C92" t="s">
        <v>1877</v>
      </c>
      <c r="E92" t="s">
        <v>1878</v>
      </c>
      <c r="F92" t="s">
        <v>1879</v>
      </c>
      <c r="G92" t="s">
        <v>1880</v>
      </c>
      <c r="H92" s="201">
        <f>SUMIF(주문_리스트!C:C,거래처!B92,주문_리스트!K:K)+SUMIF(주문_리스트!C:C,거래처!B92,주문_리스트!L:L)-2089000</f>
        <v>132000.10000000009</v>
      </c>
      <c r="I92" s="52" t="s">
        <v>3096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2275</v>
      </c>
      <c r="C94" t="s">
        <v>2276</v>
      </c>
      <c r="E94" t="s">
        <v>2277</v>
      </c>
      <c r="F94" t="s">
        <v>2278</v>
      </c>
      <c r="H94" s="201">
        <f>SUMIF(주문_리스트!C:C,거래처!B94,주문_리스트!K:K)+SUMIF(주문_리스트!C:C,거래처!B94,주문_리스트!L:L)-1320000</f>
        <v>1320000</v>
      </c>
      <c r="I94" s="52" t="s">
        <v>3096</v>
      </c>
    </row>
    <row r="95" spans="1:9" x14ac:dyDescent="0.3">
      <c r="A95">
        <v>94</v>
      </c>
      <c r="B95" t="s">
        <v>1384</v>
      </c>
      <c r="C95" t="s">
        <v>1853</v>
      </c>
      <c r="E95" t="s">
        <v>1854</v>
      </c>
      <c r="F95" t="s">
        <v>969</v>
      </c>
      <c r="G95" t="s">
        <v>1855</v>
      </c>
      <c r="H95" s="201">
        <f>SUMIF(주문_리스트!C:C,거래처!B95,주문_리스트!K:K)+SUMIF(주문_리스트!C:C,거래처!B95,주문_리스트!L:L)-715000</f>
        <v>0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1452000</v>
      </c>
      <c r="I97" s="52" t="s">
        <v>3096</v>
      </c>
    </row>
    <row r="98" spans="1:14" x14ac:dyDescent="0.3">
      <c r="A98">
        <v>97</v>
      </c>
      <c r="B98" t="s">
        <v>1387</v>
      </c>
      <c r="C98" t="s">
        <v>1929</v>
      </c>
      <c r="E98" t="s">
        <v>1930</v>
      </c>
      <c r="F98" t="s">
        <v>969</v>
      </c>
      <c r="G98" t="s">
        <v>1931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2523</v>
      </c>
      <c r="H99" s="201">
        <f>SUMIF(주문_리스트!C:C,거래처!B99,주문_리스트!K:K)+SUMIF(주문_리스트!C:C,거래처!B99,주문_리스트!L:L)</f>
        <v>0</v>
      </c>
      <c r="I99" s="52" t="s">
        <v>3022</v>
      </c>
    </row>
    <row r="100" spans="1:14" x14ac:dyDescent="0.3">
      <c r="A100">
        <v>99</v>
      </c>
      <c r="B100" t="s">
        <v>2519</v>
      </c>
      <c r="C100" t="s">
        <v>2520</v>
      </c>
      <c r="E100" t="s">
        <v>2521</v>
      </c>
      <c r="F100" t="s">
        <v>2522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2999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199000</v>
      </c>
      <c r="I104" s="52" t="s">
        <v>3096</v>
      </c>
    </row>
    <row r="105" spans="1:14" x14ac:dyDescent="0.3">
      <c r="A105">
        <v>104</v>
      </c>
      <c r="B105" t="s">
        <v>1390</v>
      </c>
      <c r="C105" t="s">
        <v>2351</v>
      </c>
      <c r="E105" t="s">
        <v>2352</v>
      </c>
      <c r="F105" t="s">
        <v>2353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2999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731000</v>
      </c>
      <c r="I109" s="52" t="s">
        <v>3096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2159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1655</v>
      </c>
      <c r="C112" t="s">
        <v>1656</v>
      </c>
      <c r="E112" t="s">
        <v>1657</v>
      </c>
      <c r="F112" t="s">
        <v>1651</v>
      </c>
      <c r="G112" t="s">
        <v>1658</v>
      </c>
      <c r="H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1824</v>
      </c>
      <c r="C113" t="s">
        <v>1825</v>
      </c>
      <c r="E113" t="s">
        <v>1826</v>
      </c>
      <c r="F113" t="s">
        <v>36</v>
      </c>
      <c r="G113" t="s">
        <v>1828</v>
      </c>
      <c r="H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2576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2341</v>
      </c>
      <c r="C122" t="s">
        <v>2342</v>
      </c>
      <c r="E122" t="s">
        <v>2343</v>
      </c>
      <c r="F122" t="s">
        <v>2344</v>
      </c>
      <c r="G122" t="s">
        <v>2345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1696</v>
      </c>
      <c r="C124" t="s">
        <v>1697</v>
      </c>
      <c r="E124" t="s">
        <v>1698</v>
      </c>
      <c r="F124" t="s">
        <v>1211</v>
      </c>
      <c r="G124" t="s">
        <v>1698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1709</v>
      </c>
      <c r="C125" t="s">
        <v>1710</v>
      </c>
      <c r="E125" t="s">
        <v>1711</v>
      </c>
      <c r="H125" s="201">
        <f>SUMIF(주문_리스트!C:C,거래처!B125,주문_리스트!K:K)+SUMIF(주문_리스트!C:C,거래처!B125,주문_리스트!L:L)-4755000</f>
        <v>1705000</v>
      </c>
      <c r="I125" s="52" t="s">
        <v>3096</v>
      </c>
    </row>
    <row r="126" spans="1:9" x14ac:dyDescent="0.3">
      <c r="A126">
        <v>125</v>
      </c>
      <c r="B126" t="s">
        <v>1881</v>
      </c>
      <c r="C126" t="s">
        <v>1882</v>
      </c>
      <c r="E126" t="s">
        <v>1883</v>
      </c>
      <c r="F126" t="s">
        <v>969</v>
      </c>
      <c r="G126" t="s">
        <v>1884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1936</v>
      </c>
      <c r="C127" t="s">
        <v>1937</v>
      </c>
      <c r="E127" t="s">
        <v>1938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2064</v>
      </c>
      <c r="C128" t="s">
        <v>2065</v>
      </c>
      <c r="E128" t="s">
        <v>2066</v>
      </c>
      <c r="F128" t="s">
        <v>969</v>
      </c>
      <c r="G128" t="s">
        <v>2067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2119</v>
      </c>
      <c r="C129" t="s">
        <v>2120</v>
      </c>
      <c r="E129" t="s">
        <v>2121</v>
      </c>
      <c r="F129" t="s">
        <v>969</v>
      </c>
      <c r="G129" t="s">
        <v>1956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2081</v>
      </c>
      <c r="C130" t="s">
        <v>2082</v>
      </c>
      <c r="E130" t="s">
        <v>2083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2086</v>
      </c>
      <c r="C131" t="s">
        <v>2087</v>
      </c>
      <c r="E131" t="s">
        <v>2088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2913</v>
      </c>
      <c r="C132" t="s">
        <v>2914</v>
      </c>
      <c r="E132" t="s">
        <v>2915</v>
      </c>
      <c r="F132" t="s">
        <v>2916</v>
      </c>
      <c r="G132" t="s">
        <v>2917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2147</v>
      </c>
      <c r="C133" t="s">
        <v>2148</v>
      </c>
      <c r="E133" t="s">
        <v>2149</v>
      </c>
      <c r="F133" t="s">
        <v>983</v>
      </c>
      <c r="G133" t="s">
        <v>2150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2365</v>
      </c>
      <c r="C134" t="s">
        <v>2173</v>
      </c>
      <c r="E134" t="s">
        <v>2174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2186</v>
      </c>
      <c r="C135" t="s">
        <v>2187</v>
      </c>
      <c r="E135" t="s">
        <v>2188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2202</v>
      </c>
      <c r="C136" t="s">
        <v>2204</v>
      </c>
      <c r="E136" t="s">
        <v>2205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2335</v>
      </c>
      <c r="C137" t="s">
        <v>2336</v>
      </c>
      <c r="E137" t="s">
        <v>2337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2879</v>
      </c>
      <c r="C138" t="s">
        <v>2880</v>
      </c>
      <c r="E138" t="s">
        <v>2881</v>
      </c>
      <c r="F138" t="s">
        <v>2882</v>
      </c>
      <c r="G138" t="s">
        <v>2883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2444</v>
      </c>
      <c r="C139" t="s">
        <v>2445</v>
      </c>
      <c r="E139" t="s">
        <v>2446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2316</v>
      </c>
      <c r="C140" t="s">
        <v>2423</v>
      </c>
      <c r="E140" t="s">
        <v>2424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2434</v>
      </c>
      <c r="C141" t="s">
        <v>2435</v>
      </c>
      <c r="E141" t="s">
        <v>2436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2440</v>
      </c>
      <c r="C142" t="s">
        <v>2441</v>
      </c>
      <c r="E142" t="s">
        <v>2442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2451</v>
      </c>
      <c r="C143" t="s">
        <v>2452</v>
      </c>
      <c r="E143" t="s">
        <v>2453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2552</v>
      </c>
      <c r="C144" t="s">
        <v>2553</v>
      </c>
      <c r="E144" t="s">
        <v>2555</v>
      </c>
      <c r="F144" t="s">
        <v>2554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2556</v>
      </c>
      <c r="C145" t="s">
        <v>3100</v>
      </c>
      <c r="E145" t="s">
        <v>3101</v>
      </c>
      <c r="F145" t="s">
        <v>969</v>
      </c>
      <c r="G145" t="s">
        <v>3102</v>
      </c>
      <c r="H145" s="201">
        <f>SUMIF(주문_리스트!C:C,거래처!B145,주문_리스트!K:K)+SUMIF(주문_리스트!C:C,거래처!B145,주문_리스트!L:L)</f>
        <v>1500000</v>
      </c>
    </row>
    <row r="146" spans="1:8" x14ac:dyDescent="0.3">
      <c r="A146">
        <v>145</v>
      </c>
      <c r="B146" t="s">
        <v>2572</v>
      </c>
      <c r="C146" t="s">
        <v>2573</v>
      </c>
      <c r="E146" t="s">
        <v>2574</v>
      </c>
      <c r="F146" t="s">
        <v>969</v>
      </c>
      <c r="G146" t="s">
        <v>2575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2787</v>
      </c>
      <c r="C147" t="s">
        <v>2785</v>
      </c>
      <c r="E147" t="s">
        <v>2786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2649</v>
      </c>
      <c r="C148" t="s">
        <v>2650</v>
      </c>
      <c r="E148" t="s">
        <v>2651</v>
      </c>
      <c r="F148" t="s">
        <v>983</v>
      </c>
      <c r="G148" t="s">
        <v>2652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2729</v>
      </c>
      <c r="C149" t="s">
        <v>2730</v>
      </c>
      <c r="D149" t="s">
        <v>2731</v>
      </c>
      <c r="E149" t="s">
        <v>2732</v>
      </c>
      <c r="F149" t="s">
        <v>2733</v>
      </c>
      <c r="G149" t="s">
        <v>2734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2815</v>
      </c>
      <c r="C150" t="s">
        <v>2816</v>
      </c>
      <c r="E150" t="s">
        <v>2817</v>
      </c>
      <c r="F150" t="s">
        <v>969</v>
      </c>
      <c r="G150" t="s">
        <v>2818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2852</v>
      </c>
      <c r="C151" t="s">
        <v>2853</v>
      </c>
      <c r="E151" t="s">
        <v>2854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2863</v>
      </c>
      <c r="C152" t="s">
        <v>2864</v>
      </c>
      <c r="E152" t="s">
        <v>2865</v>
      </c>
      <c r="F152" t="s">
        <v>969</v>
      </c>
      <c r="G152" t="s">
        <v>2866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2884</v>
      </c>
      <c r="C153" t="s">
        <v>2885</v>
      </c>
      <c r="E153" t="s">
        <v>2886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2894</v>
      </c>
      <c r="C154" t="s">
        <v>2899</v>
      </c>
      <c r="E154" t="s">
        <v>2900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2918</v>
      </c>
      <c r="C155" t="s">
        <v>2919</v>
      </c>
      <c r="E155" t="s">
        <v>2920</v>
      </c>
      <c r="F155" t="s">
        <v>1211</v>
      </c>
      <c r="G155" t="s">
        <v>2921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2938</v>
      </c>
      <c r="C156" t="s">
        <v>2939</v>
      </c>
      <c r="E156" t="s">
        <v>2940</v>
      </c>
      <c r="F156" t="s">
        <v>983</v>
      </c>
      <c r="G156" t="s">
        <v>2941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3003</v>
      </c>
      <c r="C157" t="s">
        <v>3004</v>
      </c>
      <c r="E157" t="s">
        <v>3005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3007</v>
      </c>
      <c r="C158" t="s">
        <v>3008</v>
      </c>
      <c r="E158" t="s">
        <v>3009</v>
      </c>
      <c r="F158" t="s">
        <v>1211</v>
      </c>
      <c r="G158" t="s">
        <v>3018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3011</v>
      </c>
      <c r="C159" t="s">
        <v>3012</v>
      </c>
      <c r="E159" t="s">
        <v>3013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3029</v>
      </c>
      <c r="C160" t="s">
        <v>3030</v>
      </c>
      <c r="E160" t="s">
        <v>3031</v>
      </c>
      <c r="F160" t="s">
        <v>969</v>
      </c>
      <c r="G160" t="s">
        <v>3032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3035</v>
      </c>
      <c r="C161" t="s">
        <v>3036</v>
      </c>
      <c r="E161" t="s">
        <v>3037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3061</v>
      </c>
      <c r="C162" t="s">
        <v>3062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3078</v>
      </c>
      <c r="C163" t="s">
        <v>3079</v>
      </c>
      <c r="E163" t="s">
        <v>3080</v>
      </c>
      <c r="F163" t="s">
        <v>983</v>
      </c>
      <c r="G163" t="s">
        <v>3081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3083</v>
      </c>
      <c r="C164" t="s">
        <v>3084</v>
      </c>
      <c r="E164" t="s">
        <v>3085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3096</v>
      </c>
    </row>
    <row r="165" spans="1:9" x14ac:dyDescent="0.3">
      <c r="A165">
        <v>164</v>
      </c>
      <c r="B165" t="s">
        <v>3090</v>
      </c>
      <c r="C165" t="s">
        <v>3079</v>
      </c>
      <c r="E165" t="s">
        <v>3080</v>
      </c>
      <c r="F165" t="s">
        <v>983</v>
      </c>
      <c r="G165" t="s">
        <v>3081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H166" s="201">
        <f>SUMIF(주문_리스트!C:C,거래처!B166,주문_리스트!K:K)+SUMIF(주문_리스트!C:C,거래처!B166,주문_리스트!L:L)</f>
        <v>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1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1873</v>
      </c>
      <c r="I1" s="51" t="s">
        <v>4</v>
      </c>
      <c r="J1" s="101">
        <v>211</v>
      </c>
    </row>
    <row r="2" spans="1:11" x14ac:dyDescent="0.3">
      <c r="A2">
        <v>1</v>
      </c>
      <c r="B2">
        <v>2</v>
      </c>
      <c r="C2" s="197">
        <v>28120504</v>
      </c>
      <c r="D2" s="197" t="s">
        <v>2606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2250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1998</v>
      </c>
      <c r="D5" s="197" t="s">
        <v>1997</v>
      </c>
      <c r="E5" s="197" t="s">
        <v>1998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1782</v>
      </c>
      <c r="F8" s="52">
        <v>650000</v>
      </c>
      <c r="H8">
        <f>SUMIF(재고!D:D,제품!D8,재고!G:G)-SUMIF(주문_리스트!E:E,제품!D8,주문_리스트!H:H)</f>
        <v>-20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2609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1679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1692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2792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2796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2258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2256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1690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2240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2252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2252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2241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2235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-35</v>
      </c>
    </row>
    <row r="27" spans="1:9" x14ac:dyDescent="0.3">
      <c r="A27">
        <v>26</v>
      </c>
      <c r="B27">
        <v>3</v>
      </c>
      <c r="C27" s="198" t="s">
        <v>2041</v>
      </c>
      <c r="D27" s="197" t="s">
        <v>1683</v>
      </c>
      <c r="E27" s="197" t="s">
        <v>2041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-62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1800</v>
      </c>
      <c r="D31" s="197" t="s">
        <v>2272</v>
      </c>
      <c r="E31" s="197" t="s">
        <v>1800</v>
      </c>
      <c r="F31" s="52">
        <v>569000</v>
      </c>
      <c r="G31" s="52">
        <v>480000</v>
      </c>
      <c r="H31">
        <f>SUMIF(재고!D:D,제품!D31,재고!G:G)-SUMIF(주문_리스트!E:E,제품!D31,주문_리스트!H:H)</f>
        <v>-17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2549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2666</v>
      </c>
      <c r="D34" s="197" t="s">
        <v>2667</v>
      </c>
      <c r="E34" s="197" t="s">
        <v>2666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2234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1684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1716</v>
      </c>
      <c r="D39" s="197" t="s">
        <v>2243</v>
      </c>
      <c r="E39" s="197" t="s">
        <v>1716</v>
      </c>
      <c r="F39" s="52">
        <v>130000</v>
      </c>
      <c r="G39" s="52">
        <v>90000</v>
      </c>
      <c r="H39">
        <f>SUMIF(재고!D:D,제품!D39,재고!G:G)-SUMIF(주문_리스트!E:E,제품!D39,주문_리스트!H:H)</f>
        <v>-10</v>
      </c>
    </row>
    <row r="40" spans="1:8" x14ac:dyDescent="0.3">
      <c r="A40">
        <v>39</v>
      </c>
      <c r="B40">
        <v>2</v>
      </c>
      <c r="C40" s="198" t="s">
        <v>1765</v>
      </c>
      <c r="D40" s="197" t="s">
        <v>1766</v>
      </c>
      <c r="E40" s="197" t="s">
        <v>1765</v>
      </c>
      <c r="F40" s="52">
        <v>50000</v>
      </c>
      <c r="H40">
        <f>SUMIF(재고!D:D,제품!D40,재고!G:G)-SUMIF(주문_리스트!E:E,제품!D40,주문_리스트!H:H)</f>
        <v>-33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2259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2244</v>
      </c>
      <c r="F46" s="52">
        <v>100000</v>
      </c>
      <c r="H46">
        <f>SUMIF(재고!D:D,제품!D46,재고!G:G)-SUMIF(주문_리스트!E:E,제품!D46,주문_리스트!H:H)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2832</v>
      </c>
      <c r="D47" s="197" t="s">
        <v>2396</v>
      </c>
      <c r="E47" s="197" t="s">
        <v>2832</v>
      </c>
      <c r="F47" s="52">
        <v>350000</v>
      </c>
      <c r="H47">
        <f>SUMIF(재고!D:D,제품!D47,재고!G:G)-SUMIF(주문_리스트!E:E,제품!D47,주문_리스트!H:H)</f>
        <v>-27</v>
      </c>
    </row>
    <row r="48" spans="1:8" x14ac:dyDescent="0.3">
      <c r="A48">
        <v>47</v>
      </c>
      <c r="D48" s="197" t="s">
        <v>2260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-10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1859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-7</v>
      </c>
      <c r="I55" s="52" t="s">
        <v>1860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1685</v>
      </c>
      <c r="D57" s="197" t="s">
        <v>2016</v>
      </c>
      <c r="E57" s="197" t="s">
        <v>1685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2869</v>
      </c>
      <c r="D59" s="197" t="s">
        <v>2261</v>
      </c>
      <c r="E59" s="197" t="s">
        <v>2869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1687</v>
      </c>
      <c r="D60" s="197" t="s">
        <v>1686</v>
      </c>
      <c r="E60" s="197" t="s">
        <v>1687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1688</v>
      </c>
      <c r="D61" s="197" t="s">
        <v>1689</v>
      </c>
      <c r="E61" s="197" t="s">
        <v>1688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2794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2609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2610</v>
      </c>
    </row>
    <row r="64" spans="1:9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2245</v>
      </c>
      <c r="E67" s="197">
        <v>50228</v>
      </c>
      <c r="F67" s="52">
        <v>110000</v>
      </c>
      <c r="H67">
        <f>SUMIF(재고!D:D,제품!D67,재고!G:G)-SUMIF(주문_리스트!E:E,제품!D67,주문_리스트!H:H)</f>
        <v>-16</v>
      </c>
    </row>
    <row r="68" spans="1:9" x14ac:dyDescent="0.3">
      <c r="A68">
        <v>67</v>
      </c>
      <c r="B68">
        <v>4</v>
      </c>
      <c r="C68" s="198">
        <v>50229</v>
      </c>
      <c r="D68" s="197" t="s">
        <v>2245</v>
      </c>
      <c r="E68" s="197">
        <v>50229</v>
      </c>
      <c r="F68" s="52">
        <v>75000</v>
      </c>
      <c r="H68">
        <f>SUMIF(재고!D:D,제품!D68,재고!G:G)-SUMIF(주문_리스트!E:E,제품!D68,주문_리스트!H:H)</f>
        <v>-16</v>
      </c>
    </row>
    <row r="69" spans="1:9" x14ac:dyDescent="0.3">
      <c r="A69">
        <v>68</v>
      </c>
      <c r="D69" s="197" t="s">
        <v>1691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2668</v>
      </c>
      <c r="D73" s="197" t="s">
        <v>2669</v>
      </c>
      <c r="E73" s="197" t="s">
        <v>2668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1717</v>
      </c>
      <c r="D74" s="197" t="s">
        <v>2253</v>
      </c>
      <c r="E74" s="197" t="s">
        <v>1717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1809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1814</v>
      </c>
    </row>
    <row r="76" spans="1:9" x14ac:dyDescent="0.3">
      <c r="A76">
        <v>75</v>
      </c>
      <c r="D76" s="197" t="s">
        <v>1811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1810</v>
      </c>
    </row>
    <row r="77" spans="1:9" x14ac:dyDescent="0.3">
      <c r="A77">
        <v>76</v>
      </c>
      <c r="D77" s="197" t="s">
        <v>2254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1731</v>
      </c>
      <c r="D78" s="197" t="s">
        <v>1746</v>
      </c>
      <c r="E78" s="197" t="s">
        <v>1731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1747</v>
      </c>
    </row>
    <row r="79" spans="1:9" x14ac:dyDescent="0.3">
      <c r="A79">
        <v>78</v>
      </c>
      <c r="D79" s="197" t="s">
        <v>1718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1725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1735</v>
      </c>
    </row>
    <row r="81" spans="1:9" x14ac:dyDescent="0.3">
      <c r="A81">
        <v>80</v>
      </c>
      <c r="D81" s="197" t="s">
        <v>2255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1720</v>
      </c>
    </row>
    <row r="83" spans="1:9" x14ac:dyDescent="0.3">
      <c r="A83">
        <v>82</v>
      </c>
      <c r="B83">
        <v>2</v>
      </c>
      <c r="D83" s="197" t="s">
        <v>1729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1739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1740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1744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1745</v>
      </c>
    </row>
    <row r="86" spans="1:9" x14ac:dyDescent="0.3">
      <c r="A86">
        <v>85</v>
      </c>
      <c r="B86">
        <v>1</v>
      </c>
      <c r="C86" s="198" t="s">
        <v>2871</v>
      </c>
      <c r="D86" s="197" t="s">
        <v>2857</v>
      </c>
      <c r="E86" s="197" t="s">
        <v>2871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1742</v>
      </c>
      <c r="D87" s="197" t="s">
        <v>1743</v>
      </c>
      <c r="E87" s="197" t="s">
        <v>1742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1753</v>
      </c>
      <c r="D88" s="197" t="s">
        <v>1754</v>
      </c>
      <c r="E88" s="197" t="s">
        <v>1753</v>
      </c>
      <c r="F88" s="52">
        <v>20000</v>
      </c>
      <c r="G88" s="52">
        <v>9000</v>
      </c>
      <c r="H88">
        <f>SUMIF(재고!D:D,제품!D88,재고!G:G)-SUMIF(주문_리스트!E:E,제품!D88,주문_리스트!H:H)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1761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-23</v>
      </c>
    </row>
    <row r="90" spans="1:9" x14ac:dyDescent="0.3">
      <c r="A90">
        <v>89</v>
      </c>
      <c r="B90">
        <v>2</v>
      </c>
      <c r="C90" s="198">
        <v>2800801</v>
      </c>
      <c r="D90" s="197" t="s">
        <v>1762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1756</v>
      </c>
      <c r="D91" s="197" t="s">
        <v>2280</v>
      </c>
      <c r="E91" s="197" t="s">
        <v>1756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2281</v>
      </c>
    </row>
    <row r="92" spans="1:9" x14ac:dyDescent="0.3">
      <c r="A92">
        <v>91</v>
      </c>
      <c r="B92">
        <v>3</v>
      </c>
      <c r="C92" s="198" t="s">
        <v>1758</v>
      </c>
      <c r="D92" s="197" t="s">
        <v>2238</v>
      </c>
      <c r="E92" s="197" t="s">
        <v>1758</v>
      </c>
      <c r="F92" s="52">
        <v>60000</v>
      </c>
      <c r="G92" s="52">
        <v>40000</v>
      </c>
      <c r="H92">
        <f>SUMIF(재고!D:D,제품!D92,재고!G:G)-SUMIF(주문_리스트!E:E,제품!D92,주문_리스트!H:H)</f>
        <v>-4</v>
      </c>
    </row>
    <row r="93" spans="1:9" x14ac:dyDescent="0.3">
      <c r="A93">
        <v>92</v>
      </c>
      <c r="D93" s="197" t="s">
        <v>1768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1770</v>
      </c>
      <c r="D94" s="197" t="s">
        <v>2246</v>
      </c>
      <c r="E94" s="197" t="s">
        <v>1770</v>
      </c>
      <c r="F94" s="52">
        <v>30000</v>
      </c>
      <c r="G94" s="52">
        <v>16000</v>
      </c>
      <c r="H94">
        <f>SUMIF(재고!D:D,제품!D94,재고!G:G)-SUMIF(주문_리스트!E:E,제품!D94,주문_리스트!H:H)</f>
        <v>-6</v>
      </c>
    </row>
    <row r="95" spans="1:9" x14ac:dyDescent="0.3">
      <c r="A95">
        <v>94</v>
      </c>
      <c r="B95">
        <v>3</v>
      </c>
      <c r="C95" s="198" t="s">
        <v>1771</v>
      </c>
      <c r="D95" s="197" t="s">
        <v>2247</v>
      </c>
      <c r="E95" s="197" t="s">
        <v>1771</v>
      </c>
      <c r="F95" s="52">
        <v>10000</v>
      </c>
      <c r="G95" s="52">
        <v>8500</v>
      </c>
      <c r="H95">
        <f>SUMIF(재고!D:D,제품!D95,재고!G:G)-SUMIF(주문_리스트!E:E,제품!D95,주문_리스트!H:H)</f>
        <v>-11</v>
      </c>
      <c r="I95" s="52" t="s">
        <v>1821</v>
      </c>
    </row>
    <row r="96" spans="1:9" x14ac:dyDescent="0.3">
      <c r="A96">
        <v>95</v>
      </c>
      <c r="B96">
        <v>3</v>
      </c>
      <c r="C96" s="198" t="s">
        <v>1822</v>
      </c>
      <c r="D96" s="197" t="s">
        <v>2248</v>
      </c>
      <c r="E96" s="197" t="s">
        <v>1822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1772</v>
      </c>
      <c r="D97" s="197" t="s">
        <v>1773</v>
      </c>
      <c r="E97" s="197" t="s">
        <v>1772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1774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2963</v>
      </c>
      <c r="D99" s="197" t="s">
        <v>2583</v>
      </c>
      <c r="E99" s="197" t="s">
        <v>2963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1776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1777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1776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1779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1780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1779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1781</v>
      </c>
    </row>
    <row r="104" spans="1:9" x14ac:dyDescent="0.3">
      <c r="A104">
        <v>103</v>
      </c>
      <c r="B104">
        <v>3</v>
      </c>
      <c r="C104" s="198" t="s">
        <v>1794</v>
      </c>
      <c r="D104" s="197" t="s">
        <v>2236</v>
      </c>
      <c r="E104" s="197" t="s">
        <v>1794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-31</v>
      </c>
      <c r="I104" s="52" t="s">
        <v>1795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1869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1791</v>
      </c>
      <c r="D106" s="197" t="s">
        <v>1234</v>
      </c>
      <c r="E106" s="197" t="s">
        <v>1791</v>
      </c>
      <c r="F106" s="52">
        <v>1200000</v>
      </c>
      <c r="H106">
        <f>SUMIF(재고!D:D,제품!D106,재고!G:G)-SUMIF(주문_리스트!E:E,제품!D106,주문_리스트!H:H)</f>
        <v>-62</v>
      </c>
      <c r="I106" s="52" t="s">
        <v>1792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1798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1797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2140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1803</v>
      </c>
      <c r="D109" s="197" t="s">
        <v>1804</v>
      </c>
      <c r="E109" s="197" t="s">
        <v>1803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1805</v>
      </c>
    </row>
    <row r="110" spans="1:9" x14ac:dyDescent="0.3">
      <c r="A110">
        <v>109</v>
      </c>
      <c r="B110">
        <v>12</v>
      </c>
      <c r="C110" s="198" t="s">
        <v>1806</v>
      </c>
      <c r="D110" s="197" t="s">
        <v>1804</v>
      </c>
      <c r="E110" s="197" t="s">
        <v>1806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1807</v>
      </c>
    </row>
    <row r="111" spans="1:9" x14ac:dyDescent="0.3">
      <c r="A111">
        <v>110</v>
      </c>
      <c r="B111">
        <v>1</v>
      </c>
      <c r="C111" s="198" t="s">
        <v>1808</v>
      </c>
      <c r="D111" s="197" t="s">
        <v>1595</v>
      </c>
      <c r="E111" s="197" t="s">
        <v>1808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1857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-5</v>
      </c>
      <c r="I112" s="52" t="s">
        <v>1858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2294</v>
      </c>
      <c r="E113" s="197">
        <v>1087298388</v>
      </c>
      <c r="F113" s="52">
        <v>550000</v>
      </c>
      <c r="G113" s="52">
        <v>340000</v>
      </c>
      <c r="H113" t="s">
        <v>2971</v>
      </c>
      <c r="I113" s="52" t="s">
        <v>2292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1857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-5</v>
      </c>
      <c r="I114" s="52" t="s">
        <v>1862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-7</v>
      </c>
      <c r="I115" s="52" t="s">
        <v>1861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1872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1897</v>
      </c>
      <c r="D117" s="197" t="s">
        <v>1898</v>
      </c>
      <c r="E117" s="197" t="s">
        <v>1897</v>
      </c>
      <c r="F117" s="52">
        <v>210000</v>
      </c>
      <c r="G117" s="52">
        <v>150000</v>
      </c>
      <c r="I117" s="52" t="s">
        <v>1900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1919</v>
      </c>
      <c r="D120" s="197" t="s">
        <v>1920</v>
      </c>
      <c r="E120" s="197" t="s">
        <v>1919</v>
      </c>
      <c r="F120" s="52">
        <v>10000</v>
      </c>
      <c r="G120" s="52">
        <v>0</v>
      </c>
      <c r="I120" s="52" t="s">
        <v>1921</v>
      </c>
    </row>
    <row r="121" spans="1:9" x14ac:dyDescent="0.3">
      <c r="A121">
        <v>120</v>
      </c>
      <c r="B121">
        <v>3</v>
      </c>
      <c r="D121" s="197" t="s">
        <v>1939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1959</v>
      </c>
      <c r="E122" s="197">
        <v>501215718</v>
      </c>
      <c r="F122" s="52">
        <v>15000</v>
      </c>
      <c r="G122" s="52">
        <v>8000</v>
      </c>
      <c r="I122" s="52" t="s">
        <v>1957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1959</v>
      </c>
      <c r="E123" s="197">
        <v>501215783</v>
      </c>
      <c r="F123" s="52">
        <v>15000</v>
      </c>
      <c r="G123" s="52">
        <v>8000</v>
      </c>
      <c r="I123" s="52" t="s">
        <v>1958</v>
      </c>
    </row>
    <row r="124" spans="1:9" x14ac:dyDescent="0.3">
      <c r="A124">
        <v>123</v>
      </c>
      <c r="B124">
        <v>4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1965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1972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1985</v>
      </c>
      <c r="D128" s="197" t="s">
        <v>1986</v>
      </c>
      <c r="E128" s="197" t="s">
        <v>1985</v>
      </c>
      <c r="F128" s="52">
        <v>1200000</v>
      </c>
      <c r="G128" s="52">
        <v>400000</v>
      </c>
      <c r="I128" s="52" t="s">
        <v>1987</v>
      </c>
    </row>
    <row r="129" spans="1:7" x14ac:dyDescent="0.3">
      <c r="A129">
        <v>128</v>
      </c>
      <c r="B129">
        <v>12</v>
      </c>
      <c r="C129" s="198" t="s">
        <v>1983</v>
      </c>
      <c r="D129" s="197" t="s">
        <v>1984</v>
      </c>
      <c r="E129" s="197" t="s">
        <v>1983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1996</v>
      </c>
      <c r="D131" s="197" t="s">
        <v>1995</v>
      </c>
      <c r="E131" s="197" t="s">
        <v>1996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1999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2005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2249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2032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2057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1:7" x14ac:dyDescent="0.3">
      <c r="A140">
        <v>139</v>
      </c>
      <c r="D140" s="197" t="s">
        <v>2076</v>
      </c>
      <c r="F140" s="52">
        <v>84000</v>
      </c>
    </row>
    <row r="141" spans="1:7" x14ac:dyDescent="0.3">
      <c r="A141">
        <v>140</v>
      </c>
      <c r="D141" s="197" t="s">
        <v>2079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2096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1957</v>
      </c>
      <c r="D145" s="197" t="s">
        <v>2194</v>
      </c>
      <c r="E145" s="197" t="s">
        <v>1957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2111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2161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2672</v>
      </c>
      <c r="D150" s="197" t="s">
        <v>2400</v>
      </c>
      <c r="E150" s="197" t="s">
        <v>2672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2090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2179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2180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2210</v>
      </c>
      <c r="F156" s="52">
        <v>990000</v>
      </c>
      <c r="G156" s="52">
        <v>940000</v>
      </c>
      <c r="I156" s="52" t="s">
        <v>2804</v>
      </c>
    </row>
    <row r="157" spans="1:9" x14ac:dyDescent="0.3">
      <c r="A157">
        <v>156</v>
      </c>
      <c r="B157">
        <v>3</v>
      </c>
      <c r="D157" s="197" t="s">
        <v>2212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2214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2671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2286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2297</v>
      </c>
      <c r="F162" s="52">
        <v>800000</v>
      </c>
    </row>
    <row r="163" spans="1:9" x14ac:dyDescent="0.3">
      <c r="A163">
        <v>162</v>
      </c>
      <c r="D163" s="197" t="s">
        <v>2303</v>
      </c>
      <c r="F163" s="52">
        <v>900000</v>
      </c>
    </row>
    <row r="164" spans="1:9" x14ac:dyDescent="0.3">
      <c r="A164">
        <v>163</v>
      </c>
      <c r="D164" s="197" t="s">
        <v>2314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2330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2328</v>
      </c>
      <c r="E166" s="197">
        <v>1087327175</v>
      </c>
      <c r="F166" s="52">
        <v>90000</v>
      </c>
      <c r="G166" s="52">
        <v>65000</v>
      </c>
      <c r="I166" s="52" t="s">
        <v>2329</v>
      </c>
    </row>
    <row r="167" spans="1:9" x14ac:dyDescent="0.3">
      <c r="A167">
        <v>166</v>
      </c>
      <c r="B167">
        <v>3</v>
      </c>
      <c r="C167" s="198" t="s">
        <v>2331</v>
      </c>
      <c r="D167" s="197" t="s">
        <v>2332</v>
      </c>
      <c r="E167" s="197" t="s">
        <v>2331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2557</v>
      </c>
      <c r="D168" s="197" t="s">
        <v>2558</v>
      </c>
      <c r="E168" s="197" t="s">
        <v>2557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2348</v>
      </c>
      <c r="F170" s="52">
        <v>1600000</v>
      </c>
    </row>
    <row r="171" spans="1:9" x14ac:dyDescent="0.3">
      <c r="A171">
        <v>170</v>
      </c>
      <c r="D171" s="197" t="s">
        <v>2376</v>
      </c>
      <c r="F171" s="52">
        <v>1200000</v>
      </c>
    </row>
    <row r="172" spans="1:9" x14ac:dyDescent="0.3">
      <c r="A172">
        <v>171</v>
      </c>
      <c r="D172" s="197" t="s">
        <v>2357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2385</v>
      </c>
      <c r="D174" s="197" t="s">
        <v>2386</v>
      </c>
      <c r="E174" s="197" t="s">
        <v>2385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2771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2403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2407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3026</v>
      </c>
      <c r="D179" s="197" t="s">
        <v>3027</v>
      </c>
      <c r="E179" s="197" t="s">
        <v>3026</v>
      </c>
      <c r="F179" s="52">
        <v>450000</v>
      </c>
      <c r="I179" s="52" t="s">
        <v>3028</v>
      </c>
    </row>
    <row r="180" spans="1:9" x14ac:dyDescent="0.3">
      <c r="A180">
        <v>179</v>
      </c>
      <c r="D180" s="197" t="s">
        <v>2470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2472</v>
      </c>
      <c r="D181" s="197" t="s">
        <v>2473</v>
      </c>
      <c r="E181" s="197" t="s">
        <v>2472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2477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2497</v>
      </c>
      <c r="D184" s="197" t="s">
        <v>2498</v>
      </c>
      <c r="E184" s="197" t="s">
        <v>2497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2499</v>
      </c>
      <c r="D185" s="197" t="s">
        <v>2500</v>
      </c>
      <c r="E185" s="197" t="s">
        <v>2499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2537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2584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2951</v>
      </c>
      <c r="D191" s="197" t="s">
        <v>2952</v>
      </c>
      <c r="E191" s="197" t="s">
        <v>2951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2709</v>
      </c>
      <c r="D192" s="197" t="s">
        <v>2710</v>
      </c>
      <c r="E192" s="197" t="s">
        <v>2709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2718</v>
      </c>
      <c r="F193" s="52">
        <v>1100000</v>
      </c>
    </row>
    <row r="194" spans="1:9" x14ac:dyDescent="0.3">
      <c r="A194">
        <v>193</v>
      </c>
      <c r="D194" s="197" t="s">
        <v>2748</v>
      </c>
      <c r="F194" s="52">
        <v>1700000</v>
      </c>
    </row>
    <row r="195" spans="1:9" x14ac:dyDescent="0.3">
      <c r="A195">
        <v>194</v>
      </c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1:9" x14ac:dyDescent="0.3">
      <c r="A196">
        <v>195</v>
      </c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2842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2870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2872</v>
      </c>
      <c r="E199" s="197">
        <v>1094302044</v>
      </c>
      <c r="F199" s="52">
        <v>300000</v>
      </c>
      <c r="G199" s="52">
        <v>150000</v>
      </c>
      <c r="I199" s="52" t="s">
        <v>2873</v>
      </c>
    </row>
    <row r="200" spans="1:9" x14ac:dyDescent="0.3">
      <c r="A200">
        <v>199</v>
      </c>
      <c r="B200">
        <v>14</v>
      </c>
      <c r="C200" s="198" t="s">
        <v>2972</v>
      </c>
      <c r="D200" s="197" t="s">
        <v>2973</v>
      </c>
      <c r="E200" s="197" t="s">
        <v>2972</v>
      </c>
      <c r="F200" s="52">
        <v>300000</v>
      </c>
      <c r="G200" s="52">
        <v>150000</v>
      </c>
      <c r="I200" s="52" t="s">
        <v>2974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1799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2978</v>
      </c>
      <c r="D202" s="197" t="s">
        <v>2980</v>
      </c>
      <c r="E202" s="197" t="s">
        <v>2978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3070</v>
      </c>
      <c r="D203" s="197" t="s">
        <v>3071</v>
      </c>
      <c r="E203" s="197" t="s">
        <v>3070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3023</v>
      </c>
      <c r="D204" s="197" t="s">
        <v>3024</v>
      </c>
      <c r="E204" s="197" t="s">
        <v>3023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3025</v>
      </c>
      <c r="E205" s="197">
        <v>709013001</v>
      </c>
    </row>
    <row r="206" spans="1:9" x14ac:dyDescent="0.3">
      <c r="A206">
        <v>205</v>
      </c>
      <c r="D206" s="197" t="s">
        <v>3043</v>
      </c>
      <c r="F206" s="52">
        <v>50000</v>
      </c>
    </row>
    <row r="207" spans="1:9" x14ac:dyDescent="0.3">
      <c r="A207">
        <v>206</v>
      </c>
      <c r="D207" s="197" t="s">
        <v>3072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1:6" x14ac:dyDescent="0.3">
      <c r="A209">
        <v>208</v>
      </c>
      <c r="B209">
        <v>14</v>
      </c>
      <c r="D209" s="197" t="s">
        <v>3088</v>
      </c>
      <c r="F209" s="52">
        <v>1000000</v>
      </c>
    </row>
    <row r="210" spans="1:6" x14ac:dyDescent="0.3">
      <c r="A210">
        <v>209</v>
      </c>
      <c r="B210">
        <v>4</v>
      </c>
      <c r="C210" s="198" t="s">
        <v>3108</v>
      </c>
      <c r="D210" s="197" t="s">
        <v>3109</v>
      </c>
      <c r="E210" s="197" t="s">
        <v>3108</v>
      </c>
      <c r="F210" s="52">
        <v>500000</v>
      </c>
    </row>
    <row r="211" spans="1:6" x14ac:dyDescent="0.3">
      <c r="A211">
        <v>210</v>
      </c>
      <c r="B211">
        <v>2</v>
      </c>
      <c r="C211" s="198">
        <v>33108841535</v>
      </c>
      <c r="D211" s="197" t="s">
        <v>3112</v>
      </c>
      <c r="E211" s="197">
        <v>33108841535</v>
      </c>
      <c r="F211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2606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2250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1998</v>
      </c>
      <c r="D5" s="197" t="s">
        <v>1997</v>
      </c>
      <c r="E5" s="197" t="s">
        <v>1998</v>
      </c>
      <c r="F5" s="52">
        <v>1000000</v>
      </c>
    </row>
    <row r="6" spans="1:9" x14ac:dyDescent="0.3">
      <c r="A6">
        <v>5</v>
      </c>
      <c r="C6" s="197"/>
      <c r="D6" s="197" t="s">
        <v>1678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1782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2609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1692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2792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2796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2258</v>
      </c>
      <c r="F19" s="52">
        <v>150000</v>
      </c>
    </row>
    <row r="20" spans="1:6" x14ac:dyDescent="0.3">
      <c r="A20">
        <v>19</v>
      </c>
      <c r="D20" s="197" t="s">
        <v>2256</v>
      </c>
      <c r="F20" s="52">
        <v>100000</v>
      </c>
    </row>
    <row r="21" spans="1:6" x14ac:dyDescent="0.3">
      <c r="A21">
        <v>20</v>
      </c>
      <c r="D21" s="197" t="s">
        <v>1690</v>
      </c>
      <c r="F21" s="52">
        <v>230000</v>
      </c>
    </row>
    <row r="22" spans="1:6" x14ac:dyDescent="0.3">
      <c r="A22">
        <v>21</v>
      </c>
      <c r="D22" s="197" t="s">
        <v>2240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2252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2252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2241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2235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2041</v>
      </c>
      <c r="D27" s="197" t="s">
        <v>1683</v>
      </c>
      <c r="E27" s="197" t="s">
        <v>2041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1800</v>
      </c>
      <c r="D31" s="197" t="s">
        <v>2272</v>
      </c>
      <c r="E31" s="197" t="s">
        <v>1800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2549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2666</v>
      </c>
      <c r="D34" s="197" t="s">
        <v>2667</v>
      </c>
      <c r="E34" s="197" t="s">
        <v>2666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2234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1684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1716</v>
      </c>
      <c r="D39" s="197" t="s">
        <v>2243</v>
      </c>
      <c r="E39" s="197" t="s">
        <v>1716</v>
      </c>
      <c r="F39" s="52">
        <v>130000</v>
      </c>
    </row>
    <row r="40" spans="1:6" x14ac:dyDescent="0.3">
      <c r="A40">
        <v>39</v>
      </c>
      <c r="C40" s="198" t="s">
        <v>1765</v>
      </c>
      <c r="D40" s="197" t="s">
        <v>1766</v>
      </c>
      <c r="E40" s="197" t="s">
        <v>1765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2259</v>
      </c>
      <c r="F45" s="52">
        <v>1600000</v>
      </c>
    </row>
    <row r="46" spans="1:6" x14ac:dyDescent="0.3">
      <c r="A46">
        <v>45</v>
      </c>
      <c r="D46" s="197" t="s">
        <v>2244</v>
      </c>
      <c r="F46" s="52">
        <v>100000</v>
      </c>
    </row>
    <row r="47" spans="1:6" x14ac:dyDescent="0.3">
      <c r="A47">
        <v>46</v>
      </c>
      <c r="C47" s="198" t="s">
        <v>2832</v>
      </c>
      <c r="D47" s="197" t="s">
        <v>2396</v>
      </c>
      <c r="E47" s="197" t="s">
        <v>2832</v>
      </c>
      <c r="F47" s="52">
        <v>350000</v>
      </c>
    </row>
    <row r="48" spans="1:6" x14ac:dyDescent="0.3">
      <c r="A48">
        <v>47</v>
      </c>
      <c r="D48" s="197" t="s">
        <v>2260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1859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1685</v>
      </c>
      <c r="D57" s="197" t="s">
        <v>2016</v>
      </c>
      <c r="E57" s="197" t="s">
        <v>1685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2869</v>
      </c>
      <c r="D59" s="197" t="s">
        <v>2261</v>
      </c>
      <c r="E59" s="197" t="s">
        <v>2869</v>
      </c>
      <c r="F59" s="52">
        <v>1100000</v>
      </c>
    </row>
    <row r="60" spans="1:6" x14ac:dyDescent="0.3">
      <c r="A60">
        <v>59</v>
      </c>
      <c r="C60" s="198" t="s">
        <v>1687</v>
      </c>
      <c r="D60" s="197" t="s">
        <v>1399</v>
      </c>
      <c r="E60" s="197" t="s">
        <v>1687</v>
      </c>
      <c r="F60" s="52">
        <v>1100000</v>
      </c>
    </row>
    <row r="61" spans="1:6" x14ac:dyDescent="0.3">
      <c r="A61">
        <v>60</v>
      </c>
      <c r="C61" s="198" t="s">
        <v>1688</v>
      </c>
      <c r="D61" s="197" t="s">
        <v>1689</v>
      </c>
      <c r="E61" s="197" t="s">
        <v>1688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2794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2609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</row>
    <row r="65" spans="1:6" x14ac:dyDescent="0.3">
      <c r="A65">
        <v>64</v>
      </c>
      <c r="D65" s="197" t="s">
        <v>1667</v>
      </c>
      <c r="F65" s="52">
        <v>27000</v>
      </c>
    </row>
    <row r="66" spans="1:6" x14ac:dyDescent="0.3">
      <c r="A66">
        <v>65</v>
      </c>
      <c r="D66" s="197" t="s">
        <v>1674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2245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2245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1691</v>
      </c>
      <c r="F69" s="52">
        <v>150000</v>
      </c>
    </row>
    <row r="70" spans="1:6" x14ac:dyDescent="0.3">
      <c r="A70">
        <v>69</v>
      </c>
      <c r="D70" s="197" t="s">
        <v>1691</v>
      </c>
      <c r="F70" s="52">
        <v>200000</v>
      </c>
    </row>
    <row r="71" spans="1:6" x14ac:dyDescent="0.3">
      <c r="A71">
        <v>70</v>
      </c>
      <c r="D71" s="197" t="s">
        <v>1699</v>
      </c>
      <c r="F71" s="52">
        <v>250000</v>
      </c>
    </row>
    <row r="72" spans="1:6" x14ac:dyDescent="0.3">
      <c r="A72">
        <v>71</v>
      </c>
      <c r="D72" s="197" t="s">
        <v>1706</v>
      </c>
      <c r="F72" s="52">
        <v>1850000</v>
      </c>
    </row>
    <row r="73" spans="1:6" x14ac:dyDescent="0.3">
      <c r="A73">
        <v>72</v>
      </c>
      <c r="C73" s="198" t="s">
        <v>2668</v>
      </c>
      <c r="D73" s="197" t="s">
        <v>2669</v>
      </c>
      <c r="E73" s="197" t="s">
        <v>2668</v>
      </c>
      <c r="F73" s="52">
        <v>1500000</v>
      </c>
    </row>
    <row r="74" spans="1:6" x14ac:dyDescent="0.3">
      <c r="A74">
        <v>73</v>
      </c>
      <c r="C74" s="198" t="s">
        <v>1717</v>
      </c>
      <c r="D74" s="197" t="s">
        <v>2253</v>
      </c>
      <c r="E74" s="197" t="s">
        <v>1717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1809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1811</v>
      </c>
      <c r="F76" s="52">
        <v>200000</v>
      </c>
    </row>
    <row r="77" spans="1:6" x14ac:dyDescent="0.3">
      <c r="A77">
        <v>76</v>
      </c>
      <c r="D77" s="197" t="s">
        <v>2254</v>
      </c>
      <c r="F77" s="52">
        <v>130000</v>
      </c>
    </row>
    <row r="78" spans="1:6" x14ac:dyDescent="0.3">
      <c r="A78">
        <v>77</v>
      </c>
      <c r="C78" s="198" t="s">
        <v>1731</v>
      </c>
      <c r="D78" s="197" t="s">
        <v>1746</v>
      </c>
      <c r="E78" s="197" t="s">
        <v>1731</v>
      </c>
      <c r="F78" s="52">
        <v>20000</v>
      </c>
    </row>
    <row r="79" spans="1:6" x14ac:dyDescent="0.3">
      <c r="A79">
        <v>78</v>
      </c>
      <c r="D79" s="197" t="s">
        <v>1718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1725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2255</v>
      </c>
      <c r="F81" s="52">
        <v>10000</v>
      </c>
    </row>
    <row r="82" spans="1:6" x14ac:dyDescent="0.3">
      <c r="A82">
        <v>81</v>
      </c>
      <c r="D82" s="197" t="s">
        <v>1719</v>
      </c>
      <c r="F82" s="52">
        <v>130000</v>
      </c>
    </row>
    <row r="83" spans="1:6" x14ac:dyDescent="0.3">
      <c r="A83">
        <v>82</v>
      </c>
      <c r="D83" s="197" t="s">
        <v>1729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1739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1744</v>
      </c>
      <c r="E85" s="197">
        <v>24137519344</v>
      </c>
    </row>
    <row r="86" spans="1:6" x14ac:dyDescent="0.3">
      <c r="A86">
        <v>85</v>
      </c>
      <c r="C86" s="198" t="s">
        <v>2871</v>
      </c>
      <c r="D86" s="197" t="s">
        <v>2857</v>
      </c>
      <c r="E86" s="197" t="s">
        <v>2871</v>
      </c>
      <c r="F86" s="52">
        <v>129000</v>
      </c>
    </row>
    <row r="87" spans="1:6" x14ac:dyDescent="0.3">
      <c r="A87">
        <v>86</v>
      </c>
      <c r="C87" s="198" t="s">
        <v>1742</v>
      </c>
      <c r="D87" s="197" t="s">
        <v>1743</v>
      </c>
      <c r="E87" s="197" t="s">
        <v>1742</v>
      </c>
      <c r="F87" s="52">
        <v>50000</v>
      </c>
    </row>
    <row r="88" spans="1:6" x14ac:dyDescent="0.3">
      <c r="A88">
        <v>87</v>
      </c>
      <c r="C88" s="198" t="s">
        <v>1753</v>
      </c>
      <c r="D88" s="197" t="s">
        <v>1754</v>
      </c>
      <c r="E88" s="197" t="s">
        <v>1753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1761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1762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1756</v>
      </c>
      <c r="D91" s="197" t="s">
        <v>2280</v>
      </c>
      <c r="E91" s="197" t="s">
        <v>1756</v>
      </c>
      <c r="F91" s="52">
        <v>250000</v>
      </c>
    </row>
    <row r="92" spans="1:6" x14ac:dyDescent="0.3">
      <c r="A92">
        <v>91</v>
      </c>
      <c r="C92" s="198" t="s">
        <v>1758</v>
      </c>
      <c r="D92" s="197" t="s">
        <v>2238</v>
      </c>
      <c r="E92" s="197" t="s">
        <v>1758</v>
      </c>
      <c r="F92" s="52">
        <v>60000</v>
      </c>
    </row>
    <row r="93" spans="1:6" x14ac:dyDescent="0.3">
      <c r="A93">
        <v>92</v>
      </c>
      <c r="D93" s="197" t="s">
        <v>1768</v>
      </c>
      <c r="F93" s="52">
        <v>200000</v>
      </c>
    </row>
    <row r="94" spans="1:6" x14ac:dyDescent="0.3">
      <c r="A94">
        <v>93</v>
      </c>
      <c r="C94" s="198" t="s">
        <v>1770</v>
      </c>
      <c r="D94" s="197" t="s">
        <v>2246</v>
      </c>
      <c r="E94" s="197" t="s">
        <v>1770</v>
      </c>
      <c r="F94" s="52">
        <v>30000</v>
      </c>
    </row>
    <row r="95" spans="1:6" x14ac:dyDescent="0.3">
      <c r="A95">
        <v>94</v>
      </c>
      <c r="C95" s="198" t="s">
        <v>1771</v>
      </c>
      <c r="D95" s="197" t="s">
        <v>2247</v>
      </c>
      <c r="E95" s="197" t="s">
        <v>1771</v>
      </c>
      <c r="F95" s="52">
        <v>10000</v>
      </c>
    </row>
    <row r="96" spans="1:6" x14ac:dyDescent="0.3">
      <c r="A96">
        <v>95</v>
      </c>
      <c r="C96" s="198" t="s">
        <v>1822</v>
      </c>
      <c r="D96" s="197" t="s">
        <v>2248</v>
      </c>
      <c r="E96" s="197" t="s">
        <v>1822</v>
      </c>
      <c r="F96" s="52">
        <v>10000</v>
      </c>
    </row>
    <row r="97" spans="1:6" x14ac:dyDescent="0.3">
      <c r="A97">
        <v>96</v>
      </c>
      <c r="C97" s="198" t="s">
        <v>1772</v>
      </c>
      <c r="D97" s="197" t="s">
        <v>1773</v>
      </c>
      <c r="E97" s="197" t="s">
        <v>1772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1774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2963</v>
      </c>
      <c r="D99" s="197" t="s">
        <v>2583</v>
      </c>
      <c r="E99" s="197" t="s">
        <v>2963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1776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1776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1779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1779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1794</v>
      </c>
      <c r="D104" s="197" t="s">
        <v>2236</v>
      </c>
      <c r="E104" s="197" t="s">
        <v>1794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1869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1791</v>
      </c>
      <c r="D106" s="197" t="s">
        <v>1234</v>
      </c>
      <c r="E106" s="197" t="s">
        <v>1791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1798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2140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1803</v>
      </c>
      <c r="D109" s="197" t="s">
        <v>1804</v>
      </c>
      <c r="E109" s="197" t="s">
        <v>1803</v>
      </c>
      <c r="F109" s="52">
        <v>25000</v>
      </c>
    </row>
    <row r="110" spans="1:6" x14ac:dyDescent="0.3">
      <c r="A110">
        <v>109</v>
      </c>
      <c r="C110" s="198" t="s">
        <v>1806</v>
      </c>
      <c r="D110" s="197" t="s">
        <v>1804</v>
      </c>
      <c r="E110" s="197" t="s">
        <v>1806</v>
      </c>
      <c r="F110" s="52">
        <v>65000</v>
      </c>
    </row>
    <row r="111" spans="1:6" x14ac:dyDescent="0.3">
      <c r="A111">
        <v>110</v>
      </c>
      <c r="C111" s="198" t="s">
        <v>1808</v>
      </c>
      <c r="D111" s="197" t="s">
        <v>1595</v>
      </c>
      <c r="E111" s="197" t="s">
        <v>1808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1857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2294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1857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1872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1897</v>
      </c>
      <c r="D117" s="197" t="s">
        <v>1898</v>
      </c>
      <c r="E117" s="197" t="s">
        <v>1897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1919</v>
      </c>
      <c r="D120" s="197" t="s">
        <v>1920</v>
      </c>
      <c r="E120" s="197" t="s">
        <v>1919</v>
      </c>
      <c r="F120" s="52">
        <v>10000</v>
      </c>
    </row>
    <row r="121" spans="1:6" x14ac:dyDescent="0.3">
      <c r="A121">
        <v>120</v>
      </c>
      <c r="D121" s="197" t="s">
        <v>1939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1959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1959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1965</v>
      </c>
      <c r="F125" s="52">
        <v>2000000</v>
      </c>
    </row>
    <row r="126" spans="1:6" x14ac:dyDescent="0.3"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6" x14ac:dyDescent="0.3">
      <c r="D127" s="197" t="s">
        <v>1972</v>
      </c>
      <c r="F127" s="52">
        <v>1200000</v>
      </c>
    </row>
    <row r="128" spans="1:6" x14ac:dyDescent="0.3">
      <c r="C128" s="198" t="s">
        <v>1985</v>
      </c>
      <c r="D128" s="197" t="s">
        <v>1986</v>
      </c>
      <c r="E128" s="197" t="s">
        <v>1985</v>
      </c>
      <c r="F128" s="52">
        <v>1200000</v>
      </c>
    </row>
    <row r="129" spans="3:6" x14ac:dyDescent="0.3">
      <c r="C129" s="198" t="s">
        <v>1983</v>
      </c>
      <c r="D129" s="197" t="s">
        <v>1984</v>
      </c>
      <c r="E129" s="197" t="s">
        <v>1983</v>
      </c>
      <c r="F129" s="52">
        <v>1000000</v>
      </c>
    </row>
    <row r="130" spans="3:6" x14ac:dyDescent="0.3"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3:6" x14ac:dyDescent="0.3">
      <c r="C131" s="198" t="s">
        <v>1996</v>
      </c>
      <c r="D131" s="197" t="s">
        <v>1995</v>
      </c>
      <c r="E131" s="197" t="s">
        <v>1996</v>
      </c>
      <c r="F131" s="52">
        <v>250000</v>
      </c>
    </row>
    <row r="132" spans="3:6" x14ac:dyDescent="0.3">
      <c r="D132" s="197" t="s">
        <v>1999</v>
      </c>
      <c r="F132" s="52">
        <v>50000</v>
      </c>
    </row>
    <row r="133" spans="3:6" x14ac:dyDescent="0.3">
      <c r="D133" s="197" t="s">
        <v>2005</v>
      </c>
      <c r="F133" s="52">
        <v>1600000</v>
      </c>
    </row>
    <row r="134" spans="3:6" x14ac:dyDescent="0.3">
      <c r="D134" s="197" t="s">
        <v>2249</v>
      </c>
      <c r="F134" s="52">
        <v>600000</v>
      </c>
    </row>
    <row r="135" spans="3:6" x14ac:dyDescent="0.3"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3:6" x14ac:dyDescent="0.3">
      <c r="D136" s="197" t="s">
        <v>2032</v>
      </c>
      <c r="F136" s="52">
        <v>150000</v>
      </c>
    </row>
    <row r="137" spans="3:6" x14ac:dyDescent="0.3"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3:6" x14ac:dyDescent="0.3">
      <c r="D138" s="197" t="s">
        <v>2057</v>
      </c>
      <c r="F138" s="52">
        <v>2000000</v>
      </c>
    </row>
    <row r="139" spans="3:6" x14ac:dyDescent="0.3"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3:6" x14ac:dyDescent="0.3">
      <c r="D140" s="197" t="s">
        <v>2076</v>
      </c>
      <c r="F140" s="52">
        <v>84000</v>
      </c>
    </row>
    <row r="141" spans="3:6" x14ac:dyDescent="0.3">
      <c r="D141" s="197" t="s">
        <v>2079</v>
      </c>
      <c r="F141" s="52">
        <v>1000000</v>
      </c>
    </row>
    <row r="142" spans="3:6" x14ac:dyDescent="0.3"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3:6" x14ac:dyDescent="0.3">
      <c r="D144" s="197" t="s">
        <v>2096</v>
      </c>
      <c r="F144" s="52">
        <v>900000</v>
      </c>
    </row>
    <row r="145" spans="3:6" x14ac:dyDescent="0.3">
      <c r="C145" s="198" t="s">
        <v>1957</v>
      </c>
      <c r="D145" s="197" t="s">
        <v>2194</v>
      </c>
      <c r="E145" s="197" t="s">
        <v>1957</v>
      </c>
      <c r="F145" s="52">
        <v>20000</v>
      </c>
    </row>
    <row r="146" spans="3:6" x14ac:dyDescent="0.3">
      <c r="C146" s="198">
        <v>24347588724</v>
      </c>
      <c r="D146" s="197" t="s">
        <v>2111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2161</v>
      </c>
      <c r="E149" s="197">
        <v>36050661</v>
      </c>
      <c r="F149" s="52">
        <v>1200000</v>
      </c>
    </row>
    <row r="150" spans="3:6" x14ac:dyDescent="0.3">
      <c r="C150" s="198" t="s">
        <v>2672</v>
      </c>
      <c r="D150" s="197" t="s">
        <v>2400</v>
      </c>
      <c r="E150" s="197" t="s">
        <v>2672</v>
      </c>
      <c r="F150" s="52">
        <v>65000</v>
      </c>
    </row>
    <row r="151" spans="3:6" x14ac:dyDescent="0.3">
      <c r="C151" s="198">
        <v>6058008211</v>
      </c>
      <c r="D151" s="197" t="s">
        <v>2090</v>
      </c>
      <c r="E151" s="197">
        <v>6058008211</v>
      </c>
    </row>
    <row r="152" spans="3:6" x14ac:dyDescent="0.3">
      <c r="D152" s="197" t="s">
        <v>2179</v>
      </c>
      <c r="F152" s="52">
        <v>200000</v>
      </c>
    </row>
    <row r="153" spans="3:6" x14ac:dyDescent="0.3">
      <c r="D153" s="197" t="s">
        <v>2180</v>
      </c>
      <c r="F153" s="52">
        <v>250000</v>
      </c>
    </row>
    <row r="154" spans="3:6" x14ac:dyDescent="0.3"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3:6" x14ac:dyDescent="0.3">
      <c r="D156" s="197" t="s">
        <v>2210</v>
      </c>
      <c r="F156" s="52">
        <v>990000</v>
      </c>
    </row>
    <row r="157" spans="3:6" x14ac:dyDescent="0.3">
      <c r="D157" s="197" t="s">
        <v>2212</v>
      </c>
      <c r="F157" s="52">
        <v>1000000</v>
      </c>
    </row>
    <row r="158" spans="3:6" x14ac:dyDescent="0.3">
      <c r="D158" s="197" t="s">
        <v>2214</v>
      </c>
      <c r="F158" s="52">
        <v>1200000</v>
      </c>
    </row>
    <row r="159" spans="3:6" x14ac:dyDescent="0.3"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3:6" x14ac:dyDescent="0.3">
      <c r="D160" s="197" t="s">
        <v>2671</v>
      </c>
      <c r="F160" s="52">
        <v>500000</v>
      </c>
    </row>
    <row r="161" spans="3:6" x14ac:dyDescent="0.3">
      <c r="D161" s="197" t="s">
        <v>2286</v>
      </c>
      <c r="F161" s="52">
        <v>150000</v>
      </c>
    </row>
    <row r="162" spans="3:6" x14ac:dyDescent="0.3">
      <c r="D162" s="197" t="s">
        <v>2297</v>
      </c>
      <c r="F162" s="52">
        <v>800000</v>
      </c>
    </row>
    <row r="163" spans="3:6" x14ac:dyDescent="0.3">
      <c r="D163" s="197" t="s">
        <v>2303</v>
      </c>
      <c r="F163" s="52">
        <v>900000</v>
      </c>
    </row>
    <row r="164" spans="3:6" x14ac:dyDescent="0.3">
      <c r="D164" s="197" t="s">
        <v>2314</v>
      </c>
      <c r="F164" s="52">
        <v>900000</v>
      </c>
    </row>
    <row r="165" spans="3:6" x14ac:dyDescent="0.3">
      <c r="C165" s="198">
        <v>1068327224</v>
      </c>
      <c r="D165" s="197" t="s">
        <v>2330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2328</v>
      </c>
      <c r="E166" s="197">
        <v>1087327175</v>
      </c>
      <c r="F166" s="52">
        <v>90000</v>
      </c>
    </row>
    <row r="167" spans="3:6" x14ac:dyDescent="0.3">
      <c r="C167" s="198" t="s">
        <v>2331</v>
      </c>
      <c r="D167" s="197" t="s">
        <v>2332</v>
      </c>
      <c r="E167" s="197" t="s">
        <v>2331</v>
      </c>
      <c r="F167" s="52">
        <v>350000</v>
      </c>
    </row>
    <row r="168" spans="3:6" x14ac:dyDescent="0.3">
      <c r="C168" s="198" t="s">
        <v>2557</v>
      </c>
      <c r="D168" s="197" t="s">
        <v>2558</v>
      </c>
      <c r="E168" s="197" t="s">
        <v>2557</v>
      </c>
      <c r="F168" s="52">
        <v>450000</v>
      </c>
    </row>
    <row r="169" spans="3:6" x14ac:dyDescent="0.3"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3:6" x14ac:dyDescent="0.3">
      <c r="D170" s="197" t="s">
        <v>2348</v>
      </c>
      <c r="F170" s="52">
        <v>1600000</v>
      </c>
    </row>
    <row r="171" spans="3:6" x14ac:dyDescent="0.3">
      <c r="D171" s="197" t="s">
        <v>2376</v>
      </c>
      <c r="F171" s="52">
        <v>1200000</v>
      </c>
    </row>
    <row r="172" spans="3:6" x14ac:dyDescent="0.3">
      <c r="D172" s="197" t="s">
        <v>2357</v>
      </c>
      <c r="F172" s="52">
        <v>650000</v>
      </c>
    </row>
    <row r="173" spans="3:6" x14ac:dyDescent="0.3"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3:6" x14ac:dyDescent="0.3">
      <c r="C174" s="198" t="s">
        <v>2385</v>
      </c>
      <c r="D174" s="197" t="s">
        <v>2386</v>
      </c>
      <c r="E174" s="197" t="s">
        <v>2385</v>
      </c>
      <c r="F174" s="52">
        <v>990000</v>
      </c>
    </row>
    <row r="175" spans="3:6" x14ac:dyDescent="0.3"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2771</v>
      </c>
      <c r="E176" s="197">
        <v>1087298437</v>
      </c>
      <c r="F176" s="52">
        <v>86000</v>
      </c>
    </row>
    <row r="177" spans="3:6" x14ac:dyDescent="0.3">
      <c r="D177" s="197" t="s">
        <v>2403</v>
      </c>
      <c r="F177" s="52">
        <v>150000</v>
      </c>
    </row>
    <row r="178" spans="3:6" x14ac:dyDescent="0.3">
      <c r="C178" s="198">
        <v>24046895</v>
      </c>
      <c r="D178" s="197" t="s">
        <v>2407</v>
      </c>
      <c r="E178" s="197">
        <v>24046895</v>
      </c>
      <c r="F178" s="52">
        <v>120000</v>
      </c>
    </row>
    <row r="179" spans="3:6" x14ac:dyDescent="0.3">
      <c r="C179" s="198" t="s">
        <v>3026</v>
      </c>
      <c r="D179" s="197" t="s">
        <v>3027</v>
      </c>
      <c r="E179" s="197" t="s">
        <v>3026</v>
      </c>
      <c r="F179" s="52">
        <v>450000</v>
      </c>
    </row>
    <row r="180" spans="3:6" x14ac:dyDescent="0.3">
      <c r="D180" s="197" t="s">
        <v>2470</v>
      </c>
      <c r="F180" s="52">
        <v>600000</v>
      </c>
    </row>
    <row r="181" spans="3:6" x14ac:dyDescent="0.3">
      <c r="C181" s="198" t="s">
        <v>2472</v>
      </c>
      <c r="D181" s="197" t="s">
        <v>2473</v>
      </c>
      <c r="E181" s="197" t="s">
        <v>2472</v>
      </c>
      <c r="F181" s="52">
        <v>850000</v>
      </c>
    </row>
    <row r="182" spans="3:6" x14ac:dyDescent="0.3">
      <c r="D182" s="197" t="s">
        <v>2477</v>
      </c>
      <c r="F182" s="52">
        <v>200000</v>
      </c>
    </row>
    <row r="183" spans="3:6" x14ac:dyDescent="0.3"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3:6" x14ac:dyDescent="0.3">
      <c r="C184" s="198" t="s">
        <v>2497</v>
      </c>
      <c r="D184" s="197" t="s">
        <v>2498</v>
      </c>
      <c r="E184" s="197" t="s">
        <v>2497</v>
      </c>
      <c r="F184" s="52">
        <v>650000</v>
      </c>
    </row>
    <row r="185" spans="3:6" x14ac:dyDescent="0.3">
      <c r="C185" s="198" t="s">
        <v>2499</v>
      </c>
      <c r="D185" s="197" t="s">
        <v>2500</v>
      </c>
      <c r="E185" s="197" t="s">
        <v>2499</v>
      </c>
      <c r="F185" s="52">
        <v>100000</v>
      </c>
    </row>
    <row r="186" spans="3:6" x14ac:dyDescent="0.3">
      <c r="D186" s="197" t="s">
        <v>2537</v>
      </c>
      <c r="F186" s="52">
        <v>850000</v>
      </c>
    </row>
    <row r="187" spans="3:6" x14ac:dyDescent="0.3">
      <c r="D187" s="197" t="s">
        <v>2584</v>
      </c>
      <c r="F187" s="52">
        <v>500000</v>
      </c>
    </row>
    <row r="188" spans="3:6" x14ac:dyDescent="0.3"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3:6" x14ac:dyDescent="0.3"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3:6" x14ac:dyDescent="0.3">
      <c r="C191" s="198" t="s">
        <v>2951</v>
      </c>
      <c r="D191" s="197" t="s">
        <v>2952</v>
      </c>
      <c r="E191" s="197" t="s">
        <v>2951</v>
      </c>
      <c r="F191" s="52">
        <v>1600000</v>
      </c>
    </row>
    <row r="192" spans="3:6" x14ac:dyDescent="0.3">
      <c r="C192" s="198" t="s">
        <v>2709</v>
      </c>
      <c r="D192" s="197" t="s">
        <v>2710</v>
      </c>
      <c r="E192" s="197" t="s">
        <v>2709</v>
      </c>
      <c r="F192" s="52">
        <v>1500000</v>
      </c>
    </row>
    <row r="193" spans="3:6" x14ac:dyDescent="0.3">
      <c r="D193" s="197" t="s">
        <v>2718</v>
      </c>
      <c r="F193" s="52">
        <v>1100000</v>
      </c>
    </row>
    <row r="194" spans="3:6" x14ac:dyDescent="0.3">
      <c r="D194" s="197" t="s">
        <v>2748</v>
      </c>
      <c r="F194" s="52">
        <v>1700000</v>
      </c>
    </row>
    <row r="195" spans="3:6" x14ac:dyDescent="0.3"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3:6" x14ac:dyDescent="0.3"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3:6" x14ac:dyDescent="0.3">
      <c r="D197" s="197" t="s">
        <v>2842</v>
      </c>
      <c r="F197" s="52">
        <v>150000</v>
      </c>
    </row>
    <row r="198" spans="3:6" x14ac:dyDescent="0.3">
      <c r="C198" s="198">
        <v>7252703114</v>
      </c>
      <c r="D198" s="197" t="s">
        <v>2870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2872</v>
      </c>
      <c r="E199" s="197">
        <v>1094302044</v>
      </c>
      <c r="F199" s="52">
        <v>300000</v>
      </c>
    </row>
    <row r="200" spans="3:6" x14ac:dyDescent="0.3">
      <c r="C200" s="198" t="s">
        <v>2972</v>
      </c>
      <c r="D200" s="197" t="s">
        <v>2973</v>
      </c>
      <c r="E200" s="197" t="s">
        <v>2972</v>
      </c>
      <c r="F200" s="52">
        <v>300000</v>
      </c>
    </row>
    <row r="201" spans="3:6" x14ac:dyDescent="0.3">
      <c r="C201" s="198">
        <v>501220639</v>
      </c>
      <c r="D201" s="197" t="s">
        <v>1799</v>
      </c>
      <c r="E201" s="197">
        <v>501220639</v>
      </c>
      <c r="F201" s="52">
        <v>250000</v>
      </c>
    </row>
    <row r="202" spans="3:6" x14ac:dyDescent="0.3">
      <c r="C202" s="198" t="s">
        <v>2978</v>
      </c>
      <c r="D202" s="197" t="s">
        <v>2980</v>
      </c>
      <c r="E202" s="197" t="s">
        <v>2978</v>
      </c>
      <c r="F202" s="52">
        <v>75000</v>
      </c>
    </row>
    <row r="203" spans="3:6" x14ac:dyDescent="0.3">
      <c r="C203" s="198" t="s">
        <v>3070</v>
      </c>
      <c r="D203" s="197" t="s">
        <v>3071</v>
      </c>
      <c r="E203" s="197" t="s">
        <v>3070</v>
      </c>
      <c r="F203" s="52">
        <v>13000</v>
      </c>
    </row>
    <row r="204" spans="3:6" x14ac:dyDescent="0.3">
      <c r="C204" s="198" t="s">
        <v>3023</v>
      </c>
      <c r="D204" s="197" t="s">
        <v>3024</v>
      </c>
      <c r="E204" s="197" t="s">
        <v>3023</v>
      </c>
    </row>
    <row r="205" spans="3:6" x14ac:dyDescent="0.3">
      <c r="C205" s="198">
        <v>709013001</v>
      </c>
      <c r="D205" s="197" t="s">
        <v>3025</v>
      </c>
      <c r="E205" s="197">
        <v>709013001</v>
      </c>
    </row>
    <row r="206" spans="3:6" x14ac:dyDescent="0.3">
      <c r="D206" s="197" t="s">
        <v>3043</v>
      </c>
      <c r="F206" s="52">
        <v>50000</v>
      </c>
    </row>
    <row r="207" spans="3:6" x14ac:dyDescent="0.3">
      <c r="D207" s="197" t="s">
        <v>3072</v>
      </c>
      <c r="F207" s="52">
        <v>35000</v>
      </c>
    </row>
    <row r="208" spans="3:6" x14ac:dyDescent="0.3"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4:6" x14ac:dyDescent="0.3">
      <c r="D209" s="197" t="s">
        <v>3088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1769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1802</v>
      </c>
    </row>
    <row r="12" spans="1:3" x14ac:dyDescent="0.3">
      <c r="A12">
        <v>13</v>
      </c>
      <c r="B12" t="s">
        <v>1813</v>
      </c>
    </row>
    <row r="13" spans="1:3" x14ac:dyDescent="0.3">
      <c r="A13">
        <v>14</v>
      </c>
      <c r="B13" t="s">
        <v>1964</v>
      </c>
    </row>
    <row r="14" spans="1:3" x14ac:dyDescent="0.3">
      <c r="A14">
        <v>15</v>
      </c>
      <c r="B14" t="s">
        <v>2406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1737</v>
      </c>
      <c r="R1" t="s">
        <v>1736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1769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1815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1816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1817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1818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1819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1961</v>
      </c>
    </row>
    <row r="12" spans="1:20" x14ac:dyDescent="0.3">
      <c r="A12">
        <v>11</v>
      </c>
      <c r="B12" t="s">
        <v>1820</v>
      </c>
      <c r="C12">
        <v>11</v>
      </c>
      <c r="D12" t="s">
        <v>1447</v>
      </c>
      <c r="I12">
        <v>11</v>
      </c>
      <c r="J12" t="s">
        <v>2387</v>
      </c>
    </row>
    <row r="13" spans="1:20" x14ac:dyDescent="0.3">
      <c r="A13">
        <v>12</v>
      </c>
      <c r="B13" t="s">
        <v>1960</v>
      </c>
      <c r="C13">
        <v>12</v>
      </c>
      <c r="D13" t="s">
        <v>1448</v>
      </c>
      <c r="I13">
        <v>12</v>
      </c>
      <c r="J13" t="s">
        <v>2532</v>
      </c>
    </row>
    <row r="14" spans="1:20" x14ac:dyDescent="0.3">
      <c r="B14" t="s">
        <v>2207</v>
      </c>
      <c r="C14">
        <v>13</v>
      </c>
      <c r="D14" t="s">
        <v>1449</v>
      </c>
      <c r="I14">
        <v>13</v>
      </c>
      <c r="J14" t="s">
        <v>2739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1736</v>
      </c>
    </row>
    <row r="17" spans="3:12" x14ac:dyDescent="0.3">
      <c r="C17">
        <v>16</v>
      </c>
      <c r="D17" t="s">
        <v>1738</v>
      </c>
    </row>
    <row r="18" spans="3:12" x14ac:dyDescent="0.3">
      <c r="C18">
        <v>17</v>
      </c>
      <c r="D18" t="s">
        <v>1778</v>
      </c>
    </row>
    <row r="19" spans="3:12" x14ac:dyDescent="0.3">
      <c r="C19">
        <v>18</v>
      </c>
      <c r="D19" t="s">
        <v>1793</v>
      </c>
      <c r="H19">
        <v>2830513</v>
      </c>
      <c r="L19">
        <v>2830506</v>
      </c>
    </row>
    <row r="20" spans="3:12" x14ac:dyDescent="0.3">
      <c r="C20">
        <v>19</v>
      </c>
      <c r="D20" t="s">
        <v>1970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2474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2475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2476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2025-07-21T08:48:56Z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