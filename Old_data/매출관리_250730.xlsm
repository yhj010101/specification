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ACE5790-39EF-413C-BC2C-5D69068F2376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<sst xmlns="http://schemas.openxmlformats.org/spreadsheetml/2006/main" count="8749" uniqueCount="3262">
  <si>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</si>
  <si>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</si>
  <si>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</si>
  <si>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</si>
  <si>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</si>
  <si>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</si>
  <si>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</si>
  <si>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</si>
  <si>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</si>
  <si>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</si>
  <si>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</si>
  <si>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</si>
  <si>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</si>
  <si>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</si>
  <si>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</si>
  <si>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</si>
  <si>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</si>
  <si>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</si>
  <si>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</si>
  <si>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</si>
  <si>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</si>
  <si>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</si>
  <si>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</si>
  <si>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</si>
  <si>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</si>
  <si>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</si>
  <si>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</si>
  <si>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</si>
  <si>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</si>
  <si>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</si>
  <si>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</si>
  <si>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</si>
  <si>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</si>
  <si>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</si>
  <si>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</si>
  <si>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</si>
  <si>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</si>
  <si>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</si>
  <si>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</si>
  <si>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</si>
  <si>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</si>
  <si>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</si>
  <si>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</si>
  <si>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</si>
  <si>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</si>
  <si>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</si>
  <si>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</si>
  <si>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</si>
  <si>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</si>
  <si>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</si>
  <si>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</si>
  <si>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</si>
  <si>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</si>
  <si>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</si>
  <si>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</si>
  <si>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</si>
  <si>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</si>
  <si>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</si>
  <si>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</si>
  <si>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</si>
  <si>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</si>
  <si>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</si>
  <si>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</si>
  <si>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</si>
  <si>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</si>
  <si>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</si>
  <si>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</si>
  <si>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</si>
  <si>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</si>
  <si>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</si>
  <si>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</si>
  <si>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</si>
  <si>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</si>
  <si>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</si>
  <si>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</si>
  <si>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</si>
  <si>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</si>
  <si>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</si>
  <si>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</si>
  <si>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</si>
  <si>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</si>
  <si>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</si>
  <si>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</si>
  <si>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</si>
  <si>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</si>
  <si>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</si>
  <si>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</si>
  <si>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</si>
  <si>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</si>
  <si>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</si>
  <si>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</si>
  <si>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</si>
  <si>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</si>
  <si>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</si>
  <si>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</si>
  <si>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</si>
  <si>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</si>
  <si>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</si>
  <si>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</si>
  <si>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</si>
  <si>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</si>
  <si>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</si>
  <si>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</si>
  <si>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</si>
  <si>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</si>
  <si>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</si>
  <si>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</si>
  <si>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</si>
  <si>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</si>
  <si>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</si>
  <si>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</si>
  <si>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</si>
  <si>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</si>
  <si>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</si>
  <si>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</si>
  <si>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</si>
  <si>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</si>
  <si>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</si>
  <si>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</si>
  <si>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</si>
  <si>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</si>
  <si>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</si>
  <si>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</si>
  <si>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</si>
  <si>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</si>
  <si>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</si>
  <si>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</si>
  <si>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</si>
  <si>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</si>
  <si>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</si>
  <si>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</si>
  <si>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</si>
  <si>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</si>
  <si>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</si>
  <si>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</si>
  <si>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</si>
  <si>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</si>
  <si>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</si>
  <si>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</si>
  <si>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</si>
  <si>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</si>
  <si>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</si>
  <si>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</si>
  <si>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</si>
  <si>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</si>
  <si>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</si>
  <si>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</si>
  <si>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</si>
  <si>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</si>
  <si>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</si>
  <si>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</si>
  <si>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</si>
  <si>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</si>
  <si>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</si>
  <si>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</si>
  <si>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</si>
  <si>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</si>
  <si>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</si>
  <si>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</si>
  <si>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</si>
  <si>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</si>
  <si>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</si>
  <si>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</si>
  <si>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</si>
  <si>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</si>
  <si>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</si>
  <si>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</si>
  <si>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</si>
  <si>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</si>
  <si>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</si>
  <si>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</si>
  <si>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</si>
  <si>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</si>
  <si>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</si>
  <si>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</si>
  <si>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</si>
  <si>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</si>
  <si>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</si>
  <si>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</si>
  <si>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</si>
  <si>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</si>
  <si>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</si>
  <si>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</si>
  <si>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</si>
  <si>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</si>
  <si>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</si>
  <si>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</si>
  <si>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</si>
  <si>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</si>
  <si>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</si>
  <si>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</si>
  <si>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</si>
  <si>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</si>
  <si>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</si>
  <si>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</si>
  <si>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</si>
  <si>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</si>
  <si>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</si>
  <si>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</si>
  <si>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</si>
  <si>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</si>
  <si>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</si>
  <si>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</si>
  <si>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</si>
  <si>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</si>
  <si>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</si>
  <si>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</si>
  <si>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</si>
  <si>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</si>
  <si>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</si>
  <si>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</si>
  <si>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</si>
  <si>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</si>
  <si>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</si>
  <si>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</si>
  <si>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</si>
  <si>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</si>
  <si>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</si>
  <si>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</si>
  <si>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</si>
  <si>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</si>
  <si>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</si>
  <si>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</si>
  <si>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</si>
  <si>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</si>
  <si>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</si>
  <si>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</si>
  <si>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</si>
  <si>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</si>
  <si>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</si>
  <si>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</si>
  <si>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</si>
  <si>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</si>
  <si>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</si>
  <si>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</si>
  <si>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</si>
  <si>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</si>
  <si>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</si>
  <si>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</si>
  <si>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</si>
  <si>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</si>
  <si>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</si>
  <si>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</si>
  <si>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</si>
  <si>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</si>
  <si>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</si>
  <si>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</si>
  <si>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</si>
  <si>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</si>
  <si>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</si>
  <si>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</si>
  <si>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</si>
  <si>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</si>
  <si>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</si>
  <si>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</si>
  <si>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</si>
  <si>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</si>
  <si>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</si>
  <si>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</si>
  <si>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</si>
  <si>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</si>
  <si>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</si>
  <si>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</si>
  <si>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</si>
  <si>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</si>
  <si>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</si>
  <si>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</si>
  <si>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</si>
  <si>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</si>
  <si>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</si>
  <si>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</si>
  <si>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</si>
  <si>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</si>
  <si>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</si>
  <si>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</si>
  <si>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</si>
  <si>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</si>
  <si>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</si>
  <si>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</si>
  <si>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</si>
  <si>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</si>
  <si>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</si>
  <si>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</si>
  <si>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</si>
  <si>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</si>
  <si>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</si>
  <si>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</si>
  <si>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</si>
  <si>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</si>
  <si>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</si>
  <si>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</si>
  <si>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</si>
  <si>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</si>
  <si>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</si>
  <si>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</si>
  <si>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</si>
  <si>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</si>
  <si>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</si>
  <si>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</si>
  <si>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</si>
  <si>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</si>
  <si>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</si>
  <si>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</si>
  <si>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</si>
  <si>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</si>
  <si>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</si>
  <si>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</si>
  <si>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</si>
  <si>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</si>
  <si>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</si>
  <si>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</si>
  <si>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</si>
  <si>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</si>
  <si>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</si>
  <si>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</si>
  <si>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</si>
  <si>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</si>
  <si>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</si>
  <si>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</si>
  <si>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</si>
  <si>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</si>
  <si>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</si>
  <si>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</si>
  <si>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</si>
  <si>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</si>
  <si>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</si>
  <si>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</si>
  <si>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</si>
  <si>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</si>
  <si>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</si>
  <si>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</si>
  <si>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</si>
  <si>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</si>
  <si>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</si>
  <si>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</si>
  <si>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</si>
  <si>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</si>
  <si>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</si>
  <si>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</si>
  <si>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</si>
  <si>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</si>
  <si>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</si>
  <si>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</si>
  <si>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</si>
  <si>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</si>
  <si>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</si>
  <si>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</si>
  <si>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</si>
  <si>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</si>
  <si>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</si>
  <si>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</si>
  <si>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</si>
  <si>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</si>
  <si>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</si>
  <si>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</si>
  <si>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</si>
  <si>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</si>
  <si>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</si>
  <si>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</si>
  <si>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</si>
  <si>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</si>
  <si>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</si>
  <si>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</si>
  <si>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</si>
  <si>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</si>
  <si>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</si>
  <si>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</si>
  <si>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</si>
  <si>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</si>
  <si>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</si>
  <si>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</si>
  <si>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</si>
  <si>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</si>
  <si>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</si>
  <si>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</si>
  <si>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</si>
  <si>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</si>
  <si>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</si>
  <si>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</si>
  <si>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</si>
  <si>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</si>
  <si>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</si>
  <si>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</si>
  <si>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</si>
  <si>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</si>
  <si>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</si>
  <si>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</si>
  <si>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</si>
  <si>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</si>
  <si>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</si>
  <si>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</si>
  <si>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</si>
  <si>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</si>
  <si>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</si>
  <si>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</si>
  <si>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</si>
  <si>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</si>
  <si>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</si>
  <si>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</si>
  <si>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</si>
  <si>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</si>
  <si>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</si>
  <si>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</si>
  <si>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</si>
  <si>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</si>
  <si>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</si>
  <si>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</si>
  <si>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</si>
  <si>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</si>
  <si>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</si>
  <si>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</si>
  <si>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</si>
  <si>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</si>
  <si>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</si>
  <si>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</si>
  <si>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</si>
  <si>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</si>
  <si>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</si>
  <si>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</si>
  <si>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</si>
  <si>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</si>
  <si>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</si>
  <si>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</si>
  <si>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</si>
  <si>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</si>
  <si>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</si>
  <si>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</si>
  <si>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</si>
  <si>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</si>
  <si>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</si>
  <si>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</si>
  <si>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</si>
  <si>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</si>
  <si>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</si>
  <si>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</si>
  <si>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</si>
  <si>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</si>
  <si>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</si>
  <si>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</si>
  <si>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</si>
  <si>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</si>
  <si>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</si>
  <si>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</si>
  <si>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</si>
  <si>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</si>
  <si>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</si>
  <si>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</si>
  <si>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</si>
  <si>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</si>
  <si>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</si>
  <si>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</si>
  <si>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</si>
  <si>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</si>
  <si>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</si>
  <si>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</si>
  <si>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</si>
  <si>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</si>
  <si>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</si>
  <si>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</si>
  <si>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</si>
  <si>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</si>
  <si>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</si>
  <si>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</si>
  <si>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</si>
  <si>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</si>
  <si>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</si>
  <si>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</si>
  <si>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</si>
  <si>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</si>
  <si>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</si>
  <si>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</si>
  <si>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</si>
  <si>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</si>
  <si>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</si>
  <si>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</si>
  <si>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</si>
  <si>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</si>
  <si>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</si>
  <si>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</si>
  <si>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</si>
  <si>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</si>
  <si>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</si>
  <si>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</si>
  <si>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</si>
  <si>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</si>
  <si>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</si>
  <si>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</si>
  <si>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</si>
  <si>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</si>
  <si>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</si>
  <si>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</si>
  <si>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</si>
  <si>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</si>
  <si>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</si>
  <si>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</si>
  <si>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</si>
  <si>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</si>
  <si>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</si>
  <si>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</si>
  <si>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</si>
  <si>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</si>
  <si>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</si>
  <si>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</si>
  <si>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</si>
  <si>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</si>
  <si>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</si>
  <si>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</si>
  <si>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</si>
  <si>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</si>
  <si>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</si>
  <si>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</si>
  <si>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</si>
  <si>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</si>
  <si>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</si>
  <si>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</si>
  <si>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</si>
  <si>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</si>
  <si>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</si>
  <si>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</si>
  <si>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</si>
  <si>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</si>
  <si>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</si>
  <si>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</si>
  <si>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</si>
  <si>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</si>
  <si>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</si>
  <si>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</si>
  <si>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</si>
  <si>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</si>
  <si>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</si>
  <si>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</si>
  <si>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</si>
  <si>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</si>
  <si>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</si>
  <si>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</si>
  <si>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</si>
  <si>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</si>
  <si>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</si>
  <si>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</si>
  <si>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</si>
  <si>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</si>
  <si>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</si>
  <si>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</si>
  <si>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</si>
  <si>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</si>
  <si>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</si>
  <si>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</si>
  <si>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</si>
  <si>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</si>
  <si>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</si>
  <si>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</si>
  <si>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</si>
  <si>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</si>
  <si>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</si>
  <si>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</si>
  <si>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</si>
  <si>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</si>
  <si>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</si>
  <si>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</si>
  <si>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</si>
  <si>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</si>
  <si>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</si>
  <si>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</si>
  <si>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</si>
  <si>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</si>
  <si>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</si>
  <si>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</si>
  <si>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</si>
  <si>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</si>
  <si>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</si>
  <si>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</si>
  <si>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</si>
  <si>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</si>
  <si>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</si>
  <si>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</si>
  <si>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</si>
  <si>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</si>
  <si>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</si>
  <si>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</si>
  <si>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</si>
  <si>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</si>
  <si>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</si>
  <si>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</si>
  <si>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</si>
  <si>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</si>
  <si>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</si>
  <si>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</si>
  <si>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</si>
  <si>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</si>
  <si>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</si>
  <si>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</si>
  <si>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</si>
  <si>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</si>
  <si>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</si>
  <si>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</si>
  <si>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</si>
  <si>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</si>
  <si>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</si>
  <si>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</si>
  <si>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</si>
  <si>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</si>
  <si>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</si>
  <si>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</si>
  <si>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</si>
  <si>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</si>
  <si>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</si>
  <si>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</si>
  <si>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</si>
  <si>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</si>
  <si>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</si>
  <si>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</si>
  <si>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</si>
  <si>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</si>
  <si>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</si>
  <si>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</si>
  <si>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</si>
  <si>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</si>
  <si>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</si>
  <si>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</si>
  <si>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</si>
  <si>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</si>
  <si>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</si>
  <si>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</si>
  <si>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</si>
  <si>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</si>
  <si>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</si>
  <si>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</si>
  <si>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</si>
  <si>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</si>
  <si>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</si>
  <si>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</si>
  <si>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</si>
  <si>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</si>
  <si>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</si>
  <si>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</si>
  <si>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</si>
  <si>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</si>
  <si>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</si>
  <si>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</si>
  <si>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</si>
  <si>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</si>
  <si>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</si>
  <si>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</si>
  <si>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</si>
  <si>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</si>
  <si>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</si>
  <si>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</si>
  <si>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</si>
  <si>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</si>
  <si>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</si>
  <si>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</si>
  <si>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</si>
  <si>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</si>
  <si>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</si>
  <si>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</si>
  <si>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</si>
  <si>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</si>
  <si>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</si>
  <si>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</si>
  <si>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</si>
  <si>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</si>
  <si>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</si>
  <si>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</si>
  <si>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</si>
  <si>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</si>
  <si>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</si>
  <si>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</si>
  <si>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</si>
  <si>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</si>
  <si>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</si>
  <si>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</si>
  <si>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</si>
  <si>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</si>
  <si>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</si>
  <si>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</si>
  <si>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</si>
  <si>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</si>
  <si>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</si>
  <si>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</si>
  <si>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</si>
  <si>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</si>
  <si>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</si>
  <si>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</si>
  <si>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</si>
  <si>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</si>
  <si>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</si>
  <si>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</si>
  <si>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</si>
  <si>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</si>
  <si>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</si>
  <si>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</si>
  <si>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</si>
  <si>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</si>
  <si>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</si>
  <si>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</si>
  <si>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</si>
  <si>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</si>
  <si>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</si>
  <si>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</si>
  <si>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</si>
  <si>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</si>
  <si>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</si>
  <si>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</si>
  <si>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</si>
  <si>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</si>
  <si>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</si>
  <si>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</si>
  <si>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</si>
  <si>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</si>
  <si>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</si>
  <si>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</si>
  <si>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</si>
  <si>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</si>
  <si>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</si>
  <si>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</si>
  <si>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</si>
  <si>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</si>
  <si>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</si>
  <si>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</si>
  <si>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</si>
  <si>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</si>
  <si>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</si>
  <si>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</si>
  <si>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</si>
  <si>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</si>
  <si>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</si>
  <si>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</si>
  <si>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</si>
  <si>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</si>
  <si>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</si>
  <si>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</si>
  <si>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</si>
  <si>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</si>
  <si>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</si>
  <si>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</si>
  <si>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</si>
  <si>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</si>
  <si>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</si>
  <si>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</si>
  <si>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</si>
  <si>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</si>
  <si>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</si>
  <si>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</si>
  <si>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</si>
  <si>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</si>
  <si>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</si>
  <si>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</si>
  <si>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</si>
  <si>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</si>
  <si>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</si>
  <si>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</si>
  <si>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</si>
  <si>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</si>
  <si>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</si>
  <si>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</si>
  <si>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</si>
  <si>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</si>
  <si>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</si>
  <si>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</si>
  <si>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</si>
  <si>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</si>
  <si>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</si>
  <si>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</si>
  <si>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</si>
  <si>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</si>
  <si>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</si>
  <si>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</si>
  <si>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</si>
  <si>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</si>
  <si>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</si>
  <si>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</si>
  <si>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</si>
  <si>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</si>
  <si>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</si>
  <si>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</si>
  <si>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</si>
  <si>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</si>
  <si>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</si>
  <si>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</si>
  <si>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</si>
  <si>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</si>
  <si>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</si>
  <si>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</si>
  <si>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</si>
  <si>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</si>
  <si>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</si>
  <si>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</si>
  <si>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</si>
  <si>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</si>
  <si>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</si>
  <si>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</si>
  <si>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</si>
  <si>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</si>
  <si>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</si>
  <si>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</si>
  <si>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</si>
  <si>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</si>
  <si>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</si>
  <si>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</si>
  <si>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</si>
  <si>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</si>
  <si>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</si>
  <si>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</si>
  <si>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</si>
  <si>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</si>
  <si>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</si>
  <si>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</si>
  <si>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</si>
  <si>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</si>
  <si>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</si>
  <si>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</si>
  <si>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</si>
  <si>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</si>
  <si>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</si>
  <si>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</si>
  <si>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</si>
  <si>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</si>
  <si>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</si>
  <si>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</si>
  <si>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</si>
  <si>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</si>
  <si>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</si>
  <si>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</si>
  <si>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</si>
  <si>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</si>
  <si>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</si>
  <si>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</si>
  <si>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</si>
  <si>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</si>
  <si>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</si>
  <si>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</si>
  <si>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</si>
  <si>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</si>
  <si>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</si>
  <si>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</si>
  <si>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</si>
  <si>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</si>
  <si>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</si>
  <si>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</si>
  <si>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</si>
  <si>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</si>
  <si>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</si>
  <si>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</si>
  <si>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</si>
  <si>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</si>
  <si>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</si>
  <si>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</si>
  <si>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</si>
  <si>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</si>
  <si>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</si>
  <si>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</si>
  <si>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</si>
  <si>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</si>
  <si>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</si>
  <si>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</si>
  <si>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</si>
  <si>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</si>
  <si>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</si>
  <si>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</si>
  <si>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</si>
  <si>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</si>
  <si>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</si>
  <si>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</si>
  <si>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</si>
  <si>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</si>
  <si>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</si>
  <si>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</si>
  <si>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</si>
  <si>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</si>
  <si>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</si>
  <si>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</si>
  <si>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</si>
  <si>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</si>
  <si>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</si>
  <si>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</si>
  <si>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</si>
  <si>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</si>
  <si>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</si>
  <si>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</si>
  <si>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</si>
  <si>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</si>
  <si>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</si>
  <si>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</si>
  <si>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</si>
  <si>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</si>
  <si>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</si>
  <si>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</si>
  <si>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</si>
  <si>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</si>
  <si>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</si>
  <si>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</si>
  <si>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</si>
  <si>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</si>
  <si>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</si>
  <si>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</si>
  <si>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</si>
  <si>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</si>
  <si>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</si>
  <si>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</si>
  <si>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</si>
  <si>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</si>
  <si>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</si>
  <si>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</si>
  <si>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</si>
  <si>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</si>
  <si>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</si>
  <si>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</si>
  <si>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</si>
  <si>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</si>
  <si>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</si>
  <si>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</si>
  <si>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</si>
  <si>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</si>
  <si>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</si>
  <si>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</si>
  <si>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</si>
  <si>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</si>
  <si>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</si>
  <si>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</si>
  <si>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</si>
  <si>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</si>
  <si>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</si>
  <si>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</si>
  <si>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</si>
  <si>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</si>
  <si>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</si>
  <si>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</si>
  <si>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</si>
  <si>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</si>
  <si>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</si>
  <si>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</si>
  <si>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</si>
  <si>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</si>
  <si>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</si>
  <si>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</si>
  <si>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</si>
  <si>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</si>
  <si>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</si>
  <si>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</si>
  <si>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</si>
  <si>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</si>
  <si>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</si>
  <si>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</si>
  <si>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</si>
  <si>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</si>
  <si>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</si>
  <si>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</si>
  <si>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</si>
  <si>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</si>
  <si>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</si>
  <si>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</si>
  <si>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</si>
  <si>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</si>
  <si>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</si>
  <si>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</si>
  <si>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</si>
  <si>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</si>
  <si>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</si>
  <si>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</si>
  <si>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</si>
  <si>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</si>
  <si>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</si>
  <si>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</si>
  <si>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</si>
  <si>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</si>
  <si>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</si>
  <si>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</si>
  <si>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</si>
  <si>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</si>
  <si>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</si>
  <si>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</si>
  <si>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</si>
  <si>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</si>
  <si>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</si>
  <si>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</si>
  <si>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</si>
  <si>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</si>
  <si>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</si>
  <si>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</si>
  <si>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</si>
  <si>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</si>
  <si>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</si>
  <si>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</si>
  <si>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</si>
  <si>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</si>
  <si>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</si>
  <si>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</si>
  <si>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</si>
  <si>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</si>
  <si>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</si>
  <si>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</si>
  <si>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</si>
  <si>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</si>
  <si>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</si>
  <si>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</si>
  <si>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</si>
  <si>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</si>
  <si>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</si>
  <si>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</si>
  <si>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</si>
  <si>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</si>
  <si>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</si>
  <si>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</si>
  <si>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</si>
  <si>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</si>
  <si>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</si>
  <si>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</si>
  <si>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</si>
  <si>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</si>
  <si>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</si>
  <si>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</si>
  <si>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</si>
  <si>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</si>
  <si>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</si>
  <si>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</si>
  <si>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</si>
  <si>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</si>
  <si>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</si>
  <si>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</si>
  <si>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</si>
  <si>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</si>
  <si>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</si>
  <si>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</si>
  <si>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</si>
  <si>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</si>
  <si>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</si>
  <si>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</si>
  <si>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</si>
  <si>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</si>
  <si>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</si>
  <si>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</si>
  <si>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</si>
  <si>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</si>
  <si>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</si>
  <si>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</si>
  <si>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</si>
  <si>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</si>
  <si>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</si>
  <si>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</si>
  <si>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</si>
  <si>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</si>
  <si>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</si>
  <si>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</si>
  <si>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</si>
  <si>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</si>
  <si>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</si>
  <si>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</si>
  <si>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</si>
  <si>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</si>
  <si>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</si>
  <si>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</si>
  <si>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</si>
  <si>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</si>
  <si>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</si>
  <si>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</si>
  <si>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</si>
  <si>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</si>
  <si>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</si>
  <si>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</si>
  <si>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</si>
  <si>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</si>
  <si>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</si>
  <si>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</si>
  <si>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</si>
  <si>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</si>
  <si>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</si>
  <si>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</si>
  <si>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</si>
  <si>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</si>
  <si>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</si>
  <si>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</si>
  <si>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</si>
  <si>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</si>
  <si>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</si>
  <si>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</si>
  <si>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</si>
  <si>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</si>
  <si>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</si>
  <si>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</si>
  <si>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</si>
  <si>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</si>
  <si>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</si>
  <si>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</si>
  <si>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</si>
  <si>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</si>
  <si>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</si>
  <si>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</si>
  <si>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</si>
  <si>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</si>
  <si>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</si>
  <si>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</si>
  <si>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</si>
  <si>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</si>
  <si>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</si>
  <si>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</si>
  <si>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</si>
  <si>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</si>
  <si>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</si>
  <si>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</si>
  <si>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</si>
  <si>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</si>
  <si>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</si>
  <si>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</si>
  <si>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</si>
  <si>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</si>
  <si>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</si>
  <si>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</si>
  <si>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</si>
  <si>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</si>
  <si>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</si>
  <si>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</si>
  <si>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</si>
  <si>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</si>
  <si>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</si>
  <si>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</si>
  <si>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</si>
  <si>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</si>
  <si>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</si>
  <si>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</si>
  <si>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</si>
  <si>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</si>
  <si>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</si>
  <si>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</si>
  <si>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</si>
  <si>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</si>
  <si>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</si>
  <si>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</si>
  <si>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</si>
  <si>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</si>
  <si>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</si>
  <si>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</si>
  <si>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</si>
  <si>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</si>
  <si>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</si>
  <si>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</si>
  <si>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</si>
  <si>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</si>
  <si>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</si>
  <si>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</si>
  <si>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</si>
  <si>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</si>
  <si>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</si>
  <si>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</si>
  <si>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</si>
  <si>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</si>
  <si>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</si>
  <si>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</si>
  <si>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</si>
  <si>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</si>
  <si>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</si>
  <si>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</si>
  <si>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</si>
  <si>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</si>
  <si>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</si>
  <si>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</si>
  <si>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</si>
  <si>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</si>
  <si>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</si>
  <si>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</si>
  <si>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</si>
  <si>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</si>
  <si>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</si>
  <si>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</si>
  <si>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</si>
  <si>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</si>
  <si>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</si>
  <si>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</si>
  <si>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</si>
  <si>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</si>
  <si>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</si>
  <si>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</si>
  <si>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</si>
  <si>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</si>
  <si>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</si>
  <si>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</si>
  <si>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</si>
  <si>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</si>
  <si>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</si>
  <si>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</si>
  <si>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</si>
  <si>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</si>
  <si>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</si>
  <si>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</si>
  <si>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</si>
  <si>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</si>
  <si>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</si>
  <si>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</si>
  <si>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</si>
  <si>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</si>
  <si>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</si>
  <si>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</si>
  <si>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</si>
  <si>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</si>
  <si>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</si>
  <si>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</si>
  <si>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</si>
  <si>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</si>
  <si>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</si>
  <si>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</si>
  <si>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</si>
  <si>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</si>
  <si>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</si>
  <si>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</si>
  <si>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</si>
  <si>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</si>
  <si>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</si>
  <si>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</si>
  <si>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</si>
  <si>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</si>
  <si>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</si>
  <si>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</si>
  <si>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</si>
  <si>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</si>
  <si>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</si>
  <si>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</si>
  <si>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</si>
  <si>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</si>
  <si>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</si>
  <si>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</si>
  <si>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</si>
  <si>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</si>
  <si>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</si>
  <si>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</si>
  <si>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</si>
  <si>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</si>
  <si>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</si>
  <si>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</si>
  <si>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</si>
  <si>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</si>
  <si>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</si>
  <si>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</si>
  <si>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</si>
  <si>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</si>
  <si>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</si>
  <si>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</si>
  <si>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</si>
  <si>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</si>
  <si>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</si>
  <si>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</si>
  <si>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</si>
  <si>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</si>
  <si>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</si>
  <si>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</si>
  <si>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</si>
  <si>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</si>
  <si>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</si>
  <si>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</si>
  <si>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</si>
  <si>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</si>
  <si>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</si>
  <si>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</si>
  <si>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</si>
  <si>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</si>
  <si>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</si>
  <si>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</si>
  <si>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</si>
  <si>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</si>
  <si>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</si>
  <si>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</si>
  <si>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</si>
  <si>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</si>
  <si>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</si>
  <si>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</si>
  <si>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</si>
  <si>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</si>
  <si>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</si>
  <si>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</si>
  <si>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</si>
  <si>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</si>
  <si>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</si>
  <si>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</si>
  <si>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</si>
  <si>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</si>
  <si>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</si>
  <si>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</si>
  <si>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</si>
  <si>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</si>
  <si>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</si>
  <si>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</si>
  <si>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</si>
  <si>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</si>
  <si>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</si>
  <si>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</si>
  <si>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</si>
  <si>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</si>
  <si>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</si>
  <si>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</si>
  <si>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</si>
  <si>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</si>
  <si>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</si>
  <si>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</si>
  <si>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</si>
  <si>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</si>
  <si>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</si>
  <si>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</si>
  <si>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</si>
  <si>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</si>
  <si>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</si>
  <si>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</si>
  <si>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</si>
  <si>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</si>
  <si>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</si>
  <si>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</si>
  <si>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</si>
  <si>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</si>
  <si>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</si>
  <si>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</si>
  <si>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</si>
  <si>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</si>
  <si>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</si>
  <si>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</si>
  <si>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</si>
  <si>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</si>
  <si>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</si>
  <si>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</si>
  <si>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</si>
  <si>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</si>
  <si>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</si>
  <si>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</si>
  <si>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</si>
  <si>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</si>
  <si>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</si>
  <si>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</si>
  <si>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</si>
  <si>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</si>
  <si>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</si>
  <si>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</si>
  <si>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</si>
  <si>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</si>
  <si>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</si>
  <si>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</si>
  <si>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</si>
  <si>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</si>
  <si>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</si>
  <si>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</si>
  <si>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</si>
  <si>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</si>
  <si>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</si>
  <si>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</si>
  <si>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</si>
  <si>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</si>
  <si>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</si>
  <si>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</si>
  <si>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</si>
  <si>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</si>
  <si>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</si>
  <si>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</si>
  <si>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</si>
  <si>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</si>
  <si>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</si>
  <si>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</si>
  <si>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</si>
  <si>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</si>
  <si>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</si>
  <si>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</si>
  <si>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</si>
  <si>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</si>
  <si>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</si>
  <si>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</si>
  <si>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</si>
  <si>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</si>
  <si>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</si>
  <si>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</si>
  <si>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</si>
  <si>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</si>
  <si>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</si>
  <si>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</si>
  <si>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</si>
  <si>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</si>
  <si>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</si>
  <si>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</si>
  <si>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</si>
  <si>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</si>
  <si>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</si>
  <si>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</si>
  <si>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</si>
  <si>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</si>
  <si>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</si>
  <si>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</si>
  <si>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</si>
  <si>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</si>
  <si>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</si>
  <si>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</si>
  <si>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</si>
  <si>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</si>
  <si>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</si>
  <si>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</si>
  <si>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</si>
  <si>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</si>
  <si>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</si>
  <si>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</si>
  <si>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</si>
  <si>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</si>
  <si>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</si>
  <si>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</si>
  <si>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</si>
  <si>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</si>
  <si>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</si>
  <si>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</si>
  <si>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</si>
  <si>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</si>
  <si>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</si>
  <si>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</si>
  <si>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</si>
  <si>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</si>
  <si>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</si>
  <si>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</si>
  <si>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</si>
  <si>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</si>
  <si>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</si>
  <si>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</si>
  <si>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</si>
  <si>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</si>
  <si>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</si>
  <si>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</si>
  <si>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</si>
  <si>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</si>
  <si>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</si>
  <si>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</si>
  <si>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</si>
  <si>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</si>
  <si>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</si>
  <si>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</si>
  <si>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</si>
  <si>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</si>
  <si>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</si>
  <si>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</si>
  <si>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</si>
  <si>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</si>
  <si>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</si>
  <si>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</si>
  <si>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</si>
  <si>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</si>
  <si>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</si>
  <si>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</si>
  <si>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</si>
  <si>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</si>
  <si>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</si>
  <si>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</si>
  <si>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</si>
  <si>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</si>
  <si>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</si>
  <si>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</si>
  <si>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</si>
  <si>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</si>
  <si>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</si>
  <si>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</si>
  <si>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</si>
  <si>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</si>
  <si>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</si>
  <si>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</si>
  <si>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</si>
  <si>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</si>
  <si>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</si>
  <si>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</si>
  <si>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</si>
  <si>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</si>
  <si>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</si>
  <si>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</si>
  <si>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</si>
  <si>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</si>
  <si>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</si>
  <si>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</si>
  <si>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</si>
  <si>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</si>
  <si>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</si>
  <si>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</si>
  <si>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</si>
  <si>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</si>
  <si>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</si>
  <si>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</si>
  <si>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</si>
  <si>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</si>
  <si>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</si>
  <si>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</si>
  <si>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</si>
  <si>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</si>
  <si>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</si>
  <si>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</si>
  <si>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</si>
  <si>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</si>
  <si>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</si>
  <si>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</si>
  <si>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</si>
  <si>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</si>
  <si>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</si>
  <si>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</si>
  <si>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</si>
  <si>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</si>
  <si>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</si>
  <si>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</si>
  <si>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</si>
  <si>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</si>
  <si>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</si>
  <si>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</si>
  <si>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</si>
  <si>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</si>
  <si>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</si>
  <si>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</si>
  <si>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</si>
  <si>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</si>
  <si>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</si>
  <si>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</si>
  <si>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</si>
  <si>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</si>
  <si>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</si>
  <si>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</si>
  <si>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</si>
  <si>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</si>
  <si>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</si>
  <si>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</si>
  <si>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</si>
  <si>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</si>
  <si>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</si>
  <si>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</si>
  <si>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</si>
  <si>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</si>
  <si>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</si>
  <si>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</si>
  <si>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</si>
  <si>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</si>
  <si>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</si>
  <si>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</si>
  <si>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</si>
  <si>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</si>
  <si>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</si>
  <si>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</si>
  <si>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</si>
  <si>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</si>
  <si>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</si>
  <si>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</si>
  <si>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</si>
  <si>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</si>
  <si>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</si>
  <si>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</si>
  <si>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</si>
  <si>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</si>
  <si>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</si>
  <si>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</si>
  <si>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</si>
  <si>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</si>
  <si>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</si>
  <si>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</si>
  <si>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</si>
  <si>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</si>
  <si>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</si>
  <si>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</si>
  <si>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</si>
  <si>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</si>
  <si>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</si>
  <si>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</si>
  <si>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</si>
  <si>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</si>
  <si>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</si>
  <si>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</si>
  <si>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</si>
  <si>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</si>
  <si>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</si>
  <si>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</si>
  <si>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</si>
  <si>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</si>
  <si>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</si>
  <si>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</si>
  <si>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</si>
  <si>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</si>
  <si>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</si>
  <si>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</si>
  <si>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</si>
  <si>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</si>
  <si>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</si>
  <si>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</si>
  <si>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</si>
  <si>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</si>
  <si>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</si>
  <si>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</si>
  <si>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</si>
  <si>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</si>
  <si>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</si>
  <si>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</si>
  <si>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</si>
  <si>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</si>
  <si>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</si>
  <si>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</si>
  <si>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</si>
  <si>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</si>
  <si>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</si>
  <si>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</si>
  <si>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</si>
  <si>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</si>
  <si>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</si>
  <si>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</si>
  <si>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</si>
  <si>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</si>
  <si>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</si>
  <si>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</si>
  <si>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</si>
  <si>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</si>
  <si>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</si>
  <si>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</si>
  <si>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</si>
  <si>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</si>
  <si>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</si>
  <si>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</si>
  <si>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</si>
  <si>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</si>
  <si>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</si>
  <si>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</si>
  <si>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</si>
  <si>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</si>
  <si>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</si>
  <si>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</si>
  <si>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</si>
  <si>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</si>
  <si>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</si>
  <si>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</si>
  <si>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</si>
  <si>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</si>
  <si>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</si>
  <si>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</si>
  <si>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</si>
  <si>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</si>
  <si>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</si>
  <si>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</si>
  <si>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</si>
  <si>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</si>
  <si>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</si>
  <si>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</si>
  <si>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</si>
  <si>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</si>
  <si>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</si>
  <si>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</si>
  <si>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</si>
  <si>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</si>
  <si>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</si>
  <si>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</si>
  <si>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</si>
  <si>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</si>
  <si>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</si>
  <si>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</si>
  <si>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</si>
  <si>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</si>
  <si>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</si>
  <si>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</si>
  <si>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</si>
  <si>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</si>
  <si>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</si>
  <si>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</si>
  <si>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</si>
  <si>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</si>
  <si>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</si>
  <si>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</si>
  <si>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</si>
  <si>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</si>
  <si>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</si>
  <si>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</si>
  <si>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</si>
  <si>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</si>
  <si>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</si>
  <si>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</si>
  <si>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</si>
  <si>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</si>
  <si>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</si>
  <si>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</si>
  <si>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</si>
  <si>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</si>
  <si>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</si>
  <si>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</si>
  <si>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</si>
  <si>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</si>
  <si>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</si>
  <si>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</si>
  <si>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</si>
  <si>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</si>
  <si>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</si>
  <si>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</si>
  <si>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</si>
  <si>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</si>
  <si>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</si>
  <si>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</si>
  <si>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</si>
  <si>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</si>
  <si>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</si>
  <si>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</si>
  <si>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</si>
  <si>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</si>
  <si>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</si>
  <si>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</si>
  <si>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</si>
  <si>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</si>
  <si>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</si>
  <si>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</si>
  <si>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</si>
  <si>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</si>
  <si>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</si>
  <si>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</si>
  <si>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</si>
  <si>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</si>
  <si>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</si>
  <si>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</si>
  <si>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</si>
  <si>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</si>
  <si>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</si>
  <si>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</si>
  <si>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</si>
  <si>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</si>
  <si>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</si>
  <si>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</si>
  <si>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</si>
  <si>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</si>
  <si>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</si>
  <si>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</si>
  <si>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</si>
  <si>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</si>
  <si>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</si>
  <si>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</si>
  <si>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</si>
  <si>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</si>
  <si>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</si>
  <si>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</si>
  <si>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</si>
  <si>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</si>
  <si>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</si>
  <si>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</si>
  <si>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</si>
  <si>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</si>
  <si>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</si>
  <si>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</si>
  <si>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</si>
  <si>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</si>
  <si>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</si>
  <si>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</si>
  <si>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</si>
  <si>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</si>
  <si>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</si>
  <si>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</si>
  <si>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</si>
  <si>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</si>
  <si>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</si>
  <si>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</si>
  <si>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</si>
  <si>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</si>
  <si>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</si>
  <si>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</si>
  <si>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</si>
  <si>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</si>
  <si>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</si>
  <si>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</si>
  <si>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</si>
  <si>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</si>
  <si>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</si>
  <si>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</si>
  <si>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</si>
  <si>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</si>
  <si>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</si>
  <si>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</si>
  <si>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</si>
  <si>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</si>
  <si>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</si>
  <si>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</si>
  <si>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</si>
  <si>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</si>
  <si>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</si>
  <si>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</si>
  <si>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</si>
  <si>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</si>
  <si>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</si>
  <si>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</si>
  <si>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</si>
  <si>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</si>
  <si>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</si>
  <si>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</si>
  <si>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</si>
  <si>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</si>
  <si>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</si>
  <si>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</si>
  <si>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</si>
  <si>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</si>
  <si>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</si>
  <si>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</si>
  <si>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</si>
  <si>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</si>
  <si>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</si>
  <si>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</si>
  <si>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</si>
  <si>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</si>
  <si>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</si>
  <si>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</si>
  <si>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</si>
  <si>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</si>
  <si>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</si>
  <si>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</si>
  <si>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</si>
  <si>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</si>
  <si>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</si>
  <si>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</si>
  <si>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</si>
  <si>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</si>
  <si>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</si>
  <si>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</si>
  <si>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</si>
  <si>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</si>
  <si>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</si>
  <si>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</si>
  <si>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</si>
  <si>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</si>
  <si>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</si>
  <si>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</si>
  <si>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</si>
  <si>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</si>
  <si>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</si>
  <si>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</si>
  <si>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</si>
  <si>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</si>
  <si>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</si>
  <si>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</si>
  <si>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</si>
  <si>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</si>
  <si>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</si>
  <si>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</si>
  <si>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</si>
  <si>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</si>
  <si>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</si>
  <si>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</si>
  <si>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</si>
  <si>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</si>
  <si>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</si>
  <si>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</si>
  <si>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</si>
  <si>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</si>
  <si>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</si>
  <si>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</si>
  <si>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</si>
  <si>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</si>
  <si>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</si>
  <si>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</si>
  <si>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</si>
  <si>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</si>
  <si>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</si>
  <si>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</si>
  <si>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</si>
  <si>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</si>
  <si>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</si>
  <si>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</si>
  <si>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</si>
  <si>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</si>
  <si>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</si>
  <si>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</si>
  <si>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</si>
  <si>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</si>
  <si>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</si>
  <si>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</si>
  <si>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</si>
  <si>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</si>
  <si>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</si>
  <si>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</si>
  <si>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</si>
  <si>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</si>
  <si>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</si>
  <si>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</si>
  <si>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</si>
  <si>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</si>
  <si>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</si>
  <si>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</si>
  <si>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</si>
  <si>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</si>
  <si>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</si>
  <si>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</si>
  <si>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</si>
  <si>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</si>
  <si>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</si>
  <si>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</si>
  <si>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</si>
  <si>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</si>
  <si>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</si>
  <si>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</si>
  <si>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</si>
  <si>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</si>
  <si>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</si>
  <si>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</si>
  <si>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</si>
  <si>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</si>
  <si>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</si>
  <si>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</si>
  <si>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</si>
  <si>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</si>
  <si>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</si>
  <si>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</si>
  <si>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</si>
  <si>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</si>
  <si>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</si>
  <si>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</si>
  <si>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</si>
  <si>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</si>
  <si>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</si>
  <si>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</si>
  <si>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</si>
  <si>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</si>
  <si>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</si>
  <si>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</si>
  <si>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</si>
  <si>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</si>
  <si>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</si>
  <si>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</si>
  <si>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</si>
  <si>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</si>
  <si>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</si>
  <si>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</si>
  <si>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</si>
  <si>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</si>
  <si>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</si>
  <si>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</si>
  <si>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</si>
  <si>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</si>
  <si>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</si>
  <si>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</si>
  <si>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</si>
  <si>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</si>
  <si>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</si>
  <si>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</si>
  <si>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</si>
  <si>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</si>
  <si>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</si>
  <si>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</si>
  <si>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</si>
  <si>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</si>
  <si>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</si>
  <si>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</si>
  <si>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</si>
  <si>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</si>
  <si>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</si>
  <si>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</si>
  <si>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</si>
  <si>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</si>
  <si>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</si>
  <si>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</si>
  <si>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</si>
  <si>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</si>
  <si>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</si>
  <si>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</si>
  <si>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</si>
  <si>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</si>
  <si>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</si>
  <si>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</si>
  <si>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</si>
  <si>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</si>
  <si>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</si>
  <si>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</si>
  <si>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</si>
  <si>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</si>
  <si>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</si>
  <si>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</si>
  <si>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</si>
  <si>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</si>
  <si>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</si>
  <si>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</si>
  <si>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</si>
  <si>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</si>
  <si>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</si>
  <si>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</si>
  <si>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</si>
  <si>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</si>
  <si>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</si>
  <si>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</si>
  <si>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</si>
  <si>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</si>
  <si>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</si>
  <si>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</si>
  <si>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</si>
  <si>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</si>
  <si>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</si>
  <si>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</si>
  <si>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</si>
  <si>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</si>
  <si>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</si>
  <si>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</si>
  <si>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</si>
  <si>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</si>
  <si>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</si>
  <si>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</si>
  <si>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</si>
  <si>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</si>
  <si>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</si>
  <si>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</si>
  <si>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</si>
  <si>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</si>
  <si>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</si>
  <si>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</si>
  <si>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</si>
  <si>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</si>
  <si>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</si>
  <si>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</si>
  <si>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</si>
  <si>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</si>
  <si>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</si>
  <si>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</si>
  <si>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</si>
  <si>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</si>
  <si>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</si>
  <si>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</si>
  <si>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</si>
  <si>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</si>
  <si>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</si>
  <si>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</si>
  <si>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</si>
  <si>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</si>
  <si>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</si>
  <si>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</si>
  <si>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</si>
  <si>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</si>
  <si>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</si>
  <si>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</si>
  <si>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</si>
  <si>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</si>
  <si>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</si>
  <si>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</si>
  <si>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</si>
  <si>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</si>
  <si>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</si>
  <si>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</si>
  <si>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</si>
  <si>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</si>
  <si>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</si>
  <si>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</si>
  <si>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</si>
  <si>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</si>
  <si>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</si>
  <si>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</si>
  <si>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</si>
  <si>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</si>
  <si>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</si>
  <si>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</si>
  <si>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</si>
  <si>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</si>
  <si>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</si>
  <si>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</si>
  <si>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</si>
  <si>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</si>
  <si>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</si>
  <si>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</si>
  <si>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</si>
  <si>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</si>
  <si>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</si>
  <si>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</si>
  <si>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</si>
  <si>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</si>
  <si>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</si>
  <si>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</si>
  <si>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</si>
  <si>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</si>
  <si>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</si>
  <si>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</si>
  <si>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</si>
  <si>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</si>
  <si>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</si>
  <si>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</si>
  <si>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</si>
  <si>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</si>
  <si>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</si>
  <si>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</si>
  <si>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</si>
  <si>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</si>
  <si>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</si>
  <si>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</si>
  <si>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</si>
  <si>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</si>
  <si>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</si>
  <si>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</si>
  <si>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</si>
  <si>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</si>
  <si>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</si>
  <si>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</si>
  <si>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</si>
  <si>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</si>
  <si>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</si>
  <si>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</si>
  <si>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</si>
  <si>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</si>
  <si>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</si>
  <si>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</si>
  <si>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</si>
  <si>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</si>
  <si>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</si>
  <si>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</si>
  <si>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</si>
  <si>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</si>
  <si>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</si>
  <si>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</si>
  <si>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</si>
  <si>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</si>
  <si>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</si>
  <si>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</si>
  <si>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</si>
  <si>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</si>
  <si>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</si>
  <si>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</si>
  <si>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</si>
  <si>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</si>
  <si>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</si>
  <si>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</si>
  <si>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</si>
  <si>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</si>
  <si>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</si>
  <si>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</si>
  <si>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</si>
  <si>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</si>
  <si>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</si>
  <si>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</si>
  <si>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</si>
  <si>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</si>
  <si>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</si>
  <si>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</si>
  <si>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</si>
  <si>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</si>
  <si>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</si>
  <si>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</si>
  <si>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</si>
  <si>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</si>
  <si>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</si>
  <si>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</si>
  <si>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</si>
  <si>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</si>
  <si>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</si>
  <si>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</si>
  <si>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</si>
  <si>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</si>
  <si>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</si>
  <si>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</si>
  <si>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</si>
  <si>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</si>
  <si>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</si>
  <si>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</si>
  <si>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</si>
  <si>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</si>
  <si>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</si>
  <si>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</si>
  <si>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</si>
  <si>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</si>
  <si>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</si>
  <si>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</si>
  <si>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</si>
  <si>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</si>
  <si>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</si>
  <si>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</si>
  <si>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</si>
  <si>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</si>
  <si>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</si>
  <si>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</si>
  <si>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</si>
  <si>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</si>
  <si>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</si>
  <si>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</si>
  <si>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</si>
  <si>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</si>
  <si>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</si>
  <si>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</si>
  <si>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</si>
  <si>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</si>
  <si>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</si>
  <si>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</si>
  <si>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</si>
  <si>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</si>
  <si>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</si>
  <si>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</si>
  <si>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</si>
  <si>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</si>
  <si>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</si>
  <si>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</si>
  <si>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</si>
  <si>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</si>
  <si>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</si>
  <si>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</si>
  <si>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</si>
  <si>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</si>
  <si>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</si>
  <si>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</si>
  <si>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</si>
  <si>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</si>
  <si>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</si>
  <si>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</si>
  <si>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</si>
  <si>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</si>
  <si>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</si>
  <si>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</si>
  <si>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</si>
  <si>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</si>
  <si>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</si>
  <si>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</si>
  <si>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</si>
  <si>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</si>
  <si>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</si>
  <si>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</si>
  <si>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</si>
  <si>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</si>
  <si>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</si>
  <si>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</si>
  <si>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</si>
  <si>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</si>
  <si>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</si>
  <si>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</si>
  <si>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</si>
  <si>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</si>
  <si>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</si>
  <si>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</si>
  <si>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</si>
  <si>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</si>
  <si>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</si>
  <si>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</si>
  <si>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</si>
  <si>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</si>
  <si>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</si>
  <si>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</si>
  <si>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</si>
  <si>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</si>
  <si>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</si>
  <si>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</si>
  <si>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</si>
  <si>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</si>
  <si>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</si>
  <si>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</si>
  <si>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</si>
  <si>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</si>
  <si>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</si>
  <si>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</si>
  <si>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</si>
  <si>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</si>
  <si>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</si>
  <si>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</si>
  <si>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</si>
  <si>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</si>
  <si>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</si>
  <si>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</si>
  <si>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</si>
  <si>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</si>
  <si>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</si>
  <si>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</si>
  <si>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</si>
  <si>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</si>
  <si>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</si>
  <si>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</si>
  <si>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</si>
  <si>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</si>
  <si>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</si>
  <si>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</si>
  <si>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</si>
  <si>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</si>
  <si>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</si>
  <si>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</si>
  <si>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</si>
  <si>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</si>
  <si>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</si>
  <si>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</si>
  <si>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</si>
  <si>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</si>
  <si>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</si>
  <si>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</si>
  <si>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</si>
  <si>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</si>
  <si>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</si>
  <si>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</si>
  <si>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</si>
  <si>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</si>
  <si>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</si>
  <si>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</si>
  <si>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</si>
  <si>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</si>
  <si>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</si>
  <si>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</si>
  <si>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</si>
  <si>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</si>
  <si>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</si>
  <si>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</si>
  <si>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</si>
  <si>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</si>
  <si>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</si>
  <si>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</si>
  <si>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</si>
  <si>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</si>
  <si>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</si>
  <si>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</si>
  <si>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</si>
  <si>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</si>
  <si>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</si>
  <si>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</si>
  <si>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</si>
  <si>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</si>
  <si>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</si>
  <si>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</si>
  <si>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</si>
  <si>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</si>
  <si>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</si>
  <si>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</si>
  <si>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</si>
  <si>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</si>
  <si>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</si>
  <si>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</si>
  <si>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</si>
  <si>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</si>
  <si>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</si>
  <si>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</si>
  <si>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</si>
  <si>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</si>
  <si>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</si>
  <si>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</si>
  <si>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</si>
  <si>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</si>
  <si>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</si>
  <si>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</si>
  <si>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</si>
  <si>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</si>
  <si>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</si>
  <si>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</si>
  <si>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</si>
  <si>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</si>
  <si>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</si>
  <si>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</si>
  <si>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</si>
  <si>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</si>
  <si>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</si>
  <si>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</si>
  <si>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</si>
  <si>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</si>
  <si>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</si>
  <si>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</si>
  <si>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</si>
  <si>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</si>
  <si>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</si>
  <si>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</si>
  <si>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</si>
  <si>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</si>
  <si>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</si>
  <si>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</si>
  <si>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</si>
  <si>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</si>
  <si>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</si>
  <si>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</si>
  <si>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</si>
  <si>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</si>
  <si>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</si>
  <si>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</si>
  <si>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</si>
  <si>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</si>
  <si>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</si>
  <si>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</si>
  <si>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</si>
  <si>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</si>
  <si>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</si>
  <si>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</si>
  <si>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</si>
  <si>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</si>
  <si>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</si>
  <si>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</si>
  <si>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</si>
  <si>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</si>
  <si>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</si>
  <si>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</si>
  <si>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</si>
  <si>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</si>
  <si>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</si>
  <si>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</si>
  <si>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</si>
  <si>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</si>
  <si>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</si>
  <si>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</si>
  <si>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</si>
  <si>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</si>
  <si>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</si>
  <si>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</si>
  <si>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</si>
  <si>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</si>
  <si>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</si>
  <si>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</si>
  <si>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</si>
  <si>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</si>
  <si>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</si>
  <si>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</si>
  <si>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</si>
  <si>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</si>
  <si>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</si>
  <si>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</si>
  <si>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</si>
  <si>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</si>
  <si>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</si>
  <si>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</si>
  <si>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</si>
  <si>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</si>
  <si>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</si>
  <si>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</si>
  <si>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</si>
  <si>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</si>
  <si>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</si>
  <si>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</si>
  <si>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</si>
  <si>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</si>
  <si>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</si>
  <si>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</si>
  <si>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</si>
  <si>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</si>
  <si>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</si>
  <si>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</si>
  <si>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</si>
  <si>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</si>
  <si>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</si>
  <si>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</si>
  <si>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</si>
  <si>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</si>
  <si>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</si>
  <si>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</si>
  <si>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</si>
  <si>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</si>
  <si>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</si>
  <si>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</si>
  <si>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</si>
  <si>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</si>
  <si>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</si>
  <si>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</si>
  <si>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</si>
  <si>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</si>
  <si>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</si>
  <si>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</si>
  <si>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</si>
  <si>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</si>
  <si>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</si>
  <si>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</si>
  <si>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</si>
  <si>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</si>
  <si>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</si>
  <si>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</si>
  <si>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</si>
  <si>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</si>
  <si>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</si>
  <si>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</si>
  <si>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</si>
  <si>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</si>
  <si>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</si>
  <si>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</si>
  <si>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</si>
  <si>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</si>
  <si>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</si>
  <si>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</si>
  <si>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</si>
  <si>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</si>
  <si>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</si>
  <si>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</si>
  <si>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</si>
  <si>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</si>
  <si>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</si>
  <si>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</si>
  <si>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</si>
  <si>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</si>
  <si>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</si>
  <si>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</si>
  <si>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</si>
  <si>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</si>
  <si>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</si>
  <si>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</si>
  <si>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</si>
  <si>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</si>
  <si>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</si>
  <si>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</si>
  <si>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</si>
  <si>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</si>
  <si>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</si>
  <si>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</si>
  <si>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</si>
  <si>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</si>
  <si>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</si>
  <si>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</si>
  <si>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</si>
  <si>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</si>
  <si>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</si>
  <si>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</si>
  <si>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</si>
  <si>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</si>
  <si>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</si>
  <si>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</si>
  <si>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</si>
  <si>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</si>
  <si>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</si>
  <si>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</si>
  <si>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</si>
  <si>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</si>
  <si>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</si>
  <si>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</si>
  <si>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</si>
  <si>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</si>
  <si>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</si>
  <si>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</si>
  <si>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</si>
  <si>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</si>
  <si>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</si>
  <si>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</si>
  <si>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</si>
  <si>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</si>
  <si>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</si>
  <si>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</si>
  <si>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</si>
  <si>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</si>
  <si>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</si>
  <si>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</si>
  <si>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</si>
  <si>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</si>
  <si>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</si>
  <si>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</si>
  <si>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</si>
  <si>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</si>
  <si>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</si>
  <si>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</si>
  <si>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</si>
  <si>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</si>
  <si>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</si>
  <si>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</si>
  <si>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</si>
  <si>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</si>
  <si>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</si>
  <si>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</si>
  <si>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</si>
  <si>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</si>
  <si>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</si>
  <si>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</si>
  <si>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</si>
  <si>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</si>
  <si>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</si>
  <si>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</si>
  <si>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</si>
  <si>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</si>
  <si>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</si>
  <si>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</si>
  <si>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</si>
  <si>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</si>
  <si>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</si>
  <si>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</si>
  <si>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</si>
  <si>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</si>
  <si>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</si>
  <si>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</si>
  <si>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</si>
  <si>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</si>
  <si>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</si>
  <si>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</si>
  <si>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</si>
  <si>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</si>
  <si>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</si>
  <si>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</si>
  <si>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</si>
  <si>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</si>
  <si>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</si>
  <si>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</si>
  <si>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</si>
  <si>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</si>
  <si>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</si>
  <si>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</si>
  <si>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</si>
  <si>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</si>
  <si>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</si>
  <si>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</si>
  <si>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</si>
  <si>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</si>
  <si>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</si>
  <si>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</si>
  <si>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</si>
  <si>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</si>
  <si>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</si>
  <si>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</si>
  <si>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</si>
  <si>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</si>
  <si>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</si>
  <si>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</si>
  <si>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</si>
  <si>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</si>
  <si>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</si>
  <si>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</si>
  <si>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</si>
  <si>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</si>
  <si>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</si>
  <si>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</si>
  <si>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</si>
  <si>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</si>
  <si>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</si>
  <si>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</si>
  <si>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</si>
  <si>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</si>
  <si>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</si>
  <si>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</si>
  <si>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</si>
  <si>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</si>
  <si>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</si>
  <si>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</si>
  <si>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</si>
  <si>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</si>
  <si>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</si>
  <si>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</si>
  <si>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</si>
  <si>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</si>
  <si>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</si>
  <si>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</si>
  <si>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</si>
  <si>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</si>
  <si>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</si>
  <si>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</si>
  <si>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</si>
  <si>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</si>
  <si>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</si>
  <si>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</si>
  <si>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</si>
  <si>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</si>
  <si>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</si>
  <si>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</si>
  <si>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</si>
  <si>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</si>
  <si>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</si>
  <si>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</si>
  <si>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</si>
  <si>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</si>
  <si>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</si>
  <si>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</si>
  <si>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</si>
  <si>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</si>
  <si>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</si>
  <si>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</si>
  <si>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</si>
  <si>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</si>
  <si>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</si>
  <si>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</si>
  <si>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</si>
  <si>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</si>
  <si>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</si>
  <si>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</si>
  <si>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</si>
  <si>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</si>
  <si>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</si>
  <si>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</si>
  <si>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</si>
  <si>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</si>
  <si>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</si>
  <si>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</si>
  <si>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</si>
  <si>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</si>
  <si>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</si>
  <si>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</si>
  <si>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</si>
  <si>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</si>
  <si>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</si>
  <si>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</si>
  <si>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</si>
  <si>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</si>
  <si>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</si>
  <si>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</si>
  <si>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</si>
  <si>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</si>
  <si>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</si>
  <si>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</si>
  <si>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</si>
  <si>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</si>
  <si>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</si>
  <si>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</si>
  <si>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</si>
  <si>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</si>
  <si>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</si>
  <si>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</si>
  <si>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</si>
  <si>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</si>
  <si>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</si>
  <si>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</si>
  <si>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</si>
  <si>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</si>
  <si>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</si>
  <si>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</si>
  <si>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</si>
  <si>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</si>
  <si>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</si>
  <si>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</si>
  <si>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</si>
  <si>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</si>
  <si>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</si>
  <si>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</si>
  <si>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</si>
  <si>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</si>
  <si>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</si>
  <si>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</si>
  <si>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</si>
  <si>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</si>
  <si>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</si>
  <si>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</si>
  <si>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</si>
  <si>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</si>
  <si>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</si>
  <si>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</si>
  <si>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</si>
  <si>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</si>
  <si>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</si>
  <si>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</si>
  <si>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</si>
  <si>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</si>
  <si>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</si>
  <si>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</si>
  <si>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</si>
  <si>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</si>
  <si>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</si>
  <si>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</si>
  <si>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</si>
  <si>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</si>
  <si>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</si>
  <si>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</si>
  <si>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</si>
  <si>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</si>
  <si>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</si>
  <si>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</si>
  <si>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</si>
  <si>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</si>
  <si>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</si>
  <si>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</si>
  <si>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</si>
  <si>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</si>
  <si>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</si>
  <si>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</si>
  <si>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</si>
  <si>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</si>
  <si>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</si>
  <si>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</si>
  <si>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</si>
  <si>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</si>
  <si>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</si>
  <si>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</si>
  <si>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</si>
  <si>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</si>
  <si>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</si>
  <si>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</si>
  <si>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</si>
  <si>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</si>
  <si>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</si>
  <si>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</si>
  <si>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</si>
  <si>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</si>
  <si>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</si>
  <si>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</si>
  <si>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</si>
  <si>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</si>
  <si>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</si>
  <si>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</si>
  <si>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</si>
  <si>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</si>
  <si>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</si>
  <si>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</si>
  <si>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</si>
  <si>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</si>
  <si>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</si>
  <si>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</si>
  <si>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</si>
  <si>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</si>
  <si>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</si>
  <si>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</si>
  <si>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</si>
  <si>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</si>
  <si>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</si>
  <si>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</si>
  <si>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</si>
  <si>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</si>
  <si>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</si>
  <si>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</si>
  <si>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</si>
  <si>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</si>
  <si>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</si>
  <si>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</si>
  <si>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</si>
  <si>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</si>
  <si>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</si>
  <si>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</si>
  <si>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</si>
  <si>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</si>
  <si>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</si>
  <si>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</si>
  <si>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</si>
  <si>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</si>
  <si>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</si>
  <si>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</si>
  <si>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</si>
  <si>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</si>
  <si>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</si>
  <si>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</si>
  <si>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</si>
  <si>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</si>
  <si>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</si>
  <si>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</si>
  <si>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</si>
  <si>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</si>
  <si>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</si>
  <si>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</si>
  <si>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</si>
  <si>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</si>
  <si>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</si>
  <si>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</si>
  <si>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</si>
  <si>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</si>
  <si>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</si>
  <si>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</si>
  <si>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</si>
  <si>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</si>
  <si>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</si>
  <si>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</si>
  <si>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</si>
  <si>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</si>
  <si>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</si>
  <si>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</si>
  <si>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</si>
  <si>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</si>
  <si>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</si>
  <si>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</si>
  <si>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</si>
  <si>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</si>
  <si>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</si>
  <si>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</si>
  <si>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</si>
  <si>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</si>
  <si>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</si>
  <si>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</si>
  <si>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</si>
  <si>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</si>
  <si>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</si>
  <si>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</si>
  <si>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</si>
  <si>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</si>
  <si>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</si>
  <si>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</si>
  <si>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</si>
  <si>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</si>
  <si>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</si>
  <si>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</si>
  <si>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</si>
  <si>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</si>
  <si>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</si>
  <si>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</si>
  <si>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</si>
  <si>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</si>
  <si>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</si>
  <si>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</si>
  <si>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</si>
  <si>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</si>
  <si>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</si>
  <si>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</si>
  <si>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</si>
  <si>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</si>
  <si>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</si>
  <si>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</si>
  <si>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</si>
  <si>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</si>
  <si>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</si>
  <si>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</si>
  <si>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</si>
  <si>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</si>
  <si>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</si>
  <si>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</si>
  <si>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</si>
  <si>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</si>
  <si>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</si>
  <si>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</si>
  <si>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</si>
  <si>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</si>
  <si>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</si>
  <si>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</si>
  <si>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</si>
  <si>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</si>
  <si>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</si>
  <si>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</si>
  <si>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</si>
  <si>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</si>
  <si>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</si>
  <si>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</si>
  <si>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</si>
  <si>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</si>
  <si>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</si>
  <si>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</si>
  <si>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</si>
  <si>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</si>
  <si>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</si>
  <si>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</si>
  <si>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</si>
  <si>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</si>
  <si>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</si>
  <si>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</si>
  <si>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</si>
  <si>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</si>
  <si>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</si>
  <si>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</si>
  <si>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</si>
  <si>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</si>
  <si>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</si>
  <si>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</si>
  <si>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</si>
  <si>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</si>
  <si>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</si>
  <si>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</si>
  <si>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</si>
  <si>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</si>
  <si>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</si>
  <si>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</si>
  <si>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</si>
  <si>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</si>
  <si>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</si>
  <si>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</si>
  <si>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</si>
  <si>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</si>
  <si>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</si>
  <si>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</si>
  <si>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</si>
  <si>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</si>
  <si>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</si>
  <si>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</si>
  <si>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</si>
  <si>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</si>
  <si>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</si>
  <si>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</si>
  <si>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</si>
  <si>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</si>
  <si>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</si>
  <si>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</si>
  <si>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</si>
  <si>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</si>
  <si>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</si>
  <si>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</si>
  <si>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</si>
  <si>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</si>
  <si>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</si>
  <si>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</si>
  <si>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</si>
  <si>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</si>
  <si>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</si>
  <si>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</si>
  <si>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</si>
  <si>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</si>
  <si>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</si>
  <si>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</si>
  <si>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</si>
  <si>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</si>
  <si>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</si>
  <si>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</si>
  <si>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</si>
  <si>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</si>
  <si>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</si>
  <si>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</si>
  <si>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</si>
  <si>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</si>
  <si>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</si>
  <si>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</si>
  <si>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</si>
  <si>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</si>
  <si>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</si>
  <si>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</si>
  <si>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</si>
  <si>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</si>
  <si>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</si>
  <si>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</si>
  <si>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</si>
  <si>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</si>
  <si>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</si>
  <si>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</si>
  <si>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</si>
  <si>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</si>
  <si>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</si>
  <si>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</si>
  <si>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</si>
  <si>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</si>
  <si>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</si>
  <si>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</si>
  <si>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</si>
  <si>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</si>
  <si>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</si>
  <si>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</si>
  <si>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</si>
  <si>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</si>
  <si>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</si>
  <si>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</si>
  <si>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</si>
  <si>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</si>
  <si>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</si>
  <si>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</si>
  <si>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</si>
  <si>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</si>
  <si>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</si>
  <si>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</si>
  <si>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</si>
  <si>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</si>
  <si>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</si>
  <si>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</si>
  <si>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</si>
  <si>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</si>
  <si>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</si>
  <si>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</si>
  <si>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</si>
  <si>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</si>
  <si>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</si>
  <si>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</si>
  <si>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</si>
  <si>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</si>
  <si>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</si>
  <si>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</si>
  <si>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</si>
  <si>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</si>
  <si>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</si>
  <si>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</si>
  <si>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</si>
  <si>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</si>
  <si>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</si>
  <si>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</si>
  <si>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</si>
  <si>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</si>
  <si>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</si>
  <si>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</si>
  <si>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</si>
  <si>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</si>
  <si>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</si>
  <si>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</si>
  <si>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</si>
  <si>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</si>
  <si>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</si>
  <si>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</si>
  <si>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</si>
  <si>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</si>
  <si>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</si>
  <si>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</si>
  <si>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</si>
  <si>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</si>
  <si>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</si>
  <si>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</si>
  <si>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</si>
  <si>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</si>
  <si>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</si>
  <si>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</si>
  <si>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</si>
  <si>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</si>
  <si>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</si>
  <si>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</si>
  <si>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</si>
  <si>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</si>
  <si>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</si>
  <si>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</si>
  <si>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</si>
  <si>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</si>
  <si>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</si>
  <si>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</si>
  <si>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</si>
  <si>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</si>
  <si>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</si>
  <si>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</si>
  <si>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</si>
  <si>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</si>
  <si>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</si>
  <si>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</si>
  <si>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</si>
  <si>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</si>
  <si>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</si>
  <si>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</si>
  <si>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</si>
  <si>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</si>
  <si>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</si>
  <si>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</si>
  <si>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</si>
  <si>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</si>
  <si>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</si>
  <si>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</si>
  <si>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</si>
  <si>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</si>
  <si>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</si>
  <si>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</si>
  <si>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</si>
  <si>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</si>
  <si>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</si>
  <si>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</si>
  <si>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</si>
  <si>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</si>
  <si>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</si>
  <si>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</si>
  <si>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</si>
  <si>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</si>
  <si>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</si>
  <si>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</si>
  <si>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</si>
  <si>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</si>
  <si>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</si>
  <si>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</si>
  <si>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</si>
  <si>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</si>
  <si>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</si>
  <si>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</si>
  <si>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</si>
  <si>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</si>
  <si>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</si>
  <si>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</si>
  <si>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</si>
  <si>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</si>
  <si>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</si>
  <si>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</si>
  <si>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</si>
  <si>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</si>
  <si>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</si>
  <si>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</si>
  <si>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</si>
  <si>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</si>
  <si>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</si>
  <si>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</si>
  <si>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</si>
  <si>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</si>
  <si>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</si>
  <si>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</si>
  <si>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</si>
  <si>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</si>
  <si>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</si>
  <si>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</si>
  <si>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</si>
  <si>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</si>
  <si>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</si>
  <si>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</si>
  <si>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</si>
  <si>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</si>
  <si>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</si>
  <si>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</si>
  <si>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</si>
  <si>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</si>
  <si>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</si>
  <si>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</si>
  <si>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</si>
  <si>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</si>
  <si>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</si>
  <si>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</si>
  <si>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</si>
  <si>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</si>
  <si>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</si>
  <si>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</si>
  <si>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</si>
  <si>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</si>
  <si>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</si>
  <si>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</si>
  <si>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</si>
  <si>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</si>
  <si>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</si>
  <si>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</si>
  <si>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</si>
  <si>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</si>
  <si>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</si>
  <si>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</si>
  <si>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</si>
  <si>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</si>
  <si>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</si>
  <si>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</si>
  <si>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</si>
  <si>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</si>
  <si>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</si>
  <si>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</si>
  <si>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</si>
  <si>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</si>
  <si>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</si>
  <si>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</si>
  <si>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</si>
  <si>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</si>
  <si>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</si>
  <si>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</si>
  <si>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</si>
  <si>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</si>
  <si>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</si>
  <si>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</si>
  <si>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</si>
  <si>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</si>
  <si>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</si>
  <si>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</si>
  <si>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</si>
  <si>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</si>
  <si>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</si>
  <si>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</si>
  <si>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</si>
  <si>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</si>
  <si>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</si>
  <si>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</si>
  <si>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</si>
  <si>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</si>
  <si>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</si>
  <si>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</si>
  <si>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</si>
  <si>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</si>
  <si>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</si>
  <si>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</si>
  <si>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</si>
  <si>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</si>
  <si>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</si>
  <si>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</si>
  <si>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</si>
  <si>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</si>
  <si>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</si>
  <si>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</si>
  <si>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</si>
  <si>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</si>
  <si>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</si>
  <si>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</si>
  <si>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</si>
  <si>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</si>
  <si>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</si>
  <si>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</si>
  <si>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</si>
  <si>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</si>
  <si>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</si>
  <si>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</si>
  <si>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</si>
  <si>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</si>
  <si>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</si>
  <si>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</si>
  <si>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</si>
  <si>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</si>
  <si>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</si>
  <si>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</si>
  <si>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</si>
  <si>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</si>
  <si>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</si>
  <si>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</si>
  <si>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</si>
  <si>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</si>
  <si>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</si>
  <si>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</si>
  <si>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</si>
  <si>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</si>
  <si>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</si>
  <si>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</si>
  <si>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</si>
  <si>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</si>
  <si>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</si>
  <si>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</si>
  <si>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</si>
  <si>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</si>
  <si>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</si>
  <si>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</si>
  <si>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</si>
  <si>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</si>
  <si>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</si>
  <si>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</si>
  <si>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</si>
  <si>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</si>
  <si>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</si>
  <si>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 xml:space="preserve">P0C2A, P0C29 등등_x000D_
보조유압펌프 관련 경고등_x000D_
</t>
  </si>
  <si>
    <t>대륙오토(대구)_250729_175220.xlsx</t>
  </si>
  <si>
    <t>청주오토(청주)</t>
    <phoneticPr fontId="2" type="noConversion"/>
  </si>
  <si>
    <t>0CW_Mechatronics</t>
    <phoneticPr fontId="2" type="noConversion"/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</si>
  <si>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</si>
  <si>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</si>
  <si>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</si>
  <si>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</si>
  <si>
    <t>AMG630_Clutch(Schaeffler)</t>
    <phoneticPr fontId="2" type="noConversion"/>
  </si>
  <si>
    <t>2025-07-30</t>
  </si>
  <si>
    <t>농협 3520106511413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</si>
  <si>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</si>
  <si>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</si>
  <si>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</si>
  <si>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</si>
  <si>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</si>
  <si>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</si>
  <si>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</si>
  <si>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</si>
  <si>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</si>
  <si>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</si>
  <si>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</si>
  <si>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WDD2221781A079298</t>
    <phoneticPr fontId="2" type="noConversion"/>
  </si>
  <si>
    <t>청주신봉점</t>
    <phoneticPr fontId="2" type="noConversion"/>
  </si>
  <si>
    <t>직배송 요청건</t>
  </si>
  <si>
    <t>청주오토(청주)_250730_175442.xlsx</t>
  </si>
  <si>
    <t>청주오토(청주)_250730_175442.xlsx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</si>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</sst>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8637000</c:v>
                </c:pt>
                <c:pt idx="1">
                  <c:v>5005000</c:v>
                </c:pt>
                <c:pt idx="2">
                  <c:v>9010000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9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7</c:v>
                      </c:pt>
                      <c:pt idx="7">
                        <c:v>4</c:v>
                      </c:pt>
                      <c:pt idx="8">
                        <c:v>14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 t="s">
        <v>3256</v>
      </c>
      <c r="T1" s="428"/>
      <c r="U1" s="429"/>
    </row>
    <row r="2" spans="1:21" x14ac:dyDescent="0.3">
      <c r="A2" s="298" t="s">
        <v>70</v>
      </c>
      <c r="B2" s="299"/>
      <c r="C2" s="300" t="s">
        <v>3244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45868</v>
      </c>
      <c r="U2" s="306"/>
    </row>
    <row r="3" spans="1:21" ht="24.95" customHeight="1" x14ac:dyDescent="0.3">
      <c r="A3" s="373" t="s">
        <v>1196</v>
      </c>
      <c r="B3" s="37" t="s">
        <v>64</v>
      </c>
      <c r="C3" s="376" t="s">
        <v>2555</v>
      </c>
      <c r="D3" s="377"/>
      <c r="E3" s="377"/>
      <c r="F3" s="377"/>
      <c r="G3" s="377"/>
      <c r="H3" s="377"/>
      <c r="I3" s="377"/>
      <c r="J3" s="378"/>
      <c r="K3" s="379" t="s">
        <v>1197</v>
      </c>
      <c r="L3" s="37" t="s">
        <v>64</v>
      </c>
      <c r="M3" s="382" t="s">
        <v>970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388" t="s">
        <v>78</v>
      </c>
      <c r="U4" s="391"/>
    </row>
    <row r="5" spans="1:21" ht="24.95" customHeight="1" x14ac:dyDescent="0.3">
      <c r="A5" s="374"/>
      <c r="B5" s="38" t="s">
        <v>10</v>
      </c>
      <c r="C5" s="388" t="s">
        <v>36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80</v>
      </c>
      <c r="C6" s="388" t="s">
        <v>3098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3257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48</v>
      </c>
      <c r="G7" s="308"/>
      <c r="H7" s="308"/>
      <c r="I7" s="370"/>
      <c r="J7" s="371" t="s">
        <v>46</v>
      </c>
      <c r="K7" s="308"/>
      <c r="L7" s="308"/>
      <c r="M7" s="308"/>
      <c r="N7" s="370"/>
      <c r="O7" s="308" t="s">
        <v>54</v>
      </c>
      <c r="P7" s="370"/>
      <c r="Q7" s="371" t="s">
        <v>74</v>
      </c>
      <c r="R7" s="308"/>
      <c r="S7" s="370"/>
      <c r="T7" s="371" t="s">
        <v>73</v>
      </c>
      <c r="U7" s="372"/>
    </row>
    <row r="8" spans="1:21" ht="15.6" customHeight="1" x14ac:dyDescent="0.3">
      <c r="A8" s="414" t="s">
        <v>2608</v>
      </c>
      <c r="B8" s="415"/>
      <c r="C8" s="415"/>
      <c r="D8" s="415"/>
      <c r="E8" s="416"/>
      <c r="F8" s="417">
        <v>2212500301</v>
      </c>
      <c r="G8" s="415"/>
      <c r="H8" s="415"/>
      <c r="I8" s="416"/>
      <c r="J8" s="423">
        <v>863636</v>
      </c>
      <c r="K8" s="423"/>
      <c r="L8" s="423"/>
      <c r="M8" s="423"/>
      <c r="N8" s="423"/>
      <c r="O8" s="424">
        <v>1</v>
      </c>
      <c r="P8" s="424"/>
      <c r="Q8" s="418">
        <v>86364</v>
      </c>
      <c r="R8" s="419"/>
      <c r="S8" s="420"/>
      <c r="T8" s="421">
        <v>950000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2374</v>
      </c>
      <c r="B16" s="324"/>
      <c r="C16" s="324"/>
      <c r="D16" s="324"/>
      <c r="E16" s="325"/>
      <c r="F16" s="332" t="s">
        <v>3258</v>
      </c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86</v>
      </c>
      <c r="B20" s="308"/>
      <c r="C20" s="308"/>
      <c r="D20" s="308"/>
      <c r="E20" s="308"/>
      <c r="F20" s="309"/>
      <c r="G20" s="309"/>
      <c r="H20" s="309"/>
      <c r="I20" s="310"/>
      <c r="J20" s="346">
        <f>SUM(J8:N19)</f>
        <v>863636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86364</v>
      </c>
      <c r="R20" s="309"/>
      <c r="S20" s="310"/>
      <c r="T20" s="309">
        <f>SUM(T8:U15)</f>
        <v>950000</v>
      </c>
      <c r="U20" s="350"/>
    </row>
    <row r="21" spans="1:21" ht="20.100000000000001" customHeight="1" thickBot="1" x14ac:dyDescent="0.35">
      <c r="A21" s="312" t="s">
        <v>96</v>
      </c>
      <c r="B21" s="313"/>
      <c r="C21" s="313"/>
      <c r="D21" s="313"/>
      <c r="E21" s="313"/>
      <c r="F21" s="314">
        <f>F20+T20+Q20</f>
        <v>1036364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13"/>
      <c r="Q21" s="317" t="str">
        <f>C3</f>
        <v>청주오토(청주)</v>
      </c>
      <c r="R21" s="317"/>
      <c r="S21" s="317"/>
      <c r="T21" s="317"/>
      <c r="U21" s="369"/>
    </row>
    <row r="22" spans="1:21" ht="20.100000000000001" customHeight="1" x14ac:dyDescent="0.3">
      <c r="A22" s="296" t="s">
        <v>3260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0" t="s">
        <v>1228</v>
      </c>
      <c r="R24" s="320"/>
      <c r="S24" s="321" t="str">
        <f>S1</f>
        <v>WDD2221781A079298</v>
      </c>
      <c r="T24" s="321"/>
      <c r="U24" s="322"/>
    </row>
    <row r="25" spans="1:21" x14ac:dyDescent="0.3">
      <c r="A25" s="298" t="s">
        <v>70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81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45868</v>
      </c>
      <c r="U25" s="306"/>
    </row>
    <row r="26" spans="1:21" ht="24.95" customHeight="1" x14ac:dyDescent="0.3">
      <c r="A26" s="373" t="s">
        <v>1196</v>
      </c>
      <c r="B26" s="37" t="s">
        <v>64</v>
      </c>
      <c r="C26" s="376" t="str">
        <f>C3</f>
        <v>청주오토(청주)</v>
      </c>
      <c r="D26" s="377"/>
      <c r="E26" s="377"/>
      <c r="F26" s="377"/>
      <c r="G26" s="377"/>
      <c r="H26" s="377"/>
      <c r="I26" s="377"/>
      <c r="J26" s="378"/>
      <c r="K26" s="379" t="s">
        <v>1197</v>
      </c>
      <c r="L26" s="37" t="s">
        <v>64</v>
      </c>
      <c r="M26" s="382" t="s">
        <v>970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66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66</v>
      </c>
      <c r="M27" s="388" t="s">
        <v>968</v>
      </c>
      <c r="N27" s="389"/>
      <c r="O27" s="389"/>
      <c r="P27" s="389"/>
      <c r="Q27" s="389"/>
      <c r="R27" s="390"/>
      <c r="S27" s="38" t="s">
        <v>67</v>
      </c>
      <c r="T27" s="388" t="s">
        <v>78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경동(화물)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79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80</v>
      </c>
      <c r="C29" s="388" t="str">
        <f>C6</f>
        <v>010-5420-2735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">
        <v>71</v>
      </c>
      <c r="N29" s="389"/>
      <c r="O29" s="389"/>
      <c r="P29" s="389"/>
      <c r="Q29" s="389"/>
      <c r="R29" s="390"/>
      <c r="S29" s="38" t="s">
        <v>26</v>
      </c>
      <c r="T29" s="388" t="str">
        <f>T6</f>
        <v>청주신봉점</v>
      </c>
      <c r="U29" s="391"/>
    </row>
    <row r="30" spans="1:21" ht="15.6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46</v>
      </c>
      <c r="K30" s="308"/>
      <c r="L30" s="308"/>
      <c r="M30" s="308"/>
      <c r="N30" s="370"/>
      <c r="O30" s="308" t="s">
        <v>54</v>
      </c>
      <c r="P30" s="370"/>
      <c r="Q30" s="371" t="s">
        <v>74</v>
      </c>
      <c r="R30" s="308"/>
      <c r="S30" s="370"/>
      <c r="T30" s="371" t="s">
        <v>73</v>
      </c>
      <c r="U30" s="372"/>
    </row>
    <row r="31" spans="1:21" ht="15.6" customHeight="1" x14ac:dyDescent="0.3">
      <c r="A31" s="363" t="str">
        <f>A8</f>
        <v>플라이휠(Schaeffler)</v>
      </c>
      <c r="B31" s="364"/>
      <c r="C31" s="364"/>
      <c r="D31" s="364"/>
      <c r="E31" s="364"/>
      <c r="F31" s="364">
        <f>F8</f>
        <v>2212500301</v>
      </c>
      <c r="G31" s="364"/>
      <c r="H31" s="364"/>
      <c r="I31" s="364"/>
      <c r="J31" s="368">
        <f>J8</f>
        <v>863636</v>
      </c>
      <c r="K31" s="368"/>
      <c r="L31" s="368"/>
      <c r="M31" s="368"/>
      <c r="N31" s="368"/>
      <c r="O31" s="368">
        <f>O8</f>
        <v>1</v>
      </c>
      <c r="P31" s="368"/>
      <c r="Q31" s="365">
        <f>Q8</f>
        <v>86364</v>
      </c>
      <c r="R31" s="365"/>
      <c r="S31" s="365"/>
      <c r="T31" s="366">
        <f>T8</f>
        <v>950000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2374</v>
      </c>
      <c r="B39" s="324"/>
      <c r="C39" s="324"/>
      <c r="D39" s="324"/>
      <c r="E39" s="325"/>
      <c r="F39" s="332" t="str">
        <f>F16</f>
        <v>직배송 요청건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86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863636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86364</v>
      </c>
      <c r="R43" s="309"/>
      <c r="S43" s="309"/>
      <c r="T43" s="309">
        <f>T20</f>
        <v>950000</v>
      </c>
      <c r="U43" s="350"/>
    </row>
    <row r="44" spans="1:21" ht="20.100000000000001" customHeight="1" thickBot="1" x14ac:dyDescent="0.35">
      <c r="A44" s="312" t="s">
        <v>96</v>
      </c>
      <c r="B44" s="313"/>
      <c r="C44" s="313"/>
      <c r="D44" s="313"/>
      <c r="E44" s="313"/>
      <c r="F44" s="314">
        <f>F21</f>
        <v>1036364</v>
      </c>
      <c r="G44" s="314"/>
      <c r="H44" s="314"/>
      <c r="I44" s="315"/>
      <c r="J44" s="316" t="s">
        <v>971</v>
      </c>
      <c r="K44" s="313"/>
      <c r="L44" s="341" t="str">
        <f>T27</f>
        <v>장효주</v>
      </c>
      <c r="M44" s="341"/>
      <c r="N44" s="341"/>
      <c r="O44" s="316" t="s">
        <v>69</v>
      </c>
      <c r="P44" s="342"/>
      <c r="Q44" s="343" t="str">
        <f>Q21</f>
        <v>청주오토(청주)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3243</v>
      </c>
      <c r="C2" s="47" t="s">
        <v>2376</v>
      </c>
      <c r="D2">
        <v>2212500301</v>
      </c>
      <c r="E2" t="s">
        <v>3065</v>
      </c>
      <c r="F2">
        <v>2212500301</v>
      </c>
      <c r="G2">
        <v>863636</v>
      </c>
      <c r="H2">
        <v>1</v>
      </c>
      <c r="I2" s="233">
        <v>86364</v>
      </c>
      <c r="J2" s="233">
        <v>950000</v>
      </c>
    </row>
    <row r="3" spans="1:11" x14ac:dyDescent="0.3">
      <c r="I3" s="233"/>
      <c r="J3" s="233"/>
    </row>
    <row r="4" spans="1:11" ht="99" x14ac:dyDescent="0.3">
      <c r="I4" s="233"/>
      <c r="J4" s="233"/>
      <c r="K4" s="295" t="s">
        <v>3234</v>
      </c>
    </row>
    <row r="5" spans="1:11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16"/>
  <sheetViews>
    <sheetView workbookViewId="0">
      <pane xSplit="1" ySplit="1" topLeftCell="B1085" activePane="bottomRight" state="frozen"/>
      <selection activeCell="N26" sqref="N26"/>
      <selection pane="topRight" activeCell="N26" sqref="N26"/>
      <selection pane="bottomLeft" activeCell="N26" sqref="N26"/>
      <selection pane="bottomRight" activeCell="G1111" sqref="G1111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1115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3236</v>
      </c>
      <c r="E1035" s="279" t="s">
        <v>3237</v>
      </c>
      <c r="G1035" s="274">
        <v>1500000</v>
      </c>
      <c r="H1035" s="279">
        <v>1</v>
      </c>
      <c r="K1035" s="274">
        <v>1500000</v>
      </c>
    </row>
    <row r="1036" spans="1:12" x14ac:dyDescent="0.3">
      <c r="A1036" s="58">
        <v>1034</v>
      </c>
      <c r="B1036" s="272">
        <v>45862</v>
      </c>
      <c r="C1036" s="279" t="s">
        <v>3238</v>
      </c>
      <c r="E1036" s="279" t="s">
        <v>3239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3154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1785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2155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1774</v>
      </c>
      <c r="F1059" s="279" t="s">
        <v>2962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3065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1785</v>
      </c>
      <c r="E1061" s="279" t="s">
        <v>1773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1892</v>
      </c>
      <c r="E1062" s="279" t="s">
        <v>2243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1708</v>
      </c>
      <c r="E1063" s="279" t="s">
        <v>1871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2241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3186</v>
      </c>
      <c r="E1065" s="279" t="s">
        <v>1904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2240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1906</v>
      </c>
      <c r="E1067" s="279" t="s">
        <v>2234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1906</v>
      </c>
      <c r="E1068" s="279" t="s">
        <v>2235</v>
      </c>
      <c r="F1068" s="279" t="s">
        <v>1842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1785</v>
      </c>
      <c r="E1069" s="279" t="s">
        <v>2490</v>
      </c>
      <c r="F1069" s="279" t="s">
        <v>2868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1785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1790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3186</v>
      </c>
      <c r="E1072" s="279" t="s">
        <v>1784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3194</v>
      </c>
      <c r="E1073" s="279" t="s">
        <v>2234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3194</v>
      </c>
      <c r="E1074" s="279" t="s">
        <v>2235</v>
      </c>
      <c r="F1074" s="279" t="s">
        <v>1842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3194</v>
      </c>
      <c r="E1075" s="279" t="s">
        <v>1784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1784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1708</v>
      </c>
      <c r="E1077" s="279" t="s">
        <v>1784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1784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1784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1892</v>
      </c>
      <c r="E1080" s="279" t="s">
        <v>1784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2026</v>
      </c>
      <c r="E1081" s="279" t="s">
        <v>1784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1784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1784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1617</v>
      </c>
      <c r="E1084" s="279" t="s">
        <v>3137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3226</v>
      </c>
      <c r="F1085" s="279" t="s">
        <v>3225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1829</v>
      </c>
      <c r="E1086" s="279" t="s">
        <v>2234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1829</v>
      </c>
      <c r="E1087" s="279" t="s">
        <v>2235</v>
      </c>
      <c r="F1087" s="279" t="s">
        <v>1842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2240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2241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2244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2245</v>
      </c>
      <c r="F1091" s="279" t="s">
        <v>1834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3240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1844</v>
      </c>
      <c r="E1093" s="279" t="s">
        <v>2709</v>
      </c>
      <c r="F1093" s="279" t="s">
        <v>2708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3059</v>
      </c>
      <c r="E1094" s="279" t="s">
        <v>1234</v>
      </c>
      <c r="F1094" s="279" t="s">
        <v>1790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1759</v>
      </c>
      <c r="E1095" s="279" t="s">
        <v>3242</v>
      </c>
      <c r="F1095" s="279" t="s">
        <v>2384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2234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2235</v>
      </c>
      <c r="F1097" s="279" t="s">
        <v>1842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1844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3059</v>
      </c>
      <c r="E1100" s="279" t="s">
        <v>1154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1339</v>
      </c>
      <c r="E1101" s="279" t="s">
        <v>1784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2023</v>
      </c>
      <c r="E1102" s="279" t="s">
        <v>2234</v>
      </c>
      <c r="F1102" s="279" t="s">
        <v>1232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2023</v>
      </c>
      <c r="E1103" s="279" t="s">
        <v>2235</v>
      </c>
      <c r="F1103" s="279" t="s">
        <v>1842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1848</v>
      </c>
      <c r="E1104" s="279" t="s">
        <v>2234</v>
      </c>
      <c r="F1104" s="279" t="s">
        <v>1232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1848</v>
      </c>
      <c r="E1105" s="279" t="s">
        <v>2235</v>
      </c>
      <c r="F1105" s="279" t="s">
        <v>1842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2917</v>
      </c>
      <c r="E1106" s="279" t="s">
        <v>2236</v>
      </c>
      <c r="F1106" s="279" t="s">
        <v>2272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1844</v>
      </c>
      <c r="E1107" s="279" t="s">
        <v>3248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1614</v>
      </c>
      <c r="E1108" s="279" t="s">
        <v>3065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3251</v>
      </c>
      <c r="E1109" s="279" t="s">
        <v>1234</v>
      </c>
      <c r="F1109" s="279" t="s">
        <v>1790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2376</v>
      </c>
      <c r="E1110" s="279" t="s">
        <v>3065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1708</v>
      </c>
      <c r="E1111" s="279" t="s">
        <v>1154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2842</v>
      </c>
      <c r="E1112" s="279" t="s">
        <v>1154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2376</v>
      </c>
      <c r="E1113" s="279" t="s">
        <v>1154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2023</v>
      </c>
      <c r="E1114" s="279" t="s">
        <v>1154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2917</v>
      </c>
      <c r="E1115" s="279" t="s">
        <v>1154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3251</v>
      </c>
      <c r="E1116" s="279" t="s">
        <v>1154</v>
      </c>
      <c r="L1116" s="274">
        <v>-1320000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5"/>
  <sheetViews>
    <sheetView tabSelected="1" workbookViewId="0">
      <selection activeCell="G3" sqref="G3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45868</v>
      </c>
      <c r="B3" s="242" t="s">
        <v>1155</v>
      </c>
      <c r="C3" s="243">
        <f>SUMIF($B:$B,A3,I:I)</f>
        <v>6490000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4001000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162760500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162760500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2376</v>
      </c>
      <c r="D254" s="120" t="s">
        <v>2347</v>
      </c>
      <c r="F254" s="127">
        <v>1500000</v>
      </c>
      <c r="G254" s="88">
        <v>1</v>
      </c>
      <c r="I254" s="83">
        <v>1500000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I255" s="83">
        <v>50000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  <row r="273" spans="1:10" ht="18" customHeight="1" x14ac:dyDescent="0.3">
      <c r="A273" s="85">
        <v>1052</v>
      </c>
      <c r="B273" s="97">
        <v>45864</v>
      </c>
      <c r="C273" s="86" t="s">
        <v>1635</v>
      </c>
      <c r="D273" s="120" t="s">
        <v>1784</v>
      </c>
      <c r="J273" s="83">
        <v>-1000000</v>
      </c>
    </row>
    <row r="274" spans="1:10" ht="18" customHeight="1" x14ac:dyDescent="0.3">
      <c r="A274" s="85">
        <v>1053</v>
      </c>
      <c r="B274" s="97">
        <v>45866</v>
      </c>
      <c r="C274" s="86" t="s">
        <v>3154</v>
      </c>
      <c r="D274" s="120" t="s">
        <v>1154</v>
      </c>
      <c r="J274" s="83">
        <v>-1550000</v>
      </c>
    </row>
    <row r="275" spans="1:10" ht="18" customHeight="1" x14ac:dyDescent="0.3">
      <c r="A275" s="85">
        <v>1054</v>
      </c>
      <c r="B275" s="97">
        <v>45866</v>
      </c>
      <c r="C275" s="86" t="s">
        <v>1102</v>
      </c>
      <c r="D275" s="120" t="s">
        <v>1154</v>
      </c>
      <c r="J275" s="83">
        <v>-1550000</v>
      </c>
    </row>
    <row r="276" spans="1:10" ht="18" customHeight="1" x14ac:dyDescent="0.3">
      <c r="A276" s="85">
        <v>1055</v>
      </c>
      <c r="B276" s="97">
        <v>45866</v>
      </c>
      <c r="C276" s="86" t="s">
        <v>1785</v>
      </c>
      <c r="D276" s="120" t="s">
        <v>1154</v>
      </c>
      <c r="J276" s="83">
        <v>-1452000</v>
      </c>
    </row>
    <row r="277" spans="1:10" ht="18" customHeight="1" x14ac:dyDescent="0.3">
      <c r="A277" s="85">
        <v>1056</v>
      </c>
      <c r="B277" s="97">
        <v>45866</v>
      </c>
      <c r="C277" s="86" t="s">
        <v>1066</v>
      </c>
      <c r="D277" s="120" t="s">
        <v>2155</v>
      </c>
      <c r="F277" s="127">
        <v>1000000</v>
      </c>
      <c r="G277" s="88">
        <v>1</v>
      </c>
      <c r="I277" s="83">
        <v>1000000</v>
      </c>
    </row>
    <row r="278" spans="1:10" ht="18" customHeight="1" x14ac:dyDescent="0.3">
      <c r="A278" s="85">
        <v>1057</v>
      </c>
      <c r="B278" s="97">
        <v>45866</v>
      </c>
      <c r="C278" s="86" t="s">
        <v>1433</v>
      </c>
      <c r="D278" s="120" t="s">
        <v>1774</v>
      </c>
      <c r="F278" s="127">
        <v>500000</v>
      </c>
      <c r="G278" s="88">
        <v>1</v>
      </c>
      <c r="I278" s="83">
        <v>500000</v>
      </c>
    </row>
    <row r="279" spans="1:10" ht="18" customHeight="1" x14ac:dyDescent="0.3">
      <c r="A279" s="85">
        <v>1058</v>
      </c>
      <c r="B279" s="97">
        <v>45866</v>
      </c>
      <c r="C279" s="86" t="s">
        <v>1433</v>
      </c>
      <c r="D279" s="120" t="s">
        <v>3065</v>
      </c>
      <c r="F279" s="127">
        <v>430000</v>
      </c>
      <c r="G279" s="88">
        <v>1</v>
      </c>
      <c r="I279" s="83">
        <v>430000</v>
      </c>
    </row>
    <row r="280" spans="1:10" ht="18" customHeight="1" x14ac:dyDescent="0.3">
      <c r="A280" s="85">
        <v>1059</v>
      </c>
      <c r="B280" s="97">
        <v>45866</v>
      </c>
      <c r="C280" s="86" t="s">
        <v>1785</v>
      </c>
      <c r="D280" s="120" t="s">
        <v>1773</v>
      </c>
      <c r="F280" s="127">
        <v>600000</v>
      </c>
      <c r="G280" s="88">
        <v>1</v>
      </c>
      <c r="H280" s="133">
        <v>60000</v>
      </c>
      <c r="I280" s="83">
        <v>660000</v>
      </c>
    </row>
    <row r="281" spans="1:10" ht="18" customHeight="1" x14ac:dyDescent="0.3">
      <c r="A281" s="85">
        <v>1060</v>
      </c>
      <c r="B281" s="97">
        <v>45866</v>
      </c>
      <c r="C281" s="86" t="s">
        <v>1892</v>
      </c>
      <c r="D281" s="120" t="s">
        <v>2243</v>
      </c>
      <c r="F281" s="127">
        <v>200000</v>
      </c>
      <c r="G281" s="88">
        <v>1</v>
      </c>
      <c r="I281" s="83">
        <v>200000</v>
      </c>
    </row>
    <row r="282" spans="1:10" ht="18" customHeight="1" x14ac:dyDescent="0.3">
      <c r="A282" s="85">
        <v>1061</v>
      </c>
      <c r="B282" s="97">
        <v>45866</v>
      </c>
      <c r="C282" s="86" t="s">
        <v>1708</v>
      </c>
      <c r="D282" s="120" t="s">
        <v>1871</v>
      </c>
      <c r="F282" s="127">
        <v>2500000</v>
      </c>
      <c r="G282" s="88">
        <v>1</v>
      </c>
      <c r="H282" s="133">
        <v>250000</v>
      </c>
      <c r="I282" s="83">
        <v>2750000</v>
      </c>
    </row>
    <row r="283" spans="1:10" ht="18" customHeight="1" x14ac:dyDescent="0.3">
      <c r="A283" s="85">
        <v>1062</v>
      </c>
      <c r="B283" s="97">
        <v>45866</v>
      </c>
      <c r="C283" s="86" t="s">
        <v>1507</v>
      </c>
      <c r="D283" s="120" t="s">
        <v>2241</v>
      </c>
      <c r="F283" s="127">
        <v>500000</v>
      </c>
      <c r="G283" s="88">
        <v>1</v>
      </c>
      <c r="I283" s="83">
        <v>500000</v>
      </c>
    </row>
    <row r="284" spans="1:10" ht="18" customHeight="1" x14ac:dyDescent="0.3">
      <c r="A284" s="85">
        <v>1063</v>
      </c>
      <c r="B284" s="97">
        <v>45866</v>
      </c>
      <c r="C284" s="86" t="s">
        <v>3186</v>
      </c>
      <c r="D284" s="120" t="s">
        <v>1904</v>
      </c>
      <c r="F284" s="127">
        <v>1100000</v>
      </c>
      <c r="G284" s="88">
        <v>1</v>
      </c>
      <c r="I284" s="83">
        <v>1100000</v>
      </c>
    </row>
    <row r="285" spans="1:10" ht="18" customHeight="1" x14ac:dyDescent="0.3">
      <c r="A285" s="85">
        <v>1064</v>
      </c>
      <c r="B285" s="97">
        <v>45866</v>
      </c>
      <c r="C285" s="86" t="s">
        <v>1578</v>
      </c>
      <c r="D285" s="120" t="s">
        <v>2240</v>
      </c>
      <c r="F285" s="127">
        <v>1400000</v>
      </c>
      <c r="G285" s="88">
        <v>1</v>
      </c>
      <c r="I285" s="83">
        <v>1400000</v>
      </c>
    </row>
    <row r="286" spans="1:10" ht="18" customHeight="1" x14ac:dyDescent="0.3">
      <c r="A286" s="85">
        <v>1065</v>
      </c>
      <c r="B286" s="97">
        <v>45866</v>
      </c>
      <c r="C286" s="86" t="s">
        <v>1906</v>
      </c>
      <c r="D286" s="120" t="s">
        <v>2234</v>
      </c>
      <c r="F286" s="127">
        <v>1500000</v>
      </c>
      <c r="G286" s="88">
        <v>1</v>
      </c>
      <c r="I286" s="83">
        <v>1500000</v>
      </c>
    </row>
    <row r="287" spans="1:10" ht="18" customHeight="1" x14ac:dyDescent="0.3">
      <c r="A287" s="85">
        <v>1066</v>
      </c>
      <c r="B287" s="97">
        <v>45866</v>
      </c>
      <c r="C287" s="86" t="s">
        <v>1906</v>
      </c>
      <c r="D287" s="120" t="s">
        <v>2235</v>
      </c>
      <c r="F287" s="127">
        <v>50000</v>
      </c>
      <c r="G287" s="88">
        <v>1</v>
      </c>
      <c r="I287" s="83">
        <v>50000</v>
      </c>
    </row>
    <row r="288" spans="1:10" ht="18" customHeight="1" x14ac:dyDescent="0.3">
      <c r="A288" s="85">
        <v>1067</v>
      </c>
      <c r="B288" s="97">
        <v>45866</v>
      </c>
      <c r="C288" s="86" t="s">
        <v>1785</v>
      </c>
      <c r="D288" s="120" t="s">
        <v>2490</v>
      </c>
      <c r="F288" s="127">
        <v>1100000</v>
      </c>
      <c r="G288" s="88">
        <v>1</v>
      </c>
      <c r="H288" s="133">
        <v>110000</v>
      </c>
      <c r="I288" s="83">
        <v>1210000</v>
      </c>
    </row>
    <row r="289" spans="1:10" ht="18" customHeight="1" x14ac:dyDescent="0.3">
      <c r="A289" s="85">
        <v>1068</v>
      </c>
      <c r="B289" s="97">
        <v>45866</v>
      </c>
      <c r="C289" s="86" t="s">
        <v>1785</v>
      </c>
      <c r="D289" s="120" t="s">
        <v>1553</v>
      </c>
      <c r="F289" s="127">
        <v>20000</v>
      </c>
      <c r="G289" s="88">
        <v>1</v>
      </c>
      <c r="H289" s="133">
        <v>2000</v>
      </c>
      <c r="I289" s="83">
        <v>22000</v>
      </c>
    </row>
    <row r="290" spans="1:10" ht="18" customHeight="1" x14ac:dyDescent="0.3">
      <c r="A290" s="85">
        <v>1069</v>
      </c>
      <c r="B290" s="97">
        <v>45866</v>
      </c>
      <c r="C290" s="86" t="s">
        <v>1483</v>
      </c>
      <c r="D290" s="120" t="s">
        <v>1234</v>
      </c>
      <c r="F290" s="127">
        <v>1200000</v>
      </c>
      <c r="G290" s="88">
        <v>1</v>
      </c>
      <c r="H290" s="133">
        <v>120000</v>
      </c>
      <c r="I290" s="83">
        <v>1320000</v>
      </c>
    </row>
    <row r="291" spans="1:10" ht="18" customHeight="1" x14ac:dyDescent="0.3">
      <c r="A291" s="85">
        <v>1070</v>
      </c>
      <c r="B291" s="97">
        <v>45866</v>
      </c>
      <c r="C291" s="86" t="s">
        <v>3186</v>
      </c>
      <c r="D291" s="120" t="s">
        <v>1784</v>
      </c>
      <c r="J291" s="83">
        <v>-1100000</v>
      </c>
    </row>
    <row r="292" spans="1:10" ht="18" customHeight="1" x14ac:dyDescent="0.3">
      <c r="A292" s="85">
        <v>1071</v>
      </c>
      <c r="B292" s="97">
        <v>45866</v>
      </c>
      <c r="C292" s="86" t="s">
        <v>3194</v>
      </c>
      <c r="D292" s="120" t="s">
        <v>2234</v>
      </c>
      <c r="F292" s="127">
        <v>1500000</v>
      </c>
      <c r="G292" s="88">
        <v>1</v>
      </c>
      <c r="H292" s="133">
        <v>150000</v>
      </c>
      <c r="I292" s="83">
        <v>1650000</v>
      </c>
    </row>
    <row r="293" spans="1:10" ht="18" customHeight="1" x14ac:dyDescent="0.3">
      <c r="A293" s="85">
        <v>1072</v>
      </c>
      <c r="B293" s="97">
        <v>45866</v>
      </c>
      <c r="C293" s="86" t="s">
        <v>3194</v>
      </c>
      <c r="D293" s="120" t="s">
        <v>2235</v>
      </c>
      <c r="F293" s="127">
        <v>50000</v>
      </c>
      <c r="G293" s="88">
        <v>1</v>
      </c>
      <c r="H293" s="133">
        <v>5000</v>
      </c>
      <c r="I293" s="83">
        <v>55000</v>
      </c>
    </row>
    <row r="294" spans="1:10" ht="18" customHeight="1" x14ac:dyDescent="0.3">
      <c r="A294" s="85">
        <v>1073</v>
      </c>
      <c r="B294" s="97">
        <v>45866</v>
      </c>
      <c r="C294" s="86" t="s">
        <v>3194</v>
      </c>
      <c r="D294" s="120" t="s">
        <v>1784</v>
      </c>
      <c r="J294" s="83">
        <v>-1705000</v>
      </c>
    </row>
    <row r="295" spans="1:10" ht="18" customHeight="1" x14ac:dyDescent="0.3">
      <c r="A295" s="85">
        <v>1074</v>
      </c>
      <c r="B295" s="97">
        <v>45866</v>
      </c>
      <c r="C295" s="86" t="s">
        <v>1483</v>
      </c>
      <c r="D295" s="120" t="s">
        <v>1784</v>
      </c>
      <c r="J295" s="83">
        <v>-1320000</v>
      </c>
    </row>
    <row r="296" spans="1:10" ht="18" customHeight="1" x14ac:dyDescent="0.3">
      <c r="A296" s="85">
        <v>1075</v>
      </c>
      <c r="B296" s="97">
        <v>45866</v>
      </c>
      <c r="C296" s="86" t="s">
        <v>1708</v>
      </c>
      <c r="D296" s="120" t="s">
        <v>1784</v>
      </c>
      <c r="J296" s="83">
        <v>-1705000</v>
      </c>
    </row>
    <row r="297" spans="1:10" ht="18" customHeight="1" x14ac:dyDescent="0.3">
      <c r="A297" s="85">
        <v>1076</v>
      </c>
      <c r="B297" s="97">
        <v>45866</v>
      </c>
      <c r="C297" s="86" t="s">
        <v>1578</v>
      </c>
      <c r="D297" s="120" t="s">
        <v>1784</v>
      </c>
      <c r="J297" s="83">
        <v>-1400000</v>
      </c>
    </row>
    <row r="298" spans="1:10" ht="18" customHeight="1" x14ac:dyDescent="0.3">
      <c r="A298" s="85">
        <v>1077</v>
      </c>
      <c r="B298" s="97">
        <v>45866</v>
      </c>
      <c r="C298" s="86" t="s">
        <v>1492</v>
      </c>
      <c r="D298" s="120" t="s">
        <v>1784</v>
      </c>
      <c r="J298" s="83">
        <v>-1789000</v>
      </c>
    </row>
    <row r="299" spans="1:10" ht="18" customHeight="1" x14ac:dyDescent="0.3">
      <c r="A299" s="85">
        <v>1078</v>
      </c>
      <c r="B299" s="97">
        <v>45866</v>
      </c>
      <c r="C299" s="86" t="s">
        <v>1892</v>
      </c>
      <c r="D299" s="120" t="s">
        <v>1784</v>
      </c>
      <c r="J299" s="83">
        <v>-710000</v>
      </c>
    </row>
    <row r="300" spans="1:10" ht="18" customHeight="1" x14ac:dyDescent="0.3">
      <c r="A300" s="85">
        <v>1079</v>
      </c>
      <c r="B300" s="97">
        <v>45866</v>
      </c>
      <c r="C300" s="86" t="s">
        <v>2026</v>
      </c>
      <c r="D300" s="120" t="s">
        <v>1784</v>
      </c>
      <c r="J300" s="83">
        <v>-230000</v>
      </c>
    </row>
    <row r="301" spans="1:10" ht="18" customHeight="1" x14ac:dyDescent="0.3">
      <c r="A301" s="85">
        <v>1080</v>
      </c>
      <c r="B301" s="97">
        <v>45867</v>
      </c>
      <c r="C301" s="86" t="s">
        <v>1066</v>
      </c>
      <c r="D301" s="120" t="s">
        <v>1784</v>
      </c>
      <c r="J301" s="83">
        <v>-1000000</v>
      </c>
    </row>
    <row r="302" spans="1:10" ht="18" customHeight="1" x14ac:dyDescent="0.3">
      <c r="A302" s="85">
        <v>1081</v>
      </c>
      <c r="B302" s="97">
        <v>45867</v>
      </c>
      <c r="C302" s="86" t="s">
        <v>1024</v>
      </c>
      <c r="D302" s="120" t="s">
        <v>1784</v>
      </c>
      <c r="J302" s="83">
        <v>-1320000</v>
      </c>
    </row>
    <row r="303" spans="1:10" ht="18" customHeight="1" x14ac:dyDescent="0.3">
      <c r="A303" s="85">
        <v>1082</v>
      </c>
      <c r="B303" s="97">
        <v>45867</v>
      </c>
      <c r="C303" s="86" t="s">
        <v>1617</v>
      </c>
      <c r="D303" s="120" t="s">
        <v>3137</v>
      </c>
      <c r="J303" s="83">
        <v>-500000</v>
      </c>
    </row>
    <row r="304" spans="1:10" ht="18" customHeight="1" x14ac:dyDescent="0.3">
      <c r="A304" s="85">
        <v>1083</v>
      </c>
      <c r="B304" s="97">
        <v>45867</v>
      </c>
      <c r="C304" s="86" t="s">
        <v>1478</v>
      </c>
      <c r="D304" s="120" t="s">
        <v>3226</v>
      </c>
      <c r="F304" s="127">
        <v>250000</v>
      </c>
      <c r="G304" s="88">
        <v>1</v>
      </c>
      <c r="I304" s="83">
        <v>250000</v>
      </c>
    </row>
    <row r="305" spans="1:10" ht="18" customHeight="1" x14ac:dyDescent="0.3">
      <c r="A305" s="85">
        <v>1084</v>
      </c>
      <c r="B305" s="97">
        <v>45867</v>
      </c>
      <c r="C305" s="86" t="s">
        <v>1829</v>
      </c>
      <c r="D305" s="120" t="s">
        <v>2234</v>
      </c>
      <c r="F305" s="127">
        <v>1500000</v>
      </c>
      <c r="G305" s="88">
        <v>1</v>
      </c>
      <c r="I305" s="83">
        <v>1500000</v>
      </c>
    </row>
    <row r="306" spans="1:10" ht="18" customHeight="1" x14ac:dyDescent="0.3">
      <c r="A306" s="85">
        <v>1085</v>
      </c>
      <c r="B306" s="97">
        <v>45867</v>
      </c>
      <c r="C306" s="86" t="s">
        <v>1829</v>
      </c>
      <c r="D306" s="120" t="s">
        <v>2235</v>
      </c>
      <c r="F306" s="127">
        <v>50000</v>
      </c>
      <c r="G306" s="88">
        <v>1</v>
      </c>
      <c r="I306" s="83">
        <v>50000</v>
      </c>
    </row>
    <row r="307" spans="1:10" ht="18" customHeight="1" x14ac:dyDescent="0.3">
      <c r="A307" s="85">
        <v>1086</v>
      </c>
      <c r="B307" s="97">
        <v>45867</v>
      </c>
      <c r="C307" s="86" t="s">
        <v>1102</v>
      </c>
      <c r="D307" s="120" t="s">
        <v>2240</v>
      </c>
      <c r="F307" s="127">
        <v>900000</v>
      </c>
      <c r="G307" s="88">
        <v>1</v>
      </c>
      <c r="I307" s="83">
        <v>900000</v>
      </c>
    </row>
    <row r="308" spans="1:10" ht="18" customHeight="1" x14ac:dyDescent="0.3">
      <c r="A308" s="85">
        <v>1087</v>
      </c>
      <c r="B308" s="97">
        <v>45867</v>
      </c>
      <c r="C308" s="86" t="s">
        <v>1339</v>
      </c>
      <c r="D308" s="120" t="s">
        <v>2241</v>
      </c>
      <c r="F308" s="127">
        <v>520000</v>
      </c>
      <c r="G308" s="88">
        <v>1</v>
      </c>
      <c r="I308" s="83">
        <v>520000</v>
      </c>
    </row>
    <row r="309" spans="1:10" ht="18" customHeight="1" x14ac:dyDescent="0.3">
      <c r="A309" s="85">
        <v>1088</v>
      </c>
      <c r="B309" s="97">
        <v>45867</v>
      </c>
      <c r="C309" s="86" t="s">
        <v>1339</v>
      </c>
      <c r="D309" s="120" t="s">
        <v>2244</v>
      </c>
      <c r="F309" s="127">
        <v>70000</v>
      </c>
      <c r="G309" s="88">
        <v>1</v>
      </c>
      <c r="I309" s="83">
        <v>70000</v>
      </c>
    </row>
    <row r="310" spans="1:10" ht="18" customHeight="1" x14ac:dyDescent="0.3">
      <c r="A310" s="85">
        <v>1089</v>
      </c>
      <c r="B310" s="97">
        <v>45867</v>
      </c>
      <c r="C310" s="86" t="s">
        <v>1339</v>
      </c>
      <c r="D310" s="120" t="s">
        <v>2245</v>
      </c>
      <c r="F310" s="127">
        <v>35000</v>
      </c>
      <c r="G310" s="88">
        <v>1</v>
      </c>
      <c r="I310" s="83">
        <v>35000</v>
      </c>
    </row>
    <row r="311" spans="1:10" ht="18" customHeight="1" x14ac:dyDescent="0.3">
      <c r="A311" s="85">
        <v>1090</v>
      </c>
      <c r="B311" s="97">
        <v>45867</v>
      </c>
      <c r="C311" s="86" t="s">
        <v>1339</v>
      </c>
      <c r="D311" s="120" t="s">
        <v>3065</v>
      </c>
      <c r="F311" s="127">
        <v>450000</v>
      </c>
      <c r="G311" s="88">
        <v>1</v>
      </c>
      <c r="I311" s="83">
        <v>450000</v>
      </c>
    </row>
    <row r="312" spans="1:10" ht="18" customHeight="1" x14ac:dyDescent="0.3">
      <c r="A312" s="85">
        <v>1091</v>
      </c>
      <c r="B312" s="97">
        <v>45867</v>
      </c>
      <c r="C312" s="86" t="s">
        <v>1844</v>
      </c>
      <c r="D312" s="120" t="s">
        <v>2709</v>
      </c>
      <c r="F312" s="127">
        <v>1600000</v>
      </c>
      <c r="G312" s="88">
        <v>1</v>
      </c>
      <c r="H312" s="133">
        <v>160000</v>
      </c>
      <c r="I312" s="83">
        <v>1760000</v>
      </c>
    </row>
    <row r="313" spans="1:10" ht="18" customHeight="1" x14ac:dyDescent="0.3">
      <c r="A313" s="85">
        <v>1092</v>
      </c>
      <c r="B313" s="97">
        <v>45867</v>
      </c>
      <c r="C313" s="86" t="s">
        <v>3059</v>
      </c>
      <c r="D313" s="120" t="s">
        <v>1234</v>
      </c>
      <c r="F313" s="127">
        <v>1000000</v>
      </c>
      <c r="G313" s="88">
        <v>1</v>
      </c>
      <c r="I313" s="83">
        <v>1000000</v>
      </c>
    </row>
    <row r="314" spans="1:10" ht="18" customHeight="1" x14ac:dyDescent="0.3">
      <c r="A314" s="85">
        <v>1093</v>
      </c>
      <c r="B314" s="97">
        <v>45867</v>
      </c>
      <c r="C314" s="86" t="s">
        <v>1759</v>
      </c>
      <c r="D314" s="120" t="s">
        <v>3241</v>
      </c>
      <c r="F314" s="127">
        <v>900000</v>
      </c>
      <c r="G314" s="88">
        <v>1</v>
      </c>
      <c r="I314" s="83">
        <v>900000</v>
      </c>
    </row>
    <row r="315" spans="1:10" ht="18" customHeight="1" x14ac:dyDescent="0.3">
      <c r="A315" s="85">
        <v>1094</v>
      </c>
      <c r="B315" s="97">
        <v>45867</v>
      </c>
      <c r="C315" s="86" t="s">
        <v>1478</v>
      </c>
      <c r="D315" s="120" t="s">
        <v>2234</v>
      </c>
      <c r="F315" s="127">
        <v>1500000</v>
      </c>
      <c r="G315" s="88">
        <v>1</v>
      </c>
      <c r="I315" s="83">
        <v>1500000</v>
      </c>
    </row>
    <row r="316" spans="1:10" ht="18" customHeight="1" x14ac:dyDescent="0.3">
      <c r="A316" s="85">
        <v>1095</v>
      </c>
      <c r="B316" s="97">
        <v>45867</v>
      </c>
      <c r="C316" s="86" t="s">
        <v>1478</v>
      </c>
      <c r="D316" s="120" t="s">
        <v>2235</v>
      </c>
      <c r="F316" s="127">
        <v>50000</v>
      </c>
      <c r="G316" s="88">
        <v>1</v>
      </c>
      <c r="I316" s="83">
        <v>50000</v>
      </c>
    </row>
    <row r="317" spans="1:10" ht="18" customHeight="1" x14ac:dyDescent="0.3">
      <c r="A317" s="85">
        <v>1096</v>
      </c>
      <c r="B317" s="97">
        <v>45867</v>
      </c>
      <c r="C317" s="86" t="s">
        <v>1478</v>
      </c>
      <c r="D317" s="120" t="s">
        <v>1583</v>
      </c>
      <c r="F317" s="127">
        <v>50000</v>
      </c>
      <c r="G317" s="88">
        <v>1</v>
      </c>
      <c r="I317" s="83">
        <v>50000</v>
      </c>
    </row>
    <row r="318" spans="1:10" ht="18" customHeight="1" x14ac:dyDescent="0.3">
      <c r="A318" s="85">
        <v>1097</v>
      </c>
      <c r="B318" s="97">
        <v>45867</v>
      </c>
      <c r="C318" s="86" t="s">
        <v>1844</v>
      </c>
      <c r="D318" s="120" t="s">
        <v>1154</v>
      </c>
      <c r="J318" s="83">
        <v>-132000</v>
      </c>
    </row>
    <row r="319" spans="1:10" ht="18" customHeight="1" x14ac:dyDescent="0.3">
      <c r="A319" s="85">
        <v>1098</v>
      </c>
      <c r="B319" s="97">
        <v>45867</v>
      </c>
      <c r="C319" s="86" t="s">
        <v>3059</v>
      </c>
      <c r="D319" s="120" t="s">
        <v>1154</v>
      </c>
      <c r="J319" s="83">
        <v>-1000000</v>
      </c>
    </row>
    <row r="320" spans="1:10" ht="18" customHeight="1" x14ac:dyDescent="0.3">
      <c r="A320" s="85">
        <v>1099</v>
      </c>
      <c r="B320" s="97">
        <v>45868</v>
      </c>
      <c r="C320" s="86" t="s">
        <v>1339</v>
      </c>
      <c r="D320" s="120" t="s">
        <v>1784</v>
      </c>
      <c r="J320" s="83">
        <v>-1075000</v>
      </c>
    </row>
    <row r="321" spans="1:10" ht="18" customHeight="1" x14ac:dyDescent="0.3">
      <c r="A321" s="85">
        <v>1100</v>
      </c>
      <c r="B321" s="97">
        <v>45868</v>
      </c>
      <c r="C321" s="86" t="s">
        <v>2023</v>
      </c>
      <c r="D321" s="120" t="s">
        <v>2234</v>
      </c>
      <c r="F321" s="127">
        <v>1500000</v>
      </c>
      <c r="G321" s="88">
        <v>1</v>
      </c>
      <c r="H321" s="133">
        <v>150000</v>
      </c>
      <c r="I321" s="83">
        <v>1650000</v>
      </c>
    </row>
    <row r="322" spans="1:10" ht="18" customHeight="1" x14ac:dyDescent="0.3">
      <c r="A322" s="85">
        <v>1101</v>
      </c>
      <c r="B322" s="97">
        <v>45868</v>
      </c>
      <c r="C322" s="86" t="s">
        <v>2023</v>
      </c>
      <c r="D322" s="120" t="s">
        <v>2235</v>
      </c>
      <c r="F322" s="127">
        <v>50000</v>
      </c>
      <c r="G322" s="88">
        <v>1</v>
      </c>
      <c r="H322" s="133">
        <v>5000</v>
      </c>
      <c r="I322" s="83">
        <v>55000</v>
      </c>
    </row>
    <row r="323" spans="1:10" ht="18" customHeight="1" x14ac:dyDescent="0.3">
      <c r="A323" s="85">
        <v>1102</v>
      </c>
      <c r="B323" s="97">
        <v>45868</v>
      </c>
      <c r="C323" s="86" t="s">
        <v>1848</v>
      </c>
      <c r="D323" s="120" t="s">
        <v>2234</v>
      </c>
      <c r="F323" s="127">
        <v>1500000</v>
      </c>
      <c r="G323" s="88">
        <v>1</v>
      </c>
      <c r="I323" s="83">
        <v>1500000</v>
      </c>
    </row>
    <row r="324" spans="1:10" ht="18" customHeight="1" x14ac:dyDescent="0.3">
      <c r="A324" s="85">
        <v>1103</v>
      </c>
      <c r="B324" s="97">
        <v>45868</v>
      </c>
      <c r="C324" s="86" t="s">
        <v>1848</v>
      </c>
      <c r="D324" s="120" t="s">
        <v>2235</v>
      </c>
      <c r="F324" s="127">
        <v>50000</v>
      </c>
      <c r="G324" s="88">
        <v>1</v>
      </c>
      <c r="I324" s="83">
        <v>50000</v>
      </c>
    </row>
    <row r="325" spans="1:10" ht="18" customHeight="1" x14ac:dyDescent="0.3">
      <c r="A325" s="85">
        <v>1104</v>
      </c>
      <c r="B325" s="97">
        <v>45868</v>
      </c>
      <c r="C325" s="86" t="s">
        <v>2917</v>
      </c>
      <c r="D325" s="120" t="s">
        <v>2236</v>
      </c>
      <c r="F325" s="127">
        <v>250000</v>
      </c>
      <c r="G325" s="88">
        <v>1</v>
      </c>
      <c r="I325" s="83">
        <v>250000</v>
      </c>
    </row>
    <row r="326" spans="1:10" ht="18" customHeight="1" x14ac:dyDescent="0.3">
      <c r="A326" s="85">
        <v>1105</v>
      </c>
      <c r="B326" s="97">
        <v>45868</v>
      </c>
      <c r="C326" s="86" t="s">
        <v>1844</v>
      </c>
      <c r="D326" s="120" t="s">
        <v>3248</v>
      </c>
      <c r="F326" s="127">
        <v>200000</v>
      </c>
      <c r="G326" s="88">
        <v>1</v>
      </c>
      <c r="H326" s="133">
        <v>20000</v>
      </c>
      <c r="I326" s="83">
        <v>220000</v>
      </c>
    </row>
    <row r="327" spans="1:10" ht="18" customHeight="1" x14ac:dyDescent="0.3">
      <c r="A327" s="85">
        <v>1106</v>
      </c>
      <c r="B327" s="97">
        <v>45868</v>
      </c>
      <c r="C327" s="86" t="s">
        <v>1614</v>
      </c>
      <c r="D327" s="120" t="s">
        <v>3065</v>
      </c>
      <c r="F327" s="127">
        <v>450000</v>
      </c>
      <c r="G327" s="88">
        <v>1</v>
      </c>
      <c r="H327" s="133">
        <v>45000</v>
      </c>
      <c r="I327" s="83">
        <v>495000</v>
      </c>
    </row>
    <row r="328" spans="1:10" ht="18" customHeight="1" x14ac:dyDescent="0.3">
      <c r="A328" s="85">
        <v>1107</v>
      </c>
      <c r="B328" s="97">
        <v>45868</v>
      </c>
      <c r="C328" s="86" t="s">
        <v>3251</v>
      </c>
      <c r="D328" s="120" t="s">
        <v>1234</v>
      </c>
      <c r="F328" s="127">
        <v>1200000</v>
      </c>
      <c r="G328" s="88">
        <v>1</v>
      </c>
      <c r="H328" s="133">
        <v>120000</v>
      </c>
      <c r="I328" s="83">
        <v>1320000</v>
      </c>
    </row>
    <row r="329" spans="1:10" ht="18" customHeight="1" x14ac:dyDescent="0.3">
      <c r="A329" s="85">
        <v>1108</v>
      </c>
      <c r="B329" s="97">
        <v>45868</v>
      </c>
      <c r="C329" s="86" t="s">
        <v>2376</v>
      </c>
      <c r="D329" s="120" t="s">
        <v>3065</v>
      </c>
      <c r="F329" s="127">
        <v>863636</v>
      </c>
      <c r="G329" s="88">
        <v>1</v>
      </c>
      <c r="H329" s="133">
        <v>86364</v>
      </c>
      <c r="I329" s="83">
        <v>950000</v>
      </c>
    </row>
    <row r="330" spans="1:10" ht="18" customHeight="1" x14ac:dyDescent="0.3">
      <c r="A330" s="85">
        <v>1109</v>
      </c>
      <c r="B330" s="97">
        <v>45868</v>
      </c>
      <c r="C330" s="86" t="s">
        <v>1708</v>
      </c>
      <c r="D330" s="120" t="s">
        <v>1154</v>
      </c>
      <c r="J330" s="83">
        <v>-2750000</v>
      </c>
    </row>
    <row r="331" spans="1:10" ht="18" customHeight="1" x14ac:dyDescent="0.3">
      <c r="A331" s="85">
        <v>1110</v>
      </c>
      <c r="B331" s="97">
        <v>45868</v>
      </c>
      <c r="C331" s="86" t="s">
        <v>2842</v>
      </c>
      <c r="D331" s="120" t="s">
        <v>1154</v>
      </c>
      <c r="J331" s="83">
        <v>-2400000</v>
      </c>
    </row>
    <row r="332" spans="1:10" ht="18" customHeight="1" x14ac:dyDescent="0.3">
      <c r="A332" s="85">
        <v>1111</v>
      </c>
      <c r="B332" s="97">
        <v>45868</v>
      </c>
      <c r="C332" s="86" t="s">
        <v>2376</v>
      </c>
      <c r="D332" s="120" t="s">
        <v>1154</v>
      </c>
      <c r="J332" s="83">
        <v>-950000</v>
      </c>
    </row>
    <row r="333" spans="1:10" ht="18" customHeight="1" x14ac:dyDescent="0.3">
      <c r="A333" s="85">
        <v>1112</v>
      </c>
      <c r="B333" s="97">
        <v>45868</v>
      </c>
      <c r="C333" s="86" t="s">
        <v>2023</v>
      </c>
      <c r="D333" s="120" t="s">
        <v>1154</v>
      </c>
      <c r="J333" s="83">
        <v>-1705000</v>
      </c>
    </row>
    <row r="334" spans="1:10" ht="18" customHeight="1" x14ac:dyDescent="0.3">
      <c r="A334" s="85">
        <v>1113</v>
      </c>
      <c r="B334" s="97">
        <v>45868</v>
      </c>
      <c r="C334" s="86" t="s">
        <v>2917</v>
      </c>
      <c r="D334" s="120" t="s">
        <v>1154</v>
      </c>
      <c r="J334" s="83">
        <v>-250000</v>
      </c>
    </row>
    <row r="335" spans="1:10" ht="18" customHeight="1" x14ac:dyDescent="0.3">
      <c r="A335" s="85">
        <v>1114</v>
      </c>
      <c r="B335" s="97">
        <v>45868</v>
      </c>
      <c r="C335" s="86" t="s">
        <v>3251</v>
      </c>
      <c r="D335" s="120" t="s">
        <v>1154</v>
      </c>
      <c r="J335" s="83">
        <v>-1320000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8637000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9010000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9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11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13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4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4000000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5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20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2835000</v>
      </c>
      <c r="D15">
        <f t="shared" si="0"/>
        <v>17</v>
      </c>
    </row>
    <row r="16" spans="1:6" x14ac:dyDescent="0.3">
      <c r="B16" t="s">
        <v>2917</v>
      </c>
      <c r="C16" s="52">
        <f>SUMIF(BTS_매출관리!C:C,B16,BTS_매출관리!I:I)</f>
        <v>2270000</v>
      </c>
      <c r="D16">
        <f t="shared" si="0"/>
        <v>23</v>
      </c>
    </row>
    <row r="17" spans="2:4" x14ac:dyDescent="0.3">
      <c r="B17" t="s">
        <v>2555</v>
      </c>
      <c r="C17" s="52">
        <f>SUMIF(BTS_매출관리!C:C,B17,BTS_매출관리!I:I)</f>
        <v>7550000</v>
      </c>
      <c r="D17">
        <f t="shared" si="0"/>
        <v>3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26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28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31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32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32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32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38</v>
      </c>
    </row>
    <row r="25" spans="2:4" x14ac:dyDescent="0.3">
      <c r="B25" t="s">
        <v>1386</v>
      </c>
      <c r="C25" s="52">
        <f>SUMIF(BTS_매출관리!C:C,B25,BTS_매출관리!I:I)</f>
        <v>4664000</v>
      </c>
      <c r="D25">
        <f t="shared" si="0"/>
        <v>8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43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43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43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18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50</v>
      </c>
    </row>
    <row r="31" spans="2:4" x14ac:dyDescent="0.3">
      <c r="B31" t="s">
        <v>1367</v>
      </c>
      <c r="C31" s="52">
        <f>SUMIF(BTS_매출관리!C:C,B31,BTS_매출관리!I:I)</f>
        <v>3046000</v>
      </c>
      <c r="D31">
        <f t="shared" si="0"/>
        <v>16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55</v>
      </c>
    </row>
    <row r="33" spans="2:4" x14ac:dyDescent="0.3">
      <c r="B33" t="s">
        <v>1317</v>
      </c>
      <c r="C33" s="52">
        <f>SUMIF(BTS_매출관리!C:C,B33,BTS_매출관리!I:I)</f>
        <v>2340000</v>
      </c>
      <c r="D33">
        <f t="shared" si="0"/>
        <v>22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56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29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58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53</v>
      </c>
    </row>
    <row r="38" spans="2:4" x14ac:dyDescent="0.3">
      <c r="B38" t="s">
        <v>1823</v>
      </c>
      <c r="C38" s="52">
        <f>SUMIF(BTS_매출관리!C:C,B38,BTS_매출관리!I:I)</f>
        <v>2620000</v>
      </c>
      <c r="D38">
        <f t="shared" si="0"/>
        <v>19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46</v>
      </c>
    </row>
    <row r="40" spans="2:4" x14ac:dyDescent="0.3">
      <c r="B40" t="s">
        <v>1340</v>
      </c>
      <c r="C40" s="52">
        <f>SUMIF(BTS_매출관리!C:C,B40,BTS_매출관리!I:I)</f>
        <v>1075000</v>
      </c>
      <c r="D40">
        <f t="shared" si="0"/>
        <v>47</v>
      </c>
    </row>
    <row r="41" spans="2:4" x14ac:dyDescent="0.3">
      <c r="B41" t="s">
        <v>1708</v>
      </c>
      <c r="C41" s="52">
        <f>SUMIF(BTS_매출관리!C:C,B41,BTS_매출관리!I:I)</f>
        <v>4455000</v>
      </c>
      <c r="D41">
        <f t="shared" si="0"/>
        <v>10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40</v>
      </c>
    </row>
    <row r="43" spans="2:4" x14ac:dyDescent="0.3">
      <c r="B43" t="s">
        <v>1309</v>
      </c>
      <c r="C43" s="52">
        <f>SUMIF(BTS_매출관리!C:C,B43,BTS_매출관리!I:I)</f>
        <v>1705000</v>
      </c>
      <c r="D43">
        <f t="shared" si="0"/>
        <v>30</v>
      </c>
    </row>
    <row r="44" spans="2:4" x14ac:dyDescent="0.3">
      <c r="B44" t="s">
        <v>1304</v>
      </c>
      <c r="C44" s="52">
        <f>SUMIF(BTS_매출관리!C:C,B44,BTS_매출관리!I:I)</f>
        <v>1550000</v>
      </c>
      <c r="D44">
        <f t="shared" si="0"/>
        <v>32</v>
      </c>
    </row>
    <row r="45" spans="2:4" x14ac:dyDescent="0.3">
      <c r="B45" t="s">
        <v>1321</v>
      </c>
      <c r="C45" s="52">
        <f>SUMIF(BTS_매출관리!C:C,B45,BTS_매출관리!I:I)</f>
        <v>50000</v>
      </c>
      <c r="D45">
        <f t="shared" si="0"/>
        <v>59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60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57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60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52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60</v>
      </c>
    </row>
    <row r="51" spans="2:4" x14ac:dyDescent="0.3">
      <c r="B51" t="s">
        <v>1374</v>
      </c>
      <c r="C51" s="52">
        <f>SUMIF(BTS_매출관리!C:C,B51,BTS_매출관리!I:I)</f>
        <v>500000</v>
      </c>
      <c r="D51">
        <f t="shared" si="0"/>
        <v>54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60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60</v>
      </c>
    </row>
    <row r="54" spans="2:4" x14ac:dyDescent="0.3">
      <c r="B54" t="s">
        <v>2340</v>
      </c>
      <c r="C54" s="52">
        <f>SUMIF(BTS_매출관리!C:C,B54,BTS_매출관리!I:I)</f>
        <v>1400000</v>
      </c>
      <c r="D54">
        <f t="shared" si="0"/>
        <v>41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39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60</v>
      </c>
    </row>
    <row r="57" spans="2:4" x14ac:dyDescent="0.3">
      <c r="B57" t="s">
        <v>1654</v>
      </c>
      <c r="C57" s="52">
        <f>SUMIF(BTS_매출관리!C:C,B57,BTS_매출관리!I:I)</f>
        <v>2450000</v>
      </c>
      <c r="D57">
        <f t="shared" si="0"/>
        <v>21</v>
      </c>
    </row>
    <row r="58" spans="2:4" x14ac:dyDescent="0.3">
      <c r="B58" t="s">
        <v>1312</v>
      </c>
      <c r="C58" s="52">
        <f>SUMIF(BTS_매출관리!C:C,B58,BTS_매출관리!I:I)</f>
        <v>1550000</v>
      </c>
      <c r="D58">
        <f t="shared" si="0"/>
        <v>32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60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42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60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60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60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60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60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60</v>
      </c>
    </row>
    <row r="67" spans="2:4" x14ac:dyDescent="0.3">
      <c r="B67" t="s">
        <v>1382</v>
      </c>
      <c r="C67" s="52">
        <f>SUMIF(BTS_매출관리!C:C,B67,BTS_매출관리!I:I)</f>
        <v>2112000</v>
      </c>
      <c r="D67">
        <f t="shared" si="1"/>
        <v>24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60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25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60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60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60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60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60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60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60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60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60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60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60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60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60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60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60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26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60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60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60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60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60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60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60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60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60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49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60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60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60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60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60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60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60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60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60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60</v>
      </c>
    </row>
    <row r="106" spans="2:4" x14ac:dyDescent="0.3">
      <c r="B106" t="s">
        <v>1328</v>
      </c>
      <c r="C106" s="52">
        <f>SUMIF(BTS_매출관리!C:C,B106,BTS_매출관리!I:I)</f>
        <v>810000</v>
      </c>
      <c r="D106">
        <f t="shared" si="1"/>
        <v>48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60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60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60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60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60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50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60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60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60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60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60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60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60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60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60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60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60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60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60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60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60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60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60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60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60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60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60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60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60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60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60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60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60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60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60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60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60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60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60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60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60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60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60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60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32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60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60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60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60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60</v>
      </c>
    </row>
    <row r="157" spans="2:4" x14ac:dyDescent="0.3">
      <c r="C157" s="52">
        <f>SUMIF(BTS_매출관리!C:C,B157,BTS_매출관리!I:I)</f>
        <v>0</v>
      </c>
      <c r="D157">
        <f t="shared" si="2"/>
        <v>60</v>
      </c>
    </row>
    <row r="158" spans="2:4" x14ac:dyDescent="0.3">
      <c r="C158" s="52">
        <f>SUMIF(BTS_매출관리!C:C,B158,BTS_매출관리!I:I)</f>
        <v>0</v>
      </c>
      <c r="D158">
        <f t="shared" si="2"/>
        <v>60</v>
      </c>
    </row>
    <row r="159" spans="2:4" x14ac:dyDescent="0.3">
      <c r="C159" s="52">
        <f>SUMIF(BTS_매출관리!C:C,B159,BTS_매출관리!I:I)</f>
        <v>0</v>
      </c>
      <c r="D159">
        <f t="shared" si="2"/>
        <v>60</v>
      </c>
    </row>
    <row r="160" spans="2:4" x14ac:dyDescent="0.3">
      <c r="C160" s="52">
        <f>SUMIF(BTS_매출관리!C:C,B160,BTS_매출관리!I:I)</f>
        <v>0</v>
      </c>
      <c r="D160">
        <f t="shared" si="2"/>
        <v>60</v>
      </c>
    </row>
    <row r="161" spans="3:4" x14ac:dyDescent="0.3">
      <c r="C161" s="52">
        <f>SUMIF(BTS_매출관리!C:C,B161,BTS_매출관리!I:I)</f>
        <v>0</v>
      </c>
      <c r="D161">
        <f t="shared" si="2"/>
        <v>60</v>
      </c>
    </row>
    <row r="162" spans="3:4" x14ac:dyDescent="0.3">
      <c r="C162" s="52">
        <f>SUMIF(BTS_매출관리!C:C,B162,BTS_매출관리!I:I)</f>
        <v>0</v>
      </c>
      <c r="D162">
        <f t="shared" si="2"/>
        <v>60</v>
      </c>
    </row>
    <row r="163" spans="3:4" x14ac:dyDescent="0.3">
      <c r="C163" s="52">
        <f>SUMIF(BTS_매출관리!C:C,B163,BTS_매출관리!I:I)</f>
        <v>0</v>
      </c>
      <c r="D163">
        <f t="shared" si="2"/>
        <v>60</v>
      </c>
    </row>
    <row r="164" spans="3:4" x14ac:dyDescent="0.3">
      <c r="C164" s="52">
        <f>SUMIF(BTS_매출관리!C:C,B164,BTS_매출관리!I:I)</f>
        <v>0</v>
      </c>
      <c r="D164">
        <f t="shared" si="2"/>
        <v>60</v>
      </c>
    </row>
    <row r="165" spans="3:4" x14ac:dyDescent="0.3">
      <c r="C165" s="52">
        <f>SUMIF(BTS_매출관리!C:C,B165,BTS_매출관리!I:I)</f>
        <v>0</v>
      </c>
      <c r="D165">
        <f t="shared" si="2"/>
        <v>60</v>
      </c>
    </row>
    <row r="166" spans="3:4" x14ac:dyDescent="0.3">
      <c r="C166" s="52">
        <f>SUMIF(BTS_매출관리!C:C,B166,BTS_매출관리!I:I)</f>
        <v>0</v>
      </c>
      <c r="D166">
        <f t="shared" si="2"/>
        <v>60</v>
      </c>
    </row>
    <row r="167" spans="3:4" x14ac:dyDescent="0.3">
      <c r="C167" s="52">
        <f>SUMIF(BTS_매출관리!C:C,B167,BTS_매출관리!I:I)</f>
        <v>0</v>
      </c>
      <c r="D167">
        <f t="shared" si="2"/>
        <v>60</v>
      </c>
    </row>
    <row r="168" spans="3:4" x14ac:dyDescent="0.3">
      <c r="C168" s="52">
        <f>SUMIF(BTS_매출관리!C:C,B168,BTS_매출관리!I:I)</f>
        <v>0</v>
      </c>
      <c r="D168">
        <f t="shared" si="2"/>
        <v>60</v>
      </c>
    </row>
    <row r="169" spans="3:4" x14ac:dyDescent="0.3">
      <c r="C169" s="52">
        <f>SUMIF(BTS_매출관리!C:C,B169,BTS_매출관리!I:I)</f>
        <v>0</v>
      </c>
      <c r="D169">
        <f t="shared" si="2"/>
        <v>60</v>
      </c>
    </row>
    <row r="170" spans="3:4" x14ac:dyDescent="0.3">
      <c r="C170" s="52">
        <f>SUMIF(BTS_매출관리!C:C,B170,BTS_매출관리!I:I)</f>
        <v>0</v>
      </c>
      <c r="D170">
        <f t="shared" si="2"/>
        <v>60</v>
      </c>
    </row>
    <row r="171" spans="3:4" x14ac:dyDescent="0.3">
      <c r="C171" s="52">
        <f>SUMIF(BTS_매출관리!C:C,B171,BTS_매출관리!I:I)</f>
        <v>0</v>
      </c>
      <c r="D171">
        <f t="shared" si="2"/>
        <v>60</v>
      </c>
    </row>
    <row r="172" spans="3:4" x14ac:dyDescent="0.3">
      <c r="C172" s="52">
        <f>SUMIF(BTS_매출관리!C:C,B172,BTS_매출관리!I:I)</f>
        <v>0</v>
      </c>
      <c r="D172">
        <f t="shared" si="2"/>
        <v>60</v>
      </c>
    </row>
    <row r="173" spans="3:4" x14ac:dyDescent="0.3">
      <c r="C173" s="52">
        <f>SUMIF(BTS_매출관리!C:C,B173,BTS_매출관리!I:I)</f>
        <v>0</v>
      </c>
      <c r="D173">
        <f t="shared" si="2"/>
        <v>60</v>
      </c>
    </row>
    <row r="174" spans="3:4" x14ac:dyDescent="0.3">
      <c r="C174" s="52">
        <f>SUMIF(BTS_매출관리!C:C,B174,BTS_매출관리!I:I)</f>
        <v>0</v>
      </c>
      <c r="D174">
        <f t="shared" si="2"/>
        <v>60</v>
      </c>
    </row>
    <row r="175" spans="3:4" x14ac:dyDescent="0.3">
      <c r="C175" s="52">
        <f>SUMIF(BTS_매출관리!C:C,B175,BTS_매출관리!I:I)</f>
        <v>0</v>
      </c>
      <c r="D175">
        <f t="shared" si="2"/>
        <v>60</v>
      </c>
    </row>
    <row r="176" spans="3:4" x14ac:dyDescent="0.3">
      <c r="C176" s="52">
        <f>SUMIF(BTS_매출관리!C:C,B176,BTS_매출관리!I:I)</f>
        <v>0</v>
      </c>
      <c r="D176">
        <f t="shared" si="2"/>
        <v>60</v>
      </c>
    </row>
    <row r="177" spans="3:4" x14ac:dyDescent="0.3">
      <c r="C177" s="52">
        <f>SUMIF(BTS_매출관리!C:C,B177,BTS_매출관리!I:I)</f>
        <v>0</v>
      </c>
      <c r="D177">
        <f t="shared" si="2"/>
        <v>60</v>
      </c>
    </row>
    <row r="178" spans="3:4" x14ac:dyDescent="0.3">
      <c r="C178" s="52">
        <f>SUMIF(BTS_매출관리!C:C,B178,BTS_매출관리!I:I)</f>
        <v>0</v>
      </c>
      <c r="D178">
        <f t="shared" si="2"/>
        <v>60</v>
      </c>
    </row>
    <row r="179" spans="3:4" x14ac:dyDescent="0.3">
      <c r="C179" s="52">
        <f>SUMIF(BTS_매출관리!C:C,B179,BTS_매출관리!I:I)</f>
        <v>0</v>
      </c>
      <c r="D179">
        <f t="shared" si="2"/>
        <v>60</v>
      </c>
    </row>
    <row r="180" spans="3:4" x14ac:dyDescent="0.3">
      <c r="C180" s="52">
        <f>SUMIF(BTS_매출관리!C:C,B180,BTS_매출관리!I:I)</f>
        <v>0</v>
      </c>
      <c r="D180">
        <f t="shared" si="2"/>
        <v>60</v>
      </c>
    </row>
    <row r="181" spans="3:4" x14ac:dyDescent="0.3">
      <c r="C181" s="52">
        <f>SUMIF(BTS_매출관리!C:C,B181,BTS_매출관리!I:I)</f>
        <v>0</v>
      </c>
      <c r="D181">
        <f t="shared" si="2"/>
        <v>60</v>
      </c>
    </row>
    <row r="182" spans="3:4" x14ac:dyDescent="0.3">
      <c r="C182" s="52">
        <f>SUMIF(BTS_매출관리!C:C,B182,BTS_매출관리!I:I)</f>
        <v>0</v>
      </c>
      <c r="D182">
        <f t="shared" si="2"/>
        <v>60</v>
      </c>
    </row>
    <row r="183" spans="3:4" x14ac:dyDescent="0.3">
      <c r="C183" s="52">
        <f>SUMIF(BTS_매출관리!C:C,B183,BTS_매출관리!I:I)</f>
        <v>0</v>
      </c>
      <c r="D183">
        <f t="shared" si="2"/>
        <v>60</v>
      </c>
    </row>
    <row r="184" spans="3:4" x14ac:dyDescent="0.3">
      <c r="C184" s="52">
        <f>SUMIF(BTS_매출관리!C:C,B184,BTS_매출관리!I:I)</f>
        <v>0</v>
      </c>
      <c r="D184">
        <f t="shared" si="2"/>
        <v>60</v>
      </c>
    </row>
    <row r="185" spans="3:4" x14ac:dyDescent="0.3">
      <c r="C185" s="52">
        <f>SUMIF(BTS_매출관리!C:C,B185,BTS_매출관리!I:I)</f>
        <v>0</v>
      </c>
      <c r="D185">
        <f t="shared" si="2"/>
        <v>60</v>
      </c>
    </row>
    <row r="186" spans="3:4" x14ac:dyDescent="0.3">
      <c r="C186" s="52">
        <f>SUMIF(BTS_매출관리!C:C,B186,BTS_매출관리!I:I)</f>
        <v>0</v>
      </c>
      <c r="D186">
        <f t="shared" si="2"/>
        <v>60</v>
      </c>
    </row>
    <row r="187" spans="3:4" x14ac:dyDescent="0.3">
      <c r="C187" s="52">
        <f>SUMIF(BTS_매출관리!C:C,B187,BTS_매출관리!I:I)</f>
        <v>0</v>
      </c>
      <c r="D187">
        <f t="shared" si="2"/>
        <v>60</v>
      </c>
    </row>
    <row r="188" spans="3:4" x14ac:dyDescent="0.3">
      <c r="C188" s="52">
        <f>SUMIF(BTS_매출관리!C:C,B188,BTS_매출관리!I:I)</f>
        <v>0</v>
      </c>
      <c r="D188">
        <f t="shared" si="2"/>
        <v>60</v>
      </c>
    </row>
    <row r="189" spans="3:4" x14ac:dyDescent="0.3">
      <c r="C189" s="52">
        <f>SUMIF(BTS_매출관리!C:C,B189,BTS_매출관리!I:I)</f>
        <v>0</v>
      </c>
      <c r="D189">
        <f t="shared" si="2"/>
        <v>60</v>
      </c>
    </row>
    <row r="190" spans="3:4" x14ac:dyDescent="0.3">
      <c r="C190" s="52">
        <f>SUMIF(BTS_매출관리!C:C,B190,BTS_매출관리!I:I)</f>
        <v>0</v>
      </c>
      <c r="D190">
        <f t="shared" si="2"/>
        <v>60</v>
      </c>
    </row>
    <row r="191" spans="3:4" x14ac:dyDescent="0.3">
      <c r="C191" s="52">
        <f>SUMIF(BTS_매출관리!C:C,B191,BTS_매출관리!I:I)</f>
        <v>0</v>
      </c>
      <c r="D191">
        <f t="shared" si="2"/>
        <v>60</v>
      </c>
    </row>
    <row r="192" spans="3:4" x14ac:dyDescent="0.3">
      <c r="C192" s="52">
        <f>SUMIF(BTS_매출관리!C:C,B192,BTS_매출관리!I:I)</f>
        <v>0</v>
      </c>
      <c r="D192">
        <f t="shared" si="2"/>
        <v>60</v>
      </c>
    </row>
    <row r="193" spans="3:4" x14ac:dyDescent="0.3">
      <c r="C193" s="52">
        <f>SUMIF(BTS_매출관리!C:C,B193,BTS_매출관리!I:I)</f>
        <v>0</v>
      </c>
      <c r="D193">
        <f t="shared" si="2"/>
        <v>60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60</v>
      </c>
    </row>
    <row r="195" spans="3:4" x14ac:dyDescent="0.3">
      <c r="C195" s="52">
        <f>SUMIF(BTS_매출관리!C:C,B195,BTS_매출관리!I:I)</f>
        <v>0</v>
      </c>
      <c r="D195">
        <f t="shared" si="3"/>
        <v>60</v>
      </c>
    </row>
    <row r="196" spans="3:4" x14ac:dyDescent="0.3">
      <c r="C196" s="52">
        <f>SUMIF(BTS_매출관리!C:C,B196,BTS_매출관리!I:I)</f>
        <v>0</v>
      </c>
      <c r="D196">
        <f t="shared" si="3"/>
        <v>60</v>
      </c>
    </row>
    <row r="197" spans="3:4" x14ac:dyDescent="0.3">
      <c r="C197" s="52">
        <f>SUMIF(BTS_매출관리!C:C,B197,BTS_매출관리!I:I)</f>
        <v>0</v>
      </c>
      <c r="D197">
        <f t="shared" si="3"/>
        <v>60</v>
      </c>
    </row>
    <row r="198" spans="3:4" x14ac:dyDescent="0.3">
      <c r="C198" s="52">
        <f>SUMIF(BTS_매출관리!C:C,B198,BTS_매출관리!I:I)</f>
        <v>0</v>
      </c>
      <c r="D198">
        <f t="shared" si="3"/>
        <v>60</v>
      </c>
    </row>
    <row r="199" spans="3:4" x14ac:dyDescent="0.3">
      <c r="C199" s="52">
        <f>SUMIF(BTS_매출관리!C:C,B199,BTS_매출관리!I:I)</f>
        <v>0</v>
      </c>
      <c r="D199">
        <f t="shared" si="3"/>
        <v>60</v>
      </c>
    </row>
    <row r="200" spans="3:4" x14ac:dyDescent="0.3">
      <c r="C200" s="52">
        <f>SUMIF(BTS_매출관리!C:C,B200,BTS_매출관리!I:I)</f>
        <v>0</v>
      </c>
      <c r="D200">
        <f t="shared" si="3"/>
        <v>60</v>
      </c>
    </row>
    <row r="201" spans="3:4" x14ac:dyDescent="0.3">
      <c r="C201" s="52">
        <f>SUMIF(BTS_매출관리!C:C,B201,BTS_매출관리!I:I)</f>
        <v>0</v>
      </c>
      <c r="D201">
        <f t="shared" si="3"/>
        <v>60</v>
      </c>
    </row>
    <row r="202" spans="3:4" x14ac:dyDescent="0.3">
      <c r="C202" s="52">
        <f>SUMIF(BTS_매출관리!C:C,B202,BTS_매출관리!I:I)</f>
        <v>0</v>
      </c>
      <c r="D202">
        <f t="shared" si="3"/>
        <v>60</v>
      </c>
    </row>
    <row r="203" spans="3:4" x14ac:dyDescent="0.3">
      <c r="C203" s="52">
        <f>SUMIF(BTS_매출관리!C:C,B203,BTS_매출관리!I:I)</f>
        <v>0</v>
      </c>
      <c r="D203">
        <f t="shared" si="3"/>
        <v>60</v>
      </c>
    </row>
    <row r="204" spans="3:4" x14ac:dyDescent="0.3">
      <c r="C204" s="52">
        <f>SUMIF(BTS_매출관리!C:C,B204,BTS_매출관리!I:I)</f>
        <v>0</v>
      </c>
      <c r="D204">
        <f t="shared" si="3"/>
        <v>60</v>
      </c>
    </row>
    <row r="205" spans="3:4" x14ac:dyDescent="0.3">
      <c r="C205" s="52">
        <f>SUMIF(BTS_매출관리!C:C,B205,BTS_매출관리!I:I)</f>
        <v>0</v>
      </c>
      <c r="D205">
        <f t="shared" si="3"/>
        <v>60</v>
      </c>
    </row>
    <row r="206" spans="3:4" x14ac:dyDescent="0.3">
      <c r="C206" s="52">
        <f>SUMIF(BTS_매출관리!C:C,B206,BTS_매출관리!I:I)</f>
        <v>0</v>
      </c>
      <c r="D206">
        <f t="shared" si="3"/>
        <v>60</v>
      </c>
    </row>
    <row r="207" spans="3:4" x14ac:dyDescent="0.3">
      <c r="C207" s="52">
        <f>SUMIF(BTS_매출관리!C:C,B207,BTS_매출관리!I:I)</f>
        <v>0</v>
      </c>
      <c r="D207">
        <f t="shared" si="3"/>
        <v>60</v>
      </c>
    </row>
    <row r="208" spans="3:4" x14ac:dyDescent="0.3">
      <c r="C208" s="52">
        <f>SUMIF(BTS_매출관리!C:C,B208,BTS_매출관리!I:I)</f>
        <v>0</v>
      </c>
      <c r="D208">
        <f t="shared" si="3"/>
        <v>60</v>
      </c>
    </row>
    <row r="209" spans="3:4" x14ac:dyDescent="0.3">
      <c r="C209" s="52">
        <f>SUMIF(BTS_매출관리!C:C,B209,BTS_매출관리!I:I)</f>
        <v>0</v>
      </c>
      <c r="D209">
        <f t="shared" si="3"/>
        <v>60</v>
      </c>
    </row>
    <row r="210" spans="3:4" x14ac:dyDescent="0.3">
      <c r="C210" s="52">
        <f>SUMIF(BTS_매출관리!C:C,B210,BTS_매출관리!I:I)</f>
        <v>0</v>
      </c>
      <c r="D210">
        <f t="shared" si="3"/>
        <v>60</v>
      </c>
    </row>
    <row r="211" spans="3:4" x14ac:dyDescent="0.3">
      <c r="C211" s="52">
        <f>SUMIF(BTS_매출관리!C:C,B211,BTS_매출관리!I:I)</f>
        <v>0</v>
      </c>
      <c r="D211">
        <f t="shared" si="3"/>
        <v>60</v>
      </c>
    </row>
    <row r="212" spans="3:4" x14ac:dyDescent="0.3">
      <c r="C212" s="52">
        <f>SUMIF(BTS_매출관리!C:C,B212,BTS_매출관리!I:I)</f>
        <v>0</v>
      </c>
      <c r="D212">
        <f t="shared" si="3"/>
        <v>60</v>
      </c>
    </row>
    <row r="213" spans="3:4" x14ac:dyDescent="0.3">
      <c r="C213" s="52">
        <f>SUMIF(BTS_매출관리!C:C,B213,BTS_매출관리!I:I)</f>
        <v>0</v>
      </c>
      <c r="D213">
        <f t="shared" si="3"/>
        <v>60</v>
      </c>
    </row>
    <row r="214" spans="3:4" x14ac:dyDescent="0.3">
      <c r="C214" s="52">
        <f>SUMIF(BTS_매출관리!C:C,B214,BTS_매출관리!I:I)</f>
        <v>0</v>
      </c>
      <c r="D214">
        <f t="shared" si="3"/>
        <v>60</v>
      </c>
    </row>
    <row r="215" spans="3:4" x14ac:dyDescent="0.3">
      <c r="C215" s="52">
        <f>SUMIF(BTS_매출관리!C:C,B215,BTS_매출관리!I:I)</f>
        <v>0</v>
      </c>
      <c r="D215">
        <f t="shared" si="3"/>
        <v>60</v>
      </c>
    </row>
    <row r="216" spans="3:4" x14ac:dyDescent="0.3">
      <c r="C216" s="52">
        <f>SUMIF(BTS_매출관리!C:C,B216,BTS_매출관리!I:I)</f>
        <v>0</v>
      </c>
      <c r="D216">
        <f t="shared" si="3"/>
        <v>60</v>
      </c>
    </row>
    <row r="217" spans="3:4" x14ac:dyDescent="0.3">
      <c r="C217" s="52">
        <f>SUMIF(BTS_매출관리!C:C,B217,BTS_매출관리!I:I)</f>
        <v>0</v>
      </c>
      <c r="D217">
        <f t="shared" si="3"/>
        <v>60</v>
      </c>
    </row>
    <row r="218" spans="3:4" x14ac:dyDescent="0.3">
      <c r="C218" s="52">
        <f>SUMIF(BTS_매출관리!C:C,B218,BTS_매출관리!I:I)</f>
        <v>0</v>
      </c>
      <c r="D218">
        <f t="shared" si="3"/>
        <v>60</v>
      </c>
    </row>
    <row r="219" spans="3:4" x14ac:dyDescent="0.3">
      <c r="C219" s="52">
        <f>SUMIF(BTS_매출관리!C:C,B219,BTS_매출관리!I:I)</f>
        <v>0</v>
      </c>
      <c r="D219">
        <f t="shared" si="3"/>
        <v>60</v>
      </c>
    </row>
    <row r="220" spans="3:4" x14ac:dyDescent="0.3">
      <c r="C220" s="52">
        <f>SUMIF(BTS_매출관리!C:C,B220,BTS_매출관리!I:I)</f>
        <v>0</v>
      </c>
      <c r="D220">
        <f t="shared" si="3"/>
        <v>60</v>
      </c>
    </row>
    <row r="221" spans="3:4" x14ac:dyDescent="0.3">
      <c r="C221" s="52">
        <f>SUMIF(BTS_매출관리!C:C,B221,BTS_매출관리!I:I)</f>
        <v>0</v>
      </c>
      <c r="D221">
        <f t="shared" si="3"/>
        <v>60</v>
      </c>
    </row>
    <row r="222" spans="3:4" x14ac:dyDescent="0.3">
      <c r="C222" s="52">
        <f>SUMIF(BTS_매출관리!C:C,B222,BTS_매출관리!I:I)</f>
        <v>0</v>
      </c>
      <c r="D222">
        <f t="shared" si="3"/>
        <v>60</v>
      </c>
    </row>
    <row r="223" spans="3:4" x14ac:dyDescent="0.3">
      <c r="C223" s="52">
        <f>SUMIF(BTS_매출관리!C:C,B223,BTS_매출관리!I:I)</f>
        <v>0</v>
      </c>
      <c r="D223">
        <f t="shared" si="3"/>
        <v>60</v>
      </c>
    </row>
    <row r="224" spans="3:4" x14ac:dyDescent="0.3">
      <c r="C224" s="52">
        <f>SUMIF(BTS_매출관리!C:C,B224,BTS_매출관리!I:I)</f>
        <v>0</v>
      </c>
      <c r="D224">
        <f t="shared" si="3"/>
        <v>60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2379</v>
      </c>
      <c r="C1" s="442" t="s">
        <v>2611</v>
      </c>
      <c r="D1" s="439" t="s">
        <v>2640</v>
      </c>
      <c r="E1" s="439" t="s">
        <v>40</v>
      </c>
      <c r="F1" s="439" t="s">
        <v>2818</v>
      </c>
      <c r="G1" s="439"/>
      <c r="H1" s="439" t="s">
        <v>2819</v>
      </c>
      <c r="I1" s="439"/>
      <c r="J1" s="439" t="s">
        <v>2820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3218</v>
      </c>
      <c r="D49" s="259" t="s">
        <v>3219</v>
      </c>
      <c r="E49" s="259" t="s">
        <v>2621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2616</v>
      </c>
      <c r="D50" s="259" t="s">
        <v>3126</v>
      </c>
      <c r="E50" s="259" t="s">
        <v>2621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2635</v>
      </c>
      <c r="D51" s="259" t="s">
        <v>3222</v>
      </c>
      <c r="E51" s="259" t="s">
        <v>2621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3220</v>
      </c>
      <c r="D52" s="259" t="s">
        <v>3221</v>
      </c>
      <c r="E52" s="259" t="s">
        <v>2621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2635</v>
      </c>
      <c r="D53" s="259" t="s">
        <v>3222</v>
      </c>
      <c r="E53" s="259" t="s">
        <v>2621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3223</v>
      </c>
      <c r="D54" s="259" t="s">
        <v>3224</v>
      </c>
      <c r="E54" s="259" t="s">
        <v>2621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2639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2278</v>
      </c>
      <c r="D2" s="301"/>
      <c r="E2" s="301"/>
      <c r="F2" s="301"/>
      <c r="G2" s="302"/>
      <c r="H2" s="300" t="s">
        <v>81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1196</v>
      </c>
      <c r="B3" s="37" t="s">
        <v>64</v>
      </c>
      <c r="C3" s="495" t="s">
        <v>1575</v>
      </c>
      <c r="D3" s="496"/>
      <c r="E3" s="496"/>
      <c r="F3" s="496"/>
      <c r="G3" s="496"/>
      <c r="H3" s="496"/>
      <c r="I3" s="496"/>
      <c r="J3" s="497"/>
      <c r="K3" s="379" t="s">
        <v>1197</v>
      </c>
      <c r="L3" s="37" t="s">
        <v>64</v>
      </c>
      <c r="M3" s="481" t="s">
        <v>970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461" t="s">
        <v>78</v>
      </c>
      <c r="U4" s="462"/>
    </row>
    <row r="5" spans="1:21" ht="15.75" customHeight="1" x14ac:dyDescent="0.3">
      <c r="A5" s="374"/>
      <c r="B5" s="38" t="s">
        <v>65</v>
      </c>
      <c r="C5" s="388" t="s">
        <v>1113</v>
      </c>
      <c r="D5" s="389"/>
      <c r="E5" s="389"/>
      <c r="F5" s="389"/>
      <c r="G5" s="389"/>
      <c r="H5" s="389"/>
      <c r="I5" s="389"/>
      <c r="J5" s="390"/>
      <c r="K5" s="380"/>
      <c r="L5" s="38" t="s">
        <v>65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80</v>
      </c>
      <c r="C6" s="388" t="s">
        <v>1112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980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83</v>
      </c>
      <c r="G7" s="308"/>
      <c r="H7" s="308"/>
      <c r="I7" s="370"/>
      <c r="J7" s="371" t="s">
        <v>72</v>
      </c>
      <c r="K7" s="370"/>
      <c r="L7" s="371" t="s">
        <v>46</v>
      </c>
      <c r="M7" s="308"/>
      <c r="N7" s="308"/>
      <c r="O7" s="308"/>
      <c r="P7" s="370"/>
      <c r="Q7" s="371" t="s">
        <v>73</v>
      </c>
      <c r="R7" s="308"/>
      <c r="S7" s="370"/>
      <c r="T7" s="371" t="s">
        <v>74</v>
      </c>
      <c r="U7" s="372"/>
    </row>
    <row r="8" spans="1:21" ht="15" customHeight="1" x14ac:dyDescent="0.3">
      <c r="A8" s="498" t="s">
        <v>1160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86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965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96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76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1196</v>
      </c>
      <c r="B26" s="37" t="s">
        <v>64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1197</v>
      </c>
      <c r="L26" s="37" t="s">
        <v>64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66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66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67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80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26</v>
      </c>
      <c r="T29" s="388"/>
      <c r="U29" s="391"/>
    </row>
    <row r="30" spans="1:21" ht="15.75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72</v>
      </c>
      <c r="K30" s="370"/>
      <c r="L30" s="371" t="s">
        <v>46</v>
      </c>
      <c r="M30" s="308"/>
      <c r="N30" s="308"/>
      <c r="O30" s="308"/>
      <c r="P30" s="370"/>
      <c r="Q30" s="371" t="s">
        <v>73</v>
      </c>
      <c r="R30" s="308"/>
      <c r="S30" s="370"/>
      <c r="T30" s="371" t="s">
        <v>74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86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965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96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971</v>
      </c>
      <c r="K44" s="313"/>
      <c r="L44" s="317" t="str">
        <f>L21</f>
        <v>장효주</v>
      </c>
      <c r="M44" s="317"/>
      <c r="N44" s="317"/>
      <c r="O44" s="316" t="s">
        <v>69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1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640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3179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3180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3181</v>
      </c>
    </row>
    <row r="591" spans="1:4" x14ac:dyDescent="0.3">
      <c r="A591">
        <v>615</v>
      </c>
      <c r="B591" s="13">
        <v>45866</v>
      </c>
      <c r="C591" t="s">
        <v>1785</v>
      </c>
      <c r="D591" t="s">
        <v>3182</v>
      </c>
    </row>
    <row r="592" spans="1:4" x14ac:dyDescent="0.3">
      <c r="A592">
        <v>616</v>
      </c>
      <c r="B592" s="13">
        <v>45866</v>
      </c>
      <c r="C592" t="s">
        <v>1892</v>
      </c>
      <c r="D592" t="s">
        <v>3183</v>
      </c>
    </row>
    <row r="593" spans="1:4" x14ac:dyDescent="0.3">
      <c r="A593">
        <v>617</v>
      </c>
      <c r="B593" s="13">
        <v>45866</v>
      </c>
      <c r="C593" t="s">
        <v>1708</v>
      </c>
      <c r="D593" t="s">
        <v>3184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3185</v>
      </c>
    </row>
    <row r="595" spans="1:4" x14ac:dyDescent="0.3">
      <c r="A595">
        <v>619</v>
      </c>
      <c r="B595" s="13">
        <v>45866</v>
      </c>
      <c r="C595" t="s">
        <v>3186</v>
      </c>
      <c r="D595" t="s">
        <v>3189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3190</v>
      </c>
    </row>
    <row r="597" spans="1:4" x14ac:dyDescent="0.3">
      <c r="A597">
        <v>621</v>
      </c>
      <c r="B597" s="13">
        <v>45866</v>
      </c>
      <c r="C597" t="s">
        <v>1906</v>
      </c>
      <c r="D597" t="s">
        <v>3191</v>
      </c>
    </row>
    <row r="598" spans="1:4" x14ac:dyDescent="0.3">
      <c r="A598">
        <v>622</v>
      </c>
      <c r="B598" s="13">
        <v>45866</v>
      </c>
      <c r="C598" t="s">
        <v>1785</v>
      </c>
      <c r="D598" t="s">
        <v>3192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3193</v>
      </c>
    </row>
    <row r="600" spans="1:4" x14ac:dyDescent="0.3">
      <c r="A600">
        <v>624</v>
      </c>
      <c r="B600" s="13">
        <v>45866</v>
      </c>
      <c r="C600" t="s">
        <v>3194</v>
      </c>
      <c r="D600" t="s">
        <v>3199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3227</v>
      </c>
    </row>
    <row r="602" spans="1:4" x14ac:dyDescent="0.3">
      <c r="A602">
        <v>626</v>
      </c>
      <c r="B602" s="13">
        <v>45867</v>
      </c>
      <c r="C602" t="s">
        <v>1829</v>
      </c>
      <c r="D602" t="s">
        <v>3228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3229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3230</v>
      </c>
    </row>
    <row r="605" spans="1:4" x14ac:dyDescent="0.3">
      <c r="A605">
        <v>629</v>
      </c>
      <c r="B605" s="13">
        <v>45867</v>
      </c>
      <c r="C605" t="s">
        <v>1844</v>
      </c>
      <c r="D605" t="s">
        <v>3231</v>
      </c>
    </row>
    <row r="606" spans="1:4" x14ac:dyDescent="0.3">
      <c r="A606">
        <v>630</v>
      </c>
      <c r="B606" s="13">
        <v>45867</v>
      </c>
      <c r="C606" t="s">
        <v>3059</v>
      </c>
      <c r="D606" t="s">
        <v>3232</v>
      </c>
    </row>
    <row r="607" spans="1:4" x14ac:dyDescent="0.3">
      <c r="A607">
        <v>631</v>
      </c>
      <c r="B607" s="13">
        <v>45867</v>
      </c>
      <c r="C607" t="s">
        <v>1759</v>
      </c>
      <c r="D607" t="s">
        <v>3233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3235</v>
      </c>
    </row>
    <row r="609" spans="1:4" x14ac:dyDescent="0.3">
      <c r="A609">
        <v>633</v>
      </c>
      <c r="B609" s="13">
        <v>45868</v>
      </c>
      <c r="C609" t="s">
        <v>2023</v>
      </c>
      <c r="D609" t="s">
        <v>3245</v>
      </c>
    </row>
    <row r="610" spans="1:4" x14ac:dyDescent="0.3">
      <c r="A610">
        <v>634</v>
      </c>
      <c r="B610" s="13">
        <v>45868</v>
      </c>
      <c r="C610" t="s">
        <v>1848</v>
      </c>
      <c r="D610" t="s">
        <v>3246</v>
      </c>
    </row>
    <row r="611" spans="1:4" x14ac:dyDescent="0.3">
      <c r="A611">
        <v>635</v>
      </c>
      <c r="B611" s="13">
        <v>45868</v>
      </c>
      <c r="C611" t="s">
        <v>2917</v>
      </c>
      <c r="D611" t="s">
        <v>3247</v>
      </c>
    </row>
    <row r="612" spans="1:4" x14ac:dyDescent="0.3">
      <c r="A612">
        <v>636</v>
      </c>
      <c r="B612" s="13">
        <v>45868</v>
      </c>
      <c r="C612" t="s">
        <v>1844</v>
      </c>
      <c r="D612" t="s">
        <v>3249</v>
      </c>
    </row>
    <row r="613" spans="1:4" x14ac:dyDescent="0.3">
      <c r="A613">
        <v>637</v>
      </c>
      <c r="B613" s="13">
        <v>45868</v>
      </c>
      <c r="C613" t="s">
        <v>1614</v>
      </c>
      <c r="D613" t="s">
        <v>3250</v>
      </c>
    </row>
    <row r="614" spans="1:4" x14ac:dyDescent="0.3">
      <c r="A614">
        <v>638</v>
      </c>
      <c r="B614" s="13">
        <v>45868</v>
      </c>
      <c r="C614" t="s">
        <v>3251</v>
      </c>
      <c r="D614" t="s">
        <v>3255</v>
      </c>
    </row>
    <row r="615" spans="1:4" x14ac:dyDescent="0.3">
      <c r="A615">
        <v>639</v>
      </c>
      <c r="B615" s="13">
        <v>45868</v>
      </c>
      <c r="C615" t="s">
        <v>2376</v>
      </c>
      <c r="D615" t="s">
        <v>3259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169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2834999.5999999996</v>
      </c>
      <c r="I2" s="201" t="s">
        <v>3261</v>
      </c>
    </row>
    <row r="3" spans="1:1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1550000</v>
      </c>
      <c r="I10" s="52" t="s">
        <v>3261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1550000</v>
      </c>
      <c r="I14" s="52" t="s">
        <v>3261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14111000.199999999</v>
      </c>
      <c r="I17" s="52" t="s">
        <v>3261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50000</v>
      </c>
      <c r="I18" s="52" t="s">
        <v>3261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10657000</v>
      </c>
      <c r="I19" s="52" t="s">
        <v>3261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3261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9010000</v>
      </c>
      <c r="I37" s="52" t="s">
        <v>3261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  <c r="I38" s="52" t="s">
        <v>3261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1550000</v>
      </c>
      <c r="I51" s="52" t="s">
        <v>3261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  <c r="I54" s="52" t="s">
        <v>3261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3261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  <c r="I72" s="52" t="s">
        <v>3261</v>
      </c>
    </row>
    <row r="73" spans="1:9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3261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4000000</v>
      </c>
      <c r="I79" s="52" t="s">
        <v>3261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500000</v>
      </c>
      <c r="I84" s="52" t="s">
        <v>3261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1980000.0999999996</v>
      </c>
      <c r="I92" s="52" t="s">
        <v>3261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0</v>
      </c>
      <c r="I94" s="52" t="s">
        <v>3200</v>
      </c>
    </row>
    <row r="95" spans="1:9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3212000</v>
      </c>
      <c r="I97" s="52" t="s">
        <v>3261</v>
      </c>
    </row>
    <row r="98" spans="1:14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3261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900000</v>
      </c>
      <c r="I112" s="52" t="s">
        <v>3261</v>
      </c>
    </row>
    <row r="113" spans="1:9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3200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1500000</v>
      </c>
      <c r="I145" s="52" t="s">
        <v>3261</v>
      </c>
    </row>
    <row r="146" spans="1:9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  <c r="I155" s="52" t="s">
        <v>3261</v>
      </c>
    </row>
    <row r="156" spans="1:9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3186</v>
      </c>
      <c r="C167" t="s">
        <v>3187</v>
      </c>
      <c r="E167" t="s">
        <v>3188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3194</v>
      </c>
      <c r="C168" t="s">
        <v>3195</v>
      </c>
      <c r="D168" t="s">
        <v>3196</v>
      </c>
      <c r="E168" t="s">
        <v>3197</v>
      </c>
      <c r="F168" t="s">
        <v>983</v>
      </c>
      <c r="G168" t="s">
        <v>3198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3251</v>
      </c>
      <c r="C169" t="s">
        <v>3252</v>
      </c>
      <c r="E169" t="s">
        <v>3253</v>
      </c>
      <c r="F169" t="s">
        <v>983</v>
      </c>
      <c r="G169" t="s">
        <v>3254</v>
      </c>
      <c r="H169" s="201">
        <f>SUMIF(주문_리스트!C:C,거래처!B169,주문_리스트!K:K)+SUMIF(주문_리스트!C:C,거래처!B169,주문_리스트!L:L)</f>
        <v>0</v>
      </c>
      <c r="I169" s="52" t="s">
        <v>3261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4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214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-48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-68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-22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-12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-3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-18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-18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-8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-43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-68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3248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3065</v>
      </c>
      <c r="E214" s="197">
        <v>2212500301</v>
      </c>
      <c r="F214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3205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3206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1705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2258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2243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1698</v>
      </c>
      <c r="L26" s="17">
        <v>250000</v>
      </c>
    </row>
    <row r="27" spans="1:18" ht="18" hidden="1" customHeight="1" x14ac:dyDescent="0.3">
      <c r="F27" s="17">
        <v>69</v>
      </c>
      <c r="J27" s="53" t="s">
        <v>1690</v>
      </c>
      <c r="L27" s="17">
        <v>200000</v>
      </c>
    </row>
    <row r="28" spans="1:18" ht="18" hidden="1" customHeight="1" x14ac:dyDescent="0.3">
      <c r="F28" s="17">
        <v>64</v>
      </c>
      <c r="J28" s="53" t="s">
        <v>1666</v>
      </c>
      <c r="L28" s="17">
        <v>27000</v>
      </c>
    </row>
    <row r="29" spans="1:18" ht="18" customHeight="1" x14ac:dyDescent="0.3">
      <c r="F29" s="17">
        <v>2</v>
      </c>
      <c r="J29" s="53" t="s">
        <v>2249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1964</v>
      </c>
      <c r="L31" s="17">
        <v>2000000</v>
      </c>
    </row>
    <row r="32" spans="1:18" ht="18" customHeight="1" x14ac:dyDescent="0.3">
      <c r="F32" s="17">
        <v>5</v>
      </c>
      <c r="J32" s="53" t="s">
        <v>1676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1781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1938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1673</v>
      </c>
      <c r="L40" s="17">
        <v>850000</v>
      </c>
    </row>
    <row r="41" spans="6:12" ht="18" customHeight="1" x14ac:dyDescent="0.3">
      <c r="F41" s="17">
        <v>68</v>
      </c>
      <c r="J41" s="53" t="s">
        <v>1690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2257</v>
      </c>
      <c r="L43" s="17">
        <v>150000</v>
      </c>
    </row>
    <row r="44" spans="6:12" ht="18" customHeight="1" x14ac:dyDescent="0.3">
      <c r="F44" s="17">
        <v>19</v>
      </c>
      <c r="J44" s="53" t="s">
        <v>2255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2239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2244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2244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1900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1754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1778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1778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2250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1904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1782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1775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1775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1773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2942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3065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3065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3065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3210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3210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1907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3066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2142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2142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2961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1871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3211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3212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3213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2486</v>
      </c>
      <c r="J82" s="53" t="s">
        <v>1919</v>
      </c>
      <c r="K82" s="17" t="s">
        <v>2486</v>
      </c>
      <c r="L82" s="17">
        <v>20000</v>
      </c>
    </row>
    <row r="83" spans="6:12" ht="18" customHeight="1" x14ac:dyDescent="0.3">
      <c r="F83" s="17">
        <v>119</v>
      </c>
      <c r="I83" s="17" t="s">
        <v>1918</v>
      </c>
      <c r="J83" s="53" t="s">
        <v>1919</v>
      </c>
      <c r="K83" s="17" t="s">
        <v>1918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2232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2903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3201</v>
      </c>
      <c r="J86" s="53" t="s">
        <v>2233</v>
      </c>
      <c r="K86" s="17" t="s">
        <v>3201</v>
      </c>
      <c r="L86" s="17">
        <v>2200000</v>
      </c>
    </row>
    <row r="87" spans="6:12" ht="18" customHeight="1" x14ac:dyDescent="0.3">
      <c r="F87" s="17">
        <v>72</v>
      </c>
      <c r="I87" s="17" t="s">
        <v>3202</v>
      </c>
      <c r="J87" s="53" t="s">
        <v>3214</v>
      </c>
      <c r="K87" s="17" t="s">
        <v>3202</v>
      </c>
      <c r="L87" s="17">
        <v>1500000</v>
      </c>
    </row>
    <row r="88" spans="6:12" ht="18" customHeight="1" x14ac:dyDescent="0.3">
      <c r="F88" s="17">
        <v>73</v>
      </c>
      <c r="I88" s="17" t="s">
        <v>3203</v>
      </c>
      <c r="J88" s="53" t="s">
        <v>2252</v>
      </c>
      <c r="K88" s="17" t="s">
        <v>3203</v>
      </c>
      <c r="L88" s="17">
        <v>50000</v>
      </c>
    </row>
    <row r="89" spans="6:12" ht="18" customHeight="1" x14ac:dyDescent="0.3">
      <c r="F89" s="17">
        <v>58</v>
      </c>
      <c r="I89" s="17" t="s">
        <v>2868</v>
      </c>
      <c r="J89" s="53" t="s">
        <v>2490</v>
      </c>
      <c r="K89" s="17" t="s">
        <v>2868</v>
      </c>
      <c r="L89" s="17">
        <v>1100000</v>
      </c>
    </row>
    <row r="90" spans="6:12" ht="18" customHeight="1" x14ac:dyDescent="0.3">
      <c r="F90" s="17">
        <v>95</v>
      </c>
      <c r="I90" s="17" t="s">
        <v>2058</v>
      </c>
      <c r="J90" s="53" t="s">
        <v>2247</v>
      </c>
      <c r="K90" s="17" t="s">
        <v>2058</v>
      </c>
      <c r="L90" s="17">
        <v>10000</v>
      </c>
    </row>
    <row r="91" spans="6:12" ht="18" customHeight="1" x14ac:dyDescent="0.3">
      <c r="F91" s="17">
        <v>93</v>
      </c>
      <c r="I91" s="17" t="s">
        <v>1834</v>
      </c>
      <c r="J91" s="53" t="s">
        <v>2245</v>
      </c>
      <c r="K91" s="17" t="s">
        <v>1834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2241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2073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2040</v>
      </c>
      <c r="J94" s="53" t="s">
        <v>1841</v>
      </c>
      <c r="K94" s="17" t="s">
        <v>2040</v>
      </c>
      <c r="L94" s="17">
        <v>1500000</v>
      </c>
    </row>
    <row r="95" spans="6:12" ht="18" customHeight="1" x14ac:dyDescent="0.3">
      <c r="F95" s="17">
        <v>90</v>
      </c>
      <c r="I95" s="17" t="s">
        <v>2272</v>
      </c>
      <c r="J95" s="53" t="s">
        <v>2236</v>
      </c>
      <c r="K95" s="17" t="s">
        <v>2272</v>
      </c>
      <c r="L95" s="17">
        <v>250000</v>
      </c>
    </row>
    <row r="96" spans="6:12" ht="18" customHeight="1" x14ac:dyDescent="0.3">
      <c r="F96" s="17">
        <v>91</v>
      </c>
      <c r="I96" s="17" t="s">
        <v>1757</v>
      </c>
      <c r="J96" s="53" t="s">
        <v>2237</v>
      </c>
      <c r="K96" s="17" t="s">
        <v>1757</v>
      </c>
      <c r="L96" s="17">
        <v>60000</v>
      </c>
    </row>
    <row r="97" spans="6:12" ht="18" customHeight="1" x14ac:dyDescent="0.3">
      <c r="F97" s="17">
        <v>103</v>
      </c>
      <c r="I97" s="17" t="s">
        <v>1842</v>
      </c>
      <c r="J97" s="53" t="s">
        <v>2235</v>
      </c>
      <c r="K97" s="17" t="s">
        <v>1842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2102</v>
      </c>
      <c r="J98" s="53" t="s">
        <v>1961</v>
      </c>
      <c r="K98" s="17" t="s">
        <v>2102</v>
      </c>
      <c r="L98" s="17">
        <v>1000000</v>
      </c>
    </row>
    <row r="99" spans="6:12" ht="18" customHeight="1" x14ac:dyDescent="0.3">
      <c r="F99" s="17">
        <v>56</v>
      </c>
      <c r="I99" s="17" t="s">
        <v>2001</v>
      </c>
      <c r="J99" s="53" t="s">
        <v>2256</v>
      </c>
      <c r="K99" s="17" t="s">
        <v>2001</v>
      </c>
      <c r="L99" s="17">
        <v>1800000</v>
      </c>
    </row>
    <row r="100" spans="6:12" ht="18" customHeight="1" x14ac:dyDescent="0.3">
      <c r="F100" s="17">
        <v>94</v>
      </c>
      <c r="I100" s="17" t="s">
        <v>1863</v>
      </c>
      <c r="J100" s="53" t="s">
        <v>2246</v>
      </c>
      <c r="K100" s="17" t="s">
        <v>1863</v>
      </c>
      <c r="L100" s="17">
        <v>10000</v>
      </c>
    </row>
    <row r="101" spans="6:12" ht="18" customHeight="1" x14ac:dyDescent="0.3">
      <c r="F101" s="17">
        <v>96</v>
      </c>
      <c r="I101" s="17" t="s">
        <v>1946</v>
      </c>
      <c r="J101" s="53" t="s">
        <v>1947</v>
      </c>
      <c r="K101" s="17" t="s">
        <v>1946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2242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2870</v>
      </c>
      <c r="J103" s="53" t="s">
        <v>2968</v>
      </c>
      <c r="K103" s="17" t="s">
        <v>2870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2234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2240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2251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2251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1802</v>
      </c>
      <c r="J108" s="53" t="s">
        <v>1803</v>
      </c>
      <c r="K108" s="17" t="s">
        <v>1802</v>
      </c>
      <c r="L108" s="17">
        <v>25000</v>
      </c>
    </row>
    <row r="109" spans="6:12" ht="18" customHeight="1" x14ac:dyDescent="0.3">
      <c r="F109" s="17">
        <v>109</v>
      </c>
      <c r="I109" s="17" t="s">
        <v>1805</v>
      </c>
      <c r="J109" s="53" t="s">
        <v>1803</v>
      </c>
      <c r="K109" s="17" t="s">
        <v>1805</v>
      </c>
      <c r="L109" s="17">
        <v>65000</v>
      </c>
    </row>
    <row r="110" spans="6:12" ht="18" customHeight="1" x14ac:dyDescent="0.3">
      <c r="F110" s="17">
        <v>37</v>
      </c>
      <c r="I110" s="17" t="s">
        <v>3013</v>
      </c>
      <c r="J110" s="53" t="s">
        <v>2453</v>
      </c>
      <c r="K110" s="17" t="s">
        <v>3013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3215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2806</v>
      </c>
      <c r="J115" s="53" t="s">
        <v>1595</v>
      </c>
      <c r="K115" s="17" t="s">
        <v>2806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1807</v>
      </c>
      <c r="J117" s="53" t="s">
        <v>1595</v>
      </c>
      <c r="K117" s="17" t="s">
        <v>1807</v>
      </c>
      <c r="L117" s="17">
        <v>1400000</v>
      </c>
    </row>
    <row r="118" spans="6:12" ht="18" customHeight="1" x14ac:dyDescent="0.3">
      <c r="F118" s="17">
        <v>60</v>
      </c>
      <c r="I118" s="17" t="s">
        <v>3204</v>
      </c>
      <c r="J118" s="53" t="s">
        <v>3216</v>
      </c>
      <c r="K118" s="17" t="s">
        <v>3204</v>
      </c>
      <c r="L118" s="17">
        <v>3500000</v>
      </c>
    </row>
    <row r="119" spans="6:12" ht="18" customHeight="1" x14ac:dyDescent="0.3">
      <c r="F119" s="17">
        <v>116</v>
      </c>
      <c r="I119" s="17" t="s">
        <v>1894</v>
      </c>
      <c r="J119" s="53" t="s">
        <v>1895</v>
      </c>
      <c r="K119" s="17" t="s">
        <v>1894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1790</v>
      </c>
      <c r="J121" s="53" t="s">
        <v>1234</v>
      </c>
      <c r="K121" s="17" t="s">
        <v>1790</v>
      </c>
      <c r="L121" s="17">
        <v>1200000</v>
      </c>
    </row>
    <row r="122" spans="6:12" ht="18" customHeight="1" x14ac:dyDescent="0.3">
      <c r="F122" s="17">
        <v>46</v>
      </c>
      <c r="I122" s="17" t="s">
        <v>2788</v>
      </c>
      <c r="J122" s="53" t="s">
        <v>1530</v>
      </c>
      <c r="K122" s="17" t="s">
        <v>2788</v>
      </c>
      <c r="L122" s="17">
        <v>350000</v>
      </c>
    </row>
    <row r="123" spans="6:12" ht="18" customHeight="1" x14ac:dyDescent="0.3">
      <c r="F123" s="17">
        <v>87</v>
      </c>
      <c r="I123" s="17" t="s">
        <v>1752</v>
      </c>
      <c r="J123" s="53" t="s">
        <v>1753</v>
      </c>
      <c r="K123" s="17" t="s">
        <v>1752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1741</v>
      </c>
      <c r="J125" s="53" t="s">
        <v>1742</v>
      </c>
      <c r="K125" s="17" t="s">
        <v>1741</v>
      </c>
      <c r="L125" s="17">
        <v>50000</v>
      </c>
    </row>
    <row r="126" spans="6:12" ht="18" customHeight="1" x14ac:dyDescent="0.3">
      <c r="F126" s="17">
        <v>4</v>
      </c>
      <c r="I126" s="17" t="s">
        <v>1997</v>
      </c>
      <c r="J126" s="53" t="s">
        <v>3217</v>
      </c>
      <c r="K126" s="17" t="s">
        <v>1997</v>
      </c>
      <c r="L126" s="17">
        <v>1000000</v>
      </c>
    </row>
    <row r="127" spans="6:12" ht="18" customHeight="1" x14ac:dyDescent="0.3">
      <c r="F127" s="17">
        <v>63</v>
      </c>
      <c r="I127" s="17" t="s">
        <v>1663</v>
      </c>
      <c r="J127" s="53" t="s">
        <v>1664</v>
      </c>
      <c r="K127" s="17" t="s">
        <v>1663</v>
      </c>
      <c r="L127" s="17">
        <v>12000</v>
      </c>
    </row>
    <row r="128" spans="6:12" ht="18" customHeight="1" x14ac:dyDescent="0.3">
      <c r="F128" s="17">
        <v>98</v>
      </c>
      <c r="I128" s="17" t="s">
        <v>2962</v>
      </c>
      <c r="J128" s="53" t="s">
        <v>1774</v>
      </c>
      <c r="K128" s="17" t="s">
        <v>2962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J17" sqref="J17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  <c r="J17">
        <v>28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2025-07-31T01:55:41Z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