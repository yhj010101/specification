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CD112BE-4C9B-4DEA-B4EA-8D76EFBD176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<sst xmlns="http://schemas.openxmlformats.org/spreadsheetml/2006/main" count="8804" uniqueCount="3334">
  <si>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</si>
  <si>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</si>
  <si>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</si>
  <si>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</si>
  <si>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</si>
  <si>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</si>
  <si>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</si>
  <si>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</si>
  <si>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</si>
  <si>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</si>
  <si>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</si>
  <si>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</si>
  <si>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</si>
  <si>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</si>
  <si>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</si>
  <si>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</si>
  <si>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</si>
  <si>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</si>
  <si>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</si>
  <si>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</si>
  <si>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</si>
  <si>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</si>
  <si>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</si>
  <si>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</si>
  <si>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</si>
  <si>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</si>
  <si>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</si>
  <si>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</si>
  <si>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</si>
  <si>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</si>
  <si>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</si>
  <si>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</si>
  <si>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</si>
  <si>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</si>
  <si>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</si>
  <si>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</si>
  <si>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</si>
  <si>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</si>
  <si>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</si>
  <si>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</si>
  <si>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</si>
  <si>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</si>
  <si>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</si>
  <si>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</si>
  <si>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</si>
  <si>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</si>
  <si>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</si>
  <si>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</si>
  <si>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</si>
  <si>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</si>
  <si>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</si>
  <si>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</si>
  <si>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</si>
  <si>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</si>
  <si>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</si>
  <si>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</si>
  <si>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</si>
  <si>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</si>
  <si>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</si>
  <si>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</si>
  <si>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</si>
  <si>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</si>
  <si>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</si>
  <si>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</si>
  <si>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</si>
  <si>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</si>
  <si>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</si>
  <si>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</si>
  <si>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</si>
  <si>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</si>
  <si>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</si>
  <si>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</si>
  <si>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</si>
  <si>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</si>
  <si>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</si>
  <si>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</si>
  <si>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</si>
  <si>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</si>
  <si>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</si>
  <si>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</si>
  <si>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</si>
  <si>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</si>
  <si>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</si>
  <si>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</si>
  <si>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</si>
  <si>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</si>
  <si>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</si>
  <si>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</si>
  <si>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</si>
  <si>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</si>
  <si>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</si>
  <si>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</si>
  <si>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</si>
  <si>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</si>
  <si>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</si>
  <si>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</si>
  <si>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</si>
  <si>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</si>
  <si>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</si>
  <si>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</si>
  <si>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</si>
  <si>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</si>
  <si>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</si>
  <si>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</si>
  <si>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</si>
  <si>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</si>
  <si>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</si>
  <si>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</si>
  <si>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</si>
  <si>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</si>
  <si>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</si>
  <si>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</si>
  <si>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</si>
  <si>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</si>
  <si>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</si>
  <si>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</si>
  <si>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</si>
  <si>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</si>
  <si>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</si>
  <si>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</si>
  <si>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</si>
  <si>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</si>
  <si>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</si>
  <si>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</si>
  <si>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</si>
  <si>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</si>
  <si>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</si>
  <si>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</si>
  <si>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</si>
  <si>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</si>
  <si>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</si>
  <si>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</si>
  <si>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</si>
  <si>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</si>
  <si>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</si>
  <si>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</si>
  <si>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</si>
  <si>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</si>
  <si>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</si>
  <si>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</si>
  <si>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</si>
  <si>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</si>
  <si>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</si>
  <si>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</si>
  <si>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</si>
  <si>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</si>
  <si>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</si>
  <si>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</si>
  <si>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</si>
  <si>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</si>
  <si>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</si>
  <si>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</si>
  <si>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</si>
  <si>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</si>
  <si>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</si>
  <si>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</si>
  <si>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</si>
  <si>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</si>
  <si>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</si>
  <si>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</si>
  <si>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</si>
  <si>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</si>
  <si>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</si>
  <si>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</si>
  <si>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</si>
  <si>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</si>
  <si>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</si>
  <si>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</si>
  <si>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</si>
  <si>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</si>
  <si>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</si>
  <si>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</si>
  <si>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</si>
  <si>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</si>
  <si>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</si>
  <si>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</si>
  <si>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</si>
  <si>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</si>
  <si>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</si>
  <si>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</si>
  <si>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</si>
  <si>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</si>
  <si>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</si>
  <si>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</si>
  <si>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</si>
  <si>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</si>
  <si>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</si>
  <si>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</si>
  <si>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</si>
  <si>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</si>
  <si>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</si>
  <si>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</si>
  <si>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</si>
  <si>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</si>
  <si>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</si>
  <si>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</si>
  <si>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</si>
  <si>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</si>
  <si>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</si>
  <si>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</si>
  <si>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</si>
  <si>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</si>
  <si>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</si>
  <si>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</si>
  <si>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</si>
  <si>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</si>
  <si>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</si>
  <si>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</si>
  <si>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</si>
  <si>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</si>
  <si>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</si>
  <si>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</si>
  <si>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</si>
  <si>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</si>
  <si>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</si>
  <si>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</si>
  <si>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</si>
  <si>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</si>
  <si>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</si>
  <si>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</si>
  <si>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</si>
  <si>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</si>
  <si>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</si>
  <si>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</si>
  <si>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</si>
  <si>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</si>
  <si>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</si>
  <si>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</si>
  <si>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</si>
  <si>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</si>
  <si>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</si>
  <si>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</si>
  <si>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</si>
  <si>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</si>
  <si>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</si>
  <si>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</si>
  <si>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</si>
  <si>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</si>
  <si>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</si>
  <si>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</si>
  <si>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</si>
  <si>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</si>
  <si>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</si>
  <si>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</si>
  <si>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</si>
  <si>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</si>
  <si>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</si>
  <si>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</si>
  <si>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</si>
  <si>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</si>
  <si>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</si>
  <si>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</si>
  <si>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</si>
  <si>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</si>
  <si>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</si>
  <si>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</si>
  <si>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</si>
  <si>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</si>
  <si>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</si>
  <si>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</si>
  <si>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</si>
  <si>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</si>
  <si>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</si>
  <si>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</si>
  <si>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</si>
  <si>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</si>
  <si>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</si>
  <si>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</si>
  <si>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</si>
  <si>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</si>
  <si>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</si>
  <si>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</si>
  <si>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</si>
  <si>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</si>
  <si>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</si>
  <si>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</si>
  <si>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</si>
  <si>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</si>
  <si>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</si>
  <si>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</si>
  <si>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</si>
  <si>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</si>
  <si>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</si>
  <si>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</si>
  <si>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</si>
  <si>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</si>
  <si>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</si>
  <si>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</si>
  <si>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</si>
  <si>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</si>
  <si>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</si>
  <si>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</si>
  <si>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</si>
  <si>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</si>
  <si>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</si>
  <si>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</si>
  <si>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</si>
  <si>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</si>
  <si>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</si>
  <si>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</si>
  <si>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</si>
  <si>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</si>
  <si>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</si>
  <si>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</si>
  <si>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</si>
  <si>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</si>
  <si>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</si>
  <si>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</si>
  <si>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</si>
  <si>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</si>
  <si>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</si>
  <si>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</si>
  <si>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</si>
  <si>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</si>
  <si>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</si>
  <si>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</si>
  <si>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</si>
  <si>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</si>
  <si>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</si>
  <si>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</si>
  <si>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</si>
  <si>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</si>
  <si>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</si>
  <si>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</si>
  <si>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</si>
  <si>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</si>
  <si>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</si>
  <si>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</si>
  <si>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</si>
  <si>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</si>
  <si>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</si>
  <si>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</si>
  <si>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</si>
  <si>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</si>
  <si>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</si>
  <si>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</si>
  <si>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</si>
  <si>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</si>
  <si>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</si>
  <si>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</si>
  <si>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</si>
  <si>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</si>
  <si>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</si>
  <si>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</si>
  <si>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</si>
  <si>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</si>
  <si>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</si>
  <si>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</si>
  <si>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</si>
  <si>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</si>
  <si>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</si>
  <si>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</si>
  <si>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</si>
  <si>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</si>
  <si>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</si>
  <si>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</si>
  <si>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</si>
  <si>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</si>
  <si>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</si>
  <si>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</si>
  <si>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</si>
  <si>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</si>
  <si>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</si>
  <si>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</si>
  <si>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</si>
  <si>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</si>
  <si>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</si>
  <si>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</si>
  <si>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</si>
  <si>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</si>
  <si>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</si>
  <si>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</si>
  <si>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</si>
  <si>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</si>
  <si>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</si>
  <si>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</si>
  <si>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</si>
  <si>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</si>
  <si>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</si>
  <si>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</si>
  <si>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</si>
  <si>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</si>
  <si>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</si>
  <si>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</si>
  <si>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</si>
  <si>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</si>
  <si>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</si>
  <si>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</si>
  <si>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</si>
  <si>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</si>
  <si>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</si>
  <si>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</si>
  <si>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</si>
  <si>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</si>
  <si>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</si>
  <si>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</si>
  <si>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</si>
  <si>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</si>
  <si>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</si>
  <si>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</si>
  <si>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</si>
  <si>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</si>
  <si>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</si>
  <si>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</si>
  <si>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</si>
  <si>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</si>
  <si>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</si>
  <si>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</si>
  <si>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</si>
  <si>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</si>
  <si>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</si>
  <si>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</si>
  <si>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</si>
  <si>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</si>
  <si>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</si>
  <si>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</si>
  <si>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</si>
  <si>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</si>
  <si>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</si>
  <si>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</si>
  <si>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</si>
  <si>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</si>
  <si>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</si>
  <si>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</si>
  <si>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</si>
  <si>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</si>
  <si>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</si>
  <si>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</si>
  <si>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</si>
  <si>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</si>
  <si>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</si>
  <si>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</si>
  <si>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</si>
  <si>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</si>
  <si>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</si>
  <si>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</si>
  <si>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</si>
  <si>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</si>
  <si>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</si>
  <si>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</si>
  <si>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</si>
  <si>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</si>
  <si>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</si>
  <si>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</si>
  <si>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</si>
  <si>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</si>
  <si>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</si>
  <si>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</si>
  <si>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</si>
  <si>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</si>
  <si>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</si>
  <si>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</si>
  <si>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</si>
  <si>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</si>
  <si>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</si>
  <si>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</si>
  <si>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</si>
  <si>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</si>
  <si>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</si>
  <si>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</si>
  <si>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</si>
  <si>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</si>
  <si>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</si>
  <si>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</si>
  <si>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</si>
  <si>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</si>
  <si>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</si>
  <si>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</si>
  <si>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</si>
  <si>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</si>
  <si>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</si>
  <si>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</si>
  <si>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</si>
  <si>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</si>
  <si>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</si>
  <si>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</si>
  <si>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</si>
  <si>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</si>
  <si>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</si>
  <si>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</si>
  <si>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</si>
  <si>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</si>
  <si>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</si>
  <si>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</si>
  <si>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</si>
  <si>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</si>
  <si>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</si>
  <si>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</si>
  <si>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</si>
  <si>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</si>
  <si>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</si>
  <si>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</si>
  <si>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</si>
  <si>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</si>
  <si>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</si>
  <si>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</si>
  <si>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</si>
  <si>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</si>
  <si>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</si>
  <si>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</si>
  <si>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</si>
  <si>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</si>
  <si>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</si>
  <si>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</si>
  <si>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</si>
  <si>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</si>
  <si>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</si>
  <si>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</si>
  <si>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</si>
  <si>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</si>
  <si>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</si>
  <si>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</si>
  <si>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</si>
  <si>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</si>
  <si>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</si>
  <si>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</si>
  <si>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</si>
  <si>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</si>
  <si>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</si>
  <si>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</si>
  <si>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</si>
  <si>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</si>
  <si>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</si>
  <si>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</si>
  <si>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</si>
  <si>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</si>
  <si>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</si>
  <si>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</si>
  <si>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</si>
  <si>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</si>
  <si>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</si>
  <si>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</si>
  <si>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</si>
  <si>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</si>
  <si>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</si>
  <si>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</si>
  <si>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</si>
  <si>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</si>
  <si>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</si>
  <si>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</si>
  <si>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</si>
  <si>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</si>
  <si>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</si>
  <si>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</si>
  <si>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</si>
  <si>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</si>
  <si>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</si>
  <si>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</si>
  <si>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</si>
  <si>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</si>
  <si>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</si>
  <si>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</si>
  <si>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</si>
  <si>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</si>
  <si>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</si>
  <si>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</si>
  <si>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</si>
  <si>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</si>
  <si>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</si>
  <si>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</si>
  <si>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</si>
  <si>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</si>
  <si>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</si>
  <si>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</si>
  <si>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</si>
  <si>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</si>
  <si>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</si>
  <si>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</si>
  <si>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</si>
  <si>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</si>
  <si>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</si>
  <si>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</si>
  <si>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</si>
  <si>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</si>
  <si>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</si>
  <si>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</si>
  <si>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</si>
  <si>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</si>
  <si>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</si>
  <si>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</si>
  <si>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</si>
  <si>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</si>
  <si>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</si>
  <si>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</si>
  <si>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</si>
  <si>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</si>
  <si>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</si>
  <si>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</si>
  <si>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</si>
  <si>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</si>
  <si>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</si>
  <si>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</si>
  <si>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</si>
  <si>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</si>
  <si>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</si>
  <si>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</si>
  <si>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</si>
  <si>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</si>
  <si>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</si>
  <si>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</si>
  <si>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</si>
  <si>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</si>
  <si>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</si>
  <si>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</si>
  <si>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</si>
  <si>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</si>
  <si>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</si>
  <si>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</si>
  <si>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</si>
  <si>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</si>
  <si>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</si>
  <si>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</si>
  <si>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</si>
  <si>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</si>
  <si>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</si>
  <si>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</si>
  <si>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</si>
  <si>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</si>
  <si>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</si>
  <si>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</si>
  <si>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</si>
  <si>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</si>
  <si>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</si>
  <si>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</si>
  <si>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</si>
  <si>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</si>
  <si>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</si>
  <si>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</si>
  <si>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</si>
  <si>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</si>
  <si>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</si>
  <si>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</si>
  <si>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</si>
  <si>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</si>
  <si>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</si>
  <si>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</si>
  <si>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</si>
  <si>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</si>
  <si>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</si>
  <si>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</si>
  <si>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</si>
  <si>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</si>
  <si>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</si>
  <si>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</si>
  <si>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</si>
  <si>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</si>
  <si>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</si>
  <si>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</si>
  <si>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</si>
  <si>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</si>
  <si>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</si>
  <si>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</si>
  <si>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</si>
  <si>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</si>
  <si>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</si>
  <si>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</si>
  <si>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</si>
  <si>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</si>
  <si>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</si>
  <si>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</si>
  <si>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</si>
  <si>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</si>
  <si>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</si>
  <si>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</si>
  <si>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</si>
  <si>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</si>
  <si>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</si>
  <si>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</si>
  <si>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</si>
  <si>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</si>
  <si>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</si>
  <si>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</si>
  <si>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</si>
  <si>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</si>
  <si>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</si>
  <si>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</si>
  <si>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</si>
  <si>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</si>
  <si>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</si>
  <si>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</si>
  <si>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</si>
  <si>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</si>
  <si>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</si>
  <si>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</si>
  <si>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</si>
  <si>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</si>
  <si>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</si>
  <si>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</si>
  <si>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</si>
  <si>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</si>
  <si>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</si>
  <si>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</si>
  <si>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</si>
  <si>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</si>
  <si>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</si>
  <si>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</si>
  <si>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</si>
  <si>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</si>
  <si>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</si>
  <si>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</si>
  <si>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</si>
  <si>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</si>
  <si>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</si>
  <si>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</si>
  <si>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</si>
  <si>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</si>
  <si>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</si>
  <si>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</si>
  <si>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</si>
  <si>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</si>
  <si>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</si>
  <si>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</si>
  <si>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</si>
  <si>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</si>
  <si>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</si>
  <si>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</si>
  <si>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</si>
  <si>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</si>
  <si>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</si>
  <si>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</si>
  <si>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</si>
  <si>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</si>
  <si>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</si>
  <si>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</si>
  <si>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</si>
  <si>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</si>
  <si>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</si>
  <si>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</si>
  <si>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</si>
  <si>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</si>
  <si>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</si>
  <si>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</si>
  <si>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</si>
  <si>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</si>
  <si>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</si>
  <si>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</si>
  <si>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</si>
  <si>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</si>
  <si>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</si>
  <si>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</si>
  <si>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</si>
  <si>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</si>
  <si>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</si>
  <si>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</si>
  <si>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</si>
  <si>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</si>
  <si>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</si>
  <si>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</si>
  <si>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</si>
  <si>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</si>
  <si>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</si>
  <si>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</si>
  <si>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</si>
  <si>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</si>
  <si>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</si>
  <si>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</si>
  <si>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</si>
  <si>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</si>
  <si>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</si>
  <si>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</si>
  <si>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</si>
  <si>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</si>
  <si>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</si>
  <si>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</si>
  <si>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</si>
  <si>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</si>
  <si>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</si>
  <si>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</si>
  <si>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</si>
  <si>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</si>
  <si>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</si>
  <si>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</si>
  <si>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</si>
  <si>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</si>
  <si>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</si>
  <si>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</si>
  <si>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</si>
  <si>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</si>
  <si>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</si>
  <si>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</si>
  <si>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</si>
  <si>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</si>
  <si>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</si>
  <si>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</si>
  <si>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</si>
  <si>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</si>
  <si>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</si>
  <si>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</si>
  <si>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</si>
  <si>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</si>
  <si>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</si>
  <si>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</si>
  <si>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</si>
  <si>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</si>
  <si>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</si>
  <si>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</si>
  <si>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</si>
  <si>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</si>
  <si>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</si>
  <si>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</si>
  <si>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</si>
  <si>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</si>
  <si>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</si>
  <si>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</si>
  <si>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</si>
  <si>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</si>
  <si>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</si>
  <si>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</si>
  <si>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</si>
  <si>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</si>
  <si>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</si>
  <si>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</si>
  <si>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</si>
  <si>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</si>
  <si>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</si>
  <si>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</si>
  <si>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</si>
  <si>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</si>
  <si>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</si>
  <si>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</si>
  <si>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</si>
  <si>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</si>
  <si>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</si>
  <si>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</si>
  <si>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</si>
  <si>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</si>
  <si>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</si>
  <si>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</si>
  <si>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</si>
  <si>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</si>
  <si>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</si>
  <si>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</si>
  <si>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</si>
  <si>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</si>
  <si>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</si>
  <si>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</si>
  <si>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</si>
  <si>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</si>
  <si>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</si>
  <si>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</si>
  <si>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</si>
  <si>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</si>
  <si>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</si>
  <si>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</si>
  <si>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</si>
  <si>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</si>
  <si>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</si>
  <si>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</si>
  <si>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</si>
  <si>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</si>
  <si>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</si>
  <si>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</si>
  <si>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</si>
  <si>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</si>
  <si>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</si>
  <si>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</si>
  <si>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</si>
  <si>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</si>
  <si>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</si>
  <si>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</si>
  <si>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</si>
  <si>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</si>
  <si>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</si>
  <si>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</si>
  <si>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</si>
  <si>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</si>
  <si>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</si>
  <si>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</si>
  <si>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</si>
  <si>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</si>
  <si>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</si>
  <si>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</si>
  <si>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</si>
  <si>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</si>
  <si>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</si>
  <si>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</si>
  <si>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</si>
  <si>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</si>
  <si>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</si>
  <si>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</si>
  <si>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</si>
  <si>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</si>
  <si>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</si>
  <si>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</si>
  <si>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</si>
  <si>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</si>
  <si>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</si>
  <si>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</si>
  <si>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</si>
  <si>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</si>
  <si>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</si>
  <si>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</si>
  <si>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</si>
  <si>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</si>
  <si>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</si>
  <si>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</si>
  <si>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</si>
  <si>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</si>
  <si>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</si>
  <si>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</si>
  <si>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</si>
  <si>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</si>
  <si>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</si>
  <si>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</si>
  <si>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</si>
  <si>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</si>
  <si>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</si>
  <si>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</si>
  <si>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</si>
  <si>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</si>
  <si>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</si>
  <si>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</si>
  <si>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</si>
  <si>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</si>
  <si>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</si>
  <si>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</si>
  <si>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</si>
  <si>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</si>
  <si>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</si>
  <si>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</si>
  <si>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</si>
  <si>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</si>
  <si>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</si>
  <si>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</si>
  <si>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</si>
  <si>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</si>
  <si>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</si>
  <si>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</si>
  <si>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</si>
  <si>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</si>
  <si>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</si>
  <si>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</si>
  <si>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</si>
  <si>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</si>
  <si>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</si>
  <si>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</si>
  <si>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</si>
  <si>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</si>
  <si>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</si>
  <si>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</si>
  <si>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</si>
  <si>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</si>
  <si>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</si>
  <si>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</si>
  <si>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</si>
  <si>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</si>
  <si>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</si>
  <si>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</si>
  <si>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</si>
  <si>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</si>
  <si>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</si>
  <si>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</si>
  <si>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</si>
  <si>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</si>
  <si>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</si>
  <si>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</si>
  <si>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</si>
  <si>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</si>
  <si>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</si>
  <si>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</si>
  <si>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</si>
  <si>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</si>
  <si>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</si>
  <si>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</si>
  <si>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</si>
  <si>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</si>
  <si>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</si>
  <si>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</si>
  <si>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</si>
  <si>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</si>
  <si>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</si>
  <si>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</si>
  <si>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</si>
  <si>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</si>
  <si>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</si>
  <si>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</si>
  <si>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</si>
  <si>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</si>
  <si>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</si>
  <si>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</si>
  <si>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</si>
  <si>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</si>
  <si>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</si>
  <si>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</si>
  <si>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</si>
  <si>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</si>
  <si>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</si>
  <si>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</si>
  <si>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</si>
  <si>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</si>
  <si>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</si>
  <si>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</si>
  <si>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</si>
  <si>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</si>
  <si>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</si>
  <si>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</si>
  <si>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</si>
  <si>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</si>
  <si>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</si>
  <si>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</si>
  <si>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</si>
  <si>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</si>
  <si>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</si>
  <si>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</si>
  <si>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</si>
  <si>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</si>
  <si>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</si>
  <si>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</si>
  <si>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</si>
  <si>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</si>
  <si>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</si>
  <si>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</si>
  <si>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</si>
  <si>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</si>
  <si>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</si>
  <si>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</si>
  <si>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</si>
  <si>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</si>
  <si>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</si>
  <si>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</si>
  <si>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</si>
  <si>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</si>
  <si>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</si>
  <si>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</si>
  <si>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</si>
  <si>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</si>
  <si>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</si>
  <si>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</si>
  <si>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</si>
  <si>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</si>
  <si>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</si>
  <si>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</si>
  <si>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</si>
  <si>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</si>
  <si>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</si>
  <si>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</si>
  <si>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</si>
  <si>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</si>
  <si>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</si>
  <si>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</si>
  <si>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</si>
  <si>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</si>
  <si>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</si>
  <si>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</si>
  <si>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</si>
  <si>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</si>
  <si>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</si>
  <si>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</si>
  <si>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</si>
  <si>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</si>
  <si>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</si>
  <si>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</si>
  <si>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</si>
  <si>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</si>
  <si>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</si>
  <si>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</si>
  <si>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</si>
  <si>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</si>
  <si>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</si>
  <si>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</si>
  <si>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</si>
  <si>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</si>
  <si>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</si>
  <si>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</si>
  <si>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</si>
  <si>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</si>
  <si>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</si>
  <si>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</si>
  <si>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</si>
  <si>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</si>
  <si>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</si>
  <si>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</si>
  <si>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</si>
  <si>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</si>
  <si>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</si>
  <si>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</si>
  <si>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</si>
  <si>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</si>
  <si>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</si>
  <si>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</si>
  <si>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</si>
  <si>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</si>
  <si>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</si>
  <si>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</si>
  <si>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</si>
  <si>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</si>
  <si>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</si>
  <si>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</si>
  <si>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</si>
  <si>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</si>
  <si>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</si>
  <si>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</si>
  <si>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</si>
  <si>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</si>
  <si>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</si>
  <si>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</si>
  <si>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</si>
  <si>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</si>
  <si>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</si>
  <si>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</si>
  <si>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</si>
  <si>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</si>
  <si>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</si>
  <si>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</si>
  <si>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</si>
  <si>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</si>
  <si>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</si>
  <si>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</si>
  <si>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</si>
  <si>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</si>
  <si>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</si>
  <si>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</si>
  <si>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</si>
  <si>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</si>
  <si>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</si>
  <si>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</si>
  <si>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</si>
  <si>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</si>
  <si>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</si>
  <si>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</si>
  <si>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</si>
  <si>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</si>
  <si>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</si>
  <si>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</si>
  <si>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</si>
  <si>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</si>
  <si>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</si>
  <si>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</si>
  <si>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</si>
  <si>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</si>
  <si>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</si>
  <si>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</si>
  <si>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</si>
  <si>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</si>
  <si>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</si>
  <si>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</si>
  <si>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</si>
  <si>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</si>
  <si>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</si>
  <si>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</si>
  <si>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</si>
  <si>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</si>
  <si>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</si>
  <si>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</si>
  <si>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</si>
  <si>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</si>
  <si>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</si>
  <si>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</si>
  <si>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</si>
  <si>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</si>
  <si>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</si>
  <si>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</si>
  <si>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</si>
  <si>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</si>
  <si>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</si>
  <si>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</si>
  <si>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</si>
  <si>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</si>
  <si>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</si>
  <si>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</si>
  <si>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</si>
  <si>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</si>
  <si>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</si>
  <si>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</si>
  <si>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</si>
  <si>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</si>
  <si>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</si>
  <si>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</si>
  <si>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</si>
  <si>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</si>
  <si>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</si>
  <si>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</si>
  <si>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</si>
  <si>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</si>
  <si>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</si>
  <si>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</si>
  <si>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</si>
  <si>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</si>
  <si>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</si>
  <si>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</si>
  <si>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</si>
  <si>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</si>
  <si>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</si>
  <si>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</si>
  <si>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</si>
  <si>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</si>
  <si>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</si>
  <si>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</si>
  <si>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</si>
  <si>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</si>
  <si>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</si>
  <si>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</si>
  <si>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</si>
  <si>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</si>
  <si>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</si>
  <si>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</si>
  <si>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</si>
  <si>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</si>
  <si>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</si>
  <si>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</si>
  <si>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</si>
  <si>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</si>
  <si>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</si>
  <si>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</si>
  <si>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</si>
  <si>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</si>
  <si>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</si>
  <si>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</si>
  <si>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</si>
  <si>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</si>
  <si>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</si>
  <si>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</si>
  <si>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</si>
  <si>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</si>
  <si>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</si>
  <si>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</si>
  <si>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</si>
  <si>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</si>
  <si>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</si>
  <si>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</si>
  <si>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</si>
  <si>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</si>
  <si>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</si>
  <si>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</si>
  <si>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</si>
  <si>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</si>
  <si>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</si>
  <si>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</si>
  <si>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</si>
  <si>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</si>
  <si>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</si>
  <si>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</si>
  <si>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</si>
  <si>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</si>
  <si>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</si>
  <si>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</si>
  <si>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</si>
  <si>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</si>
  <si>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</si>
  <si>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</si>
  <si>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</si>
  <si>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</si>
  <si>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</si>
  <si>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</si>
  <si>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</si>
  <si>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</si>
  <si>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</si>
  <si>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</si>
  <si>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</si>
  <si>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</si>
  <si>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</si>
  <si>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</si>
  <si>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</si>
  <si>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</si>
  <si>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</si>
  <si>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</si>
  <si>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</si>
  <si>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</si>
  <si>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</si>
  <si>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</si>
  <si>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</si>
  <si>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</si>
  <si>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</si>
  <si>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</si>
  <si>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</si>
  <si>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</si>
  <si>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</si>
  <si>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</si>
  <si>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</si>
  <si>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</si>
  <si>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</si>
  <si>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</si>
  <si>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</si>
  <si>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</si>
  <si>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</si>
  <si>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</si>
  <si>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</si>
  <si>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</si>
  <si>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</si>
  <si>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</si>
  <si>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</si>
  <si>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</si>
  <si>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</si>
  <si>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</si>
  <si>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</si>
  <si>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</si>
  <si>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</si>
  <si>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</si>
  <si>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</si>
  <si>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</si>
  <si>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</si>
  <si>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</si>
  <si>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</si>
  <si>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</si>
  <si>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</si>
  <si>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</si>
  <si>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</si>
  <si>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</si>
  <si>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</si>
  <si>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</si>
  <si>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</si>
  <si>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</si>
  <si>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</si>
  <si>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</si>
  <si>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</si>
  <si>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</si>
  <si>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</si>
  <si>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</si>
  <si>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</si>
  <si>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</si>
  <si>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</si>
  <si>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</si>
  <si>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</si>
  <si>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</si>
  <si>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</si>
  <si>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</si>
  <si>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</si>
  <si>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</si>
  <si>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</si>
  <si>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</si>
  <si>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</si>
  <si>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</si>
  <si>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</si>
  <si>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</si>
  <si>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</si>
  <si>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</si>
  <si>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</si>
  <si>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</si>
  <si>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</si>
  <si>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</si>
  <si>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</si>
  <si>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</si>
  <si>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</si>
  <si>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</si>
  <si>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</si>
  <si>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</si>
  <si>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</si>
  <si>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</si>
  <si>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</si>
  <si>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</si>
  <si>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</si>
  <si>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</si>
  <si>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</si>
  <si>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</si>
  <si>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</si>
  <si>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</si>
  <si>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</si>
  <si>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</si>
  <si>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</si>
  <si>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</si>
  <si>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</si>
  <si>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</si>
  <si>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</si>
  <si>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</si>
  <si>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</si>
  <si>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</si>
  <si>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</si>
  <si>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</si>
  <si>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</si>
  <si>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</si>
  <si>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</si>
  <si>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</si>
  <si>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</si>
  <si>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</si>
  <si>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</si>
  <si>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</si>
  <si>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</si>
  <si>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</si>
  <si>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</si>
  <si>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</si>
  <si>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</si>
  <si>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</si>
  <si>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</si>
  <si>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</si>
  <si>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</si>
  <si>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</si>
  <si>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</si>
  <si>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</si>
  <si>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</si>
  <si>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</si>
  <si>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</si>
  <si>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</si>
  <si>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</si>
  <si>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</si>
  <si>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</si>
  <si>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</si>
  <si>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</si>
  <si>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</si>
  <si>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</si>
  <si>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</si>
  <si>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</si>
  <si>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</si>
  <si>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</si>
  <si>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</si>
  <si>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</si>
  <si>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</si>
  <si>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</si>
  <si>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</si>
  <si>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</si>
  <si>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</si>
  <si>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</si>
  <si>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</si>
  <si>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</si>
  <si>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</si>
  <si>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</si>
  <si>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</si>
  <si>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</si>
  <si>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</si>
  <si>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</si>
  <si>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</si>
  <si>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</si>
  <si>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</si>
  <si>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</si>
  <si>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</si>
  <si>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</si>
  <si>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</si>
  <si>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</si>
  <si>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</si>
  <si>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</si>
  <si>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</si>
  <si>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</si>
  <si>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</si>
  <si>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</si>
  <si>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</si>
  <si>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</si>
  <si>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</si>
  <si>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</si>
  <si>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</si>
  <si>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</si>
  <si>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</si>
  <si>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</si>
  <si>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</si>
  <si>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</si>
  <si>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</si>
  <si>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</si>
  <si>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</si>
  <si>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</si>
  <si>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</si>
  <si>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</si>
  <si>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</si>
  <si>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</si>
  <si>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</si>
  <si>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</si>
  <si>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</si>
  <si>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</si>
  <si>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</si>
  <si>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</si>
  <si>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</si>
  <si>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</si>
  <si>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</si>
  <si>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</si>
  <si>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</si>
  <si>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</si>
  <si>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</si>
  <si>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</si>
  <si>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</si>
  <si>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</si>
  <si>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</si>
  <si>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</si>
  <si>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</si>
  <si>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</si>
  <si>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</si>
  <si>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</si>
  <si>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</si>
  <si>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</si>
  <si>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</si>
  <si>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</si>
  <si>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</si>
  <si>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</si>
  <si>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</si>
  <si>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</si>
  <si>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</si>
  <si>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</si>
  <si>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</si>
  <si>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</si>
  <si>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</si>
  <si>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</si>
  <si>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</si>
  <si>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</si>
  <si>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</si>
  <si>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</si>
  <si>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</si>
  <si>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</si>
  <si>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</si>
  <si>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</si>
  <si>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</si>
  <si>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</si>
  <si>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</si>
  <si>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</si>
  <si>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</si>
  <si>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</si>
  <si>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</si>
  <si>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</si>
  <si>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</si>
  <si>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</si>
  <si>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</si>
  <si>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</si>
  <si>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</si>
  <si>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</si>
  <si>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</si>
  <si>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</si>
  <si>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</si>
  <si>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</si>
  <si>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</si>
  <si>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</si>
  <si>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</si>
  <si>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</si>
  <si>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</si>
  <si>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</si>
  <si>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</si>
  <si>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</si>
  <si>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</si>
  <si>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</si>
  <si>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</si>
  <si>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</si>
  <si>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</si>
  <si>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</si>
  <si>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</si>
  <si>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</si>
  <si>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</si>
  <si>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</si>
  <si>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</si>
  <si>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</si>
  <si>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</si>
  <si>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</si>
  <si>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</si>
  <si>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</si>
  <si>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</si>
  <si>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</si>
  <si>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</si>
  <si>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</si>
  <si>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</si>
  <si>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</si>
  <si>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</si>
  <si>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</si>
  <si>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</si>
  <si>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</si>
  <si>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</si>
  <si>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</si>
  <si>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</si>
  <si>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</si>
  <si>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</si>
  <si>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</si>
  <si>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</si>
  <si>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</si>
  <si>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</si>
  <si>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</si>
  <si>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</si>
  <si>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</si>
  <si>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</si>
  <si>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</si>
  <si>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</si>
  <si>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</si>
  <si>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</si>
  <si>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</si>
  <si>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</si>
  <si>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</si>
  <si>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</si>
  <si>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</si>
  <si>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</si>
  <si>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</si>
  <si>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</si>
  <si>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</si>
  <si>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</si>
  <si>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</si>
  <si>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</si>
  <si>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</si>
  <si>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</si>
  <si>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</si>
  <si>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</si>
  <si>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</si>
  <si>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</si>
  <si>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</si>
  <si>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</si>
  <si>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</si>
  <si>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</si>
  <si>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</si>
  <si>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</si>
  <si>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</si>
  <si>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</si>
  <si>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</si>
  <si>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</si>
  <si>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</si>
  <si>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</si>
  <si>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</si>
  <si>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</si>
  <si>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</si>
  <si>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</si>
  <si>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</si>
  <si>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</si>
  <si>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</si>
  <si>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</si>
  <si>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</si>
  <si>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</si>
  <si>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</si>
  <si>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</si>
  <si>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</si>
  <si>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</si>
  <si>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</si>
  <si>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</si>
  <si>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</si>
  <si>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</si>
  <si>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</si>
  <si>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</si>
  <si>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</si>
  <si>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</si>
  <si>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</si>
  <si>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</si>
  <si>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</si>
  <si>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</si>
  <si>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</si>
  <si>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</si>
  <si>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</si>
  <si>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</si>
  <si>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</si>
  <si>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</si>
  <si>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</si>
  <si>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</si>
  <si>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</si>
  <si>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</si>
  <si>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</si>
  <si>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</si>
  <si>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</si>
  <si>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</si>
  <si>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</si>
  <si>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</si>
  <si>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</si>
  <si>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</si>
  <si>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</si>
  <si>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</si>
  <si>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</si>
  <si>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</si>
  <si>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</si>
  <si>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</si>
  <si>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</si>
  <si>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</si>
  <si>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</si>
  <si>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</si>
  <si>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</si>
  <si>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</si>
  <si>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</si>
  <si>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</si>
  <si>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</si>
  <si>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</si>
  <si>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</si>
  <si>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</si>
  <si>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</si>
  <si>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</si>
  <si>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</si>
  <si>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</si>
  <si>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</si>
  <si>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</si>
  <si>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</si>
  <si>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</si>
  <si>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</si>
  <si>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</si>
  <si>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</si>
  <si>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</si>
  <si>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</si>
  <si>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</si>
  <si>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</si>
  <si>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</si>
  <si>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</si>
  <si>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</si>
  <si>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</si>
  <si>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</si>
  <si>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</si>
  <si>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</si>
  <si>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</si>
  <si>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</si>
  <si>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</si>
  <si>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</si>
  <si>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</si>
  <si>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</si>
  <si>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</si>
  <si>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</si>
  <si>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</si>
  <si>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</si>
  <si>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</si>
  <si>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</si>
  <si>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</si>
  <si>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</si>
  <si>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</si>
  <si>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</si>
  <si>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</si>
  <si>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</si>
  <si>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</si>
  <si>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</si>
  <si>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</si>
  <si>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</si>
  <si>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</si>
  <si>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</si>
  <si>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</si>
  <si>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</si>
  <si>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</si>
  <si>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</si>
  <si>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</si>
  <si>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</si>
  <si>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</si>
  <si>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</si>
  <si>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</si>
  <si>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</si>
  <si>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</si>
  <si>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</si>
  <si>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</si>
  <si>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</si>
  <si>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</si>
  <si>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</si>
  <si>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</si>
  <si>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</si>
  <si>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</si>
  <si>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</si>
  <si>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</si>
  <si>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</si>
  <si>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</si>
  <si>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</si>
  <si>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</si>
  <si>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</si>
  <si>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</si>
  <si>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</si>
  <si>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</si>
  <si>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</si>
  <si>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</si>
  <si>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</si>
  <si>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</si>
  <si>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</si>
  <si>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</si>
  <si>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</si>
  <si>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</si>
  <si>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</si>
  <si>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</si>
  <si>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</si>
  <si>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</si>
  <si>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</si>
  <si>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</si>
  <si>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</si>
  <si>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</si>
  <si>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</si>
  <si>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</si>
  <si>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</si>
  <si>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</si>
  <si>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</si>
  <si>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</si>
  <si>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</si>
  <si>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</si>
  <si>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</si>
  <si>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</si>
  <si>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</si>
  <si>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</si>
  <si>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</si>
  <si>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</si>
  <si>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</si>
  <si>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</si>
  <si>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</si>
  <si>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</si>
  <si>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</si>
  <si>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</si>
  <si>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</si>
  <si>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</si>
  <si>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</si>
  <si>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</si>
  <si>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</si>
  <si>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</si>
  <si>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</si>
  <si>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</si>
  <si>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</si>
  <si>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</si>
  <si>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</si>
  <si>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</si>
  <si>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</si>
  <si>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</si>
  <si>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</si>
  <si>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</si>
  <si>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</si>
  <si>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</si>
  <si>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</si>
  <si>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</si>
  <si>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</si>
  <si>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</si>
  <si>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</si>
  <si>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</si>
  <si>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</si>
  <si>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</si>
  <si>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</si>
  <si>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</si>
  <si>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</si>
  <si>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</si>
  <si>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</si>
  <si>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</si>
  <si>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</si>
  <si>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</si>
  <si>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</si>
  <si>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</si>
  <si>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</si>
  <si>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</si>
  <si>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</si>
  <si>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</si>
  <si>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</si>
  <si>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</si>
  <si>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</si>
  <si>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</si>
  <si>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</si>
  <si>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</si>
  <si>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</si>
  <si>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</si>
  <si>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</si>
  <si>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</si>
  <si>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</si>
  <si>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</si>
  <si>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</si>
  <si>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</si>
  <si>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</si>
  <si>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</si>
  <si>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</si>
  <si>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</si>
  <si>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</si>
  <si>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</si>
  <si>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</si>
  <si>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</si>
  <si>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</si>
  <si>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</si>
  <si>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</si>
  <si>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</si>
  <si>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</si>
  <si>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</si>
  <si>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</si>
  <si>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</si>
  <si>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</si>
  <si>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</si>
  <si>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</si>
  <si>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</si>
  <si>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</si>
  <si>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</si>
  <si>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</si>
  <si>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</si>
  <si>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</si>
  <si>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</si>
  <si>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</si>
  <si>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</si>
  <si>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</si>
  <si>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</si>
  <si>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</si>
  <si>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</si>
  <si>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</si>
  <si>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</si>
  <si>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</si>
  <si>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</si>
  <si>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</si>
  <si>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</si>
  <si>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</si>
  <si>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</si>
  <si>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</si>
  <si>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</si>
  <si>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</si>
  <si>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</si>
  <si>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</si>
  <si>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</si>
  <si>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</si>
  <si>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</si>
  <si>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</si>
  <si>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</si>
  <si>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</si>
  <si>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</si>
  <si>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</si>
  <si>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</si>
  <si>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</si>
  <si>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</si>
  <si>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</si>
  <si>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</si>
  <si>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</si>
  <si>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</si>
  <si>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</si>
  <si>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</si>
  <si>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</si>
  <si>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</si>
  <si>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</si>
  <si>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</si>
  <si>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</si>
  <si>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</si>
  <si>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</si>
  <si>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</si>
  <si>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</si>
  <si>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</si>
  <si>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</si>
  <si>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</si>
  <si>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</si>
  <si>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</si>
  <si>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</si>
  <si>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</si>
  <si>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</si>
  <si>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</si>
  <si>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</si>
  <si>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</si>
  <si>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</si>
  <si>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</si>
  <si>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</si>
  <si>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</si>
  <si>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</si>
  <si>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</si>
  <si>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</si>
  <si>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</si>
  <si>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</si>
  <si>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</si>
  <si>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</si>
  <si>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</si>
  <si>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</si>
  <si>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</si>
  <si>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</si>
  <si>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</si>
  <si>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</si>
  <si>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</si>
  <si>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</si>
  <si>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</si>
  <si>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</si>
  <si>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</si>
  <si>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</si>
  <si>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</si>
  <si>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</si>
  <si>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</si>
  <si>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</si>
  <si>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</si>
  <si>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</si>
  <si>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</si>
  <si>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</si>
  <si>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</si>
  <si>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</si>
  <si>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</si>
  <si>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</si>
  <si>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</si>
  <si>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</si>
  <si>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</si>
  <si>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</si>
  <si>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</si>
  <si>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</si>
  <si>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</si>
  <si>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</si>
  <si>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</si>
  <si>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</si>
  <si>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</si>
  <si>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</si>
  <si>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</si>
  <si>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</si>
  <si>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</si>
  <si>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</si>
  <si>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</si>
  <si>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</si>
  <si>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</si>
  <si>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</si>
  <si>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</si>
  <si>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</si>
  <si>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</si>
  <si>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</si>
  <si>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</si>
  <si>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</si>
  <si>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</si>
  <si>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</si>
  <si>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</si>
  <si>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</si>
  <si>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</si>
  <si>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</si>
  <si>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</si>
  <si>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</si>
  <si>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</si>
  <si>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</si>
  <si>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</si>
  <si>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</si>
  <si>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</si>
  <si>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</si>
  <si>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</si>
  <si>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</si>
  <si>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</si>
  <si>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</si>
  <si>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</si>
  <si>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</si>
  <si>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</si>
  <si>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</si>
  <si>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</si>
  <si>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</si>
  <si>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</si>
  <si>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</si>
  <si>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</si>
  <si>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</si>
  <si>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</si>
  <si>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</si>
  <si>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</si>
  <si>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</si>
  <si>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</si>
  <si>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</si>
  <si>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</si>
  <si>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</si>
  <si>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</si>
  <si>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</si>
  <si>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</si>
  <si>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</si>
  <si>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</si>
  <si>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</si>
  <si>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</si>
  <si>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</si>
  <si>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</si>
  <si>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</si>
  <si>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</si>
  <si>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</si>
  <si>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</si>
  <si>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</si>
  <si>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</si>
  <si>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</si>
  <si>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</si>
  <si>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</si>
  <si>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</si>
  <si>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</si>
  <si>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</si>
  <si>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</si>
  <si>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</si>
  <si>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</si>
  <si>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</si>
  <si>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</si>
  <si>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</si>
  <si>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</si>
  <si>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</si>
  <si>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</si>
  <si>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</si>
  <si>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</si>
  <si>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</si>
  <si>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</si>
  <si>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</si>
  <si>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</si>
  <si>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</si>
  <si>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</si>
  <si>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</si>
  <si>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</si>
  <si>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</si>
  <si>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</si>
  <si>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</si>
  <si>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</si>
  <si>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</si>
  <si>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</si>
  <si>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</si>
  <si>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</si>
  <si>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</si>
  <si>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</si>
  <si>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</si>
  <si>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</si>
  <si>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</si>
  <si>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</si>
  <si>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</si>
  <si>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</si>
  <si>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</si>
  <si>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</si>
  <si>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</si>
  <si>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</si>
  <si>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</si>
  <si>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</si>
  <si>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</si>
  <si>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</si>
  <si>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</si>
  <si>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</si>
  <si>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</si>
  <si>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</si>
  <si>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</si>
  <si>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</si>
  <si>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</si>
  <si>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</si>
  <si>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</si>
  <si>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</si>
  <si>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</si>
  <si>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</si>
  <si>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</si>
  <si>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</si>
  <si>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</si>
  <si>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</si>
  <si>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</si>
  <si>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</si>
  <si>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</si>
  <si>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</si>
  <si>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</si>
  <si>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</si>
  <si>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</si>
  <si>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</si>
  <si>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</si>
  <si>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</si>
  <si>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</si>
  <si>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</si>
  <si>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</si>
  <si>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</si>
  <si>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</si>
  <si>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</si>
  <si>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</si>
  <si>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</si>
  <si>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</si>
  <si>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</si>
  <si>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</si>
  <si>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</si>
  <si>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</si>
  <si>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</si>
  <si>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</si>
  <si>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</si>
  <si>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</si>
  <si>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</si>
  <si>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</si>
  <si>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</si>
  <si>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</si>
  <si>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</si>
  <si>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</si>
  <si>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</si>
  <si>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</si>
  <si>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</si>
  <si>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</si>
  <si>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</si>
  <si>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</si>
  <si>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</si>
  <si>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</si>
  <si>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</si>
  <si>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</si>
  <si>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</si>
  <si>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</si>
  <si>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</si>
  <si>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</si>
  <si>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</si>
  <si>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</si>
  <si>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</si>
  <si>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</si>
  <si>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</si>
  <si>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</si>
  <si>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</si>
  <si>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</si>
  <si>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</si>
  <si>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</si>
  <si>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</si>
  <si>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</si>
  <si>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</si>
  <si>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</si>
  <si>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</si>
  <si>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</si>
  <si>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</si>
  <si>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</si>
  <si>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</si>
  <si>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</si>
  <si>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</si>
  <si>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</si>
  <si>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</si>
  <si>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</si>
  <si>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</si>
  <si>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</si>
  <si>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</si>
  <si>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</si>
  <si>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</si>
  <si>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</si>
  <si>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</si>
  <si>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</si>
  <si>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</si>
  <si>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</si>
  <si>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</si>
  <si>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</si>
  <si>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</si>
  <si>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</si>
  <si>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</si>
  <si>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</si>
  <si>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</si>
  <si>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</si>
  <si>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</si>
  <si>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</si>
  <si>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</si>
  <si>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</si>
  <si>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</si>
  <si>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</si>
  <si>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</si>
  <si>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</si>
  <si>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</si>
  <si>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</si>
  <si>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</si>
  <si>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</si>
  <si>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</si>
  <si>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</si>
  <si>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</si>
  <si>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</si>
  <si>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</si>
  <si>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</si>
  <si>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</si>
  <si>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</si>
  <si>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</si>
  <si>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</si>
  <si>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</si>
  <si>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</si>
  <si>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</si>
  <si>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</si>
  <si>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</si>
  <si>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</si>
  <si>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</si>
  <si>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</si>
  <si>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</si>
  <si>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</si>
  <si>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</si>
  <si>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</si>
  <si>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</si>
  <si>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</si>
  <si>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</si>
  <si>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</si>
  <si>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</si>
  <si>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</si>
  <si>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</si>
  <si>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</si>
  <si>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</si>
  <si>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</si>
  <si>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</si>
  <si>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</si>
  <si>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</si>
  <si>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</si>
  <si>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</si>
  <si>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</si>
  <si>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</si>
  <si>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</si>
  <si>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</si>
  <si>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</si>
  <si>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</si>
  <si>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</si>
  <si>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</si>
  <si>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</si>
  <si>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</si>
  <si>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</si>
  <si>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</si>
  <si>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</si>
  <si>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</si>
  <si>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</si>
  <si>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</si>
  <si>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</si>
  <si>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</si>
  <si>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</si>
  <si>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</si>
  <si>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</si>
  <si>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</si>
  <si>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</si>
  <si>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</si>
  <si>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</si>
  <si>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</si>
  <si>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</si>
  <si>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</si>
  <si>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</si>
  <si>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</si>
  <si>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</si>
  <si>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</si>
  <si>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</si>
  <si>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</si>
  <si>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</si>
  <si>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</si>
  <si>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</si>
  <si>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</si>
  <si>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</si>
  <si>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</si>
  <si>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</si>
  <si>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</si>
  <si>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</si>
  <si>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</si>
  <si>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</si>
  <si>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</si>
  <si>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</si>
  <si>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</si>
  <si>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</si>
  <si>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</si>
  <si>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</si>
  <si>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</si>
  <si>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</si>
  <si>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</si>
  <si>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</si>
  <si>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</si>
  <si>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</si>
  <si>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</si>
  <si>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</si>
  <si>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</si>
  <si>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</si>
  <si>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</si>
  <si>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</si>
  <si>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</si>
  <si>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</si>
  <si>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</si>
  <si>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</si>
  <si>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</si>
  <si>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</si>
  <si>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</si>
  <si>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</si>
  <si>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</si>
  <si>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</si>
  <si>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</si>
  <si>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</si>
  <si>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</si>
  <si>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</si>
  <si>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</si>
  <si>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</si>
  <si>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</si>
  <si>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</si>
  <si>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</si>
  <si>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</si>
  <si>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</si>
  <si>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</si>
  <si>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</si>
  <si>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</si>
  <si>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</si>
  <si>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</si>
  <si>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</si>
  <si>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</si>
  <si>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</si>
  <si>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</si>
  <si>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</si>
  <si>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</si>
  <si>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</si>
  <si>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</si>
  <si>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</si>
  <si>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</si>
  <si>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</si>
  <si>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</si>
  <si>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</si>
  <si>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</si>
  <si>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</si>
  <si>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</si>
  <si>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</si>
  <si>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</si>
  <si>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</si>
  <si>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</si>
  <si>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</si>
  <si>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</si>
  <si>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</si>
  <si>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</si>
  <si>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</si>
  <si>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</si>
  <si>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</si>
  <si>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</si>
  <si>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</si>
  <si>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</si>
  <si>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</si>
  <si>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</si>
  <si>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</si>
  <si>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</si>
  <si>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</si>
  <si>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</si>
  <si>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</si>
  <si>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</si>
  <si>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</si>
  <si>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</si>
  <si>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</si>
  <si>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</si>
  <si>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</si>
  <si>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</si>
  <si>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</si>
  <si>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</si>
  <si>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</si>
  <si>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</si>
  <si>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</si>
  <si>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</si>
  <si>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</si>
  <si>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</si>
  <si>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</si>
  <si>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</si>
  <si>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</si>
  <si>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</si>
  <si>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</si>
  <si>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</si>
  <si>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</si>
  <si>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</si>
  <si>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</si>
  <si>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</si>
  <si>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</si>
  <si>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</si>
  <si>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</si>
  <si>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</si>
  <si>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</si>
  <si>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</si>
  <si>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</si>
  <si>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</si>
  <si>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</si>
  <si>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</si>
  <si>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</si>
  <si>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</si>
  <si>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</si>
  <si>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</si>
  <si>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</si>
  <si>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</si>
  <si>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</si>
  <si>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</si>
  <si>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</si>
  <si>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</si>
  <si>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</si>
  <si>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</si>
  <si>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</si>
  <si>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</si>
  <si>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</si>
  <si>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</si>
  <si>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</si>
  <si>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</si>
  <si>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</si>
  <si>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</si>
  <si>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</si>
  <si>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</si>
  <si>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</si>
  <si>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</si>
  <si>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</si>
  <si>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</si>
  <si>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</si>
  <si>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</si>
  <si>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</si>
  <si>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</si>
  <si>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</si>
  <si>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</si>
  <si>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</si>
  <si>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</si>
  <si>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</si>
  <si>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</si>
  <si>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</si>
  <si>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</si>
  <si>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</si>
  <si>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</si>
  <si>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</si>
  <si>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</si>
  <si>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</si>
  <si>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</si>
  <si>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</si>
  <si>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</si>
  <si>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</si>
  <si>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</si>
  <si>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</si>
  <si>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</si>
  <si>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</si>
  <si>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</si>
  <si>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</si>
  <si>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</si>
  <si>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</si>
  <si>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</si>
  <si>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</si>
  <si>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</si>
  <si>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</si>
  <si>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</si>
  <si>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</si>
  <si>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</si>
  <si>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</si>
  <si>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</si>
  <si>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</si>
  <si>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</si>
  <si>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</si>
  <si>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</si>
  <si>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</si>
  <si>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</si>
  <si>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</si>
  <si>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</si>
  <si>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</si>
  <si>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</si>
  <si>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</si>
  <si>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</si>
  <si>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</si>
  <si>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</si>
  <si>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</si>
  <si>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</si>
  <si>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</si>
  <si>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</si>
  <si>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</si>
  <si>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</si>
  <si>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</si>
  <si>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</si>
  <si>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</si>
  <si>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</si>
  <si>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</si>
  <si>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</si>
  <si>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</si>
  <si>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</si>
  <si>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</si>
  <si>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</si>
  <si>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</si>
  <si>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</si>
  <si>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</si>
  <si>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</si>
  <si>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</si>
  <si>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</si>
  <si>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</si>
  <si>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</si>
  <si>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</si>
  <si>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</si>
  <si>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</si>
  <si>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</si>
  <si>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</si>
  <si>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</si>
  <si>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</si>
  <si>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</si>
  <si>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</si>
  <si>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</si>
  <si>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</si>
  <si>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</si>
  <si>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</si>
  <si>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</si>
  <si>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</si>
  <si>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</si>
  <si>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</si>
  <si>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</si>
  <si>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</si>
  <si>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</si>
  <si>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</si>
  <si>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</si>
  <si>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</si>
  <si>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</si>
  <si>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</si>
  <si>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</si>
  <si>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</si>
  <si>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</si>
  <si>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</si>
  <si>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</si>
  <si>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</si>
  <si>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</si>
  <si>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</si>
  <si>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</si>
  <si>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</si>
  <si>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</si>
  <si>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</si>
  <si>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</si>
  <si>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</si>
  <si>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</si>
  <si>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</si>
  <si>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</si>
  <si>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</si>
  <si>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</si>
  <si>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</si>
  <si>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</si>
  <si>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</si>
  <si>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</si>
  <si>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</si>
  <si>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</si>
  <si>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</si>
  <si>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</si>
  <si>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</si>
  <si>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</si>
  <si>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</si>
  <si>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</si>
  <si>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</si>
  <si>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</si>
  <si>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</si>
  <si>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</si>
  <si>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</si>
  <si>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</si>
  <si>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</si>
  <si>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</si>
  <si>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</si>
  <si>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</si>
  <si>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</si>
  <si>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</si>
  <si>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</si>
  <si>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</si>
  <si>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</si>
  <si>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</si>
  <si>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</si>
  <si>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</si>
  <si>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</si>
  <si>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</si>
  <si>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</si>
  <si>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</si>
  <si>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</si>
  <si>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</si>
  <si>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</si>
  <si>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</si>
  <si>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</si>
  <si>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</si>
  <si>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</si>
  <si>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</si>
  <si>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</si>
  <si>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</si>
  <si>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</si>
  <si>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</si>
  <si>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</si>
  <si>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</si>
  <si>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</si>
  <si>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</si>
  <si>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</si>
  <si>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</si>
  <si>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</si>
  <si>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</si>
  <si>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</si>
  <si>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</si>
  <si>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</si>
  <si>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</si>
  <si>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</si>
  <si>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</si>
  <si>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</si>
  <si>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</si>
  <si>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</si>
  <si>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</si>
  <si>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</si>
  <si>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</si>
  <si>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</si>
  <si>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</si>
  <si>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</si>
  <si>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</si>
  <si>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</si>
  <si>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</si>
  <si>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</si>
  <si>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</si>
  <si>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</si>
  <si>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</si>
  <si>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</si>
  <si>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</si>
  <si>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</si>
  <si>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</si>
  <si>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</si>
  <si>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</si>
  <si>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</si>
  <si>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</si>
  <si>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</si>
  <si>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</si>
  <si>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</si>
  <si>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</si>
  <si>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</si>
  <si>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</si>
  <si>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</si>
  <si>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</si>
  <si>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</si>
  <si>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</si>
  <si>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</si>
  <si>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</si>
  <si>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</si>
  <si>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</si>
  <si>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</si>
  <si>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</si>
  <si>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</si>
  <si>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</si>
  <si>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</si>
  <si>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</si>
  <si>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</si>
  <si>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</si>
  <si>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</si>
  <si>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</si>
  <si>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</si>
  <si>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</si>
  <si>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</si>
  <si>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</si>
  <si>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</si>
  <si>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</si>
  <si>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</si>
  <si>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</si>
  <si>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</si>
  <si>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</si>
  <si>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</si>
  <si>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</si>
  <si>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</si>
  <si>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</si>
  <si>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</si>
  <si>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</si>
  <si>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</si>
  <si>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</si>
  <si>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</si>
  <si>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</si>
  <si>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</si>
  <si>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</si>
  <si>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</si>
  <si>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</si>
  <si>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</si>
  <si>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</si>
  <si>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</si>
  <si>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</si>
  <si>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</si>
  <si>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</si>
  <si>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</si>
  <si>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</si>
  <si>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</si>
  <si>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</si>
  <si>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</si>
  <si>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</si>
  <si>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</si>
  <si>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</si>
  <si>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</si>
  <si>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</si>
  <si>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</si>
  <si>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</si>
  <si>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</si>
  <si>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</si>
  <si>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</si>
  <si>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</si>
  <si>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</si>
  <si>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</si>
  <si>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</si>
  <si>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</si>
  <si>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</si>
  <si>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</si>
  <si>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</si>
  <si>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</si>
  <si>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</si>
  <si>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</si>
  <si>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</si>
  <si>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</si>
  <si>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</si>
  <si>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</si>
  <si>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</si>
  <si>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</si>
  <si>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</si>
  <si>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</si>
  <si>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</si>
  <si>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</si>
  <si>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</si>
  <si>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</si>
  <si>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</si>
  <si>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</si>
  <si>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</si>
  <si>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</si>
  <si>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</si>
  <si>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</si>
  <si>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</si>
  <si>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</si>
  <si>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</si>
  <si>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</si>
  <si>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</si>
  <si>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</si>
  <si>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</si>
  <si>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</si>
  <si>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</si>
  <si>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</si>
  <si>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</si>
  <si>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</si>
  <si>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</si>
  <si>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</si>
  <si>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</si>
  <si>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</si>
  <si>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</si>
  <si>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</si>
  <si>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</si>
  <si>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</si>
  <si>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</si>
  <si>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</si>
  <si>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</si>
  <si>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</si>
  <si>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</si>
  <si>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</si>
  <si>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</si>
  <si>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</si>
  <si>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</si>
  <si>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</si>
  <si>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</si>
  <si>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</si>
  <si>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</si>
  <si>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</si>
  <si>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</si>
  <si>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</si>
  <si>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</si>
  <si>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</si>
  <si>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</si>
  <si>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</si>
  <si>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</si>
  <si>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</si>
  <si>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</si>
  <si>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</si>
  <si>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</si>
  <si>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</si>
  <si>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</si>
  <si>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</si>
  <si>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</si>
  <si>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</si>
  <si>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</si>
  <si>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</si>
  <si>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</si>
  <si>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</si>
  <si>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</si>
  <si>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</si>
  <si>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</si>
  <si>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</si>
  <si>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</si>
  <si>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</si>
  <si>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</si>
  <si>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</si>
  <si>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</si>
  <si>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</si>
  <si>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</si>
  <si>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</si>
  <si>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</si>
  <si>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</si>
  <si>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</si>
  <si>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</si>
  <si>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</si>
  <si>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</si>
  <si>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</si>
  <si>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</si>
  <si>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</si>
  <si>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</si>
  <si>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</si>
  <si>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</si>
  <si>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</si>
  <si>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</si>
  <si>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</si>
  <si>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</si>
  <si>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</si>
  <si>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</si>
  <si>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</si>
  <si>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</si>
  <si>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</si>
  <si>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</si>
  <si>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</si>
  <si>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</si>
  <si>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</si>
  <si>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</si>
  <si>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</si>
  <si>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</si>
  <si>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</si>
  <si>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</si>
  <si>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</si>
  <si>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</si>
  <si>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</si>
  <si>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</si>
  <si>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</si>
  <si>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</si>
  <si>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</si>
  <si>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</si>
  <si>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</si>
  <si>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</si>
  <si>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</si>
  <si>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</si>
  <si>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</si>
  <si>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</si>
  <si>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</si>
  <si>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</si>
  <si>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</si>
  <si>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</si>
  <si>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</si>
  <si>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</si>
  <si>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</si>
  <si>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</si>
  <si>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</si>
  <si>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</si>
  <si>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</si>
  <si>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</si>
  <si>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</si>
  <si>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</si>
  <si>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</si>
  <si>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</si>
  <si>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</si>
  <si>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</si>
  <si>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</si>
  <si>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</si>
  <si>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</si>
  <si>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</si>
  <si>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</si>
  <si>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</si>
  <si>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</si>
  <si>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</si>
  <si>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</si>
  <si>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</si>
  <si>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</si>
  <si>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</si>
  <si>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</si>
  <si>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</si>
  <si>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</si>
  <si>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</si>
  <si>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</si>
  <si>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</si>
  <si>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</si>
  <si>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</si>
  <si>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</si>
  <si>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</si>
  <si>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</si>
  <si>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</si>
  <si>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</si>
  <si>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</si>
  <si>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</si>
  <si>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</si>
  <si>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</si>
  <si>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</si>
  <si>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</si>
  <si>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</si>
  <si>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</si>
  <si>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</si>
  <si>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</si>
  <si>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</si>
  <si>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</si>
  <si>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</si>
  <si>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</si>
  <si>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</si>
  <si>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</si>
  <si>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</si>
  <si>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</si>
  <si>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</si>
  <si>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</si>
  <si>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</si>
  <si>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</si>
  <si>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</si>
  <si>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</si>
  <si>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</si>
  <si>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</si>
  <si>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</si>
  <si>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</si>
  <si>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</si>
  <si>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</si>
  <si>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</si>
  <si>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</si>
  <si>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</si>
  <si>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</si>
  <si>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</si>
  <si>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</si>
  <si>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</si>
  <si>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</si>
  <si>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</si>
  <si>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</si>
  <si>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</si>
  <si>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</si>
  <si>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</si>
  <si>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</si>
  <si>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</si>
  <si>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</si>
  <si>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</si>
  <si>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</si>
  <si>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</si>
  <si>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</si>
  <si>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</si>
  <si>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</si>
  <si>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</si>
  <si>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</si>
  <si>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</si>
  <si>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</si>
  <si>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</si>
  <si>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</si>
  <si>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</si>
  <si>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</si>
  <si>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</si>
  <si>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</si>
  <si>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</si>
  <si>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</si>
  <si>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</si>
  <si>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</si>
  <si>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</si>
  <si>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</si>
  <si>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</si>
  <si>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</si>
  <si>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</si>
  <si>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</si>
  <si>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</si>
  <si>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</si>
  <si>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</si>
  <si>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</si>
  <si>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</si>
  <si>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</si>
  <si>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</si>
  <si>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</si>
  <si>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</si>
  <si>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</si>
  <si>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</si>
  <si>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</si>
  <si>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</si>
  <si>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</si>
  <si>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</si>
  <si>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</si>
  <si>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</si>
  <si>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</si>
  <si>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</si>
  <si>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</si>
  <si>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</si>
  <si>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</si>
  <si>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</si>
  <si>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</si>
  <si>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</si>
  <si>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</si>
  <si>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</si>
  <si>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</si>
  <si>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</si>
  <si>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</si>
  <si>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</si>
  <si>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</si>
  <si>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</si>
  <si>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</si>
  <si>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</si>
  <si>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</si>
  <si>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</si>
  <si>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</si>
  <si>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</si>
  <si>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</si>
  <si>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</si>
  <si>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</si>
  <si>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</si>
  <si>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</si>
  <si>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</si>
  <si>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</si>
  <si>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</si>
  <si>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</si>
  <si>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</si>
  <si>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</si>
  <si>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</si>
  <si>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</si>
  <si>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</si>
  <si>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</si>
  <si>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</si>
  <si>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</si>
  <si>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</si>
  <si>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</si>
  <si>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</si>
  <si>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</si>
  <si>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</si>
  <si>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</si>
  <si>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</si>
  <si>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</si>
  <si>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</si>
  <si>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</si>
  <si>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</si>
  <si>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</si>
  <si>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</si>
  <si>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</si>
  <si>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</si>
  <si>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</si>
  <si>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</si>
  <si>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</si>
  <si>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</si>
  <si>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</si>
  <si>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</si>
  <si>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</si>
  <si>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</si>
  <si>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</si>
  <si>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</si>
  <si>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</si>
  <si>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</si>
  <si>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</si>
  <si>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</si>
  <si>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</si>
  <si>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</si>
  <si>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</si>
  <si>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</si>
  <si>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</si>
  <si>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</si>
  <si>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</si>
  <si>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</si>
  <si>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</si>
  <si>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</si>
  <si>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</si>
  <si>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</si>
  <si>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</si>
  <si>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</si>
  <si>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</si>
  <si>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</si>
  <si>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</si>
  <si>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</si>
  <si>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</si>
  <si>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</si>
  <si>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</si>
  <si>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</si>
  <si>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</si>
  <si>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</si>
  <si>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</si>
  <si>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</si>
  <si>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</si>
  <si>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</si>
  <si>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</si>
  <si>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</si>
  <si>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</si>
  <si>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</si>
  <si>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</si>
  <si>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</si>
  <si>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</si>
  <si>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</si>
  <si>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</si>
  <si>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</si>
  <si>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</si>
  <si>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</si>
  <si>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</si>
  <si>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</si>
  <si>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</si>
  <si>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</si>
  <si>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</si>
  <si>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</si>
  <si>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</si>
  <si>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</si>
  <si>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</si>
  <si>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</si>
  <si>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</si>
  <si>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</si>
  <si>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</si>
  <si>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</si>
  <si>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</si>
  <si>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</si>
  <si>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</si>
  <si>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</si>
  <si>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</si>
  <si>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</si>
  <si>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</si>
  <si>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</si>
  <si>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</si>
  <si>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</si>
  <si>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</si>
  <si>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</si>
  <si>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</si>
  <si>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</si>
  <si>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</si>
  <si>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</si>
  <si>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</si>
  <si>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</si>
  <si>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</si>
  <si>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</si>
  <si>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</si>
  <si>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</si>
  <si>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</si>
  <si>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</si>
  <si>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</si>
  <si>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</si>
  <si>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</si>
  <si>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</si>
  <si>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</si>
  <si>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</si>
  <si>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</si>
  <si>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</si>
  <si>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</si>
  <si>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</si>
  <si>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</si>
  <si>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</si>
  <si>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</si>
  <si>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</si>
  <si>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</si>
  <si>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</si>
  <si>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</si>
  <si>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</si>
  <si>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</si>
  <si>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</si>
  <si>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</si>
  <si>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</si>
  <si>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</si>
  <si>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</si>
  <si>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</si>
  <si>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</si>
  <si>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</si>
  <si>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</si>
  <si>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</si>
  <si>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</si>
  <si>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</si>
  <si>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</si>
  <si>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</si>
  <si>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</si>
  <si>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</si>
  <si>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</si>
  <si>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</si>
  <si>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</si>
  <si>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</si>
  <si>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</si>
  <si>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</si>
  <si>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</si>
  <si>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</si>
  <si>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</si>
  <si>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</si>
  <si>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</si>
  <si>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</si>
  <si>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</si>
  <si>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</si>
  <si>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</si>
  <si>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</si>
  <si>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</si>
  <si>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</si>
  <si>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</si>
  <si>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</si>
  <si>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</si>
  <si>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</si>
  <si>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</si>
  <si>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</si>
  <si>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</si>
  <si>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</si>
  <si>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</si>
  <si>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</si>
  <si>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</si>
  <si>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</si>
  <si>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</si>
  <si>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</si>
  <si>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</si>
  <si>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</si>
  <si>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</si>
  <si>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</si>
  <si>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</si>
  <si>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</si>
  <si>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</si>
  <si>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</si>
  <si>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</si>
  <si>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</si>
  <si>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</si>
  <si>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</si>
  <si>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</si>
  <si>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</si>
  <si>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</si>
  <si>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</si>
  <si>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</si>
  <si>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</si>
  <si>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</si>
  <si>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</si>
  <si>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</si>
  <si>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</si>
  <si>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</si>
  <si>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</si>
  <si>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</si>
  <si>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</si>
  <si>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</si>
  <si>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</si>
  <si>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</si>
  <si>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</si>
  <si>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</si>
  <si>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</si>
  <si>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</si>
  <si>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</si>
  <si>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</si>
  <si>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</si>
  <si>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</si>
  <si>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</si>
  <si>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</si>
  <si>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</si>
  <si>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</si>
  <si>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</si>
  <si>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</si>
  <si>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</si>
  <si>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</si>
  <si>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</si>
  <si>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</si>
  <si>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</si>
  <si>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</si>
  <si>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</si>
  <si>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</si>
  <si>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</si>
  <si>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</si>
  <si>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</si>
  <si>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</si>
  <si>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</si>
  <si>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</si>
  <si>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</si>
  <si>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</si>
  <si>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</si>
  <si>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</si>
  <si>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</si>
  <si>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</si>
  <si>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</si>
  <si>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</si>
  <si>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</si>
  <si>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</si>
  <si>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</si>
  <si>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</si>
  <si>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</si>
  <si>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</si>
  <si>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</si>
  <si>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</si>
  <si>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</si>
  <si>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</si>
  <si>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</si>
  <si>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</si>
  <si>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</si>
  <si>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</si>
  <si>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</si>
  <si>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</si>
  <si>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</si>
  <si>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</si>
  <si>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</si>
  <si>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</si>
  <si>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</si>
  <si>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</si>
  <si>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</si>
  <si>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</si>
  <si>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</si>
  <si>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</si>
  <si>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</si>
  <si>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</si>
  <si>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</si>
  <si>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</si>
  <si>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</si>
  <si>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</si>
  <si>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</si>
  <si>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</si>
  <si>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</si>
  <si>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</si>
  <si>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</si>
  <si>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</si>
  <si>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</si>
  <si>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</si>
  <si>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</si>
  <si>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</si>
  <si>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</si>
  <si>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</si>
  <si>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</si>
  <si>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</si>
  <si>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</si>
  <si>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</si>
  <si>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</si>
  <si>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</si>
  <si>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</si>
  <si>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</si>
  <si>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</si>
  <si>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</si>
  <si>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</si>
  <si>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</si>
  <si>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</si>
  <si>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</si>
  <si>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</si>
  <si>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</si>
  <si>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</si>
  <si>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</si>
  <si>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퀵버스(동대구-노포)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</si>
  <si>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</si>
  <si>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</si>
  <si>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</si>
  <si>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</si>
  <si>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</si>
  <si>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</si>
  <si>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</si>
  <si>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</si>
  <si>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</si>
  <si>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</si>
  <si>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</si>
  <si>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</si>
  <si>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</si>
  <si>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</si>
  <si>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</si>
  <si>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</si>
  <si>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</si>
  <si>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</si>
  <si>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</si>
  <si>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</si>
  <si>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</si>
  <si>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</si>
  <si>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</si>
  <si>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</si>
  <si>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</si>
  <si>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</si>
  <si>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</si>
  <si>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</si>
  <si>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</si>
  <si>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</si>
  <si>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</si>
  <si>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</si>
  <si>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</si>
  <si>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</si>
  <si>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</si>
  <si>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</si>
  <si>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</si>
  <si>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</si>
  <si>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</si>
  <si>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</si>
  <si>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</si>
  <si>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</si>
  <si>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</si>
  <si>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</si>
  <si>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2025-08-09</t>
  </si>
  <si>
    <t>8HP_Plate</t>
  </si>
  <si>
    <t>현진미션(남대구)_250809_120603.xlsx</t>
  </si>
  <si>
    <t>제이피오토미션(부산)</t>
  </si>
  <si>
    <t>부산 사상구 모덕로 105</t>
    <phoneticPr fontId="2" type="noConversion"/>
  </si>
  <si>
    <t>010-4877-5553</t>
    <phoneticPr fontId="2" type="noConversion"/>
  </si>
  <si>
    <t>WAUZZZ4G9GN021142</t>
  </si>
  <si>
    <t>FAZIT 1129</t>
  </si>
  <si>
    <t>제이피오토미션(부산)_250809_120659.xlsx</t>
  </si>
  <si>
    <t>제이피오토미션(부산)_250809_120659.xlsx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</si>
</sst>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2420000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3</c:v>
                      </c:pt>
                      <c:pt idx="2">
                        <c:v>2</c:v>
                      </c:pt>
                      <c:pt idx="3">
                        <c:v>23</c:v>
                      </c:pt>
                      <c:pt idx="4">
                        <c:v>23</c:v>
                      </c:pt>
                      <c:pt idx="5">
                        <c:v>15</c:v>
                      </c:pt>
                      <c:pt idx="6">
                        <c:v>17</c:v>
                      </c:pt>
                      <c:pt idx="7">
                        <c:v>18</c:v>
                      </c:pt>
                      <c:pt idx="8">
                        <c:v>23</c:v>
                      </c:pt>
                      <c:pt idx="9">
                        <c:v>23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4" sqref="S4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1226</v>
      </c>
      <c r="R1" s="320"/>
      <c r="S1" s="428" t="s">
        <v>3330</v>
      </c>
      <c r="T1" s="428"/>
      <c r="U1" s="429"/>
    </row>
    <row r="2" spans="1:21" x14ac:dyDescent="0.3">
      <c r="A2" s="298" t="s">
        <v>70</v>
      </c>
      <c r="B2" s="299"/>
      <c r="C2" s="300" t="s">
        <v>2271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45878</v>
      </c>
      <c r="U2" s="306"/>
    </row>
    <row r="3" spans="1:21" ht="24.95" customHeight="1" x14ac:dyDescent="0.3">
      <c r="A3" s="373" t="s">
        <v>1194</v>
      </c>
      <c r="B3" s="37" t="s">
        <v>64</v>
      </c>
      <c r="C3" s="376" t="s">
        <v>1391</v>
      </c>
      <c r="D3" s="377"/>
      <c r="E3" s="377"/>
      <c r="F3" s="377"/>
      <c r="G3" s="377"/>
      <c r="H3" s="377"/>
      <c r="I3" s="377"/>
      <c r="J3" s="378"/>
      <c r="K3" s="379" t="s">
        <v>1195</v>
      </c>
      <c r="L3" s="37" t="s">
        <v>64</v>
      </c>
      <c r="M3" s="382" t="s">
        <v>970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388" t="s">
        <v>78</v>
      </c>
      <c r="U4" s="391"/>
    </row>
    <row r="5" spans="1:21" ht="24.95" customHeight="1" x14ac:dyDescent="0.3">
      <c r="A5" s="374"/>
      <c r="B5" s="38" t="s">
        <v>10</v>
      </c>
      <c r="C5" s="388" t="s">
        <v>3328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80</v>
      </c>
      <c r="C6" s="388" t="s">
        <v>3329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37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48</v>
      </c>
      <c r="G7" s="308"/>
      <c r="H7" s="308"/>
      <c r="I7" s="370"/>
      <c r="J7" s="371" t="s">
        <v>46</v>
      </c>
      <c r="K7" s="308"/>
      <c r="L7" s="308"/>
      <c r="M7" s="308"/>
      <c r="N7" s="370"/>
      <c r="O7" s="308" t="s">
        <v>54</v>
      </c>
      <c r="P7" s="370"/>
      <c r="Q7" s="371" t="s">
        <v>74</v>
      </c>
      <c r="R7" s="308"/>
      <c r="S7" s="370"/>
      <c r="T7" s="371" t="s">
        <v>73</v>
      </c>
      <c r="U7" s="372"/>
    </row>
    <row r="8" spans="1:21" ht="15.6" customHeight="1" x14ac:dyDescent="0.3">
      <c r="A8" s="414" t="s">
        <v>2305</v>
      </c>
      <c r="B8" s="415"/>
      <c r="C8" s="415"/>
      <c r="D8" s="415"/>
      <c r="E8" s="416"/>
      <c r="F8" s="417" t="s">
        <v>1230</v>
      </c>
      <c r="G8" s="415"/>
      <c r="H8" s="415"/>
      <c r="I8" s="416"/>
      <c r="J8" s="423">
        <v>1500000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1500000</v>
      </c>
      <c r="U8" s="422"/>
    </row>
    <row r="9" spans="1:21" ht="15.6" customHeight="1" x14ac:dyDescent="0.3">
      <c r="A9" s="403" t="s">
        <v>2697</v>
      </c>
      <c r="B9" s="404"/>
      <c r="C9" s="404"/>
      <c r="D9" s="404"/>
      <c r="E9" s="405"/>
      <c r="F9" s="406" t="s">
        <v>1838</v>
      </c>
      <c r="G9" s="404"/>
      <c r="H9" s="404"/>
      <c r="I9" s="405"/>
      <c r="J9" s="412">
        <v>50000</v>
      </c>
      <c r="K9" s="412"/>
      <c r="L9" s="412"/>
      <c r="M9" s="412"/>
      <c r="N9" s="412"/>
      <c r="O9" s="413">
        <v>1</v>
      </c>
      <c r="P9" s="413"/>
      <c r="Q9" s="407"/>
      <c r="R9" s="408"/>
      <c r="S9" s="409"/>
      <c r="T9" s="410">
        <v>50000</v>
      </c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2367</v>
      </c>
      <c r="B16" s="324"/>
      <c r="C16" s="324"/>
      <c r="D16" s="324"/>
      <c r="E16" s="325"/>
      <c r="F16" s="332" t="s">
        <v>3331</v>
      </c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86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1550000</v>
      </c>
      <c r="K20" s="347"/>
      <c r="L20" s="347"/>
      <c r="M20" s="347"/>
      <c r="N20" s="348"/>
      <c r="O20" s="311">
        <f>SUM(O8:P19)</f>
        <v>2</v>
      </c>
      <c r="P20" s="311"/>
      <c r="Q20" s="349">
        <f>SUM(Q8:S19)</f>
        <v>0</v>
      </c>
      <c r="R20" s="309"/>
      <c r="S20" s="310"/>
      <c r="T20" s="309">
        <f>SUM(T8:U15)</f>
        <v>1550000</v>
      </c>
      <c r="U20" s="350"/>
    </row>
    <row r="21" spans="1:21" ht="20.100000000000001" customHeight="1" thickBot="1" x14ac:dyDescent="0.35">
      <c r="A21" s="312" t="s">
        <v>96</v>
      </c>
      <c r="B21" s="313"/>
      <c r="C21" s="313"/>
      <c r="D21" s="313"/>
      <c r="E21" s="313"/>
      <c r="F21" s="314">
        <f>F20+T20+Q20</f>
        <v>1550000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13"/>
      <c r="Q21" s="317" t="str">
        <f>C3</f>
        <v>제이피오토미션(부산)</v>
      </c>
      <c r="R21" s="317"/>
      <c r="S21" s="317"/>
      <c r="T21" s="317"/>
      <c r="U21" s="369"/>
    </row>
    <row r="22" spans="1:21" ht="20.100000000000001" customHeight="1" x14ac:dyDescent="0.3">
      <c r="A22" s="296" t="s">
        <v>3333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0" t="s">
        <v>1226</v>
      </c>
      <c r="R24" s="320"/>
      <c r="S24" s="321" t="str">
        <f>S1</f>
        <v>WAUZZZ4G9GN021142</v>
      </c>
      <c r="T24" s="321"/>
      <c r="U24" s="322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81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45878</v>
      </c>
      <c r="U25" s="306"/>
    </row>
    <row r="26" spans="1:21" ht="24.95" customHeight="1" x14ac:dyDescent="0.3">
      <c r="A26" s="373" t="s">
        <v>1194</v>
      </c>
      <c r="B26" s="37" t="s">
        <v>64</v>
      </c>
      <c r="C26" s="376" t="str">
        <f>C3</f>
        <v>제이피오토미션(부산)</v>
      </c>
      <c r="D26" s="377"/>
      <c r="E26" s="377"/>
      <c r="F26" s="377"/>
      <c r="G26" s="377"/>
      <c r="H26" s="377"/>
      <c r="I26" s="377"/>
      <c r="J26" s="378"/>
      <c r="K26" s="379" t="s">
        <v>1195</v>
      </c>
      <c r="L26" s="37" t="s">
        <v>64</v>
      </c>
      <c r="M26" s="382" t="s">
        <v>970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66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66</v>
      </c>
      <c r="M27" s="388" t="s">
        <v>968</v>
      </c>
      <c r="N27" s="389"/>
      <c r="O27" s="389"/>
      <c r="P27" s="389"/>
      <c r="Q27" s="389"/>
      <c r="R27" s="390"/>
      <c r="S27" s="38" t="s">
        <v>67</v>
      </c>
      <c r="T27" s="388" t="s">
        <v>78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부산 사상구 모덕로 105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79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80</v>
      </c>
      <c r="C29" s="388" t="str">
        <f>C6</f>
        <v>010-4877-5553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">
        <v>71</v>
      </c>
      <c r="N29" s="389"/>
      <c r="O29" s="389"/>
      <c r="P29" s="389"/>
      <c r="Q29" s="389"/>
      <c r="R29" s="390"/>
      <c r="S29" s="38" t="s">
        <v>26</v>
      </c>
      <c r="T29" s="388" t="str">
        <f>T6</f>
        <v>경동(택배)</v>
      </c>
      <c r="U29" s="391"/>
    </row>
    <row r="30" spans="1:21" ht="15.6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46</v>
      </c>
      <c r="K30" s="308"/>
      <c r="L30" s="308"/>
      <c r="M30" s="308"/>
      <c r="N30" s="370"/>
      <c r="O30" s="308" t="s">
        <v>54</v>
      </c>
      <c r="P30" s="370"/>
      <c r="Q30" s="371" t="s">
        <v>74</v>
      </c>
      <c r="R30" s="308"/>
      <c r="S30" s="370"/>
      <c r="T30" s="371" t="s">
        <v>73</v>
      </c>
      <c r="U30" s="372"/>
    </row>
    <row r="31" spans="1:21" ht="15.6" customHeight="1" x14ac:dyDescent="0.3">
      <c r="A31" s="363" t="str">
        <f>A8</f>
        <v>0CK_TCU</v>
      </c>
      <c r="B31" s="364"/>
      <c r="C31" s="364"/>
      <c r="D31" s="364"/>
      <c r="E31" s="364"/>
      <c r="F31" s="364" t="str">
        <f>F8</f>
        <v>927156AA</v>
      </c>
      <c r="G31" s="364"/>
      <c r="H31" s="364"/>
      <c r="I31" s="364"/>
      <c r="J31" s="368">
        <f>J8</f>
        <v>1500000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1500000</v>
      </c>
      <c r="U31" s="367"/>
    </row>
    <row r="32" spans="1:21" ht="15.6" customHeight="1" x14ac:dyDescent="0.3">
      <c r="A32" s="356" t="str">
        <f t="shared" ref="A32:A38" si="0">A9</f>
        <v>0CK_Filter</v>
      </c>
      <c r="B32" s="357"/>
      <c r="C32" s="357"/>
      <c r="D32" s="357"/>
      <c r="E32" s="357"/>
      <c r="F32" s="357" t="str">
        <f t="shared" ref="F32:F38" si="1">F9</f>
        <v>0DN325421</v>
      </c>
      <c r="G32" s="357"/>
      <c r="H32" s="357"/>
      <c r="I32" s="357"/>
      <c r="J32" s="361">
        <f t="shared" ref="J32:J38" si="2">J9</f>
        <v>50000</v>
      </c>
      <c r="K32" s="361"/>
      <c r="L32" s="361"/>
      <c r="M32" s="361"/>
      <c r="N32" s="361"/>
      <c r="O32" s="361">
        <f t="shared" ref="O32:O38" si="3">O9</f>
        <v>1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50000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2367</v>
      </c>
      <c r="B39" s="324"/>
      <c r="C39" s="324"/>
      <c r="D39" s="324"/>
      <c r="E39" s="325"/>
      <c r="F39" s="332" t="str">
        <f>F16</f>
        <v>FAZIT 1129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86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1550000</v>
      </c>
      <c r="K43" s="347"/>
      <c r="L43" s="347"/>
      <c r="M43" s="347"/>
      <c r="N43" s="348"/>
      <c r="O43" s="311">
        <f>O20</f>
        <v>2</v>
      </c>
      <c r="P43" s="311"/>
      <c r="Q43" s="349">
        <f>Q20</f>
        <v>0</v>
      </c>
      <c r="R43" s="309"/>
      <c r="S43" s="309"/>
      <c r="T43" s="309">
        <f>T20</f>
        <v>1550000</v>
      </c>
      <c r="U43" s="350"/>
    </row>
    <row r="44" spans="1:21" ht="20.100000000000001" customHeight="1" thickBot="1" x14ac:dyDescent="0.35">
      <c r="A44" s="312" t="s">
        <v>96</v>
      </c>
      <c r="B44" s="313"/>
      <c r="C44" s="313"/>
      <c r="D44" s="313"/>
      <c r="E44" s="313"/>
      <c r="F44" s="314">
        <f>F21</f>
        <v>1550000</v>
      </c>
      <c r="G44" s="314"/>
      <c r="H44" s="314"/>
      <c r="I44" s="315"/>
      <c r="J44" s="316" t="s">
        <v>971</v>
      </c>
      <c r="K44" s="313"/>
      <c r="L44" s="341" t="str">
        <f>T27</f>
        <v>장효주</v>
      </c>
      <c r="M44" s="341"/>
      <c r="N44" s="341"/>
      <c r="O44" s="316" t="s">
        <v>69</v>
      </c>
      <c r="P44" s="342"/>
      <c r="Q44" s="343" t="str">
        <f>Q21</f>
        <v>제이피오토미션(부산)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4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1550000</v>
      </c>
      <c r="H1" s="111">
        <f>SUM(H2:H7)</f>
        <v>2</v>
      </c>
      <c r="I1" s="111">
        <f>SUM(I2:I7)</f>
        <v>0</v>
      </c>
      <c r="J1" s="111">
        <f>SUM(J2:J7)</f>
        <v>1550000</v>
      </c>
      <c r="K1" s="112" t="s">
        <v>4</v>
      </c>
      <c r="L1" s="100">
        <v>3</v>
      </c>
    </row>
    <row r="2" spans="1:12" x14ac:dyDescent="0.3">
      <c r="A2" s="47">
        <v>1</v>
      </c>
      <c r="B2" s="47" t="s">
        <v>3324</v>
      </c>
      <c r="C2" s="47" t="s">
        <v>3327</v>
      </c>
      <c r="D2" t="s">
        <v>1230</v>
      </c>
      <c r="E2" t="s">
        <v>2227</v>
      </c>
      <c r="F2" t="s">
        <v>1230</v>
      </c>
      <c r="G2">
        <v>1500000</v>
      </c>
      <c r="H2">
        <v>1</v>
      </c>
      <c r="I2" s="233"/>
      <c r="J2" s="233">
        <v>1500000</v>
      </c>
      <c r="K2" s="295"/>
    </row>
    <row r="3" spans="1:12" x14ac:dyDescent="0.3">
      <c r="A3" s="47">
        <v>2</v>
      </c>
      <c r="B3" s="47" t="s">
        <v>3324</v>
      </c>
      <c r="C3" s="47" t="s">
        <v>3327</v>
      </c>
      <c r="D3" t="s">
        <v>1838</v>
      </c>
      <c r="E3" t="s">
        <v>2228</v>
      </c>
      <c r="F3" t="s">
        <v>1838</v>
      </c>
      <c r="G3">
        <v>50000</v>
      </c>
      <c r="H3">
        <v>1</v>
      </c>
      <c r="I3" s="233"/>
      <c r="J3" s="233">
        <v>50000</v>
      </c>
    </row>
    <row r="4" spans="1:12" x14ac:dyDescent="0.3"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09"/>
  <sheetViews>
    <sheetView workbookViewId="0">
      <pane xSplit="1" ySplit="1" topLeftCell="B1181" activePane="bottomRight" state="frozen"/>
      <selection activeCell="N26" sqref="N26"/>
      <selection pane="topRight" activeCell="N26" sqref="N26"/>
      <selection pane="bottomLeft" activeCell="N26" sqref="N26"/>
      <selection pane="bottomRight" activeCell="K1197" sqref="K1197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1208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3264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3264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3264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3264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3264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3264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3264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3264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3264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3264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3264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3264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3264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3264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3264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3264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3264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3264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3264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3264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3264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3264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3264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3264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3264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3264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3264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3264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3264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3264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3264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3264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3264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3264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3264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3264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3264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3264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3264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3264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3264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3264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3264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3264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3264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3264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3264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3264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3264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3264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3264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3264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3264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3264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3264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3264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3264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3264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3264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3315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3264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3264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3264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3315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3264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3315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3315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3315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3315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3315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3315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3315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3315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3315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3315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3315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3315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3315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3315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3315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3315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3315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3315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3315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3315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3315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3315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3315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3315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3315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3315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3315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3315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3315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3315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3315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3315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3315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3315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3315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3315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3315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3315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3315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3315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3315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3315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3315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3315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3315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3315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3315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3315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3315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3315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3315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3315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3315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3315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3315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3315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3315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3315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3315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3315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3315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3315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3315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3315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3315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3315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3315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3315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3315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3315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3315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3315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3315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3315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3315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3315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3315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3315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3315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3315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3315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3315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3315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3315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3315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3315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3315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3315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3315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3315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3315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3315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3315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3315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3315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3315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3315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3315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3315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3315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3315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3315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3315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3315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3315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3315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3315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3315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3315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3315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3315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3225</v>
      </c>
      <c r="E1036" s="279" t="s">
        <v>3226</v>
      </c>
      <c r="G1036" s="274">
        <v>50000</v>
      </c>
      <c r="H1036" s="279">
        <v>1</v>
      </c>
      <c r="K1036" s="274">
        <v>50000</v>
      </c>
      <c r="N1036" t="s">
        <v>3315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3315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3315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3315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3315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3315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3315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3315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3315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3315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3315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3315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3315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3315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3315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3315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3315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3315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3315</v>
      </c>
    </row>
    <row r="1064" spans="1:14" x14ac:dyDescent="0.3">
      <c r="A1064" s="58">
        <v>1062</v>
      </c>
      <c r="B1064" s="272">
        <v>45866</v>
      </c>
      <c r="C1064" s="279" t="s">
        <v>3176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3315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3315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3315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3315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3315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3315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3315</v>
      </c>
    </row>
    <row r="1071" spans="1:14" x14ac:dyDescent="0.3">
      <c r="A1071" s="58">
        <v>1069</v>
      </c>
      <c r="B1071" s="272">
        <v>45866</v>
      </c>
      <c r="C1071" s="279" t="s">
        <v>3176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3184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3315</v>
      </c>
    </row>
    <row r="1073" spans="1:14" x14ac:dyDescent="0.3">
      <c r="A1073" s="58">
        <v>1071</v>
      </c>
      <c r="B1073" s="272">
        <v>45866</v>
      </c>
      <c r="C1073" s="279" t="s">
        <v>3184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3315</v>
      </c>
    </row>
    <row r="1074" spans="1:14" x14ac:dyDescent="0.3">
      <c r="A1074" s="58">
        <v>1072</v>
      </c>
      <c r="B1074" s="272">
        <v>45866</v>
      </c>
      <c r="C1074" s="279" t="s">
        <v>3184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3216</v>
      </c>
      <c r="F1084" s="279" t="s">
        <v>3215</v>
      </c>
      <c r="G1084" s="274">
        <v>250000</v>
      </c>
      <c r="H1084" s="279">
        <v>1</v>
      </c>
      <c r="K1084" s="274">
        <v>250000</v>
      </c>
      <c r="N1084" t="s">
        <v>3315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3315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3315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3315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3315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3315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3315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3227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3315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3315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3315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3228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3315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3315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3315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3315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3315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3315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3315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3315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3315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3232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3315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3315</v>
      </c>
    </row>
    <row r="1108" spans="1:14" x14ac:dyDescent="0.3">
      <c r="A1108" s="58">
        <v>1106</v>
      </c>
      <c r="B1108" s="272">
        <v>45868</v>
      </c>
      <c r="C1108" s="279" t="s">
        <v>3235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3315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3315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3235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3315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3315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3315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3315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3315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3315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3315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3251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3251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3269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3274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3275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3276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3277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3278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3274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3281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3281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3294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3303</v>
      </c>
      <c r="E1180" s="279" t="s">
        <v>3304</v>
      </c>
      <c r="F1180" s="279" t="s">
        <v>3305</v>
      </c>
      <c r="G1180" s="274">
        <v>1300000</v>
      </c>
      <c r="H1180" s="279">
        <v>1</v>
      </c>
      <c r="J1180" s="275" t="s">
        <v>3306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3300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3281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3297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3307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3311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3313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3313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3313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3316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3316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3325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3327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3327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26" sqref="D2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45876</v>
      </c>
      <c r="B3" s="242" t="s">
        <v>1153</v>
      </c>
      <c r="C3" s="243">
        <f>SUMIF($B:$B,A3,I:I)</f>
        <v>3060000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32981500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32981500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3251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3251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1143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1144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1145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1146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1147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1148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1149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1150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1151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1152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1153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1154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1155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1156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1157</v>
      </c>
      <c r="B36" s="97">
        <v>45874</v>
      </c>
      <c r="C36" s="86" t="s">
        <v>3274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1158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1159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1160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1161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1162</v>
      </c>
      <c r="B41" s="97">
        <v>45874</v>
      </c>
      <c r="C41" s="86" t="s">
        <v>2016</v>
      </c>
      <c r="D41" s="120" t="s">
        <v>3279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1163</v>
      </c>
      <c r="B42" s="98">
        <v>45874</v>
      </c>
      <c r="C42" s="88" t="s">
        <v>1586</v>
      </c>
      <c r="D42" s="119" t="s">
        <v>3276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1164</v>
      </c>
      <c r="B43" s="98">
        <v>45874</v>
      </c>
      <c r="C43" s="88" t="s">
        <v>1586</v>
      </c>
      <c r="D43" s="119" t="s">
        <v>3277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1165</v>
      </c>
      <c r="B44" s="98">
        <v>45874</v>
      </c>
      <c r="C44" s="88" t="s">
        <v>1586</v>
      </c>
      <c r="D44" s="119" t="s">
        <v>3278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1166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1167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1168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1169</v>
      </c>
      <c r="B48" s="97">
        <v>45874</v>
      </c>
      <c r="C48" s="86" t="s">
        <v>3274</v>
      </c>
      <c r="D48" s="120" t="s">
        <v>1152</v>
      </c>
      <c r="J48" s="83">
        <v>-1500000</v>
      </c>
    </row>
    <row r="49" spans="1:10" ht="18" customHeight="1" x14ac:dyDescent="0.3">
      <c r="A49" s="85">
        <v>1170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1171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1172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1173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1174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1175</v>
      </c>
      <c r="B54" s="97">
        <v>45875</v>
      </c>
      <c r="C54" s="86" t="s">
        <v>3281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1176</v>
      </c>
      <c r="B55" s="97">
        <v>45875</v>
      </c>
      <c r="C55" s="86" t="s">
        <v>3281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1177</v>
      </c>
      <c r="B56" s="97">
        <v>45875</v>
      </c>
      <c r="C56" s="86" t="s">
        <v>1174</v>
      </c>
      <c r="D56" s="120" t="s">
        <v>3294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1178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1179</v>
      </c>
      <c r="B58" s="97">
        <v>45875</v>
      </c>
      <c r="C58" s="86" t="s">
        <v>3297</v>
      </c>
      <c r="D58" s="120" t="s">
        <v>1234</v>
      </c>
      <c r="F58" s="127">
        <v>1300000</v>
      </c>
      <c r="G58" s="88">
        <v>1</v>
      </c>
      <c r="H58" s="133" t="s">
        <v>3306</v>
      </c>
      <c r="I58" s="83">
        <v>1430000</v>
      </c>
    </row>
    <row r="59" spans="1:10" ht="18" customHeight="1" x14ac:dyDescent="0.3">
      <c r="A59" s="85">
        <v>1180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1181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1182</v>
      </c>
      <c r="B61" s="97">
        <v>45875</v>
      </c>
      <c r="C61" s="86" t="s">
        <v>1610</v>
      </c>
      <c r="D61" s="120" t="s">
        <v>3300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1183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1184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1185</v>
      </c>
      <c r="B64" s="97">
        <v>45875</v>
      </c>
      <c r="C64" s="86" t="s">
        <v>3281</v>
      </c>
      <c r="D64" s="120" t="s">
        <v>1152</v>
      </c>
      <c r="J64" s="83">
        <v>-1705000</v>
      </c>
    </row>
    <row r="65" spans="1:10" ht="18" customHeight="1" x14ac:dyDescent="0.3">
      <c r="A65" s="85">
        <v>1186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1187</v>
      </c>
      <c r="B66" s="97">
        <v>45876</v>
      </c>
      <c r="C66" s="86" t="s">
        <v>3297</v>
      </c>
      <c r="D66" s="120" t="s">
        <v>1152</v>
      </c>
      <c r="J66" s="83">
        <v>-1430000</v>
      </c>
    </row>
    <row r="67" spans="1:10" ht="18" customHeight="1" x14ac:dyDescent="0.3">
      <c r="A67" s="85">
        <v>1188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1189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1190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1191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1192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5</v>
      </c>
    </row>
    <row r="3" spans="1:6" x14ac:dyDescent="0.3">
      <c r="B3" t="s">
        <v>1070</v>
      </c>
      <c r="C3" s="52">
        <f>SUMIF(BTS_매출관리!C:C,B3,BTS_매출관리!I:I)</f>
        <v>2420000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3290000</v>
      </c>
      <c r="D4">
        <f t="shared" si="0"/>
        <v>2</v>
      </c>
    </row>
    <row r="5" spans="1:6" x14ac:dyDescent="0.3">
      <c r="B5" t="s">
        <v>1318</v>
      </c>
      <c r="C5" s="52">
        <f>SUMIF(BTS_매출관리!C:C,B5,BTS_매출관리!I:I)</f>
        <v>0</v>
      </c>
      <c r="D5">
        <f t="shared" si="0"/>
        <v>23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23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15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17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18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23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23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23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23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23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275000</v>
      </c>
      <c r="D15">
        <f t="shared" si="0"/>
        <v>20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23</v>
      </c>
    </row>
    <row r="17" spans="2:4" x14ac:dyDescent="0.3">
      <c r="B17" t="s">
        <v>2548</v>
      </c>
      <c r="C17" s="52">
        <f>SUMIF(BTS_매출관리!C:C,B17,BTS_매출관리!I:I)</f>
        <v>0</v>
      </c>
      <c r="D17">
        <f t="shared" si="0"/>
        <v>23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23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23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23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23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23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8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22</v>
      </c>
    </row>
    <row r="25" spans="2:4" x14ac:dyDescent="0.3">
      <c r="B25" t="s">
        <v>1384</v>
      </c>
      <c r="C25" s="52">
        <f>SUMIF(BTS_매출관리!C:C,B25,BTS_매출관리!I:I)</f>
        <v>1875500</v>
      </c>
      <c r="D25">
        <f t="shared" si="0"/>
        <v>4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23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23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23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23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23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23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23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19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23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23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23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23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23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23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23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23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23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13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23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23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23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11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23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23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23</v>
      </c>
    </row>
    <row r="51" spans="2:4" x14ac:dyDescent="0.3">
      <c r="B51" t="s">
        <v>1372</v>
      </c>
      <c r="C51" s="52">
        <f>SUMIF(BTS_매출관리!C:C,B51,BTS_매출관리!I:I)</f>
        <v>3500000</v>
      </c>
      <c r="D51">
        <f t="shared" si="0"/>
        <v>1</v>
      </c>
    </row>
    <row r="52" spans="2:4" x14ac:dyDescent="0.3">
      <c r="B52" t="s">
        <v>1327</v>
      </c>
      <c r="C52" s="52">
        <f>SUMIF(BTS_매출관리!C:C,B52,BTS_매출관리!I:I)</f>
        <v>0</v>
      </c>
      <c r="D52">
        <f t="shared" si="0"/>
        <v>23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23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23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23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23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23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23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23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23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23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23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23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23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7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23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23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14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23</v>
      </c>
    </row>
    <row r="70" spans="2:4" x14ac:dyDescent="0.3">
      <c r="B70" t="s">
        <v>1357</v>
      </c>
      <c r="C70" s="52">
        <f>SUMIF(BTS_매출관리!C:C,B70,BTS_매출관리!I:I)</f>
        <v>1200000</v>
      </c>
      <c r="D70">
        <f t="shared" si="1"/>
        <v>16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23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23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23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23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23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23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23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23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23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21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23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23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23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23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23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6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12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23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23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1328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9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10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23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23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23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1391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23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23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C157" s="52">
        <f>SUMIF(BTS_매출관리!C:C,B157,BTS_매출관리!I:I)</f>
        <v>0</v>
      </c>
      <c r="D157">
        <f t="shared" si="2"/>
        <v>23</v>
      </c>
    </row>
    <row r="158" spans="2:4" x14ac:dyDescent="0.3">
      <c r="C158" s="52">
        <f>SUMIF(BTS_매출관리!C:C,B158,BTS_매출관리!I:I)</f>
        <v>0</v>
      </c>
      <c r="D158">
        <f t="shared" si="2"/>
        <v>23</v>
      </c>
    </row>
    <row r="159" spans="2:4" x14ac:dyDescent="0.3">
      <c r="C159" s="52">
        <f>SUMIF(BTS_매출관리!C:C,B159,BTS_매출관리!I:I)</f>
        <v>0</v>
      </c>
      <c r="D159">
        <f t="shared" si="2"/>
        <v>23</v>
      </c>
    </row>
    <row r="160" spans="2:4" x14ac:dyDescent="0.3">
      <c r="C160" s="52">
        <f>SUMIF(BTS_매출관리!C:C,B160,BTS_매출관리!I:I)</f>
        <v>0</v>
      </c>
      <c r="D160">
        <f t="shared" si="2"/>
        <v>23</v>
      </c>
    </row>
    <row r="161" spans="3:4" x14ac:dyDescent="0.3">
      <c r="C161" s="52">
        <f>SUMIF(BTS_매출관리!C:C,B161,BTS_매출관리!I:I)</f>
        <v>0</v>
      </c>
      <c r="D161">
        <f t="shared" si="2"/>
        <v>23</v>
      </c>
    </row>
    <row r="162" spans="3:4" x14ac:dyDescent="0.3">
      <c r="C162" s="52">
        <f>SUMIF(BTS_매출관리!C:C,B162,BTS_매출관리!I:I)</f>
        <v>0</v>
      </c>
      <c r="D162">
        <f t="shared" si="2"/>
        <v>23</v>
      </c>
    </row>
    <row r="163" spans="3:4" x14ac:dyDescent="0.3">
      <c r="C163" s="52">
        <f>SUMIF(BTS_매출관리!C:C,B163,BTS_매출관리!I:I)</f>
        <v>0</v>
      </c>
      <c r="D163">
        <f t="shared" si="2"/>
        <v>23</v>
      </c>
    </row>
    <row r="164" spans="3:4" x14ac:dyDescent="0.3">
      <c r="C164" s="52">
        <f>SUMIF(BTS_매출관리!C:C,B164,BTS_매출관리!I:I)</f>
        <v>0</v>
      </c>
      <c r="D164">
        <f t="shared" si="2"/>
        <v>23</v>
      </c>
    </row>
    <row r="165" spans="3:4" x14ac:dyDescent="0.3">
      <c r="C165" s="52">
        <f>SUMIF(BTS_매출관리!C:C,B165,BTS_매출관리!I:I)</f>
        <v>0</v>
      </c>
      <c r="D165">
        <f t="shared" si="2"/>
        <v>23</v>
      </c>
    </row>
    <row r="166" spans="3:4" x14ac:dyDescent="0.3">
      <c r="C166" s="52">
        <f>SUMIF(BTS_매출관리!C:C,B166,BTS_매출관리!I:I)</f>
        <v>0</v>
      </c>
      <c r="D166">
        <f t="shared" si="2"/>
        <v>23</v>
      </c>
    </row>
    <row r="167" spans="3:4" x14ac:dyDescent="0.3">
      <c r="C167" s="52">
        <f>SUMIF(BTS_매출관리!C:C,B167,BTS_매출관리!I:I)</f>
        <v>0</v>
      </c>
      <c r="D167">
        <f t="shared" si="2"/>
        <v>23</v>
      </c>
    </row>
    <row r="168" spans="3:4" x14ac:dyDescent="0.3">
      <c r="C168" s="52">
        <f>SUMIF(BTS_매출관리!C:C,B168,BTS_매출관리!I:I)</f>
        <v>0</v>
      </c>
      <c r="D168">
        <f t="shared" si="2"/>
        <v>23</v>
      </c>
    </row>
    <row r="169" spans="3:4" x14ac:dyDescent="0.3">
      <c r="C169" s="52">
        <f>SUMIF(BTS_매출관리!C:C,B169,BTS_매출관리!I:I)</f>
        <v>0</v>
      </c>
      <c r="D169">
        <f t="shared" si="2"/>
        <v>23</v>
      </c>
    </row>
    <row r="170" spans="3:4" x14ac:dyDescent="0.3">
      <c r="C170" s="52">
        <f>SUMIF(BTS_매출관리!C:C,B170,BTS_매출관리!I:I)</f>
        <v>0</v>
      </c>
      <c r="D170">
        <f t="shared" si="2"/>
        <v>23</v>
      </c>
    </row>
    <row r="171" spans="3:4" x14ac:dyDescent="0.3">
      <c r="C171" s="52">
        <f>SUMIF(BTS_매출관리!C:C,B171,BTS_매출관리!I:I)</f>
        <v>0</v>
      </c>
      <c r="D171">
        <f t="shared" si="2"/>
        <v>23</v>
      </c>
    </row>
    <row r="172" spans="3:4" x14ac:dyDescent="0.3">
      <c r="C172" s="52">
        <f>SUMIF(BTS_매출관리!C:C,B172,BTS_매출관리!I:I)</f>
        <v>0</v>
      </c>
      <c r="D172">
        <f t="shared" si="2"/>
        <v>23</v>
      </c>
    </row>
    <row r="173" spans="3:4" x14ac:dyDescent="0.3">
      <c r="C173" s="52">
        <f>SUMIF(BTS_매출관리!C:C,B173,BTS_매출관리!I:I)</f>
        <v>0</v>
      </c>
      <c r="D173">
        <f t="shared" si="2"/>
        <v>23</v>
      </c>
    </row>
    <row r="174" spans="3:4" x14ac:dyDescent="0.3">
      <c r="C174" s="52">
        <f>SUMIF(BTS_매출관리!C:C,B174,BTS_매출관리!I:I)</f>
        <v>0</v>
      </c>
      <c r="D174">
        <f t="shared" si="2"/>
        <v>23</v>
      </c>
    </row>
    <row r="175" spans="3:4" x14ac:dyDescent="0.3">
      <c r="C175" s="52">
        <f>SUMIF(BTS_매출관리!C:C,B175,BTS_매출관리!I:I)</f>
        <v>0</v>
      </c>
      <c r="D175">
        <f t="shared" si="2"/>
        <v>23</v>
      </c>
    </row>
    <row r="176" spans="3:4" x14ac:dyDescent="0.3">
      <c r="C176" s="52">
        <f>SUMIF(BTS_매출관리!C:C,B176,BTS_매출관리!I:I)</f>
        <v>0</v>
      </c>
      <c r="D176">
        <f t="shared" si="2"/>
        <v>23</v>
      </c>
    </row>
    <row r="177" spans="3:4" x14ac:dyDescent="0.3">
      <c r="C177" s="52">
        <f>SUMIF(BTS_매출관리!C:C,B177,BTS_매출관리!I:I)</f>
        <v>0</v>
      </c>
      <c r="D177">
        <f t="shared" si="2"/>
        <v>23</v>
      </c>
    </row>
    <row r="178" spans="3:4" x14ac:dyDescent="0.3">
      <c r="C178" s="52">
        <f>SUMIF(BTS_매출관리!C:C,B178,BTS_매출관리!I:I)</f>
        <v>0</v>
      </c>
      <c r="D178">
        <f t="shared" si="2"/>
        <v>23</v>
      </c>
    </row>
    <row r="179" spans="3:4" x14ac:dyDescent="0.3">
      <c r="C179" s="52">
        <f>SUMIF(BTS_매출관리!C:C,B179,BTS_매출관리!I:I)</f>
        <v>0</v>
      </c>
      <c r="D179">
        <f t="shared" si="2"/>
        <v>23</v>
      </c>
    </row>
    <row r="180" spans="3:4" x14ac:dyDescent="0.3">
      <c r="C180" s="52">
        <f>SUMIF(BTS_매출관리!C:C,B180,BTS_매출관리!I:I)</f>
        <v>0</v>
      </c>
      <c r="D180">
        <f t="shared" si="2"/>
        <v>23</v>
      </c>
    </row>
    <row r="181" spans="3:4" x14ac:dyDescent="0.3">
      <c r="C181" s="52">
        <f>SUMIF(BTS_매출관리!C:C,B181,BTS_매출관리!I:I)</f>
        <v>0</v>
      </c>
      <c r="D181">
        <f t="shared" si="2"/>
        <v>23</v>
      </c>
    </row>
    <row r="182" spans="3:4" x14ac:dyDescent="0.3">
      <c r="C182" s="52">
        <f>SUMIF(BTS_매출관리!C:C,B182,BTS_매출관리!I:I)</f>
        <v>0</v>
      </c>
      <c r="D182">
        <f t="shared" si="2"/>
        <v>23</v>
      </c>
    </row>
    <row r="183" spans="3:4" x14ac:dyDescent="0.3">
      <c r="C183" s="52">
        <f>SUMIF(BTS_매출관리!C:C,B183,BTS_매출관리!I:I)</f>
        <v>0</v>
      </c>
      <c r="D183">
        <f t="shared" si="2"/>
        <v>23</v>
      </c>
    </row>
    <row r="184" spans="3:4" x14ac:dyDescent="0.3">
      <c r="C184" s="52">
        <f>SUMIF(BTS_매출관리!C:C,B184,BTS_매출관리!I:I)</f>
        <v>0</v>
      </c>
      <c r="D184">
        <f t="shared" si="2"/>
        <v>23</v>
      </c>
    </row>
    <row r="185" spans="3:4" x14ac:dyDescent="0.3">
      <c r="C185" s="52">
        <f>SUMIF(BTS_매출관리!C:C,B185,BTS_매출관리!I:I)</f>
        <v>0</v>
      </c>
      <c r="D185">
        <f t="shared" si="2"/>
        <v>23</v>
      </c>
    </row>
    <row r="186" spans="3:4" x14ac:dyDescent="0.3">
      <c r="C186" s="52">
        <f>SUMIF(BTS_매출관리!C:C,B186,BTS_매출관리!I:I)</f>
        <v>0</v>
      </c>
      <c r="D186">
        <f t="shared" si="2"/>
        <v>23</v>
      </c>
    </row>
    <row r="187" spans="3:4" x14ac:dyDescent="0.3">
      <c r="C187" s="52">
        <f>SUMIF(BTS_매출관리!C:C,B187,BTS_매출관리!I:I)</f>
        <v>0</v>
      </c>
      <c r="D187">
        <f t="shared" si="2"/>
        <v>23</v>
      </c>
    </row>
    <row r="188" spans="3:4" x14ac:dyDescent="0.3">
      <c r="C188" s="52">
        <f>SUMIF(BTS_매출관리!C:C,B188,BTS_매출관리!I:I)</f>
        <v>0</v>
      </c>
      <c r="D188">
        <f t="shared" si="2"/>
        <v>23</v>
      </c>
    </row>
    <row r="189" spans="3:4" x14ac:dyDescent="0.3">
      <c r="C189" s="52">
        <f>SUMIF(BTS_매출관리!C:C,B189,BTS_매출관리!I:I)</f>
        <v>0</v>
      </c>
      <c r="D189">
        <f t="shared" si="2"/>
        <v>23</v>
      </c>
    </row>
    <row r="190" spans="3:4" x14ac:dyDescent="0.3">
      <c r="C190" s="52">
        <f>SUMIF(BTS_매출관리!C:C,B190,BTS_매출관리!I:I)</f>
        <v>0</v>
      </c>
      <c r="D190">
        <f t="shared" si="2"/>
        <v>23</v>
      </c>
    </row>
    <row r="191" spans="3:4" x14ac:dyDescent="0.3">
      <c r="C191" s="52">
        <f>SUMIF(BTS_매출관리!C:C,B191,BTS_매출관리!I:I)</f>
        <v>0</v>
      </c>
      <c r="D191">
        <f t="shared" si="2"/>
        <v>23</v>
      </c>
    </row>
    <row r="192" spans="3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2372</v>
      </c>
      <c r="C1" s="442" t="s">
        <v>2604</v>
      </c>
      <c r="D1" s="439" t="s">
        <v>2633</v>
      </c>
      <c r="E1" s="439" t="s">
        <v>40</v>
      </c>
      <c r="F1" s="439" t="s">
        <v>2811</v>
      </c>
      <c r="G1" s="439"/>
      <c r="H1" s="439" t="s">
        <v>2812</v>
      </c>
      <c r="I1" s="439"/>
      <c r="J1" s="439" t="s">
        <v>2813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3208</v>
      </c>
      <c r="D49" s="259" t="s">
        <v>3209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3212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3210</v>
      </c>
      <c r="D52" s="259" t="s">
        <v>3211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3212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3213</v>
      </c>
      <c r="D54" s="259" t="s">
        <v>3214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2632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1226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2271</v>
      </c>
      <c r="D2" s="301"/>
      <c r="E2" s="301"/>
      <c r="F2" s="301"/>
      <c r="G2" s="302"/>
      <c r="H2" s="300" t="s">
        <v>81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1194</v>
      </c>
      <c r="B3" s="37" t="s">
        <v>64</v>
      </c>
      <c r="C3" s="495" t="s">
        <v>1573</v>
      </c>
      <c r="D3" s="496"/>
      <c r="E3" s="496"/>
      <c r="F3" s="496"/>
      <c r="G3" s="496"/>
      <c r="H3" s="496"/>
      <c r="I3" s="496"/>
      <c r="J3" s="497"/>
      <c r="K3" s="379" t="s">
        <v>1195</v>
      </c>
      <c r="L3" s="37" t="s">
        <v>64</v>
      </c>
      <c r="M3" s="481" t="s">
        <v>970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461" t="s">
        <v>78</v>
      </c>
      <c r="U4" s="462"/>
    </row>
    <row r="5" spans="1:21" ht="15.75" customHeight="1" x14ac:dyDescent="0.3">
      <c r="A5" s="374"/>
      <c r="B5" s="38" t="s">
        <v>65</v>
      </c>
      <c r="C5" s="388" t="s">
        <v>1111</v>
      </c>
      <c r="D5" s="389"/>
      <c r="E5" s="389"/>
      <c r="F5" s="389"/>
      <c r="G5" s="389"/>
      <c r="H5" s="389"/>
      <c r="I5" s="389"/>
      <c r="J5" s="390"/>
      <c r="K5" s="380"/>
      <c r="L5" s="38" t="s">
        <v>65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80</v>
      </c>
      <c r="C6" s="388" t="s">
        <v>1110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980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83</v>
      </c>
      <c r="G7" s="308"/>
      <c r="H7" s="308"/>
      <c r="I7" s="370"/>
      <c r="J7" s="371" t="s">
        <v>72</v>
      </c>
      <c r="K7" s="370"/>
      <c r="L7" s="371" t="s">
        <v>46</v>
      </c>
      <c r="M7" s="308"/>
      <c r="N7" s="308"/>
      <c r="O7" s="308"/>
      <c r="P7" s="370"/>
      <c r="Q7" s="371" t="s">
        <v>73</v>
      </c>
      <c r="R7" s="308"/>
      <c r="S7" s="370"/>
      <c r="T7" s="371" t="s">
        <v>74</v>
      </c>
      <c r="U7" s="372"/>
    </row>
    <row r="8" spans="1:21" ht="15" customHeight="1" x14ac:dyDescent="0.3">
      <c r="A8" s="498" t="s">
        <v>1158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86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965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96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76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1194</v>
      </c>
      <c r="B26" s="37" t="s">
        <v>64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1195</v>
      </c>
      <c r="L26" s="37" t="s">
        <v>64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66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66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67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80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26</v>
      </c>
      <c r="T29" s="388"/>
      <c r="U29" s="391"/>
    </row>
    <row r="30" spans="1:21" ht="15.75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72</v>
      </c>
      <c r="K30" s="370"/>
      <c r="L30" s="371" t="s">
        <v>46</v>
      </c>
      <c r="M30" s="308"/>
      <c r="N30" s="308"/>
      <c r="O30" s="308"/>
      <c r="P30" s="370"/>
      <c r="Q30" s="371" t="s">
        <v>73</v>
      </c>
      <c r="R30" s="308"/>
      <c r="S30" s="370"/>
      <c r="T30" s="371" t="s">
        <v>74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86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965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96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971</v>
      </c>
      <c r="K44" s="313"/>
      <c r="L44" s="317" t="str">
        <f>L21</f>
        <v>장효주</v>
      </c>
      <c r="M44" s="317"/>
      <c r="N44" s="317"/>
      <c r="O44" s="316" t="s">
        <v>69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57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682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3167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3168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3169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3170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3171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3172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3173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3174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3175</v>
      </c>
    </row>
    <row r="595" spans="1:4" x14ac:dyDescent="0.3">
      <c r="A595">
        <v>619</v>
      </c>
      <c r="B595" s="13">
        <v>45866</v>
      </c>
      <c r="C595" t="s">
        <v>3176</v>
      </c>
      <c r="D595" t="s">
        <v>3179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3180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3181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3182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3183</v>
      </c>
    </row>
    <row r="600" spans="1:4" x14ac:dyDescent="0.3">
      <c r="A600">
        <v>624</v>
      </c>
      <c r="B600" s="13">
        <v>45866</v>
      </c>
      <c r="C600" t="s">
        <v>3184</v>
      </c>
      <c r="D600" t="s">
        <v>3189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3217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3218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3219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3220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3221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3222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3223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3224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3229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3230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3231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3233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3234</v>
      </c>
    </row>
    <row r="614" spans="1:4" x14ac:dyDescent="0.3">
      <c r="A614">
        <v>638</v>
      </c>
      <c r="B614" s="13">
        <v>45868</v>
      </c>
      <c r="C614" t="s">
        <v>3235</v>
      </c>
      <c r="D614" t="s">
        <v>3239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3240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3243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3244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3245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3246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3247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3250</v>
      </c>
    </row>
    <row r="622" spans="1:4" x14ac:dyDescent="0.3">
      <c r="A622">
        <v>646</v>
      </c>
      <c r="B622" s="13">
        <v>45870</v>
      </c>
      <c r="C622" t="s">
        <v>3251</v>
      </c>
      <c r="D622" t="s">
        <v>3252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3253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3254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3258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3259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3260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3261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3262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3263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3265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3266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3267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3268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3270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3271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3272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3273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3287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3288</v>
      </c>
    </row>
    <row r="641" spans="1:4" x14ac:dyDescent="0.3">
      <c r="A641">
        <v>665</v>
      </c>
      <c r="B641" s="13">
        <v>45875</v>
      </c>
      <c r="C641" t="s">
        <v>3281</v>
      </c>
      <c r="D641" t="s">
        <v>3293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3295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3296</v>
      </c>
    </row>
    <row r="644" spans="1:4" x14ac:dyDescent="0.3">
      <c r="A644">
        <v>668</v>
      </c>
      <c r="B644" s="13">
        <v>45875</v>
      </c>
      <c r="C644" t="s">
        <v>3297</v>
      </c>
      <c r="D644" t="s">
        <v>3298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3299</v>
      </c>
    </row>
    <row r="646" spans="1:4" x14ac:dyDescent="0.3">
      <c r="A646">
        <v>670</v>
      </c>
      <c r="B646" s="13">
        <v>45875</v>
      </c>
      <c r="C646" t="s">
        <v>1610</v>
      </c>
      <c r="D646" t="s">
        <v>3301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3302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3308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3309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3310</v>
      </c>
    </row>
    <row r="651" spans="1:4" x14ac:dyDescent="0.3">
      <c r="A651">
        <v>675</v>
      </c>
      <c r="B651" s="13">
        <v>45877</v>
      </c>
      <c r="C651" t="s">
        <v>3313</v>
      </c>
      <c r="D651" t="s">
        <v>3314</v>
      </c>
    </row>
    <row r="652" spans="1:4" x14ac:dyDescent="0.3">
      <c r="A652">
        <v>676</v>
      </c>
      <c r="B652" s="13">
        <v>45877</v>
      </c>
      <c r="C652" t="s">
        <v>3316</v>
      </c>
      <c r="D652" t="s">
        <v>3320</v>
      </c>
    </row>
    <row r="653" spans="1:4" x14ac:dyDescent="0.3">
      <c r="A653">
        <v>677</v>
      </c>
      <c r="B653" s="13">
        <v>45877</v>
      </c>
      <c r="C653" t="s">
        <v>3313</v>
      </c>
      <c r="D653" t="s">
        <v>3321</v>
      </c>
    </row>
    <row r="654" spans="1:4" x14ac:dyDescent="0.3">
      <c r="A654">
        <v>678</v>
      </c>
      <c r="B654" s="13">
        <v>45877</v>
      </c>
      <c r="C654" t="s">
        <v>3316</v>
      </c>
      <c r="D654" t="s">
        <v>3322</v>
      </c>
    </row>
    <row r="655" spans="1:4" x14ac:dyDescent="0.3">
      <c r="A655">
        <v>679</v>
      </c>
      <c r="B655" s="13">
        <v>45877</v>
      </c>
      <c r="C655" t="s">
        <v>3313</v>
      </c>
      <c r="D655" t="s">
        <v>3323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3326</v>
      </c>
    </row>
    <row r="657" spans="1:4" x14ac:dyDescent="0.3">
      <c r="A657">
        <v>681</v>
      </c>
      <c r="B657" s="13">
        <v>45878</v>
      </c>
      <c r="C657" t="s">
        <v>3327</v>
      </c>
      <c r="D657" t="s">
        <v>3332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29" sqref="A27:E29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171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274999.59999999963</v>
      </c>
      <c r="I2" s="201" t="s">
        <v>3312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3312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3312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350000</v>
      </c>
      <c r="I14" s="52" t="s">
        <v>3312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  <c r="I17" s="52" t="s">
        <v>3312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3241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3312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5004999.6999999993</v>
      </c>
      <c r="I20" s="52" t="s">
        <v>3312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3249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  <c r="I37" s="52" t="s">
        <v>3312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3312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3312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3312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  <c r="I68" s="52" t="s">
        <v>3312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3312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3248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3312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3248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  <c r="I84" s="52" t="s">
        <v>3280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3280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3312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1875500</v>
      </c>
      <c r="I97" s="52" t="s">
        <v>3312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3312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3289</v>
      </c>
      <c r="C107" t="s">
        <v>3290</v>
      </c>
      <c r="E107" t="s">
        <v>3291</v>
      </c>
      <c r="F107" t="s">
        <v>969</v>
      </c>
      <c r="G107" t="s">
        <v>3292</v>
      </c>
      <c r="H107" s="201">
        <f>SUMIF(주문_리스트!C:C,거래처!B107,주문_리스트!K:K)+SUMIF(주문_리스트!C:C,거래처!B107,주문_리스트!L:L)-450000</f>
        <v>70000</v>
      </c>
      <c r="I107" s="52" t="s">
        <v>3312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1851000</v>
      </c>
      <c r="I109" s="52" t="s">
        <v>3312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3241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3190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1550000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1100000</v>
      </c>
      <c r="I125" s="52" t="s">
        <v>3312</v>
      </c>
    </row>
    <row r="126" spans="1:9" x14ac:dyDescent="0.3">
      <c r="A126">
        <v>125</v>
      </c>
      <c r="B126" t="s">
        <v>1876</v>
      </c>
      <c r="C126" t="s">
        <v>3255</v>
      </c>
      <c r="E126" t="s">
        <v>3256</v>
      </c>
      <c r="F126" t="s">
        <v>969</v>
      </c>
      <c r="G126" t="s">
        <v>3257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3312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3280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  <c r="I145" s="52" t="s">
        <v>3241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3241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3176</v>
      </c>
      <c r="C167" t="s">
        <v>3177</v>
      </c>
      <c r="E167" t="s">
        <v>3178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3184</v>
      </c>
      <c r="C168" t="s">
        <v>3185</v>
      </c>
      <c r="D168" t="s">
        <v>3186</v>
      </c>
      <c r="E168" t="s">
        <v>3187</v>
      </c>
      <c r="F168" t="s">
        <v>983</v>
      </c>
      <c r="G168" t="s">
        <v>3188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3235</v>
      </c>
      <c r="C169" t="s">
        <v>3236</v>
      </c>
      <c r="E169" t="s">
        <v>3237</v>
      </c>
      <c r="F169" t="s">
        <v>983</v>
      </c>
      <c r="G169" t="s">
        <v>3238</v>
      </c>
      <c r="H169" s="201">
        <f>SUMIF(주문_리스트!C:C,거래처!B169,주문_리스트!K:K)+SUMIF(주문_리스트!C:C,거래처!B169,주문_리스트!L:L)</f>
        <v>0</v>
      </c>
      <c r="I169" s="52" t="s">
        <v>3241</v>
      </c>
    </row>
    <row r="170" spans="1:9" x14ac:dyDescent="0.3">
      <c r="A170">
        <v>169</v>
      </c>
      <c r="B170" t="s">
        <v>3281</v>
      </c>
      <c r="C170" t="s">
        <v>3282</v>
      </c>
      <c r="E170" t="s">
        <v>3283</v>
      </c>
      <c r="F170" t="s">
        <v>969</v>
      </c>
      <c r="G170" t="s">
        <v>3284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3316</v>
      </c>
      <c r="C171" t="s">
        <v>3317</v>
      </c>
      <c r="E171" t="s">
        <v>3318</v>
      </c>
      <c r="F171" t="s">
        <v>983</v>
      </c>
      <c r="G171" t="s">
        <v>3319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7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217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-58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-72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-18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-18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-30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-18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-5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-72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3286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3232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3285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3285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3294</v>
      </c>
      <c r="F217" s="52">
        <v>110000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3286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3232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3285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3285</v>
      </c>
      <c r="E216" s="197">
        <v>6058008068</v>
      </c>
    </row>
    <row r="217" spans="1:6" x14ac:dyDescent="0.3">
      <c r="D217" s="197" t="s">
        <v>3294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3191</v>
      </c>
      <c r="J86" s="53" t="s">
        <v>2226</v>
      </c>
      <c r="K86" s="17" t="s">
        <v>3191</v>
      </c>
      <c r="L86" s="17">
        <v>2200000</v>
      </c>
    </row>
    <row r="87" spans="6:12" ht="18" customHeight="1" x14ac:dyDescent="0.3">
      <c r="F87" s="17">
        <v>72</v>
      </c>
      <c r="I87" s="17" t="s">
        <v>3192</v>
      </c>
      <c r="J87" s="53" t="s">
        <v>3204</v>
      </c>
      <c r="K87" s="17" t="s">
        <v>3192</v>
      </c>
      <c r="L87" s="17">
        <v>1500000</v>
      </c>
    </row>
    <row r="88" spans="6:12" ht="18" customHeight="1" x14ac:dyDescent="0.3">
      <c r="F88" s="17">
        <v>73</v>
      </c>
      <c r="I88" s="17" t="s">
        <v>3193</v>
      </c>
      <c r="J88" s="53" t="s">
        <v>2245</v>
      </c>
      <c r="K88" s="17" t="s">
        <v>3193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3205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3194</v>
      </c>
      <c r="J118" s="53" t="s">
        <v>3206</v>
      </c>
      <c r="K118" s="17" t="s">
        <v>3194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3207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2025-08-09T01:19:44Z</cp:lastPrinted>
  <dcterms:created xsi:type="dcterms:W3CDTF">2020-10-02T11:51:16Z</dcterms:created>
  <dcterms:modified xsi:type="dcterms:W3CDTF">2025-08-09T03:07:20Z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