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D75BB29-5293-4B80-84D9-A7A25B7F1DBE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2" l="1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<sst xmlns="http://schemas.openxmlformats.org/spreadsheetml/2006/main" count="8967" uniqueCount="3345">
  <si>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</si>
  <si>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</si>
  <si>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</si>
  <si>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</si>
  <si>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</si>
  <si>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</si>
  <si>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</si>
  <si>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</si>
  <si>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</si>
  <si>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</si>
  <si>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</si>
  <si>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</si>
  <si>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</si>
  <si>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</si>
  <si>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</si>
  <si>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</si>
  <si>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</si>
  <si>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</si>
  <si>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</si>
  <si>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</si>
  <si>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</si>
  <si>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</si>
  <si>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</si>
  <si>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</si>
  <si>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</si>
  <si>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</si>
  <si>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</si>
  <si>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</si>
  <si>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</si>
  <si>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</si>
  <si>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</si>
  <si>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</si>
  <si>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</si>
  <si>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</si>
  <si>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</si>
  <si>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</si>
  <si>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</si>
  <si>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</si>
  <si>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</si>
  <si>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</si>
  <si>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</si>
  <si>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</si>
  <si>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</si>
  <si>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</si>
  <si>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</si>
  <si>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</si>
  <si>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</si>
  <si>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</si>
  <si>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</si>
  <si>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</si>
  <si>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</si>
  <si>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</si>
  <si>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</si>
  <si>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</si>
  <si>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</si>
  <si>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</si>
  <si>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</si>
  <si>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</si>
  <si>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</si>
  <si>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</si>
  <si>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</si>
  <si>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</si>
  <si>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</si>
  <si>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</si>
  <si>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</si>
  <si>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</si>
  <si>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</si>
  <si>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</si>
  <si>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</si>
  <si>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</si>
  <si>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</si>
  <si>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</si>
  <si>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</si>
  <si>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</si>
  <si>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</si>
  <si>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</si>
  <si>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</si>
  <si>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</si>
  <si>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</si>
  <si>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</si>
  <si>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</si>
  <si>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</si>
  <si>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</si>
  <si>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</si>
  <si>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</si>
  <si>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</si>
  <si>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</si>
  <si>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</si>
  <si>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</si>
  <si>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</si>
  <si>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</si>
  <si>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</si>
  <si>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</si>
  <si>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</si>
  <si>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</si>
  <si>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</si>
  <si>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</si>
  <si>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</si>
  <si>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</si>
  <si>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</si>
  <si>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</si>
  <si>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</si>
  <si>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</si>
  <si>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</si>
  <si>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</si>
  <si>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</si>
  <si>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</si>
  <si>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</si>
  <si>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</si>
  <si>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</si>
  <si>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</si>
  <si>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</si>
  <si>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</si>
  <si>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</si>
  <si>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</si>
  <si>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</si>
  <si>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</si>
  <si>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</si>
  <si>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</si>
  <si>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</si>
  <si>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</si>
  <si>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</si>
  <si>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</si>
  <si>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</si>
  <si>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</si>
  <si>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</si>
  <si>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</si>
  <si>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</si>
  <si>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</si>
  <si>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</si>
  <si>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</si>
  <si>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</si>
  <si>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</si>
  <si>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</si>
  <si>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</si>
  <si>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</si>
  <si>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</si>
  <si>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</si>
  <si>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</si>
  <si>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</si>
  <si>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</si>
  <si>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</si>
  <si>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</si>
  <si>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</si>
  <si>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</si>
  <si>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</si>
  <si>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</si>
  <si>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</si>
  <si>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</si>
  <si>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</si>
  <si>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</si>
  <si>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</si>
  <si>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</si>
  <si>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</si>
  <si>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</si>
  <si>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</si>
  <si>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</si>
  <si>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</si>
  <si>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</si>
  <si>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</si>
  <si>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</si>
  <si>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</si>
  <si>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</si>
  <si>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</si>
  <si>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</si>
  <si>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</si>
  <si>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</si>
  <si>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</si>
  <si>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</si>
  <si>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</si>
  <si>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</si>
  <si>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</si>
  <si>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</si>
  <si>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</si>
  <si>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</si>
  <si>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</si>
  <si>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</si>
  <si>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</si>
  <si>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</si>
  <si>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</si>
  <si>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</si>
  <si>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</si>
  <si>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</si>
  <si>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</si>
  <si>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</si>
  <si>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</si>
  <si>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</si>
  <si>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</si>
  <si>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</si>
  <si>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</si>
  <si>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</si>
  <si>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</si>
  <si>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</si>
  <si>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</si>
  <si>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</si>
  <si>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</si>
  <si>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</si>
  <si>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</si>
  <si>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</si>
  <si>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</si>
  <si>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</si>
  <si>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</si>
  <si>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</si>
  <si>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</si>
  <si>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</si>
  <si>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</si>
  <si>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</si>
  <si>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</si>
  <si>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</si>
  <si>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</si>
  <si>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</si>
  <si>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</si>
  <si>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</si>
  <si>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</si>
  <si>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</si>
  <si>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</si>
  <si>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</si>
  <si>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</si>
  <si>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</si>
  <si>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</si>
  <si>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</si>
  <si>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</si>
  <si>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</si>
  <si>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</si>
  <si>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</si>
  <si>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</si>
  <si>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</si>
  <si>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</si>
  <si>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</si>
  <si>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</si>
  <si>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</si>
  <si>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</si>
  <si>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</si>
  <si>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</si>
  <si>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</si>
  <si>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</si>
  <si>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</si>
  <si>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</si>
  <si>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</si>
  <si>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</si>
  <si>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</si>
  <si>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</si>
  <si>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</si>
  <si>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</si>
  <si>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</si>
  <si>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</si>
  <si>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</si>
  <si>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</si>
  <si>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</si>
  <si>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</si>
  <si>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</si>
  <si>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</si>
  <si>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</si>
  <si>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</si>
  <si>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</si>
  <si>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</si>
  <si>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</si>
  <si>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</si>
  <si>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</si>
  <si>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</si>
  <si>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</si>
  <si>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</si>
  <si>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</si>
  <si>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</si>
  <si>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</si>
  <si>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</si>
  <si>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</si>
  <si>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</si>
  <si>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</si>
  <si>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</si>
  <si>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</si>
  <si>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</si>
  <si>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</si>
  <si>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</si>
  <si>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</si>
  <si>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</si>
  <si>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</si>
  <si>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</si>
  <si>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</si>
  <si>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</si>
  <si>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</si>
  <si>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</si>
  <si>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</si>
  <si>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</si>
  <si>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</si>
  <si>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</si>
  <si>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</si>
  <si>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</si>
  <si>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</si>
  <si>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</si>
  <si>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</si>
  <si>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</si>
  <si>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</si>
  <si>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</si>
  <si>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</si>
  <si>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</si>
  <si>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</si>
  <si>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</si>
  <si>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</si>
  <si>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</si>
  <si>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</si>
  <si>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</si>
  <si>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</si>
  <si>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</si>
  <si>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</si>
  <si>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</si>
  <si>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</si>
  <si>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</si>
  <si>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</si>
  <si>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</si>
  <si>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</si>
  <si>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</si>
  <si>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</si>
  <si>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</si>
  <si>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</si>
  <si>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</si>
  <si>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</si>
  <si>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</si>
  <si>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</si>
  <si>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</si>
  <si>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</si>
  <si>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</si>
  <si>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</si>
  <si>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</si>
  <si>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</si>
  <si>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</si>
  <si>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</si>
  <si>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</si>
  <si>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</si>
  <si>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</si>
  <si>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</si>
  <si>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</si>
  <si>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</si>
  <si>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</si>
  <si>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</si>
  <si>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</si>
  <si>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</si>
  <si>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</si>
  <si>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</si>
  <si>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</si>
  <si>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</si>
  <si>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</si>
  <si>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</si>
  <si>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</si>
  <si>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</si>
  <si>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</si>
  <si>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</si>
  <si>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</si>
  <si>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</si>
  <si>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</si>
  <si>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</si>
  <si>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</si>
  <si>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</si>
  <si>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</si>
  <si>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</si>
  <si>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</si>
  <si>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</si>
  <si>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</si>
  <si>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</si>
  <si>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</si>
  <si>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</si>
  <si>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</si>
  <si>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</si>
  <si>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</si>
  <si>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</si>
  <si>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</si>
  <si>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</si>
  <si>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</si>
  <si>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</si>
  <si>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</si>
  <si>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</si>
  <si>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</si>
  <si>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</si>
  <si>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</si>
  <si>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</si>
  <si>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</si>
  <si>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</si>
  <si>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</si>
  <si>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</si>
  <si>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</si>
  <si>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</si>
  <si>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</si>
  <si>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</si>
  <si>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</si>
  <si>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</si>
  <si>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</si>
  <si>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</si>
  <si>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</si>
  <si>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</si>
  <si>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</si>
  <si>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</si>
  <si>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</si>
  <si>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</si>
  <si>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</si>
  <si>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</si>
  <si>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</si>
  <si>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</si>
  <si>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</si>
  <si>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</si>
  <si>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</si>
  <si>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</si>
  <si>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</si>
  <si>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</si>
  <si>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</si>
  <si>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</si>
  <si>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</si>
  <si>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</si>
  <si>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</si>
  <si>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</si>
  <si>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</si>
  <si>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</si>
  <si>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</si>
  <si>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</si>
  <si>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</si>
  <si>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</si>
  <si>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</si>
  <si>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</si>
  <si>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</si>
  <si>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</si>
  <si>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</si>
  <si>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</si>
  <si>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</si>
  <si>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</si>
  <si>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</si>
  <si>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</si>
  <si>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</si>
  <si>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</si>
  <si>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</si>
  <si>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</si>
  <si>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</si>
  <si>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</si>
  <si>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</si>
  <si>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</si>
  <si>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</si>
  <si>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</si>
  <si>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</si>
  <si>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</si>
  <si>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</si>
  <si>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</si>
  <si>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</si>
  <si>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</si>
  <si>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</si>
  <si>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</si>
  <si>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</si>
  <si>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</si>
  <si>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</si>
  <si>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</si>
  <si>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</si>
  <si>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</si>
  <si>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</si>
  <si>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</si>
  <si>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</si>
  <si>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</si>
  <si>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</si>
  <si>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</si>
  <si>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</si>
  <si>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</si>
  <si>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</si>
  <si>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</si>
  <si>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</si>
  <si>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</si>
  <si>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</si>
  <si>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</si>
  <si>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</si>
  <si>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</si>
  <si>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</si>
  <si>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</si>
  <si>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</si>
  <si>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</si>
  <si>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</si>
  <si>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</si>
  <si>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</si>
  <si>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</si>
  <si>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</si>
  <si>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</si>
  <si>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</si>
  <si>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</si>
  <si>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</si>
  <si>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</si>
  <si>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</si>
  <si>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</si>
  <si>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</si>
  <si>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</si>
  <si>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</si>
  <si>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</si>
  <si>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</si>
  <si>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</si>
  <si>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</si>
  <si>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</si>
  <si>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</si>
  <si>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</si>
  <si>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</si>
  <si>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</si>
  <si>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</si>
  <si>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</si>
  <si>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</si>
  <si>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</si>
  <si>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</si>
  <si>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</si>
  <si>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</si>
  <si>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</si>
  <si>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</si>
  <si>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</si>
  <si>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</si>
  <si>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</si>
  <si>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</si>
  <si>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</si>
  <si>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</si>
  <si>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</si>
  <si>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</si>
  <si>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</si>
  <si>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</si>
  <si>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</si>
  <si>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</si>
  <si>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</si>
  <si>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</si>
  <si>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</si>
  <si>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</si>
  <si>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</si>
  <si>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</si>
  <si>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</si>
  <si>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</si>
  <si>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</si>
  <si>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</si>
  <si>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</si>
  <si>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</si>
  <si>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</si>
  <si>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</si>
  <si>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</si>
  <si>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</si>
  <si>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</si>
  <si>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</si>
  <si>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</si>
  <si>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</si>
  <si>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</si>
  <si>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</si>
  <si>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</si>
  <si>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</si>
  <si>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</si>
  <si>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</si>
  <si>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</si>
  <si>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</si>
  <si>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</si>
  <si>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</si>
  <si>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</si>
  <si>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</si>
  <si>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</si>
  <si>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</si>
  <si>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</si>
  <si>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</si>
  <si>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</si>
  <si>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</si>
  <si>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</si>
  <si>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</si>
  <si>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</si>
  <si>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</si>
  <si>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</si>
  <si>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</si>
  <si>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</si>
  <si>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</si>
  <si>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</si>
  <si>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</si>
  <si>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</si>
  <si>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</si>
  <si>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</si>
  <si>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</si>
  <si>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</si>
  <si>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</si>
  <si>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</si>
  <si>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</si>
  <si>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</si>
  <si>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</si>
  <si>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</si>
  <si>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</si>
  <si>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</si>
  <si>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</si>
  <si>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</si>
  <si>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</si>
  <si>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</si>
  <si>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</si>
  <si>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</si>
  <si>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</si>
  <si>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</si>
  <si>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</si>
  <si>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</si>
  <si>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</si>
  <si>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</si>
  <si>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</si>
  <si>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</si>
  <si>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</si>
  <si>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</si>
  <si>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</si>
  <si>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</si>
  <si>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</si>
  <si>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</si>
  <si>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</si>
  <si>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</si>
  <si>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</si>
  <si>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</si>
  <si>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</si>
  <si>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</si>
  <si>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</si>
  <si>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</si>
  <si>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</si>
  <si>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</si>
  <si>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</si>
  <si>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</si>
  <si>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</si>
  <si>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</si>
  <si>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</si>
  <si>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</si>
  <si>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</si>
  <si>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</si>
  <si>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</si>
  <si>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</si>
  <si>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</si>
  <si>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</si>
  <si>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</si>
  <si>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</si>
  <si>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</si>
  <si>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</si>
  <si>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</si>
  <si>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</si>
  <si>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</si>
  <si>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</si>
  <si>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</si>
  <si>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</si>
  <si>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</si>
  <si>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</si>
  <si>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</si>
  <si>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</si>
  <si>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</si>
  <si>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</si>
  <si>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</si>
  <si>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</si>
  <si>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</si>
  <si>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</si>
  <si>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</si>
  <si>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</si>
  <si>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</si>
  <si>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</si>
  <si>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</si>
  <si>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</si>
  <si>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</si>
  <si>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</si>
  <si>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</si>
  <si>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</si>
  <si>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</si>
  <si>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</si>
  <si>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</si>
  <si>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</si>
  <si>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</si>
  <si>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</si>
  <si>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</si>
  <si>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</si>
  <si>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</si>
  <si>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</si>
  <si>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</si>
  <si>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</si>
  <si>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</si>
  <si>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</si>
  <si>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</si>
  <si>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</si>
  <si>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</si>
  <si>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</si>
  <si>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</si>
  <si>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</si>
  <si>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</si>
  <si>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</si>
  <si>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</si>
  <si>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</si>
  <si>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</si>
  <si>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</si>
  <si>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</si>
  <si>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</si>
  <si>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</si>
  <si>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</si>
  <si>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</si>
  <si>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</si>
  <si>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</si>
  <si>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</si>
  <si>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</si>
  <si>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</si>
  <si>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</si>
  <si>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</si>
  <si>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</si>
  <si>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</si>
  <si>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</si>
  <si>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</si>
  <si>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</si>
  <si>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</si>
  <si>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</si>
  <si>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</si>
  <si>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</si>
  <si>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</si>
  <si>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</si>
  <si>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</si>
  <si>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</si>
  <si>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</si>
  <si>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</si>
  <si>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</si>
  <si>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</si>
  <si>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</si>
  <si>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</si>
  <si>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</si>
  <si>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</si>
  <si>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</si>
  <si>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</si>
  <si>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</si>
  <si>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</si>
  <si>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</si>
  <si>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</si>
  <si>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</si>
  <si>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</si>
  <si>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</si>
  <si>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</si>
  <si>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</si>
  <si>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</si>
  <si>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</si>
  <si>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</si>
  <si>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</si>
  <si>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</si>
  <si>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</si>
  <si>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</si>
  <si>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</si>
  <si>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</si>
  <si>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</si>
  <si>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</si>
  <si>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</si>
  <si>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</si>
  <si>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</si>
  <si>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</si>
  <si>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</si>
  <si>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</si>
  <si>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</si>
  <si>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</si>
  <si>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</si>
  <si>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</si>
  <si>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</si>
  <si>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</si>
  <si>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</si>
  <si>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</si>
  <si>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</si>
  <si>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</si>
  <si>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</si>
  <si>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</si>
  <si>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</si>
  <si>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</si>
  <si>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</si>
  <si>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</si>
  <si>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</si>
  <si>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</si>
  <si>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</si>
  <si>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</si>
  <si>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</si>
  <si>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</si>
  <si>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</si>
  <si>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</si>
  <si>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</si>
  <si>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</si>
  <si>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</si>
  <si>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</si>
  <si>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</si>
  <si>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</si>
  <si>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</si>
  <si>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</si>
  <si>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</si>
  <si>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</si>
  <si>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</si>
  <si>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</si>
  <si>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</si>
  <si>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</si>
  <si>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</si>
  <si>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</si>
  <si>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</si>
  <si>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</si>
  <si>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</si>
  <si>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</si>
  <si>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</si>
  <si>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</si>
  <si>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</si>
  <si>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</si>
  <si>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</si>
  <si>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</si>
  <si>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</si>
  <si>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</si>
  <si>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</si>
  <si>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</si>
  <si>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</si>
  <si>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</si>
  <si>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</si>
  <si>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</si>
  <si>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</si>
  <si>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</si>
  <si>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</si>
  <si>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</si>
  <si>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</si>
  <si>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</si>
  <si>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</si>
  <si>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</si>
  <si>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</si>
  <si>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</si>
  <si>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</si>
  <si>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</si>
  <si>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</si>
  <si>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</si>
  <si>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</si>
  <si>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</si>
  <si>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</si>
  <si>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</si>
  <si>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</si>
  <si>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</si>
  <si>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</si>
  <si>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</si>
  <si>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</si>
  <si>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</si>
  <si>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</si>
  <si>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</si>
  <si>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</si>
  <si>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</si>
  <si>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</si>
  <si>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</si>
  <si>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</si>
  <si>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</si>
  <si>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</si>
  <si>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</si>
  <si>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</si>
  <si>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</si>
  <si>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</si>
  <si>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</si>
  <si>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</si>
  <si>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</si>
  <si>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</si>
  <si>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</si>
  <si>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</si>
  <si>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</si>
  <si>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</si>
  <si>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</si>
  <si>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</si>
  <si>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</si>
  <si>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</si>
  <si>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</si>
  <si>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</si>
  <si>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</si>
  <si>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</si>
  <si>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</si>
  <si>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</si>
  <si>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</si>
  <si>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</si>
  <si>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</si>
  <si>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</si>
  <si>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</si>
  <si>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</si>
  <si>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</si>
  <si>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</si>
  <si>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</si>
  <si>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</si>
  <si>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</si>
  <si>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</si>
  <si>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</si>
  <si>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</si>
  <si>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</si>
  <si>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</si>
  <si>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</si>
  <si>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</si>
  <si>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</si>
  <si>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</si>
  <si>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</si>
  <si>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</si>
  <si>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</si>
  <si>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</si>
  <si>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</si>
  <si>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</si>
  <si>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</si>
  <si>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</si>
  <si>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</si>
  <si>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</si>
  <si>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</si>
  <si>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</si>
  <si>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</si>
  <si>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</si>
  <si>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</si>
  <si>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</si>
  <si>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</si>
  <si>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</si>
  <si>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</si>
  <si>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</si>
  <si>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</si>
  <si>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</si>
  <si>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</si>
  <si>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</si>
  <si>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</si>
  <si>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</si>
  <si>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</si>
  <si>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</si>
  <si>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</si>
  <si>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</si>
  <si>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</si>
  <si>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</si>
  <si>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</si>
  <si>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</si>
  <si>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</si>
  <si>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</si>
  <si>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</si>
  <si>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</si>
  <si>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</si>
  <si>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</si>
  <si>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</si>
  <si>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</si>
  <si>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</si>
  <si>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</si>
  <si>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</si>
  <si>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</si>
  <si>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</si>
  <si>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</si>
  <si>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</si>
  <si>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</si>
  <si>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</si>
  <si>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</si>
  <si>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</si>
  <si>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</si>
  <si>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</si>
  <si>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</si>
  <si>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</si>
  <si>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</si>
  <si>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</si>
  <si>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</si>
  <si>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</si>
  <si>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</si>
  <si>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</si>
  <si>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</si>
  <si>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</si>
  <si>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</si>
  <si>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</si>
  <si>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</si>
  <si>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</si>
  <si>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</si>
  <si>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</si>
  <si>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</si>
  <si>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</si>
  <si>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</si>
  <si>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</si>
  <si>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</si>
  <si>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</si>
  <si>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</si>
  <si>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</si>
  <si>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</si>
  <si>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</si>
  <si>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</si>
  <si>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</si>
  <si>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</si>
  <si>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</si>
  <si>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</si>
  <si>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</si>
  <si>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</si>
  <si>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</si>
  <si>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</si>
  <si>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</si>
  <si>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</si>
  <si>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</si>
  <si>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</si>
  <si>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</si>
  <si>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</si>
  <si>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</si>
  <si>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</si>
  <si>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</si>
  <si>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</si>
  <si>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</si>
  <si>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</si>
  <si>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</si>
  <si>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</si>
  <si>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</si>
  <si>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</si>
  <si>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</si>
  <si>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</si>
  <si>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</si>
  <si>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</si>
  <si>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</si>
  <si>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</si>
  <si>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</si>
  <si>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</si>
  <si>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</si>
  <si>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</si>
  <si>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</si>
  <si>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</si>
  <si>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</si>
  <si>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</si>
  <si>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</si>
  <si>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</si>
  <si>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</si>
  <si>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</si>
  <si>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</si>
  <si>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</si>
  <si>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</si>
  <si>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</si>
  <si>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</si>
  <si>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</si>
  <si>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</si>
  <si>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</si>
  <si>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</si>
  <si>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</si>
  <si>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</si>
  <si>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</si>
  <si>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</si>
  <si>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</si>
  <si>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</si>
  <si>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</si>
  <si>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</si>
  <si>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</si>
  <si>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</si>
  <si>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</si>
  <si>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</si>
  <si>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</si>
  <si>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</si>
  <si>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</si>
  <si>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</si>
  <si>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</si>
  <si>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</si>
  <si>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</si>
  <si>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</si>
  <si>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</si>
  <si>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</si>
  <si>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</si>
  <si>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</si>
  <si>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</si>
  <si>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</si>
  <si>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</si>
  <si>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</si>
  <si>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</si>
  <si>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</si>
  <si>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</si>
  <si>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</si>
  <si>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</si>
  <si>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</si>
  <si>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</si>
  <si>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</si>
  <si>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</si>
  <si>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</si>
  <si>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</si>
  <si>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</si>
  <si>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</si>
  <si>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</si>
  <si>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</si>
  <si>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</si>
  <si>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</si>
  <si>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</si>
  <si>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</si>
  <si>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</si>
  <si>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</si>
  <si>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</si>
  <si>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</si>
  <si>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</si>
  <si>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</si>
  <si>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</si>
  <si>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</si>
  <si>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</si>
  <si>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</si>
  <si>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</si>
  <si>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</si>
  <si>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</si>
  <si>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</si>
  <si>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</si>
  <si>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</si>
  <si>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</si>
  <si>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</si>
  <si>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</si>
  <si>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</si>
  <si>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</si>
  <si>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</si>
  <si>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</si>
  <si>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</si>
  <si>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</si>
  <si>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</si>
  <si>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</si>
  <si>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</si>
  <si>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</si>
  <si>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</si>
  <si>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</si>
  <si>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</si>
  <si>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</si>
  <si>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</si>
  <si>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</si>
  <si>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</si>
  <si>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</si>
  <si>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</si>
  <si>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</si>
  <si>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</si>
  <si>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</si>
  <si>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</si>
  <si>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</si>
  <si>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</si>
  <si>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</si>
  <si>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</si>
  <si>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</si>
  <si>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</si>
  <si>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</si>
  <si>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</si>
  <si>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</si>
  <si>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</si>
  <si>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</si>
  <si>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</si>
  <si>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</si>
  <si>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</si>
  <si>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</si>
  <si>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</si>
  <si>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</si>
  <si>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</si>
  <si>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</si>
  <si>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</si>
  <si>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</si>
  <si>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</si>
  <si>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</si>
  <si>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</si>
  <si>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</si>
  <si>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</si>
  <si>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</si>
  <si>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</si>
  <si>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</si>
  <si>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</si>
  <si>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</si>
  <si>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</si>
  <si>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</si>
  <si>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</si>
  <si>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</si>
  <si>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</si>
  <si>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</si>
  <si>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</si>
  <si>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</si>
  <si>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</si>
  <si>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</si>
  <si>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</si>
  <si>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</si>
  <si>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</si>
  <si>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</si>
  <si>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</si>
  <si>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</si>
  <si>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</si>
  <si>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</si>
  <si>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</si>
  <si>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</si>
  <si>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</si>
  <si>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</si>
  <si>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</si>
  <si>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</si>
  <si>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</si>
  <si>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</si>
  <si>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</si>
  <si>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</si>
  <si>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</si>
  <si>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</si>
  <si>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</si>
  <si>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</si>
  <si>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</si>
  <si>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</si>
  <si>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</si>
  <si>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</si>
  <si>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</si>
  <si>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</si>
  <si>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</si>
  <si>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</si>
  <si>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</si>
  <si>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</si>
  <si>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</si>
  <si>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</si>
  <si>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</si>
  <si>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</si>
  <si>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</si>
  <si>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</si>
  <si>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</si>
  <si>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</si>
  <si>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</si>
  <si>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</si>
  <si>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</si>
  <si>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</si>
  <si>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</si>
  <si>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</si>
  <si>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</si>
  <si>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</si>
  <si>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</si>
  <si>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</si>
  <si>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</si>
  <si>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</si>
  <si>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</si>
  <si>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</si>
  <si>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</si>
  <si>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</si>
  <si>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</si>
  <si>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</si>
  <si>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</si>
  <si>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</si>
  <si>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</si>
  <si>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</si>
  <si>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</si>
  <si>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</si>
  <si>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</si>
  <si>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</si>
  <si>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</si>
  <si>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</si>
  <si>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</si>
  <si>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</si>
  <si>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</si>
  <si>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</si>
  <si>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</si>
  <si>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</si>
  <si>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</si>
  <si>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</si>
  <si>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</si>
  <si>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</si>
  <si>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</si>
  <si>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</si>
  <si>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</si>
  <si>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</si>
  <si>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</si>
  <si>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</si>
  <si>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</si>
  <si>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</si>
  <si>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</si>
  <si>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</si>
  <si>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</si>
  <si>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</si>
  <si>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</si>
  <si>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</si>
  <si>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</si>
  <si>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</si>
  <si>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</si>
  <si>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</si>
  <si>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</si>
  <si>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</si>
  <si>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</si>
  <si>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</si>
  <si>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</si>
  <si>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</si>
  <si>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</si>
  <si>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</si>
  <si>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</si>
  <si>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</si>
  <si>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</si>
  <si>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</si>
  <si>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</si>
  <si>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</si>
  <si>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</si>
  <si>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</si>
  <si>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</si>
  <si>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</si>
  <si>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</si>
  <si>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</si>
  <si>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</si>
  <si>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</si>
  <si>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</si>
  <si>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</si>
  <si>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</si>
  <si>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</si>
  <si>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</si>
  <si>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</si>
  <si>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</si>
  <si>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</si>
  <si>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</si>
  <si>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</si>
  <si>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</si>
  <si>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</si>
  <si>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</si>
  <si>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</si>
  <si>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</si>
  <si>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</si>
  <si>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</si>
  <si>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</si>
  <si>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</si>
  <si>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</si>
  <si>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</si>
  <si>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</si>
  <si>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</si>
  <si>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</si>
  <si>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</si>
  <si>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</si>
  <si>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</si>
  <si>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</si>
  <si>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</si>
  <si>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</si>
  <si>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</si>
  <si>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</si>
  <si>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</si>
  <si>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</si>
  <si>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</si>
  <si>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</si>
  <si>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</si>
  <si>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</si>
  <si>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</si>
  <si>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</si>
  <si>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</si>
  <si>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</si>
  <si>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</si>
  <si>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</si>
  <si>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</si>
  <si>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</si>
  <si>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</si>
  <si>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</si>
  <si>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</si>
  <si>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</si>
  <si>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</si>
  <si>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</si>
  <si>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</si>
  <si>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</si>
  <si>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</si>
  <si>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</si>
  <si>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</si>
  <si>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</si>
  <si>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</si>
  <si>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</si>
  <si>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</si>
  <si>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</si>
  <si>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</si>
  <si>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</si>
  <si>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</si>
  <si>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</si>
  <si>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</si>
  <si>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</si>
  <si>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</si>
  <si>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</si>
  <si>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</si>
  <si>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</si>
  <si>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</si>
  <si>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</si>
  <si>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</si>
  <si>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</si>
  <si>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</si>
  <si>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</si>
  <si>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</si>
  <si>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</si>
  <si>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</si>
  <si>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</si>
  <si>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</si>
  <si>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</si>
  <si>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</si>
  <si>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</si>
  <si>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</si>
  <si>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</si>
  <si>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</si>
  <si>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</si>
  <si>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</si>
  <si>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</si>
  <si>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</si>
  <si>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</si>
  <si>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</si>
  <si>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</si>
  <si>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</si>
  <si>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</si>
  <si>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</si>
  <si>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</si>
  <si>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</si>
  <si>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</si>
  <si>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</si>
  <si>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</si>
  <si>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</si>
  <si>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</si>
  <si>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</si>
  <si>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</si>
  <si>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</si>
  <si>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</si>
  <si>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</si>
  <si>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</si>
  <si>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</si>
  <si>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</si>
  <si>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</si>
  <si>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</si>
  <si>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</si>
  <si>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</si>
  <si>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</si>
  <si>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</si>
  <si>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</si>
  <si>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</si>
  <si>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</si>
  <si>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</si>
  <si>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</si>
  <si>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</si>
  <si>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</si>
  <si>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</si>
  <si>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</si>
  <si>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</si>
  <si>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</si>
  <si>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</si>
  <si>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</si>
  <si>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</si>
  <si>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</si>
  <si>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</si>
  <si>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</si>
  <si>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</si>
  <si>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</si>
  <si>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</si>
  <si>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</si>
  <si>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</si>
  <si>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</si>
  <si>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</si>
  <si>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</si>
  <si>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</si>
  <si>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</si>
  <si>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</si>
  <si>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</si>
  <si>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</si>
  <si>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</si>
  <si>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</si>
  <si>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</si>
  <si>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</si>
  <si>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</si>
  <si>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</si>
  <si>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</si>
  <si>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</si>
  <si>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</si>
  <si>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</si>
  <si>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</si>
  <si>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</si>
  <si>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</si>
  <si>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</si>
  <si>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</si>
  <si>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</si>
  <si>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</si>
  <si>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</si>
  <si>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</si>
  <si>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</si>
  <si>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</si>
  <si>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</si>
  <si>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</si>
  <si>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</si>
  <si>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</si>
  <si>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</si>
  <si>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</si>
  <si>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</si>
  <si>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</si>
  <si>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</si>
  <si>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</si>
  <si>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</si>
  <si>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</si>
  <si>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</si>
  <si>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</si>
  <si>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</si>
  <si>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</si>
  <si>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</si>
  <si>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</si>
  <si>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</si>
  <si>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</si>
  <si>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</si>
  <si>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</si>
  <si>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</si>
  <si>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</si>
  <si>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</si>
  <si>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</si>
  <si>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</si>
  <si>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</si>
  <si>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</si>
  <si>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</si>
  <si>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</si>
  <si>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</si>
  <si>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</si>
  <si>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</si>
  <si>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</si>
  <si>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</si>
  <si>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</si>
  <si>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</si>
  <si>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</si>
  <si>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</si>
  <si>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</si>
  <si>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</si>
  <si>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</si>
  <si>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</si>
  <si>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</si>
  <si>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</si>
  <si>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</si>
  <si>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</si>
  <si>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</si>
  <si>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</si>
  <si>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</si>
  <si>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</si>
  <si>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</si>
  <si>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</si>
  <si>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</si>
  <si>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</si>
  <si>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</si>
  <si>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</si>
  <si>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</si>
  <si>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</si>
  <si>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</si>
  <si>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</si>
  <si>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</si>
  <si>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</si>
  <si>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</si>
  <si>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</si>
  <si>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</si>
  <si>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</si>
  <si>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</si>
  <si>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</si>
  <si>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</si>
  <si>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</si>
  <si>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</si>
  <si>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</si>
  <si>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</si>
  <si>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</si>
  <si>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</si>
  <si>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</si>
  <si>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</si>
  <si>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</si>
  <si>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</si>
  <si>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</si>
  <si>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</si>
  <si>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</si>
  <si>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</si>
  <si>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</si>
  <si>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</si>
  <si>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</si>
  <si>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</si>
  <si>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</si>
  <si>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</si>
  <si>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</si>
  <si>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</si>
  <si>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</si>
  <si>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</si>
  <si>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</si>
  <si>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</si>
  <si>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</si>
  <si>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</si>
  <si>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</si>
  <si>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</si>
  <si>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</si>
  <si>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</si>
  <si>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</si>
  <si>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</si>
  <si>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</si>
  <si>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</si>
  <si>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</si>
  <si>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</si>
  <si>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</si>
  <si>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</si>
  <si>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</si>
  <si>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</si>
  <si>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</si>
  <si>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</si>
  <si>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</si>
  <si>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</si>
  <si>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</si>
  <si>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</si>
  <si>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</si>
  <si>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</si>
  <si>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</si>
  <si>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</si>
  <si>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</si>
  <si>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</si>
  <si>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</si>
  <si>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</si>
  <si>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</si>
  <si>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</si>
  <si>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</si>
  <si>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</si>
  <si>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</si>
  <si>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</si>
  <si>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</si>
  <si>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</si>
  <si>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</si>
  <si>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</si>
  <si>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</si>
  <si>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</si>
  <si>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</si>
  <si>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</si>
  <si>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</si>
  <si>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</si>
  <si>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</si>
  <si>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</si>
  <si>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</si>
  <si>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</si>
  <si>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</si>
  <si>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</si>
  <si>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</si>
  <si>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</si>
  <si>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</si>
  <si>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</si>
  <si>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</si>
  <si>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</si>
  <si>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</si>
  <si>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</si>
  <si>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</si>
  <si>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</si>
  <si>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</si>
  <si>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</si>
  <si>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</si>
  <si>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</si>
  <si>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</si>
  <si>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</si>
  <si>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</si>
  <si>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</si>
  <si>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</si>
  <si>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</si>
  <si>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</si>
  <si>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</si>
  <si>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</si>
  <si>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</si>
  <si>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</si>
  <si>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</si>
  <si>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</si>
  <si>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</si>
  <si>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</si>
  <si>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</si>
  <si>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</si>
  <si>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</si>
  <si>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</si>
  <si>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</si>
  <si>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</si>
  <si>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</si>
  <si>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</si>
  <si>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</si>
  <si>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</si>
  <si>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</si>
  <si>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</si>
  <si>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</si>
  <si>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</si>
  <si>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</si>
  <si>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</si>
  <si>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</si>
  <si>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</si>
  <si>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</si>
  <si>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</si>
  <si>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</si>
  <si>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</si>
  <si>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</si>
  <si>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</si>
  <si>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</si>
  <si>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</si>
  <si>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</si>
  <si>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</si>
  <si>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</si>
  <si>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</si>
  <si>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</si>
  <si>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</si>
  <si>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</si>
  <si>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</si>
  <si>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</si>
  <si>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</si>
  <si>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</si>
  <si>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</si>
  <si>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</si>
  <si>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</si>
  <si>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</si>
  <si>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</si>
  <si>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</si>
  <si>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</si>
  <si>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</si>
  <si>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</si>
  <si>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</si>
  <si>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</si>
  <si>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</si>
  <si>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</si>
  <si>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</si>
  <si>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</si>
  <si>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</si>
  <si>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</si>
  <si>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</si>
  <si>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</si>
  <si>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</si>
  <si>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</si>
  <si>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</si>
  <si>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</si>
  <si>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</si>
  <si>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</si>
  <si>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</si>
  <si>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</si>
  <si>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</si>
  <si>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</si>
  <si>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</si>
  <si>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</si>
  <si>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</si>
  <si>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</si>
  <si>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</si>
  <si>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</si>
  <si>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</si>
  <si>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</si>
  <si>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</si>
  <si>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</si>
  <si>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</si>
  <si>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</si>
  <si>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</si>
  <si>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</si>
  <si>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</si>
  <si>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</si>
  <si>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</si>
  <si>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</si>
  <si>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</si>
  <si>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</si>
  <si>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</si>
  <si>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</si>
  <si>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</si>
  <si>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</si>
  <si>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</si>
  <si>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</si>
  <si>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</si>
  <si>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</si>
  <si>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</si>
  <si>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</si>
  <si>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</si>
  <si>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</si>
  <si>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</si>
  <si>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</si>
  <si>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</si>
  <si>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</si>
  <si>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</si>
  <si>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</si>
  <si>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</si>
  <si>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</si>
  <si>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</si>
  <si>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</si>
  <si>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</si>
  <si>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</si>
  <si>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</si>
  <si>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</si>
  <si>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</si>
  <si>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</si>
  <si>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</si>
  <si>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</si>
  <si>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</si>
  <si>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</si>
  <si>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</si>
  <si>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</si>
  <si>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</si>
  <si>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</si>
  <si>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</si>
  <si>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</si>
  <si>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</si>
  <si>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</si>
  <si>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</si>
  <si>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</si>
  <si>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</si>
  <si>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</si>
  <si>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</si>
  <si>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</si>
  <si>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</si>
  <si>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</si>
  <si>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</si>
  <si>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</si>
  <si>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</si>
  <si>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</si>
  <si>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</si>
  <si>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</si>
  <si>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</si>
  <si>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</si>
  <si>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</si>
  <si>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</si>
  <si>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</si>
  <si>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</si>
  <si>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</si>
  <si>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</si>
  <si>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</si>
  <si>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</si>
  <si>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</si>
  <si>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</si>
  <si>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</si>
  <si>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</si>
  <si>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</si>
  <si>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</si>
  <si>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</si>
  <si>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</si>
  <si>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</si>
  <si>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</si>
  <si>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</si>
  <si>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</si>
  <si>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</si>
  <si>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</si>
  <si>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</si>
  <si>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</si>
  <si>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</si>
  <si>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</si>
  <si>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</si>
  <si>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</si>
  <si>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</si>
  <si>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</si>
  <si>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</si>
  <si>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</si>
  <si>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</si>
  <si>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</si>
  <si>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</si>
  <si>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</si>
  <si>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</si>
  <si>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</si>
  <si>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</si>
  <si>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</si>
  <si>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</si>
  <si>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</si>
  <si>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</si>
  <si>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</si>
  <si>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</si>
  <si>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</si>
  <si>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</si>
  <si>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</si>
  <si>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</si>
  <si>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</si>
  <si>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</si>
  <si>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</si>
  <si>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</si>
  <si>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</si>
  <si>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</si>
  <si>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</si>
  <si>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</si>
  <si>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</si>
  <si>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</si>
  <si>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</si>
  <si>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</si>
  <si>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</si>
  <si>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</si>
  <si>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</si>
  <si>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</si>
  <si>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</si>
  <si>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</si>
  <si>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</si>
  <si>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</si>
  <si>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</si>
  <si>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</si>
  <si>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</si>
  <si>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</si>
  <si>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</si>
  <si>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</si>
  <si>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</si>
  <si>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</si>
  <si>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</si>
  <si>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</si>
  <si>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</si>
  <si>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</si>
  <si>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</si>
  <si>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</si>
  <si>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</si>
  <si>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</si>
  <si>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</si>
  <si>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</si>
  <si>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</si>
  <si>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</si>
  <si>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</si>
  <si>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</si>
  <si>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</si>
  <si>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</si>
  <si>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</si>
  <si>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</si>
  <si>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</si>
  <si>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</si>
  <si>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</si>
  <si>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</si>
  <si>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</si>
  <si>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</si>
  <si>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</si>
  <si>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</si>
  <si>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</si>
  <si>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</si>
  <si>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</si>
  <si>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</si>
  <si>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</si>
  <si>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</si>
  <si>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</si>
  <si>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</si>
  <si>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</si>
  <si>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</si>
  <si>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</si>
  <si>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</si>
  <si>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</si>
  <si>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</si>
  <si>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</si>
  <si>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</si>
  <si>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</si>
  <si>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</si>
  <si>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</si>
  <si>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</si>
  <si>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</si>
  <si>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</si>
  <si>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</si>
  <si>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</si>
  <si>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</si>
  <si>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</si>
  <si>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</si>
  <si>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</si>
  <si>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</si>
  <si>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</si>
  <si>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</si>
  <si>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</si>
  <si>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</si>
  <si>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</si>
  <si>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</si>
  <si>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</si>
  <si>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</si>
  <si>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</si>
  <si>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</si>
  <si>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</si>
  <si>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</si>
  <si>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</si>
  <si>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</si>
  <si>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</si>
  <si>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</si>
  <si>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</si>
  <si>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</si>
  <si>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</si>
  <si>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</si>
  <si>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</si>
  <si>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</si>
  <si>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</si>
  <si>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</si>
  <si>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</si>
  <si>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</si>
  <si>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</si>
  <si>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</si>
  <si>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</si>
  <si>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</si>
  <si>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</si>
  <si>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</si>
  <si>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</si>
  <si>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</si>
  <si>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</si>
  <si>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</si>
  <si>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</si>
  <si>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</si>
  <si>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</si>
  <si>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</si>
  <si>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</si>
  <si>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</si>
  <si>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</si>
  <si>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</si>
  <si>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</si>
  <si>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</si>
  <si>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</si>
  <si>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</si>
  <si>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</si>
  <si>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</si>
  <si>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</si>
  <si>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</si>
  <si>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</si>
  <si>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</si>
  <si>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</si>
  <si>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</si>
  <si>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</si>
  <si>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</si>
  <si>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</si>
  <si>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</si>
  <si>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</si>
  <si>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</si>
  <si>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</si>
  <si>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</si>
  <si>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</si>
  <si>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</si>
  <si>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</si>
  <si>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</si>
  <si>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</si>
  <si>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</si>
  <si>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</si>
  <si>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</si>
  <si>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</si>
  <si>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</si>
  <si>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</si>
  <si>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</si>
  <si>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</si>
  <si>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</si>
  <si>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</si>
  <si>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</si>
  <si>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</si>
  <si>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</si>
  <si>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</si>
  <si>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</si>
  <si>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</si>
  <si>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</si>
  <si>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</si>
  <si>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</si>
  <si>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</si>
  <si>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</si>
  <si>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</si>
  <si>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</si>
  <si>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</si>
  <si>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</si>
  <si>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</si>
  <si>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</si>
  <si>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</si>
  <si>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</si>
  <si>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</si>
  <si>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</si>
  <si>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</si>
  <si>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</si>
  <si>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</si>
  <si>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</si>
  <si>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</si>
  <si>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</si>
  <si>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</si>
  <si>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</si>
  <si>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</si>
  <si>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</si>
  <si>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</si>
  <si>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</si>
  <si>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</si>
  <si>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</si>
  <si>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</si>
  <si>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</si>
  <si>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</si>
  <si>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</si>
  <si>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</si>
  <si>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</si>
  <si>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</si>
  <si>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</si>
  <si>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</si>
  <si>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</si>
  <si>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</si>
  <si>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</si>
  <si>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</si>
  <si>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</si>
  <si>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</si>
  <si>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</si>
  <si>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</si>
  <si>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</si>
  <si>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</si>
  <si>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</si>
  <si>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</si>
  <si>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</si>
  <si>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</si>
  <si>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</si>
  <si>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</si>
  <si>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</si>
  <si>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</si>
  <si>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</si>
  <si>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</si>
  <si>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</si>
  <si>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</si>
  <si>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</si>
  <si>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</si>
  <si>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</si>
  <si>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</si>
  <si>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</si>
  <si>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</si>
  <si>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</si>
  <si>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</si>
  <si>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</si>
  <si>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</si>
  <si>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</si>
  <si>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</si>
  <si>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</si>
  <si>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</si>
  <si>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</si>
  <si>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</si>
  <si>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</si>
  <si>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</si>
  <si>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</si>
  <si>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</si>
  <si>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</si>
  <si>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</si>
  <si>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</si>
  <si>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</si>
  <si>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</si>
  <si>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</si>
  <si>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</si>
  <si>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</si>
  <si>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</si>
  <si>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</si>
  <si>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</si>
  <si>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</si>
  <si>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</si>
  <si>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</si>
  <si>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</si>
  <si>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</si>
  <si>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</si>
  <si>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</si>
  <si>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</si>
  <si>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</si>
  <si>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</si>
  <si>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</si>
  <si>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</si>
  <si>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</si>
  <si>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</si>
  <si>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</si>
  <si>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</si>
  <si>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</si>
  <si>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</si>
  <si>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</si>
  <si>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</si>
  <si>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</si>
  <si>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</si>
  <si>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</si>
  <si>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</si>
  <si>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</si>
  <si>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</si>
  <si>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</si>
  <si>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</si>
  <si>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</si>
  <si>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</si>
  <si>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</si>
  <si>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</si>
  <si>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</si>
  <si>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</si>
  <si>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</si>
  <si>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</si>
  <si>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</si>
  <si>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</si>
  <si>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</si>
  <si>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</si>
  <si>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</si>
  <si>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</si>
  <si>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</si>
  <si>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</si>
  <si>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</si>
  <si>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</si>
  <si>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</si>
  <si>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</si>
  <si>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</si>
  <si>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</si>
  <si>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</si>
  <si>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</si>
  <si>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</si>
  <si>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</si>
  <si>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</si>
  <si>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</si>
  <si>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</si>
  <si>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</si>
  <si>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</si>
  <si>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</si>
  <si>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</si>
  <si>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</si>
  <si>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</si>
  <si>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</si>
  <si>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</si>
  <si>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</si>
  <si>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</si>
  <si>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</si>
  <si>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</si>
  <si>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</si>
  <si>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</si>
  <si>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</si>
  <si>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</si>
  <si>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</si>
  <si>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</si>
  <si>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</si>
  <si>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</si>
  <si>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</si>
  <si>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</si>
  <si>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</si>
  <si>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</si>
  <si>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</si>
  <si>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</si>
  <si>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</si>
  <si>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</si>
  <si>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</si>
  <si>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</si>
  <si>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</si>
  <si>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</si>
  <si>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</si>
  <si>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</si>
  <si>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</si>
  <si>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</si>
  <si>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</si>
  <si>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</si>
  <si>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</si>
  <si>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</si>
  <si>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</si>
  <si>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</si>
  <si>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</si>
  <si>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</si>
  <si>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</si>
  <si>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</si>
  <si>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</si>
  <si>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</si>
  <si>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</si>
  <si>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</si>
  <si>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</si>
  <si>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</si>
  <si>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</si>
  <si>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</si>
  <si>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</si>
  <si>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</si>
  <si>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</si>
  <si>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</si>
  <si>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</si>
  <si>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</si>
  <si>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</si>
  <si>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</si>
  <si>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</si>
  <si>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</si>
  <si>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</si>
  <si>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</si>
  <si>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</si>
  <si>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</si>
  <si>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</si>
  <si>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</si>
  <si>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</si>
  <si>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</si>
  <si>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</si>
  <si>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</si>
  <si>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</si>
  <si>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</si>
  <si>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</si>
  <si>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</si>
  <si>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</si>
  <si>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</si>
  <si>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</si>
  <si>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</si>
  <si>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</si>
  <si>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</si>
  <si>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</si>
  <si>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</si>
  <si>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</si>
  <si>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</si>
  <si>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</si>
  <si>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</si>
  <si>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</si>
  <si>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</si>
  <si>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</si>
  <si>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</si>
  <si>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</si>
  <si>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</si>
  <si>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</si>
  <si>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</si>
  <si>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</si>
  <si>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</si>
  <si>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</si>
  <si>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</si>
  <si>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</si>
  <si>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</si>
  <si>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</si>
  <si>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</si>
  <si>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</si>
  <si>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</si>
  <si>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</si>
  <si>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</si>
  <si>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</si>
  <si>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</si>
  <si>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</si>
  <si>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</si>
  <si>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</si>
  <si>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</si>
  <si>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</si>
  <si>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</si>
  <si>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</si>
  <si>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</si>
  <si>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</si>
  <si>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</si>
  <si>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</si>
  <si>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</si>
  <si>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</si>
  <si>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</si>
  <si>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</si>
  <si>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</si>
  <si>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</si>
  <si>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</si>
  <si>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</si>
  <si>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</si>
  <si>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</si>
  <si>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</si>
  <si>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</si>
  <si>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</si>
  <si>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</si>
  <si>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</si>
  <si>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</si>
  <si>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</si>
  <si>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</si>
  <si>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</si>
  <si>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</si>
  <si>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</si>
  <si>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</si>
  <si>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</si>
  <si>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</si>
  <si>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</si>
  <si>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</si>
  <si>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</si>
  <si>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</si>
  <si>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</si>
  <si>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</si>
  <si>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</si>
  <si>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</si>
  <si>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</si>
  <si>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</si>
  <si>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</si>
  <si>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</si>
  <si>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</si>
  <si>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</si>
  <si>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</si>
  <si>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</si>
  <si>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</si>
  <si>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</si>
  <si>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</si>
  <si>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</si>
  <si>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</si>
  <si>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</si>
  <si>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</si>
  <si>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</si>
  <si>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</si>
  <si>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</si>
  <si>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</si>
  <si>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</si>
  <si>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</si>
  <si>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</si>
  <si>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</si>
  <si>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</si>
  <si>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</si>
  <si>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</si>
  <si>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</si>
  <si>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</si>
  <si>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</si>
  <si>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</si>
  <si>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</si>
  <si>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</si>
  <si>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</si>
  <si>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</si>
  <si>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</si>
  <si>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</si>
  <si>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</si>
  <si>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</si>
  <si>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</si>
  <si>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</si>
  <si>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</si>
  <si>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</si>
  <si>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</si>
  <si>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</si>
  <si>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</si>
  <si>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</si>
  <si>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</si>
  <si>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</si>
  <si>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</si>
  <si>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</si>
  <si>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</si>
  <si>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</si>
  <si>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</si>
  <si>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</si>
  <si>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</si>
  <si>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</si>
  <si>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</si>
  <si>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</si>
  <si>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</si>
  <si>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</si>
  <si>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</si>
  <si>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</si>
  <si>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</si>
  <si>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</si>
  <si>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</si>
  <si>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</si>
  <si>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</si>
  <si>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</si>
  <si>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</si>
  <si>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</si>
  <si>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</si>
  <si>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</si>
  <si>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</si>
  <si>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</si>
  <si>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</si>
  <si>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</si>
  <si>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</si>
  <si>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</si>
  <si>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</si>
  <si>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</si>
  <si>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</si>
  <si>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</si>
  <si>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</si>
  <si>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</si>
  <si>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</si>
  <si>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</si>
  <si>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</si>
  <si>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</si>
  <si>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</si>
  <si>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</si>
  <si>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</si>
  <si>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</si>
  <si>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</si>
  <si>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</si>
  <si>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</si>
  <si>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</si>
  <si>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</si>
  <si>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</si>
  <si>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</si>
  <si>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</si>
  <si>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</si>
  <si>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</si>
  <si>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</si>
  <si>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</si>
  <si>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</si>
  <si>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</si>
  <si>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</si>
  <si>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</si>
  <si>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</si>
  <si>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</si>
  <si>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</si>
  <si>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</si>
  <si>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</si>
  <si>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</si>
  <si>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</si>
  <si>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</si>
  <si>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</si>
  <si>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</si>
  <si>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</si>
  <si>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</si>
  <si>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</si>
  <si>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</si>
  <si>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</si>
  <si>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</si>
  <si>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</si>
  <si>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</si>
  <si>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</si>
  <si>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</si>
  <si>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</si>
  <si>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</si>
  <si>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</si>
  <si>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</si>
  <si>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</si>
  <si>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</si>
  <si>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</si>
  <si>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</si>
  <si>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</si>
  <si>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</si>
  <si>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</si>
  <si>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</si>
  <si>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</si>
  <si>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</si>
  <si>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</si>
  <si>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</si>
  <si>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</si>
  <si>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</si>
  <si>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</si>
  <si>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</si>
  <si>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</si>
  <si>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</si>
  <si>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</si>
  <si>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</si>
  <si>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</si>
  <si>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</si>
  <si>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</si>
  <si>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</si>
  <si>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</si>
  <si>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</si>
  <si>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</si>
  <si>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</si>
  <si>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</si>
  <si>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</si>
  <si>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</si>
  <si>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</si>
  <si>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</si>
  <si>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</si>
  <si>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</si>
  <si>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</si>
  <si>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</si>
  <si>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</si>
  <si>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</si>
  <si>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</si>
  <si>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</si>
  <si>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</si>
  <si>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</si>
  <si>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</si>
  <si>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</si>
  <si>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</si>
  <si>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</si>
  <si>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</si>
  <si>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</si>
  <si>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</si>
  <si>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</si>
  <si>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</si>
  <si>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</si>
  <si>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</si>
  <si>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</si>
  <si>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</si>
  <si>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</si>
  <si>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</si>
  <si>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</si>
  <si>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</si>
  <si>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</si>
  <si>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</si>
  <si>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</si>
  <si>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</si>
  <si>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</si>
  <si>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</si>
  <si>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</si>
  <si>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</si>
  <si>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</si>
  <si>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</si>
  <si>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</si>
  <si>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</si>
  <si>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</si>
  <si>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</si>
  <si>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</si>
  <si>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</si>
  <si>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</si>
  <si>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</si>
  <si>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</si>
  <si>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</si>
  <si>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</si>
  <si>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</si>
  <si>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</si>
  <si>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</si>
  <si>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</si>
  <si>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</si>
  <si>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</si>
  <si>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</si>
  <si>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</si>
  <si>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</si>
  <si>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</si>
  <si>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</si>
  <si>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</si>
  <si>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</si>
  <si>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</si>
  <si>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</si>
  <si>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</si>
  <si>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</si>
  <si>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</si>
  <si>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</si>
  <si>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</si>
  <si>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</si>
  <si>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</si>
  <si>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</si>
  <si>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</si>
  <si>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</si>
  <si>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</si>
  <si>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</si>
  <si>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</si>
  <si>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</si>
  <si>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</si>
  <si>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</si>
  <si>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</si>
  <si>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</si>
  <si>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</si>
  <si>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</si>
  <si>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</si>
  <si>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</si>
  <si>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</si>
  <si>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</si>
  <si>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</si>
  <si>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</si>
  <si>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</si>
  <si>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</si>
  <si>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</si>
  <si>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</si>
  <si>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</si>
  <si>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</si>
  <si>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</si>
  <si>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</si>
  <si>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</si>
  <si>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</si>
  <si>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</si>
  <si>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</si>
  <si>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</si>
  <si>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</si>
  <si>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</si>
  <si>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</si>
  <si>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</si>
  <si>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</si>
  <si>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</si>
  <si>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</si>
  <si>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</si>
  <si>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</si>
  <si>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</si>
  <si>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</si>
  <si>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</si>
  <si>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</si>
  <si>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</si>
  <si>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</si>
  <si>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</si>
  <si>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</si>
  <si>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</si>
  <si>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</si>
  <si>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</si>
  <si>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</si>
  <si>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</si>
  <si>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</si>
  <si>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</si>
  <si>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</si>
  <si>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</si>
  <si>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</si>
  <si>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</si>
  <si>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</si>
  <si>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</si>
  <si>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</si>
  <si>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</si>
  <si>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</si>
  <si>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</si>
  <si>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</si>
  <si>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</si>
  <si>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</si>
  <si>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</si>
  <si>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</si>
  <si>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</si>
  <si>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</si>
  <si>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</si>
  <si>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</si>
  <si>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</si>
  <si>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</si>
  <si>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</si>
  <si>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</si>
  <si>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</si>
  <si>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</si>
  <si>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</si>
  <si>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</si>
  <si>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</si>
  <si>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</si>
  <si>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</si>
  <si>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</si>
  <si>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</si>
  <si>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</si>
  <si>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</si>
  <si>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</si>
  <si>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</si>
  <si>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</si>
  <si>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</si>
  <si>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</si>
  <si>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</si>
  <si>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</si>
  <si>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</si>
  <si>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</si>
  <si>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</si>
  <si>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</si>
  <si>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</si>
  <si>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</si>
  <si>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</si>
  <si>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</si>
  <si>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</si>
  <si>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</si>
  <si>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</si>
  <si>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</si>
  <si>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</si>
  <si>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</si>
  <si>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</si>
  <si>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</si>
  <si>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</si>
  <si>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</si>
  <si>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</si>
  <si>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</si>
  <si>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</si>
  <si>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</si>
  <si>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</si>
  <si>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</si>
  <si>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</si>
  <si>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</si>
  <si>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</si>
  <si>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</si>
  <si>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</si>
  <si>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</si>
  <si>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</si>
  <si>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</si>
  <si>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</si>
  <si>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</si>
  <si>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</si>
  <si>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</si>
  <si>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</si>
  <si>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</si>
  <si>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</si>
  <si>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</si>
  <si>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</si>
  <si>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</si>
  <si>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</si>
  <si>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</si>
  <si>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</si>
  <si>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</si>
  <si>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</si>
  <si>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</si>
  <si>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</si>
  <si>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</si>
  <si>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</si>
  <si>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</si>
  <si>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</si>
  <si>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</si>
  <si>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</si>
  <si>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</si>
  <si>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</si>
  <si>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</si>
  <si>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</si>
  <si>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</si>
  <si>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</si>
  <si>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</si>
  <si>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</si>
  <si>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</si>
  <si>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</si>
  <si>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</si>
  <si>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</si>
  <si>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</si>
  <si>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</si>
  <si>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</si>
  <si>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</si>
  <si>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</si>
  <si>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</si>
  <si>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</si>
  <si>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</si>
  <si>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</si>
  <si>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</si>
  <si>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</si>
  <si>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</si>
  <si>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</si>
  <si>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</si>
  <si>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</si>
  <si>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</si>
  <si>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</si>
  <si>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</si>
  <si>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</si>
  <si>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</si>
  <si>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</si>
  <si>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</si>
  <si>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</si>
  <si>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</si>
  <si>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</si>
  <si>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</si>
  <si>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</si>
  <si>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</si>
  <si>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</si>
  <si>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</si>
  <si>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</si>
  <si>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</si>
  <si>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</si>
  <si>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</si>
  <si>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</si>
  <si>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</si>
  <si>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</si>
  <si>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</si>
  <si>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</si>
  <si>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</si>
  <si>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</si>
  <si>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</si>
  <si>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</si>
  <si>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</si>
  <si>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</si>
  <si>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</si>
  <si>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</si>
  <si>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</si>
  <si>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</si>
  <si>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</si>
  <si>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</si>
  <si>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</si>
  <si>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</si>
  <si>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</si>
  <si>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</si>
  <si>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</si>
  <si>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</si>
  <si>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</si>
  <si>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</si>
  <si>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</si>
  <si>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</si>
  <si>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</si>
  <si>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</si>
  <si>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</si>
  <si>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</si>
  <si>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</si>
  <si>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</si>
  <si>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</si>
  <si>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</si>
  <si>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</si>
  <si>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</si>
  <si>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</si>
  <si>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</si>
  <si>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</si>
  <si>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</si>
  <si>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</si>
  <si>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</si>
  <si>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</si>
  <si>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</si>
  <si>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</si>
  <si>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</si>
  <si>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</si>
  <si>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</si>
  <si>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</si>
  <si>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</si>
  <si>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</si>
  <si>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</si>
  <si>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</si>
  <si>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</si>
  <si>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</si>
  <si>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</si>
  <si>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</si>
  <si>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</si>
  <si>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</si>
  <si>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</si>
  <si>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</si>
  <si>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</si>
  <si>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</si>
  <si>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</si>
  <si>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</si>
  <si>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</si>
  <si>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</si>
  <si>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</si>
  <si>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</si>
  <si>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</si>
  <si>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</si>
  <si>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</si>
  <si>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</si>
  <si>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</si>
  <si>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</si>
  <si>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</si>
  <si>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</si>
  <si>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</si>
  <si>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</si>
  <si>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</si>
  <si>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</si>
  <si>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</si>
  <si>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</si>
  <si>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</si>
  <si>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</si>
  <si>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</si>
  <si>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</si>
  <si>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</si>
  <si>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</si>
  <si>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</si>
  <si>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</si>
  <si>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</si>
  <si>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</si>
  <si>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</si>
  <si>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</si>
  <si>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</si>
  <si>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</si>
  <si>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</si>
  <si>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</si>
  <si>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</si>
  <si>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</si>
  <si>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</si>
  <si>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</si>
  <si>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</si>
  <si>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</si>
  <si>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</si>
  <si>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</si>
  <si>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</si>
  <si>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</si>
  <si>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</si>
  <si>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</si>
  <si>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</si>
  <si>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</si>
  <si>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</si>
  <si>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</si>
  <si>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</si>
  <si>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</si>
  <si>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</si>
  <si>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</si>
  <si>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</si>
  <si>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</si>
  <si>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</si>
  <si>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</si>
  <si>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</si>
  <si>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</si>
  <si>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</si>
  <si>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</si>
  <si>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</si>
  <si>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</si>
  <si>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</si>
  <si>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</si>
  <si>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</si>
  <si>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</si>
  <si>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</si>
  <si>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</si>
  <si>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</si>
  <si>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</si>
  <si>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</si>
  <si>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</si>
  <si>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</si>
  <si>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</si>
  <si>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</si>
  <si>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</si>
  <si>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</si>
  <si>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</si>
  <si>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</si>
  <si>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</si>
  <si>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</si>
  <si>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</si>
  <si>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</si>
  <si>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</si>
  <si>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</si>
  <si>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</si>
  <si>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</si>
  <si>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</si>
  <si>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</si>
  <si>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</si>
  <si>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</si>
  <si>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</si>
  <si>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</si>
  <si>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</si>
  <si>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</si>
  <si>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</si>
  <si>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</si>
  <si>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</si>
  <si>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</si>
  <si>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</si>
  <si>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</si>
  <si>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</si>
  <si>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</si>
  <si>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</si>
  <si>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</si>
  <si>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</si>
  <si>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</si>
  <si>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</si>
  <si>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</si>
  <si>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</si>
  <si>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</si>
  <si>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</si>
  <si>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</si>
  <si>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</si>
  <si>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</si>
  <si>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</si>
  <si>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</si>
  <si>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</si>
  <si>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</si>
  <si>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</si>
  <si>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</si>
  <si>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</si>
  <si>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</si>
  <si>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</si>
  <si>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</si>
  <si>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</si>
  <si>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</si>
  <si>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</si>
  <si>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</si>
  <si>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</si>
  <si>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</si>
  <si>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</si>
  <si>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</si>
  <si>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</si>
  <si>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</si>
  <si>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</si>
  <si>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</si>
  <si>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</si>
  <si>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</si>
  <si>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</si>
  <si>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</si>
  <si>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</si>
  <si>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</si>
  <si>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</si>
  <si>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</si>
  <si>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</si>
  <si>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</si>
  <si>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</si>
  <si>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</si>
  <si>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</si>
  <si>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</si>
  <si>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</si>
  <si>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</si>
  <si>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</si>
  <si>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</si>
  <si>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</si>
  <si>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</si>
  <si>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</si>
  <si>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</si>
  <si>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</si>
  <si>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</si>
  <si>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</si>
  <si>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</si>
  <si>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</si>
  <si>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</si>
  <si>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</si>
  <si>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</si>
  <si>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</si>
  <si>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</si>
  <si>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</si>
  <si>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</si>
  <si>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</si>
  <si>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</si>
  <si>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</si>
  <si>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</si>
  <si>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</si>
  <si>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</si>
  <si>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</si>
  <si>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</si>
  <si>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</si>
  <si>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</si>
  <si>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</si>
  <si>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</si>
  <si>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</si>
  <si>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</si>
  <si>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</si>
  <si>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</si>
  <si>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</si>
  <si>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</si>
  <si>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</si>
  <si>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</si>
  <si>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</si>
  <si>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</si>
  <si>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</si>
  <si>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</si>
  <si>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</si>
  <si>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</si>
  <si>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</si>
  <si>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</si>
  <si>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</si>
  <si>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</si>
  <si>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</si>
  <si>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</si>
  <si>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</si>
  <si>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</si>
  <si>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</si>
  <si>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</si>
  <si>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</si>
  <si>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</si>
  <si>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</si>
  <si>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</si>
  <si>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</si>
  <si>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</si>
  <si>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</si>
  <si>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</si>
  <si>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</si>
  <si>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</si>
  <si>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</si>
  <si>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</si>
  <si>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</si>
  <si>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</si>
  <si>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</si>
  <si>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</si>
  <si>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</si>
  <si>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</si>
  <si>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</si>
  <si>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</si>
  <si>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</si>
  <si>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</si>
  <si>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</si>
  <si>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</si>
  <si>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</si>
  <si>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</si>
  <si>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</si>
  <si>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</si>
  <si>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</si>
  <si>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</si>
  <si>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</si>
  <si>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</si>
  <si>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</si>
  <si>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</si>
  <si>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</si>
  <si>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</si>
  <si>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</si>
  <si>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</si>
  <si>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</si>
  <si>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</si>
  <si>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</si>
  <si>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</si>
  <si>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</si>
  <si>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</si>
  <si>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</si>
  <si>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</si>
  <si>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</si>
  <si>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</si>
  <si>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</si>
  <si>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</si>
  <si>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</si>
  <si>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</si>
  <si>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</si>
  <si>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</si>
  <si>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</si>
  <si>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</si>
  <si>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</si>
  <si>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</si>
  <si>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</si>
  <si>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</si>
  <si>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</si>
  <si>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</si>
  <si>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</si>
  <si>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</si>
  <si>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</si>
  <si>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</si>
  <si>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</si>
  <si>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</si>
  <si>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</si>
  <si>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</si>
  <si>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</si>
  <si>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</si>
  <si>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</si>
  <si>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</si>
  <si>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</si>
  <si>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</si>
  <si>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</si>
  <si>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</si>
  <si>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</si>
  <si>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</si>
  <si>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</si>
  <si>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</si>
  <si>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</si>
  <si>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</si>
  <si>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</si>
  <si>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</si>
  <si>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</si>
  <si>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</si>
  <si>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</si>
  <si>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</si>
  <si>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</si>
  <si>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</si>
  <si>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</si>
  <si>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</si>
  <si>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</si>
  <si>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</si>
  <si>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</si>
  <si>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</si>
  <si>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</si>
  <si>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</si>
  <si>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</si>
  <si>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</si>
  <si>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</si>
  <si>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</si>
  <si>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</si>
  <si>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</si>
  <si>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</si>
  <si>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</si>
  <si>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</si>
  <si>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</si>
  <si>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</si>
  <si>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</si>
  <si>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</si>
  <si>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</si>
  <si>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</si>
  <si>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</si>
  <si>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</si>
  <si>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</si>
  <si>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</si>
  <si>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</si>
  <si>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</si>
  <si>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</si>
  <si>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</si>
  <si>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</si>
  <si>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</si>
  <si>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</si>
  <si>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</si>
  <si>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</si>
  <si>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</si>
  <si>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</si>
  <si>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</si>
  <si>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</si>
  <si>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</si>
  <si>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</si>
  <si>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</si>
  <si>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</si>
  <si>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</si>
  <si>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</si>
  <si>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</si>
  <si>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</si>
  <si>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</si>
  <si>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</si>
  <si>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</si>
  <si>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</si>
  <si>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</si>
  <si>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</si>
  <si>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</si>
  <si>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</si>
  <si>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</si>
  <si>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</si>
  <si>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</si>
  <si>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</si>
  <si>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</si>
  <si>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</si>
  <si>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</si>
  <si>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</si>
  <si>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</si>
  <si>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</si>
  <si>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</si>
  <si>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</si>
  <si>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</si>
  <si>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</si>
  <si>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</si>
  <si>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</si>
  <si>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</si>
  <si>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</si>
  <si>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</si>
  <si>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</si>
  <si>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</si>
  <si>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</si>
  <si>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</si>
  <si>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</si>
  <si>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</si>
  <si>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</si>
  <si>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</si>
  <si>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</si>
  <si>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</si>
  <si>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</si>
  <si>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</si>
  <si>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</si>
  <si>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</si>
  <si>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</si>
  <si>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</si>
  <si>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</si>
  <si>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</si>
  <si>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</si>
  <si>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</si>
  <si>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</si>
  <si>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</si>
  <si>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</si>
  <si>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</si>
  <si>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</si>
  <si>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</si>
  <si>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</si>
  <si>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</si>
  <si>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</si>
  <si>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</si>
  <si>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</si>
  <si>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</si>
  <si>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</si>
  <si>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</si>
  <si>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</si>
  <si>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</si>
  <si>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</si>
  <si>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</si>
  <si>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</si>
  <si>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</si>
  <si>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</si>
  <si>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</si>
  <si>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</si>
  <si>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</si>
  <si>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</si>
  <si>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</si>
  <si>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</si>
  <si>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</si>
  <si>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</si>
  <si>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</si>
  <si>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</si>
  <si>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</si>
  <si>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</si>
  <si>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</si>
  <si>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</si>
  <si>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</si>
  <si>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</si>
  <si>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</si>
  <si>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</si>
  <si>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</si>
  <si>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</si>
  <si>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</si>
  <si>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</si>
  <si>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</si>
  <si>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</si>
  <si>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</si>
  <si>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</si>
  <si>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</si>
  <si>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</si>
  <si>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</si>
  <si>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</si>
  <si>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</si>
  <si>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</si>
  <si>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</si>
  <si>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</si>
  <si>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</si>
  <si>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</si>
  <si>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</si>
  <si>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</si>
  <si>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</si>
  <si>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</si>
  <si>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</si>
  <si>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</si>
  <si>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</si>
  <si>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</si>
  <si>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</si>
  <si>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</si>
  <si>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</si>
  <si>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</si>
  <si>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</si>
  <si>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</si>
  <si>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</si>
  <si>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</si>
  <si>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</si>
  <si>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</si>
  <si>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</si>
  <si>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</si>
  <si>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</si>
  <si>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</si>
  <si>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</si>
  <si>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</si>
  <si>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</si>
  <si>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</si>
  <si>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</si>
  <si>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</si>
  <si>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</si>
  <si>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</si>
  <si>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</si>
  <si>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</si>
  <si>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</si>
  <si>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</si>
  <si>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</si>
  <si>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</si>
  <si>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</si>
  <si>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</si>
  <si>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</si>
  <si>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</si>
  <si>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</si>
  <si>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</si>
  <si>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</si>
  <si>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</si>
  <si>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</si>
  <si>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</si>
  <si>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</si>
  <si>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</si>
  <si>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</si>
  <si>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</si>
  <si>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</si>
  <si>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</si>
  <si>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</si>
  <si>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</si>
  <si>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</si>
  <si>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</si>
  <si>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</si>
  <si>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</si>
  <si>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</si>
  <si>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</si>
  <si>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</si>
  <si>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</si>
  <si>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</si>
  <si>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</si>
  <si>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</si>
  <si>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</si>
  <si>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</si>
  <si>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</si>
  <si>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</si>
  <si>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</si>
  <si>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</si>
  <si>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</si>
  <si>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</si>
  <si>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</si>
  <si>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</si>
  <si>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</si>
  <si>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</si>
  <si>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</si>
  <si>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</si>
  <si>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</si>
  <si>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</si>
  <si>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</si>
  <si>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</si>
  <si>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</si>
  <si>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</si>
  <si>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</si>
  <si>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</si>
  <si>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</si>
  <si>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</si>
  <si>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</si>
  <si>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</si>
  <si>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</si>
  <si>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</si>
  <si>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</si>
  <si>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</si>
  <si>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</si>
  <si>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</si>
  <si>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</si>
  <si>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</si>
  <si>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</si>
  <si>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</si>
  <si>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</si>
  <si>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</si>
  <si>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</si>
  <si>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</si>
  <si>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</si>
  <si>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</si>
  <si>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</si>
  <si>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</si>
  <si>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</si>
  <si>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</si>
  <si>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</si>
  <si>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</si>
  <si>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</si>
  <si>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</si>
  <si>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</si>
  <si>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2025-08-11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</si>
  <si>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</si>
  <si>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</si>
  <si>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</si>
  <si>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</si>
  <si>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</si>
  <si>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</si>
  <si>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</si>
  <si>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</si>
  <si>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</t>
    <phoneticPr fontId="2" type="noConversion"/>
  </si>
  <si>
    <t>경기도 의왕시 오전공업길 36</t>
    <phoneticPr fontId="2" type="noConversion"/>
  </si>
  <si>
    <t>010-3695-6407</t>
    <phoneticPr fontId="2" type="noConversion"/>
  </si>
  <si>
    <t>WAUZZZ4G7GN073837</t>
  </si>
  <si>
    <t>Programming IMMO</t>
    <phoneticPr fontId="2" type="noConversion"/>
  </si>
  <si>
    <t>다우수입차미션(경기)_250811_181937.xlsx</t>
  </si>
  <si>
    <t>다우수입차미션(경기)_250811_181937.xlsx</t>
    <phoneticPr fontId="2" type="noConversion"/>
  </si>
  <si>
    <t>결재(Clone비 제외)</t>
  </si>
  <si>
    <t>ZF_8HP_Oilpan(Schaeffler)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</si>
</sst>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3967000</c:v>
                </c:pt>
                <c:pt idx="1">
                  <c:v>1650000</c:v>
                </c:pt>
                <c:pt idx="2">
                  <c:v>3860000</c:v>
                </c:pt>
                <c:pt idx="3">
                  <c:v>4455000</c:v>
                </c:pt>
                <c:pt idx="4">
                  <c:v>4125000</c:v>
                </c:pt>
                <c:pt idx="5">
                  <c:v>2634500</c:v>
                </c:pt>
                <c:pt idx="6">
                  <c:v>3350000</c:v>
                </c:pt>
                <c:pt idx="7">
                  <c:v>1650000</c:v>
                </c:pt>
                <c:pt idx="8">
                  <c:v>3100000</c:v>
                </c:pt>
                <c:pt idx="9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13</c:v>
                      </c:pt>
                      <c:pt idx="2">
                        <c:v>4</c:v>
                      </c:pt>
                      <c:pt idx="3">
                        <c:v>1</c:v>
                      </c:pt>
                      <c:pt idx="4">
                        <c:v>2</c:v>
                      </c:pt>
                      <c:pt idx="5">
                        <c:v>8</c:v>
                      </c:pt>
                      <c:pt idx="6">
                        <c:v>5</c:v>
                      </c:pt>
                      <c:pt idx="7">
                        <c:v>13</c:v>
                      </c:pt>
                      <c:pt idx="8">
                        <c:v>6</c:v>
                      </c:pt>
                      <c:pt idx="9">
                        <c:v>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R32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1226</v>
      </c>
      <c r="R1" s="298"/>
      <c r="S1" s="299" t="s">
        <v>3339</v>
      </c>
      <c r="T1" s="299"/>
      <c r="U1" s="300"/>
    </row>
    <row r="2" spans="1:21" x14ac:dyDescent="0.3">
      <c r="A2" s="301" t="s">
        <v>70</v>
      </c>
      <c r="B2" s="302"/>
      <c r="C2" s="303" t="s">
        <v>2271</v>
      </c>
      <c r="D2" s="304"/>
      <c r="E2" s="304"/>
      <c r="F2" s="304"/>
      <c r="G2" s="305"/>
      <c r="H2" s="303" t="s">
        <v>82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45880</v>
      </c>
      <c r="U2" s="309"/>
    </row>
    <row r="3" spans="1:21" ht="24.95" customHeight="1" x14ac:dyDescent="0.3">
      <c r="A3" s="319" t="s">
        <v>1194</v>
      </c>
      <c r="B3" s="37" t="s">
        <v>64</v>
      </c>
      <c r="C3" s="322" t="s">
        <v>3336</v>
      </c>
      <c r="D3" s="323"/>
      <c r="E3" s="323"/>
      <c r="F3" s="323"/>
      <c r="G3" s="323"/>
      <c r="H3" s="323"/>
      <c r="I3" s="323"/>
      <c r="J3" s="324"/>
      <c r="K3" s="325" t="s">
        <v>1195</v>
      </c>
      <c r="L3" s="37" t="s">
        <v>64</v>
      </c>
      <c r="M3" s="328" t="s">
        <v>970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310" t="s">
        <v>78</v>
      </c>
      <c r="U4" s="313"/>
    </row>
    <row r="5" spans="1:21" ht="24.95" customHeight="1" x14ac:dyDescent="0.3">
      <c r="A5" s="320"/>
      <c r="B5" s="38" t="s">
        <v>10</v>
      </c>
      <c r="C5" s="310" t="s">
        <v>3337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80</v>
      </c>
      <c r="C6" s="310" t="s">
        <v>3338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37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48</v>
      </c>
      <c r="G7" s="315"/>
      <c r="H7" s="315"/>
      <c r="I7" s="316"/>
      <c r="J7" s="317" t="s">
        <v>46</v>
      </c>
      <c r="K7" s="315"/>
      <c r="L7" s="315"/>
      <c r="M7" s="315"/>
      <c r="N7" s="316"/>
      <c r="O7" s="315" t="s">
        <v>54</v>
      </c>
      <c r="P7" s="316"/>
      <c r="Q7" s="317" t="s">
        <v>74</v>
      </c>
      <c r="R7" s="315"/>
      <c r="S7" s="316"/>
      <c r="T7" s="317" t="s">
        <v>73</v>
      </c>
      <c r="U7" s="318"/>
    </row>
    <row r="8" spans="1:21" ht="15.6" customHeight="1" x14ac:dyDescent="0.3">
      <c r="A8" s="343" t="s">
        <v>2305</v>
      </c>
      <c r="B8" s="344"/>
      <c r="C8" s="344"/>
      <c r="D8" s="344"/>
      <c r="E8" s="345"/>
      <c r="F8" s="346" t="s">
        <v>2304</v>
      </c>
      <c r="G8" s="344"/>
      <c r="H8" s="344"/>
      <c r="I8" s="345"/>
      <c r="J8" s="352">
        <v>1500000</v>
      </c>
      <c r="K8" s="352"/>
      <c r="L8" s="352"/>
      <c r="M8" s="352"/>
      <c r="N8" s="352"/>
      <c r="O8" s="353">
        <v>1</v>
      </c>
      <c r="P8" s="353"/>
      <c r="Q8" s="347"/>
      <c r="R8" s="348"/>
      <c r="S8" s="349"/>
      <c r="T8" s="350">
        <v>1500000</v>
      </c>
      <c r="U8" s="351"/>
    </row>
    <row r="9" spans="1:21" ht="15.6" customHeight="1" x14ac:dyDescent="0.3">
      <c r="A9" s="334"/>
      <c r="B9" s="335"/>
      <c r="C9" s="335"/>
      <c r="D9" s="335"/>
      <c r="E9" s="336"/>
      <c r="F9" s="337"/>
      <c r="G9" s="335"/>
      <c r="H9" s="335"/>
      <c r="I9" s="336"/>
      <c r="J9" s="354"/>
      <c r="K9" s="354"/>
      <c r="L9" s="354"/>
      <c r="M9" s="354"/>
      <c r="N9" s="354"/>
      <c r="O9" s="355"/>
      <c r="P9" s="355"/>
      <c r="Q9" s="338"/>
      <c r="R9" s="339"/>
      <c r="S9" s="340"/>
      <c r="T9" s="341"/>
      <c r="U9" s="342"/>
    </row>
    <row r="10" spans="1:21" ht="15.6" customHeight="1" x14ac:dyDescent="0.3">
      <c r="A10" s="334"/>
      <c r="B10" s="335"/>
      <c r="C10" s="335"/>
      <c r="D10" s="335"/>
      <c r="E10" s="336"/>
      <c r="F10" s="337"/>
      <c r="G10" s="335"/>
      <c r="H10" s="335"/>
      <c r="I10" s="336"/>
      <c r="J10" s="354"/>
      <c r="K10" s="354"/>
      <c r="L10" s="354"/>
      <c r="M10" s="354"/>
      <c r="N10" s="354"/>
      <c r="O10" s="355"/>
      <c r="P10" s="355"/>
      <c r="Q10" s="338"/>
      <c r="R10" s="339"/>
      <c r="S10" s="340"/>
      <c r="T10" s="341"/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2367</v>
      </c>
      <c r="B16" s="368"/>
      <c r="C16" s="368"/>
      <c r="D16" s="368"/>
      <c r="E16" s="369"/>
      <c r="F16" s="376" t="s">
        <v>3340</v>
      </c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86</v>
      </c>
      <c r="B20" s="315"/>
      <c r="C20" s="315"/>
      <c r="D20" s="315"/>
      <c r="E20" s="315"/>
      <c r="F20" s="391">
        <v>0</v>
      </c>
      <c r="G20" s="391"/>
      <c r="H20" s="391"/>
      <c r="I20" s="392"/>
      <c r="J20" s="387">
        <f>SUM(J8:N19)</f>
        <v>1500000</v>
      </c>
      <c r="K20" s="388"/>
      <c r="L20" s="388"/>
      <c r="M20" s="388"/>
      <c r="N20" s="389"/>
      <c r="O20" s="425">
        <f>SUM(O8:P19)</f>
        <v>1</v>
      </c>
      <c r="P20" s="425"/>
      <c r="Q20" s="390">
        <f>SUM(Q8:S19)</f>
        <v>0</v>
      </c>
      <c r="R20" s="391"/>
      <c r="S20" s="392"/>
      <c r="T20" s="391">
        <f>SUM(T8:U15)</f>
        <v>1500000</v>
      </c>
      <c r="U20" s="393"/>
    </row>
    <row r="21" spans="1:21" ht="20.100000000000001" customHeight="1" thickBot="1" x14ac:dyDescent="0.35">
      <c r="A21" s="415" t="s">
        <v>96</v>
      </c>
      <c r="B21" s="416"/>
      <c r="C21" s="416"/>
      <c r="D21" s="416"/>
      <c r="E21" s="416"/>
      <c r="F21" s="417">
        <f>F20+T20+Q20</f>
        <v>1500000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16"/>
      <c r="Q21" s="385" t="str">
        <f>C3</f>
        <v>다우수입차미션(경기)</v>
      </c>
      <c r="R21" s="385"/>
      <c r="S21" s="385"/>
      <c r="T21" s="385"/>
      <c r="U21" s="386"/>
    </row>
    <row r="22" spans="1:21" ht="20.100000000000001" customHeight="1" x14ac:dyDescent="0.3">
      <c r="A22" s="426" t="s">
        <v>3342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8" t="s">
        <v>1226</v>
      </c>
      <c r="R24" s="298"/>
      <c r="S24" s="428" t="str">
        <f>S1</f>
        <v>WAUZZZ4G7GN073837</v>
      </c>
      <c r="T24" s="428"/>
      <c r="U24" s="429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81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45880</v>
      </c>
      <c r="U25" s="309"/>
    </row>
    <row r="26" spans="1:21" ht="24.95" customHeight="1" x14ac:dyDescent="0.3">
      <c r="A26" s="319" t="s">
        <v>1194</v>
      </c>
      <c r="B26" s="37" t="s">
        <v>64</v>
      </c>
      <c r="C26" s="322" t="str">
        <f>C3</f>
        <v>다우수입차미션(경기)</v>
      </c>
      <c r="D26" s="323"/>
      <c r="E26" s="323"/>
      <c r="F26" s="323"/>
      <c r="G26" s="323"/>
      <c r="H26" s="323"/>
      <c r="I26" s="323"/>
      <c r="J26" s="324"/>
      <c r="K26" s="325" t="s">
        <v>1195</v>
      </c>
      <c r="L26" s="37" t="s">
        <v>64</v>
      </c>
      <c r="M26" s="328" t="s">
        <v>970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66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66</v>
      </c>
      <c r="M27" s="310" t="s">
        <v>968</v>
      </c>
      <c r="N27" s="311"/>
      <c r="O27" s="311"/>
      <c r="P27" s="311"/>
      <c r="Q27" s="311"/>
      <c r="R27" s="312"/>
      <c r="S27" s="38" t="s">
        <v>67</v>
      </c>
      <c r="T27" s="310" t="s">
        <v>78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경기도 의왕시 오전공업길 36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79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80</v>
      </c>
      <c r="C29" s="310" t="str">
        <f>C6</f>
        <v>010-3695-6407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">
        <v>71</v>
      </c>
      <c r="N29" s="311"/>
      <c r="O29" s="311"/>
      <c r="P29" s="311"/>
      <c r="Q29" s="311"/>
      <c r="R29" s="312"/>
      <c r="S29" s="38" t="s">
        <v>26</v>
      </c>
      <c r="T29" s="310" t="str">
        <f>T6</f>
        <v>경동(택배)</v>
      </c>
      <c r="U29" s="313"/>
    </row>
    <row r="30" spans="1:21" ht="15.6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46</v>
      </c>
      <c r="K30" s="315"/>
      <c r="L30" s="315"/>
      <c r="M30" s="315"/>
      <c r="N30" s="316"/>
      <c r="O30" s="315" t="s">
        <v>54</v>
      </c>
      <c r="P30" s="316"/>
      <c r="Q30" s="317" t="s">
        <v>74</v>
      </c>
      <c r="R30" s="315"/>
      <c r="S30" s="316"/>
      <c r="T30" s="317" t="s">
        <v>73</v>
      </c>
      <c r="U30" s="318"/>
    </row>
    <row r="31" spans="1:21" ht="15.6" customHeight="1" x14ac:dyDescent="0.3">
      <c r="A31" s="402" t="str">
        <f>A8</f>
        <v>0CK_TCU</v>
      </c>
      <c r="B31" s="403"/>
      <c r="C31" s="403"/>
      <c r="D31" s="403"/>
      <c r="E31" s="403"/>
      <c r="F31" s="403" t="str">
        <f>F8</f>
        <v>927156AA</v>
      </c>
      <c r="G31" s="403"/>
      <c r="H31" s="403"/>
      <c r="I31" s="403"/>
      <c r="J31" s="407">
        <f>J8</f>
        <v>1500000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0</v>
      </c>
      <c r="R31" s="404"/>
      <c r="S31" s="404"/>
      <c r="T31" s="405">
        <f>T8</f>
        <v>1500000</v>
      </c>
      <c r="U31" s="406"/>
    </row>
    <row r="32" spans="1:21" ht="15.6" customHeight="1" x14ac:dyDescent="0.3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8">
        <f t="shared" ref="J32:J38" si="2">J9</f>
        <v>0</v>
      </c>
      <c r="K32" s="408"/>
      <c r="L32" s="408"/>
      <c r="M32" s="408"/>
      <c r="N32" s="408"/>
      <c r="O32" s="408">
        <f t="shared" ref="O32:O38" si="3">O9</f>
        <v>0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 x14ac:dyDescent="0.3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8">
        <f t="shared" si="2"/>
        <v>0</v>
      </c>
      <c r="K33" s="408"/>
      <c r="L33" s="408"/>
      <c r="M33" s="408"/>
      <c r="N33" s="408"/>
      <c r="O33" s="408">
        <f t="shared" si="3"/>
        <v>0</v>
      </c>
      <c r="P33" s="408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2367</v>
      </c>
      <c r="B39" s="368"/>
      <c r="C39" s="368"/>
      <c r="D39" s="368"/>
      <c r="E39" s="369"/>
      <c r="F39" s="376" t="str">
        <f>F16</f>
        <v>Programming IMMO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86</v>
      </c>
      <c r="B43" s="315"/>
      <c r="C43" s="315"/>
      <c r="D43" s="315"/>
      <c r="E43" s="315"/>
      <c r="F43" s="391">
        <f>F20</f>
        <v>0</v>
      </c>
      <c r="G43" s="391"/>
      <c r="H43" s="391"/>
      <c r="I43" s="392"/>
      <c r="J43" s="387">
        <f>J20</f>
        <v>1500000</v>
      </c>
      <c r="K43" s="388"/>
      <c r="L43" s="388"/>
      <c r="M43" s="388"/>
      <c r="N43" s="389"/>
      <c r="O43" s="425">
        <f>O20</f>
        <v>1</v>
      </c>
      <c r="P43" s="425"/>
      <c r="Q43" s="390">
        <f>Q20</f>
        <v>0</v>
      </c>
      <c r="R43" s="391"/>
      <c r="S43" s="391"/>
      <c r="T43" s="391">
        <f>T20</f>
        <v>1500000</v>
      </c>
      <c r="U43" s="393"/>
    </row>
    <row r="44" spans="1:21" ht="20.100000000000001" customHeight="1" thickBot="1" x14ac:dyDescent="0.35">
      <c r="A44" s="415" t="s">
        <v>96</v>
      </c>
      <c r="B44" s="416"/>
      <c r="C44" s="416"/>
      <c r="D44" s="416"/>
      <c r="E44" s="416"/>
      <c r="F44" s="417">
        <f>F21</f>
        <v>1500000</v>
      </c>
      <c r="G44" s="417"/>
      <c r="H44" s="417"/>
      <c r="I44" s="418"/>
      <c r="J44" s="419" t="s">
        <v>971</v>
      </c>
      <c r="K44" s="416"/>
      <c r="L44" s="420" t="str">
        <f>T27</f>
        <v>장효주</v>
      </c>
      <c r="M44" s="420"/>
      <c r="N44" s="420"/>
      <c r="O44" s="419" t="s">
        <v>69</v>
      </c>
      <c r="P44" s="421"/>
      <c r="Q44" s="422" t="str">
        <f>Q21</f>
        <v>다우수입차미션(경기)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4"/>
  <sheetViews>
    <sheetView workbookViewId="0">
      <selection activeCell="E27" sqref="E27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SUM(G2:G7)</f>
        <v>1500000</v>
      </c>
      <c r="H1" s="111">
        <f>SUM(H2:H7)</f>
        <v>1</v>
      </c>
      <c r="I1" s="111">
        <f>SUM(I2:I7)</f>
        <v>0</v>
      </c>
      <c r="J1" s="111">
        <f>SUM(J2:J7)</f>
        <v>1500000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3327</v>
      </c>
      <c r="C2" s="47" t="s">
        <v>3049</v>
      </c>
      <c r="D2" t="s">
        <v>1230</v>
      </c>
      <c r="E2" t="s">
        <v>2227</v>
      </c>
      <c r="F2" t="s">
        <v>1230</v>
      </c>
      <c r="G2">
        <v>1500000</v>
      </c>
      <c r="H2">
        <v>1</v>
      </c>
      <c r="I2" s="233"/>
      <c r="J2" s="233">
        <v>1500000</v>
      </c>
      <c r="K2" s="295"/>
    </row>
    <row r="3" spans="1:12" x14ac:dyDescent="0.3">
      <c r="I3" s="233"/>
      <c r="J3" s="233"/>
    </row>
    <row r="4" spans="1:12" x14ac:dyDescent="0.3">
      <c r="J4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1590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1591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21"/>
  <sheetViews>
    <sheetView workbookViewId="0">
      <pane xSplit="1" ySplit="1" topLeftCell="B1200" activePane="bottomRight" state="frozen"/>
      <selection activeCell="N26" sqref="N26"/>
      <selection pane="topRight" activeCell="N26" sqref="N26"/>
      <selection pane="bottomLeft" activeCell="N26" sqref="N26"/>
      <selection pane="bottomRight" activeCell="L1216" sqref="L1216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1220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3264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3264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3264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3264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3264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3264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3264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3264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3264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3264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3264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3264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3264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3264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3264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3264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3264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3264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3264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3264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3264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3264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3264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3264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3264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3264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3264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3264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3264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3264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3264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3264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3264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3264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3264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3264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3264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3264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3264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3264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3264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3264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3264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3264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3264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3264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3264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3264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3264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3264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3264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3264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3264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3264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3264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3264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3264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3264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3264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3314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3264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3264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3264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3314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3264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3314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3314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3314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3314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3314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3314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3314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3314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3314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3314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3314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3314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3314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3314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3314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3314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3314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3314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3314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3314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3314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3314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3314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3314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3314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3314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3314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3314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3314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3314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3314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3314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3314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3314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3314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3314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3314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3314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3314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3314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3314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3314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3314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3314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3314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3314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3314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3314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3314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3314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3314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3314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3314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3314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3314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3314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3314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3314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3314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3314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3314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3314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3314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3314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3314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3314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3314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3314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3314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3314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3314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3314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3314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3314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3314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3314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3314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3314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3314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3314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3314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3314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3314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3314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3314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3314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3314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3314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3314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3314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3314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3314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3314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3314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3314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3314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3314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3314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3314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3314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3314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3314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3314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3314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3314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3314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3314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3314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3314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3314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3314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3225</v>
      </c>
      <c r="E1036" s="279" t="s">
        <v>3226</v>
      </c>
      <c r="G1036" s="274">
        <v>50000</v>
      </c>
      <c r="H1036" s="279">
        <v>1</v>
      </c>
      <c r="K1036" s="274">
        <v>50000</v>
      </c>
      <c r="N1036" t="s">
        <v>3314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3314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3314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3314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3314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3314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3314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3314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3314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3314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3314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3314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3314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3314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3314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3314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3314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3314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3314</v>
      </c>
    </row>
    <row r="1064" spans="1:14" x14ac:dyDescent="0.3">
      <c r="A1064" s="58">
        <v>1062</v>
      </c>
      <c r="B1064" s="272">
        <v>45866</v>
      </c>
      <c r="C1064" s="279" t="s">
        <v>3176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3314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3314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3314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3314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3314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3314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3314</v>
      </c>
    </row>
    <row r="1071" spans="1:14" x14ac:dyDescent="0.3">
      <c r="A1071" s="58">
        <v>1069</v>
      </c>
      <c r="B1071" s="272">
        <v>45866</v>
      </c>
      <c r="C1071" s="279" t="s">
        <v>3176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3184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3314</v>
      </c>
    </row>
    <row r="1073" spans="1:14" x14ac:dyDescent="0.3">
      <c r="A1073" s="58">
        <v>1071</v>
      </c>
      <c r="B1073" s="272">
        <v>45866</v>
      </c>
      <c r="C1073" s="279" t="s">
        <v>3184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3314</v>
      </c>
    </row>
    <row r="1074" spans="1:14" x14ac:dyDescent="0.3">
      <c r="A1074" s="58">
        <v>1072</v>
      </c>
      <c r="B1074" s="272">
        <v>45866</v>
      </c>
      <c r="C1074" s="279" t="s">
        <v>3184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3216</v>
      </c>
      <c r="F1084" s="279" t="s">
        <v>3215</v>
      </c>
      <c r="G1084" s="274">
        <v>250000</v>
      </c>
      <c r="H1084" s="279">
        <v>1</v>
      </c>
      <c r="K1084" s="274">
        <v>250000</v>
      </c>
      <c r="N1084" t="s">
        <v>3314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3314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3314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3314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3314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3314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3314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3227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3314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3314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3314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3228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3314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3314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3314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3314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3314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3314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3314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3314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3314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3232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3314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3314</v>
      </c>
    </row>
    <row r="1108" spans="1:14" x14ac:dyDescent="0.3">
      <c r="A1108" s="58">
        <v>1106</v>
      </c>
      <c r="B1108" s="272">
        <v>45868</v>
      </c>
      <c r="C1108" s="279" t="s">
        <v>3235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3314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3314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3235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3314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3314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3314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3314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3314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3314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3314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3251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3251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3269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3274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3275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3276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3277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3278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3274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3280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3280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3293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3302</v>
      </c>
      <c r="E1180" s="279" t="s">
        <v>3303</v>
      </c>
      <c r="F1180" s="279" t="s">
        <v>3304</v>
      </c>
      <c r="G1180" s="274">
        <v>1300000</v>
      </c>
      <c r="H1180" s="279">
        <v>1</v>
      </c>
      <c r="J1180" s="275" t="s">
        <v>3305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3299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3280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3296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3306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3310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3312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3312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3312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3315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3315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3323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3325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3325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  <row r="1210" spans="1:12" x14ac:dyDescent="0.3">
      <c r="A1210" s="58">
        <v>1208</v>
      </c>
      <c r="B1210" s="272">
        <v>45880</v>
      </c>
      <c r="C1210" s="279" t="s">
        <v>1499</v>
      </c>
      <c r="E1210" s="279" t="s">
        <v>1152</v>
      </c>
      <c r="L1210" s="274">
        <v>-4345000</v>
      </c>
    </row>
    <row r="1211" spans="1:12" x14ac:dyDescent="0.3">
      <c r="A1211" s="58">
        <v>1209</v>
      </c>
      <c r="B1211" s="272">
        <v>45880</v>
      </c>
      <c r="C1211" s="279" t="s">
        <v>2369</v>
      </c>
      <c r="E1211" s="279" t="s">
        <v>1234</v>
      </c>
      <c r="F1211" s="279" t="s">
        <v>1235</v>
      </c>
      <c r="G1211" s="274">
        <v>1200000</v>
      </c>
      <c r="H1211" s="279">
        <v>1</v>
      </c>
      <c r="J1211" s="275">
        <v>120000</v>
      </c>
      <c r="K1211" s="274">
        <v>1320000</v>
      </c>
    </row>
    <row r="1212" spans="1:12" x14ac:dyDescent="0.3">
      <c r="A1212" s="58">
        <v>1210</v>
      </c>
      <c r="B1212" s="272">
        <v>45880</v>
      </c>
      <c r="C1212" s="279" t="s">
        <v>1781</v>
      </c>
      <c r="E1212" s="279" t="s">
        <v>2235</v>
      </c>
      <c r="F1212" s="279" t="s">
        <v>1290</v>
      </c>
      <c r="G1212" s="274">
        <v>130000</v>
      </c>
      <c r="H1212" s="279">
        <v>1</v>
      </c>
      <c r="J1212" s="275">
        <v>13000</v>
      </c>
      <c r="K1212" s="274">
        <v>143000</v>
      </c>
    </row>
    <row r="1213" spans="1:12" x14ac:dyDescent="0.3">
      <c r="A1213" s="58">
        <v>1211</v>
      </c>
      <c r="B1213" s="272">
        <v>45880</v>
      </c>
      <c r="C1213" s="279" t="s">
        <v>1781</v>
      </c>
      <c r="E1213" s="279" t="s">
        <v>2239</v>
      </c>
      <c r="F1213" s="279" t="s">
        <v>1859</v>
      </c>
      <c r="G1213" s="274">
        <v>10000</v>
      </c>
      <c r="H1213" s="279">
        <v>1</v>
      </c>
      <c r="J1213" s="275">
        <v>1000</v>
      </c>
      <c r="K1213" s="274">
        <v>11000</v>
      </c>
    </row>
    <row r="1214" spans="1:12" x14ac:dyDescent="0.3">
      <c r="A1214" s="58">
        <v>1212</v>
      </c>
      <c r="B1214" s="272">
        <v>45880</v>
      </c>
      <c r="C1214" s="279" t="s">
        <v>1613</v>
      </c>
      <c r="E1214" s="279" t="s">
        <v>1234</v>
      </c>
      <c r="F1214" s="279" t="s">
        <v>1595</v>
      </c>
      <c r="G1214" s="274">
        <v>1200000</v>
      </c>
      <c r="H1214" s="279">
        <v>1</v>
      </c>
      <c r="J1214" s="275">
        <v>120000</v>
      </c>
      <c r="K1214" s="274">
        <v>1320000</v>
      </c>
    </row>
    <row r="1215" spans="1:12" x14ac:dyDescent="0.3">
      <c r="A1215" s="58">
        <v>1213</v>
      </c>
      <c r="B1215" s="272">
        <v>45880</v>
      </c>
      <c r="C1215" s="279" t="s">
        <v>1526</v>
      </c>
      <c r="E1215" s="279" t="s">
        <v>2446</v>
      </c>
      <c r="F1215" s="279" t="s">
        <v>3331</v>
      </c>
      <c r="G1215" s="274">
        <v>1550000</v>
      </c>
      <c r="H1215" s="279">
        <v>1</v>
      </c>
      <c r="K1215" s="274">
        <v>1550000</v>
      </c>
    </row>
    <row r="1216" spans="1:12" x14ac:dyDescent="0.3">
      <c r="A1216" s="58">
        <v>1214</v>
      </c>
      <c r="B1216" s="272">
        <v>45880</v>
      </c>
      <c r="C1216" s="279" t="s">
        <v>1431</v>
      </c>
      <c r="E1216" s="279" t="s">
        <v>1232</v>
      </c>
      <c r="F1216" s="279" t="s">
        <v>1786</v>
      </c>
      <c r="G1216" s="274">
        <v>1200000</v>
      </c>
      <c r="H1216" s="279">
        <v>1</v>
      </c>
      <c r="K1216" s="274">
        <v>1200000</v>
      </c>
    </row>
    <row r="1217" spans="1:12" x14ac:dyDescent="0.3">
      <c r="A1217" s="58">
        <v>1215</v>
      </c>
      <c r="B1217" s="272">
        <v>45880</v>
      </c>
      <c r="C1217" s="279" t="s">
        <v>1431</v>
      </c>
      <c r="E1217" s="279" t="s">
        <v>1528</v>
      </c>
      <c r="F1217" s="279" t="s">
        <v>2781</v>
      </c>
      <c r="G1217" s="274">
        <v>350000</v>
      </c>
      <c r="H1217" s="279">
        <v>1</v>
      </c>
      <c r="K1217" s="274">
        <v>350000</v>
      </c>
    </row>
    <row r="1218" spans="1:12" x14ac:dyDescent="0.3">
      <c r="A1218" s="58">
        <v>1216</v>
      </c>
      <c r="B1218" s="272">
        <v>45880</v>
      </c>
      <c r="C1218" s="279" t="s">
        <v>1431</v>
      </c>
      <c r="E1218" s="279" t="s">
        <v>2959</v>
      </c>
      <c r="F1218" s="279" t="s">
        <v>2862</v>
      </c>
      <c r="G1218" s="274">
        <v>129000</v>
      </c>
      <c r="H1218" s="279">
        <v>1</v>
      </c>
      <c r="K1218" s="274">
        <v>129000</v>
      </c>
    </row>
    <row r="1219" spans="1:12" x14ac:dyDescent="0.3">
      <c r="A1219" s="58">
        <v>1217</v>
      </c>
      <c r="B1219" s="272">
        <v>45880</v>
      </c>
      <c r="C1219" s="279" t="s">
        <v>1932</v>
      </c>
      <c r="E1219" s="279" t="s">
        <v>1232</v>
      </c>
      <c r="F1219" s="279" t="s">
        <v>1786</v>
      </c>
      <c r="G1219" s="274">
        <v>1300000</v>
      </c>
      <c r="H1219" s="279">
        <v>1</v>
      </c>
      <c r="K1219" s="274">
        <v>1300000</v>
      </c>
    </row>
    <row r="1220" spans="1:12" x14ac:dyDescent="0.3">
      <c r="A1220" s="58">
        <v>1218</v>
      </c>
      <c r="B1220" s="272">
        <v>45880</v>
      </c>
      <c r="C1220" s="279" t="s">
        <v>3049</v>
      </c>
      <c r="E1220" s="279" t="s">
        <v>2227</v>
      </c>
      <c r="F1220" s="279" t="s">
        <v>1230</v>
      </c>
      <c r="G1220" s="274">
        <v>1500000</v>
      </c>
      <c r="H1220" s="279">
        <v>1</v>
      </c>
      <c r="K1220" s="274">
        <v>1500000</v>
      </c>
    </row>
    <row r="1221" spans="1:12" x14ac:dyDescent="0.3">
      <c r="A1221" s="58">
        <v>1219</v>
      </c>
      <c r="B1221" s="272">
        <v>45880</v>
      </c>
      <c r="C1221" s="279" t="s">
        <v>3049</v>
      </c>
      <c r="E1221" s="279" t="s">
        <v>1152</v>
      </c>
      <c r="L1221" s="274">
        <v>-1500000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C4" sqref="C4:C5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45849</v>
      </c>
      <c r="B3" s="242" t="s">
        <v>1153</v>
      </c>
      <c r="C3" s="243">
        <f>SUMIF($B:$B,A3,I:I)</f>
        <v>8060800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80000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1154</v>
      </c>
      <c r="C4" s="243">
        <f>SUMIFS($I:$I,$B:$B,"&gt;="&amp;DATE(A5,A4,1),$B:$B,"&lt;="&amp;EOMONTH(DATE(A5,A4,1),0))</f>
        <v>60817500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60817500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1174</v>
      </c>
      <c r="D9" s="119" t="s">
        <v>1152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1055</v>
      </c>
      <c r="D10" s="119" t="s">
        <v>1152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2835</v>
      </c>
      <c r="D11" s="119" t="s">
        <v>2834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1511</v>
      </c>
      <c r="D12" s="119" t="s">
        <v>1778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1613</v>
      </c>
      <c r="D13" s="119" t="s">
        <v>1234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1404</v>
      </c>
      <c r="D14" s="119" t="s">
        <v>1780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1499</v>
      </c>
      <c r="D15" s="119" t="s">
        <v>3343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1431</v>
      </c>
      <c r="D16" s="120" t="s">
        <v>1152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1431</v>
      </c>
      <c r="D17" s="119" t="s">
        <v>2842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2843</v>
      </c>
      <c r="D18" s="119" t="s">
        <v>2395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1476</v>
      </c>
      <c r="D19" s="119" t="s">
        <v>1736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1476</v>
      </c>
      <c r="D20" s="119" t="s">
        <v>3344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2843</v>
      </c>
      <c r="D21" s="119" t="s">
        <v>1152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2019</v>
      </c>
      <c r="D22" s="119" t="s">
        <v>1152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2852</v>
      </c>
      <c r="D23" s="119" t="s">
        <v>2349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2854</v>
      </c>
      <c r="D24" s="119" t="s">
        <v>1232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2854</v>
      </c>
      <c r="D25" s="119" t="s">
        <v>2859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1613</v>
      </c>
      <c r="D26" s="119" t="s">
        <v>1152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1613</v>
      </c>
      <c r="D27" s="119" t="s">
        <v>1297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1999</v>
      </c>
      <c r="D28" s="119" t="s">
        <v>2227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1999</v>
      </c>
      <c r="D29" s="119" t="s">
        <v>2228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1999</v>
      </c>
      <c r="D30" s="119" t="s">
        <v>2229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1999</v>
      </c>
      <c r="D31" s="119" t="s">
        <v>2230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2145</v>
      </c>
      <c r="D32" s="119" t="s">
        <v>1232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1055</v>
      </c>
      <c r="D33" s="119" t="s">
        <v>2227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1055</v>
      </c>
      <c r="D34" s="120" t="s">
        <v>2228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2835</v>
      </c>
      <c r="D35" s="120" t="s">
        <v>1152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2874</v>
      </c>
      <c r="D36" s="120" t="s">
        <v>1593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1844</v>
      </c>
      <c r="D37" s="120" t="s">
        <v>1528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2311</v>
      </c>
      <c r="D38" s="120" t="s">
        <v>1232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1613</v>
      </c>
      <c r="D39" s="120" t="s">
        <v>1232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2874</v>
      </c>
      <c r="D40" s="120" t="s">
        <v>1152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2311</v>
      </c>
      <c r="D41" s="120" t="s">
        <v>1152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1999</v>
      </c>
      <c r="D42" s="119" t="s">
        <v>1152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2891</v>
      </c>
      <c r="D43" s="119" t="s">
        <v>2227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2891</v>
      </c>
      <c r="D44" s="119" t="s">
        <v>2228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1100</v>
      </c>
      <c r="D45" s="119" t="s">
        <v>1152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2891</v>
      </c>
      <c r="D46" s="119" t="s">
        <v>1152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1100</v>
      </c>
      <c r="D47" s="120" t="s">
        <v>2842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1631</v>
      </c>
      <c r="D48" s="120" t="s">
        <v>1232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1613</v>
      </c>
      <c r="D49" s="120" t="s">
        <v>1738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1499</v>
      </c>
      <c r="D50" s="120" t="s">
        <v>2894</v>
      </c>
      <c r="F50" s="127">
        <v>1500000</v>
      </c>
      <c r="G50" s="88">
        <v>1</v>
      </c>
      <c r="H50" s="133" t="s">
        <v>3038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1174</v>
      </c>
      <c r="D51" s="120" t="s">
        <v>1232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2852</v>
      </c>
      <c r="D52" s="120" t="s">
        <v>1152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1505</v>
      </c>
      <c r="D53" s="120" t="s">
        <v>1152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1844</v>
      </c>
      <c r="D54" s="120" t="s">
        <v>1152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1631</v>
      </c>
      <c r="D55" s="120" t="s">
        <v>1152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1755</v>
      </c>
      <c r="D56" s="120" t="s">
        <v>1152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1573</v>
      </c>
      <c r="D57" s="120" t="s">
        <v>1232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1573</v>
      </c>
      <c r="D58" s="120" t="s">
        <v>1528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1152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1476</v>
      </c>
      <c r="D60" s="120" t="s">
        <v>1537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1476</v>
      </c>
      <c r="D61" s="120" t="s">
        <v>1538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1511</v>
      </c>
      <c r="D62" s="120" t="s">
        <v>2483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2908</v>
      </c>
      <c r="D63" s="120" t="s">
        <v>2227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2908</v>
      </c>
      <c r="D64" s="120" t="s">
        <v>2228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2679</v>
      </c>
      <c r="D65" s="120" t="s">
        <v>2227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2679</v>
      </c>
      <c r="D66" s="120" t="s">
        <v>2228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2902</v>
      </c>
      <c r="D67" s="120" t="s">
        <v>2227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2902</v>
      </c>
      <c r="D68" s="120" t="s">
        <v>2228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1174</v>
      </c>
      <c r="D69" s="120" t="s">
        <v>2465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1174</v>
      </c>
      <c r="D70" s="120" t="s">
        <v>2478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1908</v>
      </c>
      <c r="D71" s="120" t="s">
        <v>2233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1476</v>
      </c>
      <c r="D72" s="120" t="s">
        <v>2234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1476</v>
      </c>
      <c r="D73" s="120" t="s">
        <v>2237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1755</v>
      </c>
      <c r="D74" s="120" t="s">
        <v>2918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2902</v>
      </c>
      <c r="D75" s="120" t="s">
        <v>1152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2908</v>
      </c>
      <c r="D76" s="120" t="s">
        <v>1152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1908</v>
      </c>
      <c r="D77" s="120" t="s">
        <v>1152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1755</v>
      </c>
      <c r="D78" s="120" t="s">
        <v>2920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1613</v>
      </c>
      <c r="D79" s="120" t="s">
        <v>1152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1431</v>
      </c>
      <c r="D80" s="120" t="s">
        <v>1777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1431</v>
      </c>
      <c r="D81" s="120" t="s">
        <v>2234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1431</v>
      </c>
      <c r="D82" s="120" t="s">
        <v>2235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1431</v>
      </c>
      <c r="D83" s="120" t="s">
        <v>2239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1431</v>
      </c>
      <c r="D84" s="120" t="s">
        <v>2238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2908</v>
      </c>
      <c r="D85" s="120" t="s">
        <v>2924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2908</v>
      </c>
      <c r="D86" s="120" t="s">
        <v>2230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1573</v>
      </c>
      <c r="D87" s="120" t="s">
        <v>1232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1573</v>
      </c>
      <c r="D88" s="120" t="s">
        <v>1528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1844</v>
      </c>
      <c r="D89" s="120" t="s">
        <v>1799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1844</v>
      </c>
      <c r="D90" s="120" t="s">
        <v>1799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2928</v>
      </c>
      <c r="D91" s="120" t="s">
        <v>1769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2933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1619</v>
      </c>
      <c r="D93" s="120" t="s">
        <v>1232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1610</v>
      </c>
      <c r="D94" s="120" t="s">
        <v>2233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1610</v>
      </c>
      <c r="D95" s="120" t="s">
        <v>2237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1610</v>
      </c>
      <c r="D96" s="120" t="s">
        <v>2238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1610</v>
      </c>
      <c r="D97" s="120" t="s">
        <v>1551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1610</v>
      </c>
      <c r="D98" s="120" t="s">
        <v>2234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1174</v>
      </c>
      <c r="D99" s="120" t="s">
        <v>1232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2679</v>
      </c>
      <c r="D100" s="120" t="s">
        <v>1152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2908</v>
      </c>
      <c r="D101" s="120" t="s">
        <v>1152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1431</v>
      </c>
      <c r="D102" s="120" t="s">
        <v>1777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2475</v>
      </c>
      <c r="D103" s="120" t="s">
        <v>2066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2308</v>
      </c>
      <c r="D104" s="120" t="s">
        <v>2230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1476</v>
      </c>
      <c r="D105" s="120" t="s">
        <v>2227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1476</v>
      </c>
      <c r="D106" s="120" t="s">
        <v>2228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1755</v>
      </c>
      <c r="D107" s="120" t="s">
        <v>2380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1781</v>
      </c>
      <c r="D108" s="120" t="s">
        <v>2349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1781</v>
      </c>
      <c r="D109" s="120" t="s">
        <v>1551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2308</v>
      </c>
      <c r="D110" s="120" t="s">
        <v>1152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2928</v>
      </c>
      <c r="D111" s="120" t="s">
        <v>1152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1619</v>
      </c>
      <c r="D112" s="120" t="s">
        <v>1152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2475</v>
      </c>
      <c r="D113" s="120" t="s">
        <v>1152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2835</v>
      </c>
      <c r="D114" s="120" t="s">
        <v>2234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2835</v>
      </c>
      <c r="D115" s="120" t="s">
        <v>2237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2835</v>
      </c>
      <c r="D116" s="120" t="s">
        <v>1940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2369</v>
      </c>
      <c r="D117" s="120" t="s">
        <v>2955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1431</v>
      </c>
      <c r="D118" s="120" t="s">
        <v>2148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2243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45847</v>
      </c>
      <c r="C120" s="86" t="s">
        <v>1024</v>
      </c>
      <c r="D120" s="120" t="s">
        <v>1232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45847</v>
      </c>
      <c r="C121" s="86" t="s">
        <v>1024</v>
      </c>
      <c r="D121" s="120" t="s">
        <v>2959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45847</v>
      </c>
      <c r="C122" s="86" t="s">
        <v>1024</v>
      </c>
      <c r="D122" s="120" t="s">
        <v>2478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1152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1610</v>
      </c>
      <c r="D124" s="120" t="s">
        <v>2967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1610</v>
      </c>
      <c r="D125" s="120" t="s">
        <v>2969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1613</v>
      </c>
      <c r="D126" s="120" t="s">
        <v>2227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1613</v>
      </c>
      <c r="D127" s="120" t="s">
        <v>2228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1431</v>
      </c>
      <c r="D128" s="120" t="s">
        <v>1777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1490</v>
      </c>
      <c r="D129" s="120" t="s">
        <v>2861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1481</v>
      </c>
      <c r="D130" s="120" t="s">
        <v>1567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1619</v>
      </c>
      <c r="D131" s="120" t="s">
        <v>1232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1619</v>
      </c>
      <c r="D132" s="120" t="s">
        <v>1528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1619</v>
      </c>
      <c r="D133" s="120" t="s">
        <v>1770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1619</v>
      </c>
      <c r="D134" s="120" t="s">
        <v>2952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2978</v>
      </c>
      <c r="D135" s="120" t="s">
        <v>2227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2978</v>
      </c>
      <c r="D136" s="120" t="s">
        <v>2228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1613</v>
      </c>
      <c r="D137" s="120" t="s">
        <v>1152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2978</v>
      </c>
      <c r="D138" s="120" t="s">
        <v>1152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1481</v>
      </c>
      <c r="D139" s="120" t="s">
        <v>1152</v>
      </c>
      <c r="J139" s="83">
        <v>-450000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3967000</v>
      </c>
      <c r="D2">
        <f t="shared" ref="D2:D65" si="0">RANK(C2,C:C,0)</f>
        <v>3</v>
      </c>
    </row>
    <row r="3" spans="1:6" x14ac:dyDescent="0.3">
      <c r="B3" t="s">
        <v>1070</v>
      </c>
      <c r="C3" s="52">
        <f>SUMIF(BTS_매출관리!C:C,B3,BTS_매출관리!I:I)</f>
        <v>1650000</v>
      </c>
      <c r="D3">
        <f t="shared" si="0"/>
        <v>13</v>
      </c>
    </row>
    <row r="4" spans="1:6" x14ac:dyDescent="0.3">
      <c r="B4" t="s">
        <v>1333</v>
      </c>
      <c r="C4" s="52">
        <f>SUMIF(BTS_매출관리!C:C,B4,BTS_매출관리!I:I)</f>
        <v>3860000</v>
      </c>
      <c r="D4">
        <f t="shared" si="0"/>
        <v>4</v>
      </c>
    </row>
    <row r="5" spans="1:6" x14ac:dyDescent="0.3">
      <c r="B5" t="s">
        <v>1318</v>
      </c>
      <c r="C5" s="52">
        <f>SUMIF(BTS_매출관리!C:C,B5,BTS_매출관리!I:I)</f>
        <v>4455000</v>
      </c>
      <c r="D5">
        <f t="shared" si="0"/>
        <v>1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2</v>
      </c>
    </row>
    <row r="7" spans="1:6" x14ac:dyDescent="0.3">
      <c r="B7" t="s">
        <v>2263</v>
      </c>
      <c r="C7" s="52">
        <f>SUMIF(BTS_매출관리!C:C,B7,BTS_매출관리!I:I)</f>
        <v>2634500</v>
      </c>
      <c r="D7">
        <f t="shared" si="0"/>
        <v>8</v>
      </c>
    </row>
    <row r="8" spans="1:6" x14ac:dyDescent="0.3">
      <c r="B8" t="s">
        <v>1175</v>
      </c>
      <c r="C8" s="52">
        <f>SUMIF(BTS_매출관리!C:C,B8,BTS_매출관리!I:I)</f>
        <v>3350000</v>
      </c>
      <c r="D8">
        <f t="shared" si="0"/>
        <v>5</v>
      </c>
    </row>
    <row r="9" spans="1:6" x14ac:dyDescent="0.3">
      <c r="B9" t="s">
        <v>1321</v>
      </c>
      <c r="C9" s="52">
        <f>SUMIF(BTS_매출관리!C:C,B9,BTS_매출관리!I:I)</f>
        <v>1650000</v>
      </c>
      <c r="D9">
        <f t="shared" si="0"/>
        <v>13</v>
      </c>
    </row>
    <row r="10" spans="1:6" x14ac:dyDescent="0.3">
      <c r="B10" t="s">
        <v>1364</v>
      </c>
      <c r="C10" s="52">
        <f>SUMIF(BTS_매출관리!C:C,B10,BTS_매출관리!I:I)</f>
        <v>3100000</v>
      </c>
      <c r="D10">
        <f t="shared" si="0"/>
        <v>6</v>
      </c>
    </row>
    <row r="11" spans="1:6" x14ac:dyDescent="0.3">
      <c r="B11" t="s">
        <v>1367</v>
      </c>
      <c r="C11" s="52">
        <f>SUMIF(BTS_매출관리!C:C,B11,BTS_매출관리!I:I)</f>
        <v>1400000</v>
      </c>
      <c r="D11">
        <f t="shared" si="0"/>
        <v>21</v>
      </c>
    </row>
    <row r="12" spans="1:6" x14ac:dyDescent="0.3">
      <c r="B12" t="s">
        <v>1348</v>
      </c>
      <c r="C12" s="52">
        <f>SUMIF(BTS_매출관리!C:C,B12,BTS_매출관리!I:I)</f>
        <v>2650000</v>
      </c>
      <c r="D12">
        <f t="shared" si="0"/>
        <v>7</v>
      </c>
      <c r="F12">
        <f>IF(D12 &lt; 10,,"")</f>
        <v>0</v>
      </c>
    </row>
    <row r="13" spans="1:6" x14ac:dyDescent="0.3">
      <c r="B13" t="s">
        <v>1323</v>
      </c>
      <c r="C13" s="52">
        <f>SUMIF(BTS_매출관리!C:C,B13,BTS_매출관리!I:I)</f>
        <v>900000</v>
      </c>
      <c r="D13">
        <f t="shared" si="0"/>
        <v>26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1000000</v>
      </c>
      <c r="D14">
        <f t="shared" si="0"/>
        <v>25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2340000</v>
      </c>
      <c r="D15">
        <f t="shared" si="0"/>
        <v>9</v>
      </c>
    </row>
    <row r="16" spans="1:6" x14ac:dyDescent="0.3">
      <c r="B16" t="s">
        <v>2908</v>
      </c>
      <c r="C16" s="52">
        <f>SUMIF(BTS_매출관리!C:C,B16,BTS_매출관리!I:I)</f>
        <v>2020000</v>
      </c>
      <c r="D16">
        <f t="shared" si="0"/>
        <v>10</v>
      </c>
    </row>
    <row r="17" spans="2:4" x14ac:dyDescent="0.3">
      <c r="B17" t="s">
        <v>2548</v>
      </c>
      <c r="C17" s="52">
        <f>SUMIF(BTS_매출관리!C:C,B17,BTS_매출관리!I:I)</f>
        <v>150000</v>
      </c>
      <c r="D17">
        <f t="shared" si="0"/>
        <v>33</v>
      </c>
    </row>
    <row r="18" spans="2:4" x14ac:dyDescent="0.3">
      <c r="B18" t="s">
        <v>1376</v>
      </c>
      <c r="C18" s="52">
        <f>SUMIF(BTS_매출관리!C:C,B18,BTS_매출관리!I:I)</f>
        <v>1870000</v>
      </c>
      <c r="D18">
        <f t="shared" si="0"/>
        <v>11</v>
      </c>
    </row>
    <row r="19" spans="2:4" x14ac:dyDescent="0.3">
      <c r="B19" t="s">
        <v>2884</v>
      </c>
      <c r="C19" s="52">
        <f>SUMIF(BTS_매출관리!C:C,B19,BTS_매출관리!I:I)</f>
        <v>1815000</v>
      </c>
      <c r="D19">
        <f t="shared" si="0"/>
        <v>12</v>
      </c>
    </row>
    <row r="20" spans="2:4" x14ac:dyDescent="0.3">
      <c r="B20" t="s">
        <v>2874</v>
      </c>
      <c r="C20" s="52">
        <f>SUMIF(BTS_매출관리!C:C,B20,BTS_매출관리!I:I)</f>
        <v>1600000</v>
      </c>
      <c r="D20">
        <f t="shared" si="0"/>
        <v>15</v>
      </c>
    </row>
    <row r="21" spans="2:4" x14ac:dyDescent="0.3">
      <c r="B21" t="s">
        <v>1520</v>
      </c>
      <c r="C21" s="52">
        <f>SUMIF(BTS_매출관리!C:C,B21,BTS_매출관리!I:I)</f>
        <v>1550000</v>
      </c>
      <c r="D21">
        <f t="shared" si="0"/>
        <v>16</v>
      </c>
    </row>
    <row r="22" spans="2:4" x14ac:dyDescent="0.3">
      <c r="B22" t="s">
        <v>1352</v>
      </c>
      <c r="C22" s="52">
        <f>SUMIF(BTS_매출관리!C:C,B22,BTS_매출관리!I:I)</f>
        <v>1550000</v>
      </c>
      <c r="D22">
        <f t="shared" si="0"/>
        <v>16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16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19</v>
      </c>
    </row>
    <row r="25" spans="2:4" x14ac:dyDescent="0.3">
      <c r="B25" t="s">
        <v>1384</v>
      </c>
      <c r="C25" s="52">
        <f>SUMIF(BTS_매출관리!C:C,B25,BTS_매출관리!I:I)</f>
        <v>1452000</v>
      </c>
      <c r="D25">
        <f t="shared" si="0"/>
        <v>20</v>
      </c>
    </row>
    <row r="26" spans="2:4" x14ac:dyDescent="0.3">
      <c r="B26" t="s">
        <v>1359</v>
      </c>
      <c r="C26" s="52">
        <f>SUMIF(BTS_매출관리!C:C,B26,BTS_매출관리!I:I)</f>
        <v>1200000</v>
      </c>
      <c r="D26">
        <f t="shared" si="0"/>
        <v>22</v>
      </c>
    </row>
    <row r="27" spans="2:4" x14ac:dyDescent="0.3">
      <c r="B27" t="s">
        <v>2869</v>
      </c>
      <c r="C27" s="52">
        <f>SUMIF(BTS_매출관리!C:C,B27,BTS_매출관리!I:I)</f>
        <v>1200000</v>
      </c>
      <c r="D27">
        <f t="shared" si="0"/>
        <v>22</v>
      </c>
    </row>
    <row r="28" spans="2:4" x14ac:dyDescent="0.3">
      <c r="B28" t="s">
        <v>2854</v>
      </c>
      <c r="C28" s="52">
        <f>SUMIF(BTS_매출관리!C:C,B28,BTS_매출관리!I:I)</f>
        <v>1200000</v>
      </c>
      <c r="D28">
        <f t="shared" si="0"/>
        <v>22</v>
      </c>
    </row>
    <row r="29" spans="2:4" x14ac:dyDescent="0.3">
      <c r="B29" t="s">
        <v>1186</v>
      </c>
      <c r="C29" s="52">
        <f>SUMIF(BTS_매출관리!C:C,B29,BTS_매출관리!I:I)</f>
        <v>900000</v>
      </c>
      <c r="D29">
        <f t="shared" si="0"/>
        <v>26</v>
      </c>
    </row>
    <row r="30" spans="2:4" x14ac:dyDescent="0.3">
      <c r="B30" t="s">
        <v>1332</v>
      </c>
      <c r="C30" s="52">
        <f>SUMIF(BTS_매출관리!C:C,B30,BTS_매출관리!I:I)</f>
        <v>715000</v>
      </c>
      <c r="D30">
        <f t="shared" si="0"/>
        <v>28</v>
      </c>
    </row>
    <row r="31" spans="2:4" x14ac:dyDescent="0.3">
      <c r="B31" t="s">
        <v>1365</v>
      </c>
      <c r="C31" s="52">
        <f>SUMIF(BTS_매출관리!C:C,B31,BTS_매출관리!I:I)</f>
        <v>450000</v>
      </c>
      <c r="D31">
        <f t="shared" si="0"/>
        <v>29</v>
      </c>
    </row>
    <row r="32" spans="2:4" x14ac:dyDescent="0.3">
      <c r="B32" t="s">
        <v>2928</v>
      </c>
      <c r="C32" s="52">
        <f>SUMIF(BTS_매출관리!C:C,B32,BTS_매출관리!I:I)</f>
        <v>450000</v>
      </c>
      <c r="D32">
        <f t="shared" si="0"/>
        <v>29</v>
      </c>
    </row>
    <row r="33" spans="2:4" x14ac:dyDescent="0.3">
      <c r="B33" t="s">
        <v>1315</v>
      </c>
      <c r="C33" s="52">
        <f>SUMIF(BTS_매출관리!C:C,B33,BTS_매출관리!I:I)</f>
        <v>440000</v>
      </c>
      <c r="D33">
        <f t="shared" si="0"/>
        <v>31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36</v>
      </c>
    </row>
    <row r="35" spans="2:4" x14ac:dyDescent="0.3">
      <c r="B35" t="s">
        <v>1387</v>
      </c>
      <c r="C35" s="52">
        <f>SUMIF(BTS_매출관리!C:C,B35,BTS_매출관리!I:I)</f>
        <v>199000</v>
      </c>
      <c r="D35">
        <f t="shared" si="0"/>
        <v>32</v>
      </c>
    </row>
    <row r="36" spans="2:4" x14ac:dyDescent="0.3">
      <c r="B36" t="s">
        <v>2843</v>
      </c>
      <c r="C36" s="52">
        <f>SUMIF(BTS_매출관리!C:C,B36,BTS_매출관리!I:I)</f>
        <v>150000</v>
      </c>
      <c r="D36">
        <f t="shared" si="0"/>
        <v>33</v>
      </c>
    </row>
    <row r="37" spans="2:4" x14ac:dyDescent="0.3">
      <c r="B37" t="s">
        <v>2308</v>
      </c>
      <c r="C37" s="52">
        <f>SUMIF(BTS_매출관리!C:C,B37,BTS_매출관리!I:I)</f>
        <v>70000</v>
      </c>
      <c r="D37">
        <f t="shared" si="0"/>
        <v>35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36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36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36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36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36</v>
      </c>
    </row>
    <row r="43" spans="2:4" x14ac:dyDescent="0.3">
      <c r="B43" t="s">
        <v>1307</v>
      </c>
      <c r="C43" s="52">
        <f>SUMIF(BTS_매출관리!C:C,B43,BTS_매출관리!I:I)</f>
        <v>0</v>
      </c>
      <c r="D43">
        <f t="shared" si="0"/>
        <v>36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36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36</v>
      </c>
    </row>
    <row r="46" spans="2:4" x14ac:dyDescent="0.3">
      <c r="B46" t="s">
        <v>2418</v>
      </c>
      <c r="C46" s="52">
        <f>SUMIF(BTS_매출관리!C:C,B46,BTS_매출관리!I:I)</f>
        <v>0</v>
      </c>
      <c r="D46">
        <f t="shared" si="0"/>
        <v>36</v>
      </c>
    </row>
    <row r="47" spans="2:4" x14ac:dyDescent="0.3">
      <c r="B47" t="s">
        <v>1044</v>
      </c>
      <c r="C47" s="52">
        <f>SUMIF(BTS_매출관리!C:C,B47,BTS_매출관리!I:I)</f>
        <v>0</v>
      </c>
      <c r="D47">
        <f t="shared" si="0"/>
        <v>36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36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36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36</v>
      </c>
    </row>
    <row r="51" spans="2:4" x14ac:dyDescent="0.3">
      <c r="B51" t="s">
        <v>1372</v>
      </c>
      <c r="C51" s="52">
        <f>SUMIF(BTS_매출관리!C:C,B51,BTS_매출관리!I:I)</f>
        <v>0</v>
      </c>
      <c r="D51">
        <f t="shared" si="0"/>
        <v>36</v>
      </c>
    </row>
    <row r="52" spans="2:4" x14ac:dyDescent="0.3">
      <c r="B52" t="s">
        <v>1327</v>
      </c>
      <c r="C52" s="52">
        <f>SUMIF(BTS_매출관리!C:C,B52,BTS_매출관리!I:I)</f>
        <v>0</v>
      </c>
      <c r="D52">
        <f t="shared" si="0"/>
        <v>36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36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36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36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36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36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36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36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36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36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36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36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36</v>
      </c>
    </row>
    <row r="65" spans="2:4" x14ac:dyDescent="0.3">
      <c r="B65" t="s">
        <v>1604</v>
      </c>
      <c r="C65" s="52">
        <f>SUMIF(BTS_매출관리!C:C,B65,BTS_매출관리!I:I)</f>
        <v>0</v>
      </c>
      <c r="D65">
        <f t="shared" si="0"/>
        <v>36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36</v>
      </c>
    </row>
    <row r="67" spans="2:4" x14ac:dyDescent="0.3">
      <c r="B67" t="s">
        <v>1380</v>
      </c>
      <c r="C67" s="52">
        <f>SUMIF(BTS_매출관리!C:C,B67,BTS_매출관리!I:I)</f>
        <v>0</v>
      </c>
      <c r="D67">
        <f t="shared" si="1"/>
        <v>36</v>
      </c>
    </row>
    <row r="68" spans="2:4" x14ac:dyDescent="0.3">
      <c r="B68" t="s">
        <v>1314</v>
      </c>
      <c r="C68" s="52">
        <f>SUMIF(BTS_매출관리!C:C,B68,BTS_매출관리!I:I)</f>
        <v>0</v>
      </c>
      <c r="D68">
        <f t="shared" si="1"/>
        <v>36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36</v>
      </c>
    </row>
    <row r="70" spans="2:4" x14ac:dyDescent="0.3">
      <c r="B70" t="s">
        <v>1357</v>
      </c>
      <c r="C70" s="52">
        <f>SUMIF(BTS_매출관리!C:C,B70,BTS_매출관리!I:I)</f>
        <v>0</v>
      </c>
      <c r="D70">
        <f t="shared" si="1"/>
        <v>36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36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36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36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36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36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36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36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36</v>
      </c>
    </row>
    <row r="79" spans="2:4" x14ac:dyDescent="0.3">
      <c r="B79" t="s">
        <v>1259</v>
      </c>
      <c r="C79" s="52">
        <f>SUMIF(BTS_매출관리!C:C,B79,BTS_매출관리!I:I)</f>
        <v>0</v>
      </c>
      <c r="D79">
        <f t="shared" si="1"/>
        <v>36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36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36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36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36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36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36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36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36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36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36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36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36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36</v>
      </c>
    </row>
    <row r="93" spans="2:4" x14ac:dyDescent="0.3">
      <c r="B93" t="s">
        <v>2194</v>
      </c>
      <c r="C93" s="52">
        <f>SUMIF(BTS_매출관리!C:C,B93,BTS_매출관리!I:I)</f>
        <v>0</v>
      </c>
      <c r="D93">
        <f t="shared" si="1"/>
        <v>36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36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36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36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36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36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36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36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36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36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36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36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36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36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36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36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36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36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36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36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36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36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36</v>
      </c>
    </row>
    <row r="116" spans="2:4" x14ac:dyDescent="0.3">
      <c r="B116" t="s">
        <v>1373</v>
      </c>
      <c r="C116" s="52">
        <f>SUMIF(BTS_매출관리!C:C,B116,BTS_매출관리!I:I)</f>
        <v>0</v>
      </c>
      <c r="D116">
        <f t="shared" si="1"/>
        <v>36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36</v>
      </c>
    </row>
    <row r="118" spans="2:4" x14ac:dyDescent="0.3">
      <c r="B118" t="s">
        <v>1309</v>
      </c>
      <c r="C118" s="52">
        <f>SUMIF(BTS_매출관리!C:C,B118,BTS_매출관리!I:I)</f>
        <v>0</v>
      </c>
      <c r="D118">
        <f t="shared" si="1"/>
        <v>36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36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36</v>
      </c>
    </row>
    <row r="121" spans="2:4" x14ac:dyDescent="0.3">
      <c r="B121" t="s">
        <v>1265</v>
      </c>
      <c r="C121" s="52">
        <f>SUMIF(BTS_매출관리!C:C,B121,BTS_매출관리!I:I)</f>
        <v>0</v>
      </c>
      <c r="D121">
        <f t="shared" si="1"/>
        <v>36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36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36</v>
      </c>
    </row>
    <row r="124" spans="2:4" x14ac:dyDescent="0.3">
      <c r="B124" t="s">
        <v>1328</v>
      </c>
      <c r="C124" s="52">
        <f>SUMIF(BTS_매출관리!C:C,B124,BTS_매출관리!I:I)</f>
        <v>0</v>
      </c>
      <c r="D124">
        <f t="shared" si="1"/>
        <v>36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36</v>
      </c>
    </row>
    <row r="126" spans="2:4" x14ac:dyDescent="0.3">
      <c r="B126" t="s">
        <v>1330</v>
      </c>
      <c r="C126" s="52">
        <f>SUMIF(BTS_매출관리!C:C,B126,BTS_매출관리!I:I)</f>
        <v>0</v>
      </c>
      <c r="D126">
        <f t="shared" si="1"/>
        <v>36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36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36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36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36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36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36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36</v>
      </c>
    </row>
    <row r="134" spans="2:4" x14ac:dyDescent="0.3">
      <c r="B134" t="s">
        <v>1347</v>
      </c>
      <c r="C134" s="52">
        <f>SUMIF(BTS_매출관리!C:C,B134,BTS_매출관리!I:I)</f>
        <v>0</v>
      </c>
      <c r="D134">
        <f t="shared" si="2"/>
        <v>36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36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36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36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36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36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36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36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36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36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36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36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36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36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36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36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36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36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36</v>
      </c>
    </row>
    <row r="153" spans="2:4" x14ac:dyDescent="0.3">
      <c r="B153" t="s">
        <v>1391</v>
      </c>
      <c r="C153" s="52">
        <f>SUMIF(BTS_매출관리!C:C,B153,BTS_매출관리!I:I)</f>
        <v>0</v>
      </c>
      <c r="D153">
        <f t="shared" si="2"/>
        <v>36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36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36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36</v>
      </c>
    </row>
    <row r="157" spans="2:4" x14ac:dyDescent="0.3">
      <c r="C157" s="52">
        <f>SUMIF(BTS_매출관리!C:C,B157,BTS_매출관리!I:I)</f>
        <v>0</v>
      </c>
      <c r="D157">
        <f t="shared" si="2"/>
        <v>36</v>
      </c>
    </row>
    <row r="158" spans="2:4" x14ac:dyDescent="0.3">
      <c r="C158" s="52">
        <f>SUMIF(BTS_매출관리!C:C,B158,BTS_매출관리!I:I)</f>
        <v>0</v>
      </c>
      <c r="D158">
        <f t="shared" si="2"/>
        <v>36</v>
      </c>
    </row>
    <row r="159" spans="2:4" x14ac:dyDescent="0.3">
      <c r="C159" s="52">
        <f>SUMIF(BTS_매출관리!C:C,B159,BTS_매출관리!I:I)</f>
        <v>0</v>
      </c>
      <c r="D159">
        <f t="shared" si="2"/>
        <v>36</v>
      </c>
    </row>
    <row r="160" spans="2:4" x14ac:dyDescent="0.3">
      <c r="C160" s="52">
        <f>SUMIF(BTS_매출관리!C:C,B160,BTS_매출관리!I:I)</f>
        <v>0</v>
      </c>
      <c r="D160">
        <f t="shared" si="2"/>
        <v>36</v>
      </c>
    </row>
    <row r="161" spans="3:4" x14ac:dyDescent="0.3">
      <c r="C161" s="52">
        <f>SUMIF(BTS_매출관리!C:C,B161,BTS_매출관리!I:I)</f>
        <v>0</v>
      </c>
      <c r="D161">
        <f t="shared" si="2"/>
        <v>36</v>
      </c>
    </row>
    <row r="162" spans="3:4" x14ac:dyDescent="0.3">
      <c r="C162" s="52">
        <f>SUMIF(BTS_매출관리!C:C,B162,BTS_매출관리!I:I)</f>
        <v>0</v>
      </c>
      <c r="D162">
        <f t="shared" si="2"/>
        <v>36</v>
      </c>
    </row>
    <row r="163" spans="3:4" x14ac:dyDescent="0.3">
      <c r="C163" s="52">
        <f>SUMIF(BTS_매출관리!C:C,B163,BTS_매출관리!I:I)</f>
        <v>0</v>
      </c>
      <c r="D163">
        <f t="shared" si="2"/>
        <v>36</v>
      </c>
    </row>
    <row r="164" spans="3:4" x14ac:dyDescent="0.3">
      <c r="C164" s="52">
        <f>SUMIF(BTS_매출관리!C:C,B164,BTS_매출관리!I:I)</f>
        <v>0</v>
      </c>
      <c r="D164">
        <f t="shared" si="2"/>
        <v>36</v>
      </c>
    </row>
    <row r="165" spans="3:4" x14ac:dyDescent="0.3">
      <c r="C165" s="52">
        <f>SUMIF(BTS_매출관리!C:C,B165,BTS_매출관리!I:I)</f>
        <v>0</v>
      </c>
      <c r="D165">
        <f t="shared" si="2"/>
        <v>36</v>
      </c>
    </row>
    <row r="166" spans="3:4" x14ac:dyDescent="0.3">
      <c r="C166" s="52">
        <f>SUMIF(BTS_매출관리!C:C,B166,BTS_매출관리!I:I)</f>
        <v>0</v>
      </c>
      <c r="D166">
        <f t="shared" si="2"/>
        <v>36</v>
      </c>
    </row>
    <row r="167" spans="3:4" x14ac:dyDescent="0.3">
      <c r="C167" s="52">
        <f>SUMIF(BTS_매출관리!C:C,B167,BTS_매출관리!I:I)</f>
        <v>0</v>
      </c>
      <c r="D167">
        <f t="shared" si="2"/>
        <v>36</v>
      </c>
    </row>
    <row r="168" spans="3:4" x14ac:dyDescent="0.3">
      <c r="C168" s="52">
        <f>SUMIF(BTS_매출관리!C:C,B168,BTS_매출관리!I:I)</f>
        <v>0</v>
      </c>
      <c r="D168">
        <f t="shared" si="2"/>
        <v>36</v>
      </c>
    </row>
    <row r="169" spans="3:4" x14ac:dyDescent="0.3">
      <c r="C169" s="52">
        <f>SUMIF(BTS_매출관리!C:C,B169,BTS_매출관리!I:I)</f>
        <v>0</v>
      </c>
      <c r="D169">
        <f t="shared" si="2"/>
        <v>36</v>
      </c>
    </row>
    <row r="170" spans="3:4" x14ac:dyDescent="0.3">
      <c r="C170" s="52">
        <f>SUMIF(BTS_매출관리!C:C,B170,BTS_매출관리!I:I)</f>
        <v>0</v>
      </c>
      <c r="D170">
        <f t="shared" si="2"/>
        <v>36</v>
      </c>
    </row>
    <row r="171" spans="3:4" x14ac:dyDescent="0.3">
      <c r="C171" s="52">
        <f>SUMIF(BTS_매출관리!C:C,B171,BTS_매출관리!I:I)</f>
        <v>0</v>
      </c>
      <c r="D171">
        <f t="shared" si="2"/>
        <v>36</v>
      </c>
    </row>
    <row r="172" spans="3:4" x14ac:dyDescent="0.3">
      <c r="C172" s="52">
        <f>SUMIF(BTS_매출관리!C:C,B172,BTS_매출관리!I:I)</f>
        <v>0</v>
      </c>
      <c r="D172">
        <f t="shared" si="2"/>
        <v>36</v>
      </c>
    </row>
    <row r="173" spans="3:4" x14ac:dyDescent="0.3">
      <c r="C173" s="52">
        <f>SUMIF(BTS_매출관리!C:C,B173,BTS_매출관리!I:I)</f>
        <v>0</v>
      </c>
      <c r="D173">
        <f t="shared" si="2"/>
        <v>36</v>
      </c>
    </row>
    <row r="174" spans="3:4" x14ac:dyDescent="0.3">
      <c r="C174" s="52">
        <f>SUMIF(BTS_매출관리!C:C,B174,BTS_매출관리!I:I)</f>
        <v>0</v>
      </c>
      <c r="D174">
        <f t="shared" si="2"/>
        <v>36</v>
      </c>
    </row>
    <row r="175" spans="3:4" x14ac:dyDescent="0.3">
      <c r="C175" s="52">
        <f>SUMIF(BTS_매출관리!C:C,B175,BTS_매출관리!I:I)</f>
        <v>0</v>
      </c>
      <c r="D175">
        <f t="shared" si="2"/>
        <v>36</v>
      </c>
    </row>
    <row r="176" spans="3:4" x14ac:dyDescent="0.3">
      <c r="C176" s="52">
        <f>SUMIF(BTS_매출관리!C:C,B176,BTS_매출관리!I:I)</f>
        <v>0</v>
      </c>
      <c r="D176">
        <f t="shared" si="2"/>
        <v>36</v>
      </c>
    </row>
    <row r="177" spans="3:4" x14ac:dyDescent="0.3">
      <c r="C177" s="52">
        <f>SUMIF(BTS_매출관리!C:C,B177,BTS_매출관리!I:I)</f>
        <v>0</v>
      </c>
      <c r="D177">
        <f t="shared" si="2"/>
        <v>36</v>
      </c>
    </row>
    <row r="178" spans="3:4" x14ac:dyDescent="0.3">
      <c r="C178" s="52">
        <f>SUMIF(BTS_매출관리!C:C,B178,BTS_매출관리!I:I)</f>
        <v>0</v>
      </c>
      <c r="D178">
        <f t="shared" si="2"/>
        <v>36</v>
      </c>
    </row>
    <row r="179" spans="3:4" x14ac:dyDescent="0.3">
      <c r="C179" s="52">
        <f>SUMIF(BTS_매출관리!C:C,B179,BTS_매출관리!I:I)</f>
        <v>0</v>
      </c>
      <c r="D179">
        <f t="shared" si="2"/>
        <v>36</v>
      </c>
    </row>
    <row r="180" spans="3:4" x14ac:dyDescent="0.3">
      <c r="C180" s="52">
        <f>SUMIF(BTS_매출관리!C:C,B180,BTS_매출관리!I:I)</f>
        <v>0</v>
      </c>
      <c r="D180">
        <f t="shared" si="2"/>
        <v>36</v>
      </c>
    </row>
    <row r="181" spans="3:4" x14ac:dyDescent="0.3">
      <c r="C181" s="52">
        <f>SUMIF(BTS_매출관리!C:C,B181,BTS_매출관리!I:I)</f>
        <v>0</v>
      </c>
      <c r="D181">
        <f t="shared" si="2"/>
        <v>36</v>
      </c>
    </row>
    <row r="182" spans="3:4" x14ac:dyDescent="0.3">
      <c r="C182" s="52">
        <f>SUMIF(BTS_매출관리!C:C,B182,BTS_매출관리!I:I)</f>
        <v>0</v>
      </c>
      <c r="D182">
        <f t="shared" si="2"/>
        <v>36</v>
      </c>
    </row>
    <row r="183" spans="3:4" x14ac:dyDescent="0.3">
      <c r="C183" s="52">
        <f>SUMIF(BTS_매출관리!C:C,B183,BTS_매출관리!I:I)</f>
        <v>0</v>
      </c>
      <c r="D183">
        <f t="shared" si="2"/>
        <v>36</v>
      </c>
    </row>
    <row r="184" spans="3:4" x14ac:dyDescent="0.3">
      <c r="C184" s="52">
        <f>SUMIF(BTS_매출관리!C:C,B184,BTS_매출관리!I:I)</f>
        <v>0</v>
      </c>
      <c r="D184">
        <f t="shared" si="2"/>
        <v>36</v>
      </c>
    </row>
    <row r="185" spans="3:4" x14ac:dyDescent="0.3">
      <c r="C185" s="52">
        <f>SUMIF(BTS_매출관리!C:C,B185,BTS_매출관리!I:I)</f>
        <v>0</v>
      </c>
      <c r="D185">
        <f t="shared" si="2"/>
        <v>36</v>
      </c>
    </row>
    <row r="186" spans="3:4" x14ac:dyDescent="0.3">
      <c r="C186" s="52">
        <f>SUMIF(BTS_매출관리!C:C,B186,BTS_매출관리!I:I)</f>
        <v>0</v>
      </c>
      <c r="D186">
        <f t="shared" si="2"/>
        <v>36</v>
      </c>
    </row>
    <row r="187" spans="3:4" x14ac:dyDescent="0.3">
      <c r="C187" s="52">
        <f>SUMIF(BTS_매출관리!C:C,B187,BTS_매출관리!I:I)</f>
        <v>0</v>
      </c>
      <c r="D187">
        <f t="shared" si="2"/>
        <v>36</v>
      </c>
    </row>
    <row r="188" spans="3:4" x14ac:dyDescent="0.3">
      <c r="C188" s="52">
        <f>SUMIF(BTS_매출관리!C:C,B188,BTS_매출관리!I:I)</f>
        <v>0</v>
      </c>
      <c r="D188">
        <f t="shared" si="2"/>
        <v>36</v>
      </c>
    </row>
    <row r="189" spans="3:4" x14ac:dyDescent="0.3">
      <c r="C189" s="52">
        <f>SUMIF(BTS_매출관리!C:C,B189,BTS_매출관리!I:I)</f>
        <v>0</v>
      </c>
      <c r="D189">
        <f t="shared" si="2"/>
        <v>36</v>
      </c>
    </row>
    <row r="190" spans="3:4" x14ac:dyDescent="0.3">
      <c r="C190" s="52">
        <f>SUMIF(BTS_매출관리!C:C,B190,BTS_매출관리!I:I)</f>
        <v>0</v>
      </c>
      <c r="D190">
        <f t="shared" si="2"/>
        <v>36</v>
      </c>
    </row>
    <row r="191" spans="3:4" x14ac:dyDescent="0.3">
      <c r="C191" s="52">
        <f>SUMIF(BTS_매출관리!C:C,B191,BTS_매출관리!I:I)</f>
        <v>0</v>
      </c>
      <c r="D191">
        <f t="shared" si="2"/>
        <v>36</v>
      </c>
    </row>
    <row r="192" spans="3:4" x14ac:dyDescent="0.3">
      <c r="C192" s="52">
        <f>SUMIF(BTS_매출관리!C:C,B192,BTS_매출관리!I:I)</f>
        <v>0</v>
      </c>
      <c r="D192">
        <f t="shared" si="2"/>
        <v>36</v>
      </c>
    </row>
    <row r="193" spans="3:4" x14ac:dyDescent="0.3">
      <c r="C193" s="52">
        <f>SUMIF(BTS_매출관리!C:C,B193,BTS_매출관리!I:I)</f>
        <v>0</v>
      </c>
      <c r="D193">
        <f t="shared" si="2"/>
        <v>36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36</v>
      </c>
    </row>
    <row r="195" spans="3:4" x14ac:dyDescent="0.3">
      <c r="C195" s="52">
        <f>SUMIF(BTS_매출관리!C:C,B195,BTS_매출관리!I:I)</f>
        <v>0</v>
      </c>
      <c r="D195">
        <f t="shared" si="3"/>
        <v>36</v>
      </c>
    </row>
    <row r="196" spans="3:4" x14ac:dyDescent="0.3">
      <c r="C196" s="52">
        <f>SUMIF(BTS_매출관리!C:C,B196,BTS_매출관리!I:I)</f>
        <v>0</v>
      </c>
      <c r="D196">
        <f t="shared" si="3"/>
        <v>36</v>
      </c>
    </row>
    <row r="197" spans="3:4" x14ac:dyDescent="0.3">
      <c r="C197" s="52">
        <f>SUMIF(BTS_매출관리!C:C,B197,BTS_매출관리!I:I)</f>
        <v>0</v>
      </c>
      <c r="D197">
        <f t="shared" si="3"/>
        <v>36</v>
      </c>
    </row>
    <row r="198" spans="3:4" x14ac:dyDescent="0.3">
      <c r="C198" s="52">
        <f>SUMIF(BTS_매출관리!C:C,B198,BTS_매출관리!I:I)</f>
        <v>0</v>
      </c>
      <c r="D198">
        <f t="shared" si="3"/>
        <v>36</v>
      </c>
    </row>
    <row r="199" spans="3:4" x14ac:dyDescent="0.3">
      <c r="C199" s="52">
        <f>SUMIF(BTS_매출관리!C:C,B199,BTS_매출관리!I:I)</f>
        <v>0</v>
      </c>
      <c r="D199">
        <f t="shared" si="3"/>
        <v>36</v>
      </c>
    </row>
    <row r="200" spans="3:4" x14ac:dyDescent="0.3">
      <c r="C200" s="52">
        <f>SUMIF(BTS_매출관리!C:C,B200,BTS_매출관리!I:I)</f>
        <v>0</v>
      </c>
      <c r="D200">
        <f t="shared" si="3"/>
        <v>36</v>
      </c>
    </row>
    <row r="201" spans="3:4" x14ac:dyDescent="0.3">
      <c r="C201" s="52">
        <f>SUMIF(BTS_매출관리!C:C,B201,BTS_매출관리!I:I)</f>
        <v>0</v>
      </c>
      <c r="D201">
        <f t="shared" si="3"/>
        <v>36</v>
      </c>
    </row>
    <row r="202" spans="3:4" x14ac:dyDescent="0.3">
      <c r="C202" s="52">
        <f>SUMIF(BTS_매출관리!C:C,B202,BTS_매출관리!I:I)</f>
        <v>0</v>
      </c>
      <c r="D202">
        <f t="shared" si="3"/>
        <v>36</v>
      </c>
    </row>
    <row r="203" spans="3:4" x14ac:dyDescent="0.3">
      <c r="C203" s="52">
        <f>SUMIF(BTS_매출관리!C:C,B203,BTS_매출관리!I:I)</f>
        <v>0</v>
      </c>
      <c r="D203">
        <f t="shared" si="3"/>
        <v>36</v>
      </c>
    </row>
    <row r="204" spans="3:4" x14ac:dyDescent="0.3">
      <c r="C204" s="52">
        <f>SUMIF(BTS_매출관리!C:C,B204,BTS_매출관리!I:I)</f>
        <v>0</v>
      </c>
      <c r="D204">
        <f t="shared" si="3"/>
        <v>36</v>
      </c>
    </row>
    <row r="205" spans="3:4" x14ac:dyDescent="0.3">
      <c r="C205" s="52">
        <f>SUMIF(BTS_매출관리!C:C,B205,BTS_매출관리!I:I)</f>
        <v>0</v>
      </c>
      <c r="D205">
        <f t="shared" si="3"/>
        <v>36</v>
      </c>
    </row>
    <row r="206" spans="3:4" x14ac:dyDescent="0.3">
      <c r="C206" s="52">
        <f>SUMIF(BTS_매출관리!C:C,B206,BTS_매출관리!I:I)</f>
        <v>0</v>
      </c>
      <c r="D206">
        <f t="shared" si="3"/>
        <v>36</v>
      </c>
    </row>
    <row r="207" spans="3:4" x14ac:dyDescent="0.3">
      <c r="C207" s="52">
        <f>SUMIF(BTS_매출관리!C:C,B207,BTS_매출관리!I:I)</f>
        <v>0</v>
      </c>
      <c r="D207">
        <f t="shared" si="3"/>
        <v>36</v>
      </c>
    </row>
    <row r="208" spans="3:4" x14ac:dyDescent="0.3">
      <c r="C208" s="52">
        <f>SUMIF(BTS_매출관리!C:C,B208,BTS_매출관리!I:I)</f>
        <v>0</v>
      </c>
      <c r="D208">
        <f t="shared" si="3"/>
        <v>36</v>
      </c>
    </row>
    <row r="209" spans="3:4" x14ac:dyDescent="0.3">
      <c r="C209" s="52">
        <f>SUMIF(BTS_매출관리!C:C,B209,BTS_매출관리!I:I)</f>
        <v>0</v>
      </c>
      <c r="D209">
        <f t="shared" si="3"/>
        <v>36</v>
      </c>
    </row>
    <row r="210" spans="3:4" x14ac:dyDescent="0.3">
      <c r="C210" s="52">
        <f>SUMIF(BTS_매출관리!C:C,B210,BTS_매출관리!I:I)</f>
        <v>0</v>
      </c>
      <c r="D210">
        <f t="shared" si="3"/>
        <v>36</v>
      </c>
    </row>
    <row r="211" spans="3:4" x14ac:dyDescent="0.3">
      <c r="C211" s="52">
        <f>SUMIF(BTS_매출관리!C:C,B211,BTS_매출관리!I:I)</f>
        <v>0</v>
      </c>
      <c r="D211">
        <f t="shared" si="3"/>
        <v>36</v>
      </c>
    </row>
    <row r="212" spans="3:4" x14ac:dyDescent="0.3">
      <c r="C212" s="52">
        <f>SUMIF(BTS_매출관리!C:C,B212,BTS_매출관리!I:I)</f>
        <v>0</v>
      </c>
      <c r="D212">
        <f t="shared" si="3"/>
        <v>36</v>
      </c>
    </row>
    <row r="213" spans="3:4" x14ac:dyDescent="0.3">
      <c r="C213" s="52">
        <f>SUMIF(BTS_매출관리!C:C,B213,BTS_매출관리!I:I)</f>
        <v>0</v>
      </c>
      <c r="D213">
        <f t="shared" si="3"/>
        <v>36</v>
      </c>
    </row>
    <row r="214" spans="3:4" x14ac:dyDescent="0.3">
      <c r="C214" s="52">
        <f>SUMIF(BTS_매출관리!C:C,B214,BTS_매출관리!I:I)</f>
        <v>0</v>
      </c>
      <c r="D214">
        <f t="shared" si="3"/>
        <v>36</v>
      </c>
    </row>
    <row r="215" spans="3:4" x14ac:dyDescent="0.3">
      <c r="C215" s="52">
        <f>SUMIF(BTS_매출관리!C:C,B215,BTS_매출관리!I:I)</f>
        <v>0</v>
      </c>
      <c r="D215">
        <f t="shared" si="3"/>
        <v>36</v>
      </c>
    </row>
    <row r="216" spans="3:4" x14ac:dyDescent="0.3">
      <c r="C216" s="52">
        <f>SUMIF(BTS_매출관리!C:C,B216,BTS_매출관리!I:I)</f>
        <v>0</v>
      </c>
      <c r="D216">
        <f t="shared" si="3"/>
        <v>36</v>
      </c>
    </row>
    <row r="217" spans="3:4" x14ac:dyDescent="0.3">
      <c r="C217" s="52">
        <f>SUMIF(BTS_매출관리!C:C,B217,BTS_매출관리!I:I)</f>
        <v>0</v>
      </c>
      <c r="D217">
        <f t="shared" si="3"/>
        <v>36</v>
      </c>
    </row>
    <row r="218" spans="3:4" x14ac:dyDescent="0.3">
      <c r="C218" s="52">
        <f>SUMIF(BTS_매출관리!C:C,B218,BTS_매출관리!I:I)</f>
        <v>0</v>
      </c>
      <c r="D218">
        <f t="shared" si="3"/>
        <v>36</v>
      </c>
    </row>
    <row r="219" spans="3:4" x14ac:dyDescent="0.3">
      <c r="C219" s="52">
        <f>SUMIF(BTS_매출관리!C:C,B219,BTS_매출관리!I:I)</f>
        <v>0</v>
      </c>
      <c r="D219">
        <f t="shared" si="3"/>
        <v>36</v>
      </c>
    </row>
    <row r="220" spans="3:4" x14ac:dyDescent="0.3">
      <c r="C220" s="52">
        <f>SUMIF(BTS_매출관리!C:C,B220,BTS_매출관리!I:I)</f>
        <v>0</v>
      </c>
      <c r="D220">
        <f t="shared" si="3"/>
        <v>36</v>
      </c>
    </row>
    <row r="221" spans="3:4" x14ac:dyDescent="0.3">
      <c r="C221" s="52">
        <f>SUMIF(BTS_매출관리!C:C,B221,BTS_매출관리!I:I)</f>
        <v>0</v>
      </c>
      <c r="D221">
        <f t="shared" si="3"/>
        <v>36</v>
      </c>
    </row>
    <row r="222" spans="3:4" x14ac:dyDescent="0.3">
      <c r="C222" s="52">
        <f>SUMIF(BTS_매출관리!C:C,B222,BTS_매출관리!I:I)</f>
        <v>0</v>
      </c>
      <c r="D222">
        <f t="shared" si="3"/>
        <v>36</v>
      </c>
    </row>
    <row r="223" spans="3:4" x14ac:dyDescent="0.3">
      <c r="C223" s="52">
        <f>SUMIF(BTS_매출관리!C:C,B223,BTS_매출관리!I:I)</f>
        <v>0</v>
      </c>
      <c r="D223">
        <f t="shared" si="3"/>
        <v>36</v>
      </c>
    </row>
    <row r="224" spans="3:4" x14ac:dyDescent="0.3">
      <c r="C224" s="52">
        <f>SUMIF(BTS_매출관리!C:C,B224,BTS_매출관리!I:I)</f>
        <v>0</v>
      </c>
      <c r="D224">
        <f t="shared" si="3"/>
        <v>36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2372</v>
      </c>
      <c r="C1" s="442" t="s">
        <v>2604</v>
      </c>
      <c r="D1" s="439" t="s">
        <v>2633</v>
      </c>
      <c r="E1" s="439" t="s">
        <v>40</v>
      </c>
      <c r="F1" s="439" t="s">
        <v>2811</v>
      </c>
      <c r="G1" s="439"/>
      <c r="H1" s="439" t="s">
        <v>2812</v>
      </c>
      <c r="I1" s="439"/>
      <c r="J1" s="439" t="s">
        <v>2813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3208</v>
      </c>
      <c r="D49" s="259" t="s">
        <v>3209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3212</v>
      </c>
      <c r="E51" s="259" t="s">
        <v>2614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3210</v>
      </c>
      <c r="D52" s="259" t="s">
        <v>3211</v>
      </c>
      <c r="E52" s="259" t="s">
        <v>2614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3212</v>
      </c>
      <c r="E53" s="259" t="s">
        <v>2614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3213</v>
      </c>
      <c r="D54" s="259" t="s">
        <v>3214</v>
      </c>
      <c r="E54" s="259" t="s">
        <v>2614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2614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2614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2614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2614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2614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2614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2614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2614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2614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2611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2614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2632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1226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2271</v>
      </c>
      <c r="D2" s="304"/>
      <c r="E2" s="304"/>
      <c r="F2" s="304"/>
      <c r="G2" s="305"/>
      <c r="H2" s="303" t="s">
        <v>81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1194</v>
      </c>
      <c r="B3" s="37" t="s">
        <v>64</v>
      </c>
      <c r="C3" s="477" t="s">
        <v>1573</v>
      </c>
      <c r="D3" s="478"/>
      <c r="E3" s="478"/>
      <c r="F3" s="478"/>
      <c r="G3" s="478"/>
      <c r="H3" s="478"/>
      <c r="I3" s="478"/>
      <c r="J3" s="479"/>
      <c r="K3" s="325" t="s">
        <v>1195</v>
      </c>
      <c r="L3" s="37" t="s">
        <v>64</v>
      </c>
      <c r="M3" s="474" t="s">
        <v>970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480" t="s">
        <v>78</v>
      </c>
      <c r="U4" s="481"/>
    </row>
    <row r="5" spans="1:21" ht="15.75" customHeight="1" x14ac:dyDescent="0.3">
      <c r="A5" s="320"/>
      <c r="B5" s="38" t="s">
        <v>65</v>
      </c>
      <c r="C5" s="310" t="s">
        <v>1111</v>
      </c>
      <c r="D5" s="311"/>
      <c r="E5" s="311"/>
      <c r="F5" s="311"/>
      <c r="G5" s="311"/>
      <c r="H5" s="311"/>
      <c r="I5" s="311"/>
      <c r="J5" s="312"/>
      <c r="K5" s="326"/>
      <c r="L5" s="38" t="s">
        <v>65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80</v>
      </c>
      <c r="C6" s="310" t="s">
        <v>1110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980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83</v>
      </c>
      <c r="G7" s="315"/>
      <c r="H7" s="315"/>
      <c r="I7" s="316"/>
      <c r="J7" s="317" t="s">
        <v>72</v>
      </c>
      <c r="K7" s="316"/>
      <c r="L7" s="317" t="s">
        <v>46</v>
      </c>
      <c r="M7" s="315"/>
      <c r="N7" s="315"/>
      <c r="O7" s="315"/>
      <c r="P7" s="316"/>
      <c r="Q7" s="317" t="s">
        <v>73</v>
      </c>
      <c r="R7" s="315"/>
      <c r="S7" s="316"/>
      <c r="T7" s="317" t="s">
        <v>74</v>
      </c>
      <c r="U7" s="318"/>
    </row>
    <row r="8" spans="1:21" ht="15" customHeight="1" x14ac:dyDescent="0.3">
      <c r="A8" s="482" t="s">
        <v>1158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86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965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96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76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82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1194</v>
      </c>
      <c r="B26" s="37" t="s">
        <v>64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1195</v>
      </c>
      <c r="L26" s="37" t="s">
        <v>64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66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66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67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80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26</v>
      </c>
      <c r="T29" s="310"/>
      <c r="U29" s="313"/>
    </row>
    <row r="30" spans="1:21" ht="15.75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72</v>
      </c>
      <c r="K30" s="316"/>
      <c r="L30" s="317" t="s">
        <v>46</v>
      </c>
      <c r="M30" s="315"/>
      <c r="N30" s="315"/>
      <c r="O30" s="315"/>
      <c r="P30" s="316"/>
      <c r="Q30" s="317" t="s">
        <v>73</v>
      </c>
      <c r="R30" s="315"/>
      <c r="S30" s="316"/>
      <c r="T30" s="317" t="s">
        <v>74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86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965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96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971</v>
      </c>
      <c r="K44" s="416"/>
      <c r="L44" s="385" t="str">
        <f>L21</f>
        <v>장효주</v>
      </c>
      <c r="M44" s="385"/>
      <c r="N44" s="385"/>
      <c r="O44" s="419" t="s">
        <v>69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64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689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3167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3168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3169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3170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3171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3172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3173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3174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3175</v>
      </c>
    </row>
    <row r="595" spans="1:4" x14ac:dyDescent="0.3">
      <c r="A595">
        <v>619</v>
      </c>
      <c r="B595" s="13">
        <v>45866</v>
      </c>
      <c r="C595" t="s">
        <v>3176</v>
      </c>
      <c r="D595" t="s">
        <v>3179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3180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3181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3182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3183</v>
      </c>
    </row>
    <row r="600" spans="1:4" x14ac:dyDescent="0.3">
      <c r="A600">
        <v>624</v>
      </c>
      <c r="B600" s="13">
        <v>45866</v>
      </c>
      <c r="C600" t="s">
        <v>3184</v>
      </c>
      <c r="D600" t="s">
        <v>3189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3217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3218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3219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3220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3221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3222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3223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3224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3229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3230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3231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3233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3234</v>
      </c>
    </row>
    <row r="614" spans="1:4" x14ac:dyDescent="0.3">
      <c r="A614">
        <v>638</v>
      </c>
      <c r="B614" s="13">
        <v>45868</v>
      </c>
      <c r="C614" t="s">
        <v>3235</v>
      </c>
      <c r="D614" t="s">
        <v>3239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3240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3243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3244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3245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3246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3247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3250</v>
      </c>
    </row>
    <row r="622" spans="1:4" x14ac:dyDescent="0.3">
      <c r="A622">
        <v>646</v>
      </c>
      <c r="B622" s="13">
        <v>45870</v>
      </c>
      <c r="C622" t="s">
        <v>3251</v>
      </c>
      <c r="D622" t="s">
        <v>3252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3253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3254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3258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3259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3260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3261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3262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3263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3265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3266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3267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3268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3270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3271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3272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3273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3286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3287</v>
      </c>
    </row>
    <row r="641" spans="1:4" x14ac:dyDescent="0.3">
      <c r="A641">
        <v>665</v>
      </c>
      <c r="B641" s="13">
        <v>45875</v>
      </c>
      <c r="C641" t="s">
        <v>3280</v>
      </c>
      <c r="D641" t="s">
        <v>3292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3294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3295</v>
      </c>
    </row>
    <row r="644" spans="1:4" x14ac:dyDescent="0.3">
      <c r="A644">
        <v>668</v>
      </c>
      <c r="B644" s="13">
        <v>45875</v>
      </c>
      <c r="C644" t="s">
        <v>3296</v>
      </c>
      <c r="D644" t="s">
        <v>3297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3298</v>
      </c>
    </row>
    <row r="646" spans="1:4" x14ac:dyDescent="0.3">
      <c r="A646">
        <v>670</v>
      </c>
      <c r="B646" s="13">
        <v>45875</v>
      </c>
      <c r="C646" t="s">
        <v>1610</v>
      </c>
      <c r="D646" t="s">
        <v>3300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3301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3307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3308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3309</v>
      </c>
    </row>
    <row r="651" spans="1:4" x14ac:dyDescent="0.3">
      <c r="A651">
        <v>675</v>
      </c>
      <c r="B651" s="13">
        <v>45877</v>
      </c>
      <c r="C651" t="s">
        <v>3312</v>
      </c>
      <c r="D651" t="s">
        <v>3313</v>
      </c>
    </row>
    <row r="652" spans="1:4" x14ac:dyDescent="0.3">
      <c r="A652">
        <v>676</v>
      </c>
      <c r="B652" s="13">
        <v>45877</v>
      </c>
      <c r="C652" t="s">
        <v>3315</v>
      </c>
      <c r="D652" t="s">
        <v>3319</v>
      </c>
    </row>
    <row r="653" spans="1:4" x14ac:dyDescent="0.3">
      <c r="A653">
        <v>677</v>
      </c>
      <c r="B653" s="13">
        <v>45877</v>
      </c>
      <c r="C653" t="s">
        <v>3312</v>
      </c>
      <c r="D653" t="s">
        <v>3320</v>
      </c>
    </row>
    <row r="654" spans="1:4" x14ac:dyDescent="0.3">
      <c r="A654">
        <v>678</v>
      </c>
      <c r="B654" s="13">
        <v>45877</v>
      </c>
      <c r="C654" t="s">
        <v>3315</v>
      </c>
      <c r="D654" t="s">
        <v>3321</v>
      </c>
    </row>
    <row r="655" spans="1:4" x14ac:dyDescent="0.3">
      <c r="A655">
        <v>679</v>
      </c>
      <c r="B655" s="13">
        <v>45877</v>
      </c>
      <c r="C655" t="s">
        <v>3312</v>
      </c>
      <c r="D655" t="s">
        <v>3322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3324</v>
      </c>
    </row>
    <row r="657" spans="1:4" x14ac:dyDescent="0.3">
      <c r="A657">
        <v>681</v>
      </c>
      <c r="B657" s="13">
        <v>45878</v>
      </c>
      <c r="C657" t="s">
        <v>3325</v>
      </c>
      <c r="D657" t="s">
        <v>3326</v>
      </c>
    </row>
    <row r="658" spans="1:4" x14ac:dyDescent="0.3">
      <c r="A658">
        <v>682</v>
      </c>
      <c r="B658" s="13">
        <v>45880</v>
      </c>
      <c r="C658" t="s">
        <v>2369</v>
      </c>
      <c r="D658" t="s">
        <v>3328</v>
      </c>
    </row>
    <row r="659" spans="1:4" x14ac:dyDescent="0.3">
      <c r="A659">
        <v>683</v>
      </c>
      <c r="B659" s="13">
        <v>45880</v>
      </c>
      <c r="C659" t="s">
        <v>1781</v>
      </c>
      <c r="D659" t="s">
        <v>3329</v>
      </c>
    </row>
    <row r="660" spans="1:4" x14ac:dyDescent="0.3">
      <c r="A660">
        <v>684</v>
      </c>
      <c r="B660" s="13">
        <v>45880</v>
      </c>
      <c r="C660" t="s">
        <v>1613</v>
      </c>
      <c r="D660" t="s">
        <v>3330</v>
      </c>
    </row>
    <row r="661" spans="1:4" x14ac:dyDescent="0.3">
      <c r="A661">
        <v>685</v>
      </c>
      <c r="B661" t="s">
        <v>3332</v>
      </c>
      <c r="C661" t="s">
        <v>1526</v>
      </c>
      <c r="D661" t="s">
        <v>3333</v>
      </c>
    </row>
    <row r="662" spans="1:4" x14ac:dyDescent="0.3">
      <c r="A662">
        <v>686</v>
      </c>
      <c r="B662" s="13">
        <v>45880</v>
      </c>
      <c r="C662" t="s">
        <v>1431</v>
      </c>
      <c r="D662" t="s">
        <v>3334</v>
      </c>
    </row>
    <row r="663" spans="1:4" x14ac:dyDescent="0.3">
      <c r="A663">
        <v>687</v>
      </c>
      <c r="B663" s="13">
        <v>45880</v>
      </c>
      <c r="C663" t="s">
        <v>1932</v>
      </c>
      <c r="D663" t="s">
        <v>3335</v>
      </c>
    </row>
    <row r="664" spans="1:4" x14ac:dyDescent="0.3">
      <c r="A664">
        <v>688</v>
      </c>
      <c r="B664" s="13">
        <v>45880</v>
      </c>
      <c r="C664" t="s">
        <v>3049</v>
      </c>
      <c r="D664" t="s">
        <v>3341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171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274999.59999999963</v>
      </c>
      <c r="I2" s="201"/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350000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15486000.199999999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3241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659999.69999999925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1300000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8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8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8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8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3249</v>
      </c>
      <c r="H36" s="201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4969000</v>
      </c>
    </row>
    <row r="38" spans="1:8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</row>
    <row r="39" spans="1:8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8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8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8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8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8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8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8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8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0</v>
      </c>
      <c r="I57" s="52" t="s">
        <v>3311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1550000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3248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0</v>
      </c>
      <c r="I79" s="52" t="s">
        <v>3311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3248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  <c r="I84" s="52" t="s">
        <v>3279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3279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9.999999962747097E-2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2029500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0</v>
      </c>
      <c r="I99" s="52" t="s">
        <v>3311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3288</v>
      </c>
      <c r="C107" t="s">
        <v>3289</v>
      </c>
      <c r="E107" t="s">
        <v>3290</v>
      </c>
      <c r="F107" t="s">
        <v>969</v>
      </c>
      <c r="G107" t="s">
        <v>3291</v>
      </c>
      <c r="H107" s="201">
        <f>SUMIF(주문_리스트!C:C,거래처!B107,주문_리스트!K:K)+SUMIF(주문_리스트!C:C,거래처!B107,주문_리스트!L:L)-450000</f>
        <v>70000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3166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1851000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3241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3190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1550000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1100000</v>
      </c>
    </row>
    <row r="126" spans="1:9" x14ac:dyDescent="0.3">
      <c r="A126">
        <v>125</v>
      </c>
      <c r="B126" t="s">
        <v>1876</v>
      </c>
      <c r="C126" t="s">
        <v>3255</v>
      </c>
      <c r="E126" t="s">
        <v>3256</v>
      </c>
      <c r="F126" t="s">
        <v>969</v>
      </c>
      <c r="G126" t="s">
        <v>3257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3311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3279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1320000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3241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3176</v>
      </c>
      <c r="C167" t="s">
        <v>3177</v>
      </c>
      <c r="E167" t="s">
        <v>3178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3184</v>
      </c>
      <c r="C168" t="s">
        <v>3185</v>
      </c>
      <c r="D168" t="s">
        <v>3186</v>
      </c>
      <c r="E168" t="s">
        <v>3187</v>
      </c>
      <c r="F168" t="s">
        <v>983</v>
      </c>
      <c r="G168" t="s">
        <v>3188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3235</v>
      </c>
      <c r="C169" t="s">
        <v>3236</v>
      </c>
      <c r="E169" t="s">
        <v>3237</v>
      </c>
      <c r="F169" t="s">
        <v>983</v>
      </c>
      <c r="G169" t="s">
        <v>3238</v>
      </c>
      <c r="H169" s="201">
        <f>SUMIF(주문_리스트!C:C,거래처!B169,주문_리스트!K:K)+SUMIF(주문_리스트!C:C,거래처!B169,주문_리스트!L:L)</f>
        <v>0</v>
      </c>
      <c r="I169" s="52" t="s">
        <v>3241</v>
      </c>
    </row>
    <row r="170" spans="1:9" x14ac:dyDescent="0.3">
      <c r="A170">
        <v>169</v>
      </c>
      <c r="B170" t="s">
        <v>3280</v>
      </c>
      <c r="C170" t="s">
        <v>3281</v>
      </c>
      <c r="E170" t="s">
        <v>3282</v>
      </c>
      <c r="F170" t="s">
        <v>969</v>
      </c>
      <c r="G170" t="s">
        <v>3283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3315</v>
      </c>
      <c r="C171" t="s">
        <v>3316</v>
      </c>
      <c r="E171" t="s">
        <v>3317</v>
      </c>
      <c r="F171" t="s">
        <v>983</v>
      </c>
      <c r="G171" t="s">
        <v>3318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8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F104857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218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-59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-74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-24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-12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-31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-5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-20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-20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-3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-10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-13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-74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3285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3232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3284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3284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3293</v>
      </c>
      <c r="F217" s="52">
        <v>110000</v>
      </c>
    </row>
    <row r="218" spans="1:7" x14ac:dyDescent="0.3">
      <c r="A218">
        <v>217</v>
      </c>
      <c r="B218">
        <v>1</v>
      </c>
      <c r="C218" s="198" t="s">
        <v>3331</v>
      </c>
      <c r="D218" s="197" t="s">
        <v>2446</v>
      </c>
      <c r="E218" s="197" t="s">
        <v>3331</v>
      </c>
      <c r="F218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3285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3232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3284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3284</v>
      </c>
      <c r="E216" s="197">
        <v>6058008068</v>
      </c>
    </row>
    <row r="217" spans="1:6" x14ac:dyDescent="0.3">
      <c r="D217" s="197" t="s">
        <v>3293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3200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3200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3191</v>
      </c>
      <c r="J86" s="53" t="s">
        <v>2226</v>
      </c>
      <c r="K86" s="17" t="s">
        <v>3191</v>
      </c>
      <c r="L86" s="17">
        <v>2200000</v>
      </c>
    </row>
    <row r="87" spans="6:12" ht="18" customHeight="1" x14ac:dyDescent="0.3">
      <c r="F87" s="17">
        <v>72</v>
      </c>
      <c r="I87" s="17" t="s">
        <v>3192</v>
      </c>
      <c r="J87" s="53" t="s">
        <v>3204</v>
      </c>
      <c r="K87" s="17" t="s">
        <v>3192</v>
      </c>
      <c r="L87" s="17">
        <v>1500000</v>
      </c>
    </row>
    <row r="88" spans="6:12" ht="18" customHeight="1" x14ac:dyDescent="0.3">
      <c r="F88" s="17">
        <v>73</v>
      </c>
      <c r="I88" s="17" t="s">
        <v>3193</v>
      </c>
      <c r="J88" s="53" t="s">
        <v>2245</v>
      </c>
      <c r="K88" s="17" t="s">
        <v>3193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3205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3194</v>
      </c>
      <c r="J118" s="53" t="s">
        <v>3206</v>
      </c>
      <c r="K118" s="17" t="s">
        <v>3194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3207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2025-08-09T01:19:44Z</cp:lastPrinted>
  <dcterms:created xsi:type="dcterms:W3CDTF">2020-10-02T11:51:16Z</dcterms:created>
  <dcterms:modified xsi:type="dcterms:W3CDTF">2025-08-11T10:17:00Z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