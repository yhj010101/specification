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9E49259-25A8-4064-9B7E-1E5DBDAA4EBC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<sst xmlns="http://schemas.openxmlformats.org/spreadsheetml/2006/main" count="9018" uniqueCount="3366">
  <si>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</si>
  <si>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</si>
  <si>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</si>
  <si>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</si>
  <si>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</si>
  <si>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</si>
  <si>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</si>
  <si>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</si>
  <si>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</si>
  <si>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</si>
  <si>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</si>
  <si>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</si>
  <si>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</si>
  <si>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</si>
  <si>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</si>
  <si>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</si>
  <si>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</si>
  <si>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</si>
  <si>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</si>
  <si>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</si>
  <si>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</si>
  <si>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</si>
  <si>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</si>
  <si>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</si>
  <si>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</si>
  <si>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</si>
  <si>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</si>
  <si>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</si>
  <si>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</si>
  <si>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</si>
  <si>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</si>
  <si>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</si>
  <si>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</si>
  <si>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</si>
  <si>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</si>
  <si>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</si>
  <si>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</si>
  <si>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</si>
  <si>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</si>
  <si>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</si>
  <si>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</si>
  <si>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</si>
  <si>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</si>
  <si>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</si>
  <si>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</si>
  <si>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</si>
  <si>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</si>
  <si>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</si>
  <si>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</si>
  <si>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</si>
  <si>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</si>
  <si>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</si>
  <si>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</si>
  <si>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</si>
  <si>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</si>
  <si>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</si>
  <si>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</si>
  <si>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</si>
  <si>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</si>
  <si>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</si>
  <si>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</si>
  <si>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</si>
  <si>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</si>
  <si>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</si>
  <si>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</si>
  <si>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</si>
  <si>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</si>
  <si>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</si>
  <si>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</si>
  <si>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</si>
  <si>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</si>
  <si>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</si>
  <si>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</si>
  <si>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</si>
  <si>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</si>
  <si>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</si>
  <si>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</si>
  <si>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</si>
  <si>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</si>
  <si>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</si>
  <si>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</si>
  <si>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</si>
  <si>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</si>
  <si>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</si>
  <si>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</si>
  <si>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</si>
  <si>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</si>
  <si>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</si>
  <si>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</si>
  <si>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</si>
  <si>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</si>
  <si>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</si>
  <si>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</si>
  <si>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</si>
  <si>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</si>
  <si>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</si>
  <si>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</si>
  <si>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</si>
  <si>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</si>
  <si>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</si>
  <si>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</si>
  <si>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</si>
  <si>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</si>
  <si>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</si>
  <si>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</si>
  <si>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</si>
  <si>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</si>
  <si>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</si>
  <si>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</si>
  <si>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</si>
  <si>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</si>
  <si>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</si>
  <si>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</si>
  <si>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</si>
  <si>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</si>
  <si>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</si>
  <si>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</si>
  <si>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</si>
  <si>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</si>
  <si>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</si>
  <si>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</si>
  <si>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</si>
  <si>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</si>
  <si>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</si>
  <si>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</si>
  <si>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</si>
  <si>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</si>
  <si>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</si>
  <si>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</si>
  <si>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</si>
  <si>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</si>
  <si>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</si>
  <si>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</si>
  <si>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</si>
  <si>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</si>
  <si>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</si>
  <si>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</si>
  <si>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</si>
  <si>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</si>
  <si>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</si>
  <si>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</si>
  <si>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</si>
  <si>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</si>
  <si>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</si>
  <si>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</si>
  <si>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</si>
  <si>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</si>
  <si>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</si>
  <si>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</si>
  <si>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</si>
  <si>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</si>
  <si>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</si>
  <si>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</si>
  <si>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</si>
  <si>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</si>
  <si>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</si>
  <si>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</si>
  <si>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</si>
  <si>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</si>
  <si>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</si>
  <si>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</si>
  <si>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</si>
  <si>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</si>
  <si>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</si>
  <si>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</si>
  <si>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</si>
  <si>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</si>
  <si>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</si>
  <si>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</si>
  <si>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</si>
  <si>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</si>
  <si>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</si>
  <si>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</si>
  <si>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</si>
  <si>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</si>
  <si>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</si>
  <si>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</si>
  <si>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</si>
  <si>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</si>
  <si>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</si>
  <si>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</si>
  <si>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</si>
  <si>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</si>
  <si>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</si>
  <si>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</si>
  <si>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</si>
  <si>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</si>
  <si>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</si>
  <si>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</si>
  <si>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</si>
  <si>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</si>
  <si>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</si>
  <si>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</si>
  <si>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</si>
  <si>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</si>
  <si>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</si>
  <si>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</si>
  <si>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</si>
  <si>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</si>
  <si>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</si>
  <si>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</si>
  <si>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</si>
  <si>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</si>
  <si>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</si>
  <si>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</si>
  <si>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</si>
  <si>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</si>
  <si>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</si>
  <si>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</si>
  <si>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</si>
  <si>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</si>
  <si>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</si>
  <si>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</si>
  <si>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</si>
  <si>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</si>
  <si>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</si>
  <si>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</si>
  <si>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</si>
  <si>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</si>
  <si>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</si>
  <si>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</si>
  <si>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</si>
  <si>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</si>
  <si>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</si>
  <si>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</si>
  <si>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</si>
  <si>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</si>
  <si>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</si>
  <si>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</si>
  <si>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</si>
  <si>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</si>
  <si>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</si>
  <si>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</si>
  <si>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</si>
  <si>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</si>
  <si>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</si>
  <si>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</si>
  <si>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</si>
  <si>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</si>
  <si>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</si>
  <si>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</si>
  <si>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</si>
  <si>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</si>
  <si>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</si>
  <si>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</si>
  <si>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</si>
  <si>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</si>
  <si>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</si>
  <si>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</si>
  <si>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</si>
  <si>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</si>
  <si>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</si>
  <si>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</si>
  <si>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</si>
  <si>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</si>
  <si>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</si>
  <si>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</si>
  <si>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</si>
  <si>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</si>
  <si>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</si>
  <si>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</si>
  <si>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</si>
  <si>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</si>
  <si>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</si>
  <si>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</si>
  <si>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</si>
  <si>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</si>
  <si>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</si>
  <si>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</si>
  <si>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</si>
  <si>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</si>
  <si>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</si>
  <si>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</si>
  <si>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</si>
  <si>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</si>
  <si>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</si>
  <si>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</si>
  <si>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</si>
  <si>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</si>
  <si>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</si>
  <si>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</si>
  <si>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</si>
  <si>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</si>
  <si>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</si>
  <si>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</si>
  <si>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</si>
  <si>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</si>
  <si>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</si>
  <si>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</si>
  <si>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</si>
  <si>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</si>
  <si>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</si>
  <si>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</si>
  <si>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</si>
  <si>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</si>
  <si>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</si>
  <si>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</si>
  <si>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</si>
  <si>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</si>
  <si>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</si>
  <si>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</si>
  <si>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</si>
  <si>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</si>
  <si>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</si>
  <si>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</si>
  <si>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</si>
  <si>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</si>
  <si>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</si>
  <si>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</si>
  <si>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</si>
  <si>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</si>
  <si>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</si>
  <si>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</si>
  <si>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</si>
  <si>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</si>
  <si>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</si>
  <si>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</si>
  <si>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</si>
  <si>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</si>
  <si>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</si>
  <si>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</si>
  <si>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</si>
  <si>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</si>
  <si>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</si>
  <si>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</si>
  <si>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</si>
  <si>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</si>
  <si>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</si>
  <si>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</si>
  <si>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</si>
  <si>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</si>
  <si>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</si>
  <si>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</si>
  <si>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</si>
  <si>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</si>
  <si>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</si>
  <si>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</si>
  <si>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</si>
  <si>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</si>
  <si>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</si>
  <si>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</si>
  <si>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</si>
  <si>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</si>
  <si>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</si>
  <si>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</si>
  <si>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</si>
  <si>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</si>
  <si>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</si>
  <si>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</si>
  <si>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</si>
  <si>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</si>
  <si>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</si>
  <si>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</si>
  <si>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</si>
  <si>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</si>
  <si>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</si>
  <si>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</si>
  <si>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</si>
  <si>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</si>
  <si>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</si>
  <si>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</si>
  <si>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</si>
  <si>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</si>
  <si>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</si>
  <si>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</si>
  <si>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</si>
  <si>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</si>
  <si>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</si>
  <si>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</si>
  <si>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</si>
  <si>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</si>
  <si>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</si>
  <si>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</si>
  <si>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</si>
  <si>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</si>
  <si>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</si>
  <si>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</si>
  <si>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</si>
  <si>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</si>
  <si>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</si>
  <si>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</si>
  <si>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</si>
  <si>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</si>
  <si>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</si>
  <si>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</si>
  <si>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</si>
  <si>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</si>
  <si>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</si>
  <si>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</si>
  <si>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</si>
  <si>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</si>
  <si>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</si>
  <si>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</si>
  <si>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</si>
  <si>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</si>
  <si>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</si>
  <si>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</si>
  <si>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</si>
  <si>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</si>
  <si>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</si>
  <si>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</si>
  <si>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</si>
  <si>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</si>
  <si>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</si>
  <si>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</si>
  <si>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</si>
  <si>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</si>
  <si>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</si>
  <si>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</si>
  <si>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</si>
  <si>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</si>
  <si>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</si>
  <si>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</si>
  <si>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</si>
  <si>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</si>
  <si>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</si>
  <si>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</si>
  <si>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</si>
  <si>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</si>
  <si>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</si>
  <si>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</si>
  <si>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</si>
  <si>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</si>
  <si>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</si>
  <si>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</si>
  <si>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</si>
  <si>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</si>
  <si>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</si>
  <si>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</si>
  <si>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</si>
  <si>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</si>
  <si>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</si>
  <si>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</si>
  <si>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</si>
  <si>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</si>
  <si>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</si>
  <si>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</si>
  <si>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</si>
  <si>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</si>
  <si>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</si>
  <si>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</si>
  <si>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</si>
  <si>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</si>
  <si>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</si>
  <si>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</si>
  <si>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</si>
  <si>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</si>
  <si>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</si>
  <si>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</si>
  <si>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</si>
  <si>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</si>
  <si>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</si>
  <si>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</si>
  <si>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</si>
  <si>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</si>
  <si>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</si>
  <si>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</si>
  <si>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</si>
  <si>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</si>
  <si>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</si>
  <si>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</si>
  <si>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</si>
  <si>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</si>
  <si>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</si>
  <si>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</si>
  <si>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</si>
  <si>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</si>
  <si>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</si>
  <si>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</si>
  <si>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</si>
  <si>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</si>
  <si>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</si>
  <si>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</si>
  <si>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</si>
  <si>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</si>
  <si>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</si>
  <si>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</si>
  <si>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</si>
  <si>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</si>
  <si>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</si>
  <si>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</si>
  <si>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</si>
  <si>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</si>
  <si>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</si>
  <si>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</si>
  <si>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</si>
  <si>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</si>
  <si>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</si>
  <si>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</si>
  <si>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</si>
  <si>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</si>
  <si>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</si>
  <si>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</si>
  <si>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</si>
  <si>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</si>
  <si>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</si>
  <si>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</si>
  <si>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</si>
  <si>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</si>
  <si>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</si>
  <si>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</si>
  <si>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</si>
  <si>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</si>
  <si>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</si>
  <si>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</si>
  <si>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</si>
  <si>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</si>
  <si>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</si>
  <si>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</si>
  <si>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</si>
  <si>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</si>
  <si>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</si>
  <si>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</si>
  <si>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</si>
  <si>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</si>
  <si>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</si>
  <si>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</si>
  <si>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</si>
  <si>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</si>
  <si>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</si>
  <si>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</si>
  <si>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</si>
  <si>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</si>
  <si>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</si>
  <si>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</si>
  <si>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</si>
  <si>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</si>
  <si>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</si>
  <si>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</si>
  <si>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</si>
  <si>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</si>
  <si>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</si>
  <si>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</si>
  <si>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</si>
  <si>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</si>
  <si>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</si>
  <si>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</si>
  <si>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</si>
  <si>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</si>
  <si>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</si>
  <si>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</si>
  <si>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</si>
  <si>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</si>
  <si>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</si>
  <si>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</si>
  <si>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</si>
  <si>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</si>
  <si>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</si>
  <si>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</si>
  <si>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</si>
  <si>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</si>
  <si>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</si>
  <si>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</si>
  <si>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</si>
  <si>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</si>
  <si>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</si>
  <si>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</si>
  <si>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</si>
  <si>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</si>
  <si>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</si>
  <si>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</si>
  <si>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</si>
  <si>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</si>
  <si>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</si>
  <si>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</si>
  <si>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</si>
  <si>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</si>
  <si>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</si>
  <si>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</si>
  <si>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</si>
  <si>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</si>
  <si>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</si>
  <si>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</si>
  <si>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</si>
  <si>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</si>
  <si>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</si>
  <si>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</si>
  <si>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</si>
  <si>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</si>
  <si>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</si>
  <si>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</si>
  <si>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</si>
  <si>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</si>
  <si>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</si>
  <si>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</si>
  <si>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</si>
  <si>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</si>
  <si>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</si>
  <si>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</si>
  <si>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</si>
  <si>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</si>
  <si>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</si>
  <si>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</si>
  <si>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</si>
  <si>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</si>
  <si>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</si>
  <si>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</si>
  <si>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</si>
  <si>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</si>
  <si>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</si>
  <si>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</si>
  <si>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</si>
  <si>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</si>
  <si>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</si>
  <si>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</si>
  <si>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</si>
  <si>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</si>
  <si>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</si>
  <si>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</si>
  <si>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</si>
  <si>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</si>
  <si>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</si>
  <si>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</si>
  <si>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</si>
  <si>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</si>
  <si>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</si>
  <si>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</si>
  <si>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</si>
  <si>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</si>
  <si>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</si>
  <si>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</si>
  <si>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</si>
  <si>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</si>
  <si>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</si>
  <si>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</si>
  <si>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</si>
  <si>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</si>
  <si>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</si>
  <si>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</si>
  <si>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</si>
  <si>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</si>
  <si>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</si>
  <si>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</si>
  <si>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</si>
  <si>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</si>
  <si>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</si>
  <si>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</si>
  <si>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</si>
  <si>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</si>
  <si>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</si>
  <si>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</si>
  <si>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</si>
  <si>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</si>
  <si>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</si>
  <si>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</si>
  <si>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</si>
  <si>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</si>
  <si>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</si>
  <si>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</si>
  <si>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</si>
  <si>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</si>
  <si>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</si>
  <si>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</si>
  <si>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</si>
  <si>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</si>
  <si>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</si>
  <si>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</si>
  <si>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</si>
  <si>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</si>
  <si>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</si>
  <si>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</si>
  <si>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</si>
  <si>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</si>
  <si>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</si>
  <si>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</si>
  <si>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</si>
  <si>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</si>
  <si>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</si>
  <si>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</si>
  <si>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</si>
  <si>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</si>
  <si>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</si>
  <si>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</si>
  <si>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</si>
  <si>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</si>
  <si>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</si>
  <si>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</si>
  <si>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</si>
  <si>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</si>
  <si>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</si>
  <si>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</si>
  <si>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</si>
  <si>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</si>
  <si>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</si>
  <si>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</si>
  <si>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</si>
  <si>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</si>
  <si>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</si>
  <si>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</si>
  <si>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</si>
  <si>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</si>
  <si>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</si>
  <si>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</si>
  <si>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</si>
  <si>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</si>
  <si>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</si>
  <si>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</si>
  <si>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</si>
  <si>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</si>
  <si>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</si>
  <si>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</si>
  <si>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</si>
  <si>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</si>
  <si>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</si>
  <si>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</si>
  <si>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</si>
  <si>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</si>
  <si>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</si>
  <si>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</si>
  <si>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</si>
  <si>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</si>
  <si>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</si>
  <si>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</si>
  <si>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</si>
  <si>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</si>
  <si>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</si>
  <si>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</si>
  <si>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</si>
  <si>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</si>
  <si>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</si>
  <si>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</si>
  <si>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</si>
  <si>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</si>
  <si>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</si>
  <si>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</si>
  <si>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</si>
  <si>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</si>
  <si>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</si>
  <si>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</si>
  <si>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</si>
  <si>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</si>
  <si>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</si>
  <si>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</si>
  <si>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</si>
  <si>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</si>
  <si>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</si>
  <si>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</si>
  <si>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</si>
  <si>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</si>
  <si>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</si>
  <si>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</si>
  <si>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</si>
  <si>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</si>
  <si>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</si>
  <si>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</si>
  <si>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</si>
  <si>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</si>
  <si>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</si>
  <si>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</si>
  <si>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</si>
  <si>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</si>
  <si>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</si>
  <si>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</si>
  <si>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</si>
  <si>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</si>
  <si>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</si>
  <si>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</si>
  <si>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</si>
  <si>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</si>
  <si>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</si>
  <si>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</si>
  <si>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</si>
  <si>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</si>
  <si>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</si>
  <si>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</si>
  <si>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</si>
  <si>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</si>
  <si>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</si>
  <si>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</si>
  <si>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</si>
  <si>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</si>
  <si>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</si>
  <si>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</si>
  <si>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</si>
  <si>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</si>
  <si>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</si>
  <si>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</si>
  <si>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</si>
  <si>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</si>
  <si>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</si>
  <si>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</si>
  <si>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</si>
  <si>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</si>
  <si>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</si>
  <si>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</si>
  <si>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</si>
  <si>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</si>
  <si>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</si>
  <si>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</si>
  <si>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</si>
  <si>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</si>
  <si>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</si>
  <si>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</si>
  <si>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</si>
  <si>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</si>
  <si>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</si>
  <si>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</si>
  <si>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</si>
  <si>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</si>
  <si>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</si>
  <si>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</si>
  <si>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</si>
  <si>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</si>
  <si>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</si>
  <si>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</si>
  <si>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</si>
  <si>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</si>
  <si>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</si>
  <si>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</si>
  <si>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</si>
  <si>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</si>
  <si>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</si>
  <si>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</si>
  <si>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</si>
  <si>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</si>
  <si>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</si>
  <si>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</si>
  <si>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</si>
  <si>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</si>
  <si>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</si>
  <si>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</si>
  <si>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</si>
  <si>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</si>
  <si>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</si>
  <si>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</si>
  <si>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</si>
  <si>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</si>
  <si>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</si>
  <si>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</si>
  <si>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</si>
  <si>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</si>
  <si>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</si>
  <si>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</si>
  <si>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</si>
  <si>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</si>
  <si>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</si>
  <si>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</si>
  <si>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</si>
  <si>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</si>
  <si>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</si>
  <si>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</si>
  <si>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</si>
  <si>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</si>
  <si>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</si>
  <si>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</si>
  <si>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</si>
  <si>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</si>
  <si>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</si>
  <si>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</si>
  <si>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</si>
  <si>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</si>
  <si>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</si>
  <si>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</si>
  <si>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</si>
  <si>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</si>
  <si>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</si>
  <si>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</si>
  <si>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</si>
  <si>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</si>
  <si>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</si>
  <si>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</si>
  <si>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</si>
  <si>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</si>
  <si>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</si>
  <si>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</si>
  <si>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</si>
  <si>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</si>
  <si>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</si>
  <si>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</si>
  <si>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</si>
  <si>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</si>
  <si>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</si>
  <si>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</si>
  <si>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</si>
  <si>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</si>
  <si>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</si>
  <si>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</si>
  <si>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</si>
  <si>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</si>
  <si>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</si>
  <si>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</si>
  <si>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</si>
  <si>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</si>
  <si>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</si>
  <si>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</si>
  <si>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</si>
  <si>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</si>
  <si>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</si>
  <si>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</si>
  <si>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</si>
  <si>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</si>
  <si>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</si>
  <si>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</si>
  <si>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</si>
  <si>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</si>
  <si>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</si>
  <si>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</si>
  <si>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</si>
  <si>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</si>
  <si>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</si>
  <si>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</si>
  <si>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</si>
  <si>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</si>
  <si>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</si>
  <si>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</si>
  <si>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</si>
  <si>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</si>
  <si>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</si>
  <si>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</si>
  <si>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</si>
  <si>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</si>
  <si>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</si>
  <si>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</si>
  <si>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</si>
  <si>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</si>
  <si>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</si>
  <si>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</si>
  <si>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</si>
  <si>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</si>
  <si>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</si>
  <si>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</si>
  <si>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</si>
  <si>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</si>
  <si>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</si>
  <si>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</si>
  <si>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</si>
  <si>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</si>
  <si>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</si>
  <si>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</si>
  <si>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</si>
  <si>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</si>
  <si>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</si>
  <si>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</si>
  <si>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</si>
  <si>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</si>
  <si>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</si>
  <si>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</si>
  <si>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</si>
  <si>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</si>
  <si>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</si>
  <si>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</si>
  <si>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</si>
  <si>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</si>
  <si>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</si>
  <si>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</si>
  <si>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</si>
  <si>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</si>
  <si>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</si>
  <si>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</si>
  <si>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</si>
  <si>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</si>
  <si>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</si>
  <si>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</si>
  <si>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</si>
  <si>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</si>
  <si>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</si>
  <si>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</si>
  <si>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</si>
  <si>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</si>
  <si>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</si>
  <si>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</si>
  <si>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</si>
  <si>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</si>
  <si>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</si>
  <si>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</si>
  <si>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</si>
  <si>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</si>
  <si>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</si>
  <si>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</si>
  <si>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</si>
  <si>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</si>
  <si>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</si>
  <si>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</si>
  <si>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</si>
  <si>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</si>
  <si>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</si>
  <si>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</si>
  <si>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</si>
  <si>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</si>
  <si>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</si>
  <si>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</si>
  <si>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</si>
  <si>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</si>
  <si>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</si>
  <si>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</si>
  <si>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</si>
  <si>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</si>
  <si>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</si>
  <si>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</si>
  <si>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</si>
  <si>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</si>
  <si>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</si>
  <si>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</si>
  <si>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</si>
  <si>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</si>
  <si>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</si>
  <si>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</si>
  <si>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</si>
  <si>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</si>
  <si>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</si>
  <si>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</si>
  <si>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</si>
  <si>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</si>
  <si>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</si>
  <si>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</si>
  <si>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</si>
  <si>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</si>
  <si>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</si>
  <si>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</si>
  <si>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</si>
  <si>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</si>
  <si>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</si>
  <si>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</si>
  <si>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</si>
  <si>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</si>
  <si>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</si>
  <si>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</si>
  <si>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</si>
  <si>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</si>
  <si>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</si>
  <si>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</si>
  <si>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</si>
  <si>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</si>
  <si>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</si>
  <si>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</si>
  <si>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</si>
  <si>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</si>
  <si>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</si>
  <si>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</si>
  <si>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</si>
  <si>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</si>
  <si>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</si>
  <si>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</si>
  <si>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</si>
  <si>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</si>
  <si>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</si>
  <si>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</si>
  <si>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</si>
  <si>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</si>
  <si>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</si>
  <si>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</si>
  <si>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</si>
  <si>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</si>
  <si>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</si>
  <si>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</si>
  <si>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</si>
  <si>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</si>
  <si>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</si>
  <si>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</si>
  <si>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</si>
  <si>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</si>
  <si>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</si>
  <si>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</si>
  <si>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</si>
  <si>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</si>
  <si>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</si>
  <si>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</si>
  <si>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</si>
  <si>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</si>
  <si>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</si>
  <si>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</si>
  <si>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</si>
  <si>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</si>
  <si>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</si>
  <si>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</si>
  <si>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</si>
  <si>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</si>
  <si>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</si>
  <si>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</si>
  <si>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</si>
  <si>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</si>
  <si>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</si>
  <si>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</si>
  <si>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</si>
  <si>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</si>
  <si>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</si>
  <si>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</si>
  <si>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</si>
  <si>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</si>
  <si>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</si>
  <si>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</si>
  <si>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</si>
  <si>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</si>
  <si>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</si>
  <si>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</si>
  <si>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</si>
  <si>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</si>
  <si>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</si>
  <si>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</si>
  <si>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</si>
  <si>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</si>
  <si>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</si>
  <si>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</si>
  <si>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</si>
  <si>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</si>
  <si>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</si>
  <si>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</si>
  <si>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</si>
  <si>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</si>
  <si>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</si>
  <si>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</si>
  <si>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</si>
  <si>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</si>
  <si>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</si>
  <si>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</si>
  <si>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</si>
  <si>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</si>
  <si>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</si>
  <si>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</si>
  <si>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</si>
  <si>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</si>
  <si>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</si>
  <si>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</si>
  <si>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</si>
  <si>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</si>
  <si>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</si>
  <si>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</si>
  <si>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</si>
  <si>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</si>
  <si>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</si>
  <si>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</si>
  <si>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</si>
  <si>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</si>
  <si>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</si>
  <si>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</si>
  <si>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</si>
  <si>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</si>
  <si>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</si>
  <si>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</si>
  <si>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</si>
  <si>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</si>
  <si>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</si>
  <si>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</si>
  <si>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</si>
  <si>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</si>
  <si>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</si>
  <si>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</si>
  <si>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</si>
  <si>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</si>
  <si>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</si>
  <si>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</si>
  <si>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</si>
  <si>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</si>
  <si>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</si>
  <si>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</si>
  <si>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</si>
  <si>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</si>
  <si>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</si>
  <si>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</si>
  <si>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</si>
  <si>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</si>
  <si>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</si>
  <si>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</si>
  <si>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</si>
  <si>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</si>
  <si>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</si>
  <si>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</si>
  <si>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</si>
  <si>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</si>
  <si>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</si>
  <si>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</si>
  <si>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</si>
  <si>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</si>
  <si>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</si>
  <si>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</si>
  <si>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</si>
  <si>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</si>
  <si>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</si>
  <si>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</si>
  <si>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</si>
  <si>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</si>
  <si>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</si>
  <si>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</si>
  <si>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</si>
  <si>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</si>
  <si>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</si>
  <si>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</si>
  <si>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</si>
  <si>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</si>
  <si>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</si>
  <si>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</si>
  <si>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</si>
  <si>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</si>
  <si>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</si>
  <si>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</si>
  <si>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</si>
  <si>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</si>
  <si>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</si>
  <si>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</si>
  <si>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</si>
  <si>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</si>
  <si>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</si>
  <si>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</si>
  <si>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</si>
  <si>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</si>
  <si>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</si>
  <si>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</si>
  <si>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</si>
  <si>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</si>
  <si>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</si>
  <si>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</si>
  <si>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</si>
  <si>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</si>
  <si>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</si>
  <si>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</si>
  <si>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</si>
  <si>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</si>
  <si>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</si>
  <si>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</si>
  <si>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</si>
  <si>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</si>
  <si>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</si>
  <si>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</si>
  <si>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</si>
  <si>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</si>
  <si>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</si>
  <si>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</si>
  <si>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</si>
  <si>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</si>
  <si>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</si>
  <si>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</si>
  <si>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</si>
  <si>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</si>
  <si>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</si>
  <si>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</si>
  <si>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</si>
  <si>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</si>
  <si>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</si>
  <si>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</si>
  <si>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</si>
  <si>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</si>
  <si>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</si>
  <si>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</si>
  <si>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</si>
  <si>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</si>
  <si>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</si>
  <si>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</si>
  <si>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</si>
  <si>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</si>
  <si>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</si>
  <si>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</si>
  <si>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</si>
  <si>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</si>
  <si>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</si>
  <si>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</si>
  <si>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</si>
  <si>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</si>
  <si>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</si>
  <si>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</si>
  <si>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</si>
  <si>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</si>
  <si>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</si>
  <si>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</si>
  <si>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</si>
  <si>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</si>
  <si>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</si>
  <si>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</si>
  <si>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</si>
  <si>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</si>
  <si>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</si>
  <si>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</si>
  <si>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</si>
  <si>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</si>
  <si>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</si>
  <si>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</si>
  <si>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</si>
  <si>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</si>
  <si>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</si>
  <si>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</si>
  <si>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</si>
  <si>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</si>
  <si>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</si>
  <si>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</si>
  <si>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</si>
  <si>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</si>
  <si>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</si>
  <si>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</si>
  <si>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</si>
  <si>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</si>
  <si>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</si>
  <si>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</si>
  <si>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</si>
  <si>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</si>
  <si>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</si>
  <si>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</si>
  <si>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</si>
  <si>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</si>
  <si>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</si>
  <si>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</si>
  <si>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</si>
  <si>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</si>
  <si>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</si>
  <si>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</si>
  <si>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</si>
  <si>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</si>
  <si>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</si>
  <si>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</si>
  <si>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</si>
  <si>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</si>
  <si>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</si>
  <si>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</si>
  <si>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</si>
  <si>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</si>
  <si>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</si>
  <si>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</si>
  <si>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</si>
  <si>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</si>
  <si>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</si>
  <si>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</si>
  <si>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</si>
  <si>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</si>
  <si>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</si>
  <si>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</si>
  <si>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</si>
  <si>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</si>
  <si>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</si>
  <si>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</si>
  <si>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</si>
  <si>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</si>
  <si>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</si>
  <si>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</si>
  <si>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</si>
  <si>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</si>
  <si>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</si>
  <si>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</si>
  <si>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</si>
  <si>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</si>
  <si>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</si>
  <si>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</si>
  <si>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</si>
  <si>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</si>
  <si>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</si>
  <si>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</si>
  <si>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</si>
  <si>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</si>
  <si>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</si>
  <si>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</si>
  <si>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</si>
  <si>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</si>
  <si>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</si>
  <si>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</si>
  <si>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</si>
  <si>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</si>
  <si>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</si>
  <si>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</si>
  <si>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</si>
  <si>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</si>
  <si>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</si>
  <si>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</si>
  <si>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</si>
  <si>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</si>
  <si>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</si>
  <si>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</si>
  <si>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</si>
  <si>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</si>
  <si>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</si>
  <si>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</si>
  <si>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</si>
  <si>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</si>
  <si>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</si>
  <si>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</si>
  <si>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</si>
  <si>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</si>
  <si>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</si>
  <si>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</si>
  <si>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</si>
  <si>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</si>
  <si>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</si>
  <si>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</si>
  <si>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</si>
  <si>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</si>
  <si>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</si>
  <si>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</si>
  <si>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</si>
  <si>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</si>
  <si>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</si>
  <si>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</si>
  <si>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</si>
  <si>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</si>
  <si>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</si>
  <si>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</si>
  <si>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</si>
  <si>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</si>
  <si>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</si>
  <si>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</si>
  <si>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</si>
  <si>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</si>
  <si>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</si>
  <si>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</si>
  <si>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</si>
  <si>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</si>
  <si>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</si>
  <si>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</si>
  <si>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</si>
  <si>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</si>
  <si>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</si>
  <si>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</si>
  <si>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</si>
  <si>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</si>
  <si>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</si>
  <si>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</si>
  <si>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</si>
  <si>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</si>
  <si>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</si>
  <si>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</si>
  <si>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</si>
  <si>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</si>
  <si>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</si>
  <si>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</si>
  <si>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</si>
  <si>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</si>
  <si>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</si>
  <si>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</si>
  <si>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</si>
  <si>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</si>
  <si>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</si>
  <si>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</si>
  <si>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</si>
  <si>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</si>
  <si>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</si>
  <si>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</si>
  <si>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</si>
  <si>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</si>
  <si>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</si>
  <si>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</si>
  <si>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</si>
  <si>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</si>
  <si>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</si>
  <si>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</si>
  <si>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</si>
  <si>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</si>
  <si>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</si>
  <si>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</si>
  <si>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</si>
  <si>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</si>
  <si>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</si>
  <si>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</si>
  <si>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</si>
  <si>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</si>
  <si>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</si>
  <si>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</si>
  <si>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</si>
  <si>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</si>
  <si>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</si>
  <si>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</si>
  <si>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</si>
  <si>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</si>
  <si>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</si>
  <si>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</si>
  <si>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</si>
  <si>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</si>
  <si>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</si>
  <si>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</si>
  <si>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</si>
  <si>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</si>
  <si>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</si>
  <si>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</si>
  <si>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</si>
  <si>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</si>
  <si>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</si>
  <si>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</si>
  <si>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</si>
  <si>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</si>
  <si>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</si>
  <si>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</si>
  <si>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</si>
  <si>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</si>
  <si>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</si>
  <si>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</si>
  <si>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</si>
  <si>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</si>
  <si>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</si>
  <si>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</si>
  <si>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</si>
  <si>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</si>
  <si>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</si>
  <si>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</si>
  <si>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</si>
  <si>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</si>
  <si>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</si>
  <si>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</si>
  <si>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</si>
  <si>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</si>
  <si>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</si>
  <si>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</si>
  <si>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</si>
  <si>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</si>
  <si>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</si>
  <si>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</si>
  <si>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</si>
  <si>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</si>
  <si>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</si>
  <si>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</si>
  <si>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</si>
  <si>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</si>
  <si>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</si>
  <si>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</si>
  <si>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</si>
  <si>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</si>
  <si>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</si>
  <si>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</si>
  <si>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</si>
  <si>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</si>
  <si>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</si>
  <si>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</si>
  <si>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</si>
  <si>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</si>
  <si>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</si>
  <si>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</si>
  <si>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</si>
  <si>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</si>
  <si>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</si>
  <si>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</si>
  <si>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</si>
  <si>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</si>
  <si>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</si>
  <si>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</si>
  <si>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</si>
  <si>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</si>
  <si>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</si>
  <si>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</si>
  <si>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</si>
  <si>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</si>
  <si>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</si>
  <si>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</si>
  <si>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</si>
  <si>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</si>
  <si>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</si>
  <si>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</si>
  <si>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</si>
  <si>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</si>
  <si>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</si>
  <si>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</si>
  <si>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</si>
  <si>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</si>
  <si>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</si>
  <si>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</si>
  <si>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</si>
  <si>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</si>
  <si>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</si>
  <si>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</si>
  <si>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</si>
  <si>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</si>
  <si>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</si>
  <si>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</si>
  <si>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</si>
  <si>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</si>
  <si>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</si>
  <si>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</si>
  <si>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</si>
  <si>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</si>
  <si>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</si>
  <si>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</si>
  <si>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</si>
  <si>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</si>
  <si>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</si>
  <si>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</si>
  <si>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</si>
  <si>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</si>
  <si>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</si>
  <si>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</si>
  <si>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</si>
  <si>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</si>
  <si>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</si>
  <si>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</si>
  <si>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</si>
  <si>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</si>
  <si>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</si>
  <si>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</si>
  <si>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</si>
  <si>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</si>
  <si>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</si>
  <si>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</si>
  <si>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</si>
  <si>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</si>
  <si>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</si>
  <si>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</si>
  <si>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</si>
  <si>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</si>
  <si>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</si>
  <si>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</si>
  <si>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</si>
  <si>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</si>
  <si>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</si>
  <si>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</si>
  <si>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</si>
  <si>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</si>
  <si>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</si>
  <si>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</si>
  <si>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</si>
  <si>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</si>
  <si>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</si>
  <si>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</si>
  <si>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</si>
  <si>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</si>
  <si>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</si>
  <si>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</si>
  <si>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</si>
  <si>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</si>
  <si>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</si>
  <si>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</si>
  <si>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</si>
  <si>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</si>
  <si>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</si>
  <si>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</si>
  <si>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</si>
  <si>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</si>
  <si>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</si>
  <si>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</si>
  <si>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</si>
  <si>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</si>
  <si>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</si>
  <si>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</si>
  <si>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</si>
  <si>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</si>
  <si>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</si>
  <si>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</si>
  <si>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</si>
  <si>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</si>
  <si>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</si>
  <si>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</si>
  <si>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</si>
  <si>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</si>
  <si>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</si>
  <si>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</si>
  <si>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</si>
  <si>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</si>
  <si>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</si>
  <si>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</si>
  <si>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</si>
  <si>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</si>
  <si>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</si>
  <si>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</si>
  <si>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</si>
  <si>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</si>
  <si>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</si>
  <si>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</si>
  <si>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</si>
  <si>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</si>
  <si>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</si>
  <si>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</si>
  <si>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</si>
  <si>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</si>
  <si>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</si>
  <si>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</si>
  <si>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</si>
  <si>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</si>
  <si>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</si>
  <si>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</si>
  <si>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</si>
  <si>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</si>
  <si>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</si>
  <si>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</si>
  <si>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</si>
  <si>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</si>
  <si>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</si>
  <si>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</si>
  <si>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</si>
  <si>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</si>
  <si>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</si>
  <si>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</si>
  <si>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</si>
  <si>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</si>
  <si>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</si>
  <si>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</si>
  <si>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</si>
  <si>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</si>
  <si>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</si>
  <si>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</si>
  <si>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</si>
  <si>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</si>
  <si>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</si>
  <si>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</si>
  <si>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</si>
  <si>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</si>
  <si>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</si>
  <si>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</si>
  <si>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</si>
  <si>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</si>
  <si>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</si>
  <si>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</si>
  <si>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</si>
  <si>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</si>
  <si>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</si>
  <si>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</si>
  <si>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</si>
  <si>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</si>
  <si>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</si>
  <si>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</si>
  <si>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</si>
  <si>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</si>
  <si>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</si>
  <si>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</si>
  <si>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</si>
  <si>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</si>
  <si>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</si>
  <si>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</si>
  <si>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</si>
  <si>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</si>
  <si>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</si>
  <si>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</si>
  <si>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</si>
  <si>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</si>
  <si>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</si>
  <si>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</si>
  <si>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</si>
  <si>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</si>
  <si>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</si>
  <si>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</si>
  <si>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</si>
  <si>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</si>
  <si>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</si>
  <si>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</si>
  <si>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</si>
  <si>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</si>
  <si>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</si>
  <si>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</si>
  <si>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</si>
  <si>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</si>
  <si>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</si>
  <si>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</si>
  <si>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</si>
  <si>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</si>
  <si>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</si>
  <si>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</si>
  <si>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</si>
  <si>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</si>
  <si>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</si>
  <si>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</si>
  <si>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</si>
  <si>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</si>
  <si>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</si>
  <si>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</si>
  <si>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</si>
  <si>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</si>
  <si>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</si>
  <si>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</si>
  <si>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</si>
  <si>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</si>
  <si>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</si>
  <si>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</si>
  <si>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</si>
  <si>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</si>
  <si>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</si>
  <si>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</si>
  <si>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</si>
  <si>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</si>
  <si>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</si>
  <si>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</si>
  <si>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</si>
  <si>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</si>
  <si>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</si>
  <si>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</si>
  <si>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</si>
  <si>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</si>
  <si>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</si>
  <si>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</si>
  <si>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</si>
  <si>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</si>
  <si>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</si>
  <si>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</si>
  <si>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</si>
  <si>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</si>
  <si>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</si>
  <si>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</si>
  <si>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</si>
  <si>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</si>
  <si>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</si>
  <si>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</si>
  <si>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</si>
  <si>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</si>
  <si>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</si>
  <si>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</si>
  <si>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</si>
  <si>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</si>
  <si>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</si>
  <si>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</si>
  <si>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</si>
  <si>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</si>
  <si>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</si>
  <si>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</si>
  <si>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</si>
  <si>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</si>
  <si>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</si>
  <si>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</si>
  <si>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</si>
  <si>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</si>
  <si>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</si>
  <si>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</si>
  <si>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</si>
  <si>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</si>
  <si>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</si>
  <si>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</si>
  <si>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</si>
  <si>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</si>
  <si>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</si>
  <si>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</si>
  <si>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</si>
  <si>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</si>
  <si>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</si>
  <si>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</si>
  <si>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</si>
  <si>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</si>
  <si>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</si>
  <si>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</si>
  <si>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</si>
  <si>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</si>
  <si>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</si>
  <si>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</si>
  <si>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</si>
  <si>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</si>
  <si>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</si>
  <si>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</si>
  <si>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</si>
  <si>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</si>
  <si>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</si>
  <si>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</si>
  <si>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</si>
  <si>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</si>
  <si>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</si>
  <si>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</si>
  <si>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</si>
  <si>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</si>
  <si>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</si>
  <si>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</si>
  <si>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</si>
  <si>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</si>
  <si>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</si>
  <si>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</si>
  <si>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</si>
  <si>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</si>
  <si>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</si>
  <si>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</si>
  <si>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</si>
  <si>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</si>
  <si>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</si>
  <si>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</si>
  <si>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</si>
  <si>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</si>
  <si>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</si>
  <si>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</si>
  <si>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</si>
  <si>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</si>
  <si>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</si>
  <si>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</si>
  <si>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</si>
  <si>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</si>
  <si>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</si>
  <si>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</si>
  <si>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</si>
  <si>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</si>
  <si>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</si>
  <si>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</si>
  <si>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</si>
  <si>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</si>
  <si>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</si>
  <si>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</si>
  <si>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</si>
  <si>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</si>
  <si>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</si>
  <si>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</si>
  <si>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</si>
  <si>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</si>
  <si>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</si>
  <si>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</si>
  <si>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</si>
  <si>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</si>
  <si>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</si>
  <si>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</si>
  <si>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</si>
  <si>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</si>
  <si>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</si>
  <si>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</si>
  <si>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</si>
  <si>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</si>
  <si>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</si>
  <si>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</si>
  <si>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</si>
  <si>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</si>
  <si>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</si>
  <si>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</si>
  <si>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</si>
  <si>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</si>
  <si>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</si>
  <si>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</si>
  <si>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</si>
  <si>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</si>
  <si>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</si>
  <si>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</si>
  <si>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</si>
  <si>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</si>
  <si>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</si>
  <si>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</si>
  <si>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</si>
  <si>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</si>
  <si>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</si>
  <si>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</si>
  <si>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</si>
  <si>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</si>
  <si>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</si>
  <si>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</si>
  <si>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</si>
  <si>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</si>
  <si>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</si>
  <si>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</si>
  <si>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</si>
  <si>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</si>
  <si>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</si>
  <si>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</si>
  <si>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</si>
  <si>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</si>
  <si>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</si>
  <si>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</si>
  <si>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</si>
  <si>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</si>
  <si>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</si>
  <si>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</si>
  <si>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</si>
  <si>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</si>
  <si>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</si>
  <si>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</si>
  <si>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</si>
  <si>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</si>
  <si>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</si>
  <si>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</si>
  <si>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</si>
  <si>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</si>
  <si>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</si>
  <si>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</si>
  <si>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</si>
  <si>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</si>
  <si>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</si>
  <si>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</si>
  <si>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</si>
  <si>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</si>
  <si>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</si>
  <si>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</si>
  <si>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</si>
  <si>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</si>
  <si>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</si>
  <si>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</si>
  <si>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</si>
  <si>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</si>
  <si>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</si>
  <si>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</si>
  <si>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</si>
  <si>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</si>
  <si>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</si>
  <si>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</si>
  <si>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</si>
  <si>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</si>
  <si>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</si>
  <si>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</si>
  <si>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</si>
  <si>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</si>
  <si>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</si>
  <si>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</si>
  <si>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</si>
  <si>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</si>
  <si>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</si>
  <si>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</si>
  <si>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</si>
  <si>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</si>
  <si>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</si>
  <si>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</si>
  <si>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</si>
  <si>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</si>
  <si>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</si>
  <si>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</si>
  <si>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</si>
  <si>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</si>
  <si>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</si>
  <si>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</si>
  <si>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</si>
  <si>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</si>
  <si>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</si>
  <si>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</si>
  <si>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</si>
  <si>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</si>
  <si>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</si>
  <si>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</si>
  <si>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</si>
  <si>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</si>
  <si>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</si>
  <si>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</si>
  <si>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</si>
  <si>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</si>
  <si>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</si>
  <si>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</si>
  <si>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</si>
  <si>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</si>
  <si>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</si>
  <si>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</si>
  <si>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</si>
  <si>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</si>
  <si>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</si>
  <si>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</si>
  <si>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</si>
  <si>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</si>
  <si>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</si>
  <si>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</si>
  <si>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</si>
  <si>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</si>
  <si>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</si>
  <si>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</si>
  <si>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</si>
  <si>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</si>
  <si>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</si>
  <si>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</si>
  <si>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</si>
  <si>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</si>
  <si>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</si>
  <si>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</si>
  <si>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</si>
  <si>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</si>
  <si>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</si>
  <si>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</si>
  <si>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</si>
  <si>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</si>
  <si>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</si>
  <si>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</si>
  <si>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</si>
  <si>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</si>
  <si>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</si>
  <si>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</si>
  <si>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</si>
  <si>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</si>
  <si>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</si>
  <si>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</si>
  <si>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</si>
  <si>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</si>
  <si>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</si>
  <si>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</si>
  <si>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</si>
  <si>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</si>
  <si>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</si>
  <si>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</si>
  <si>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</si>
  <si>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</si>
  <si>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</si>
  <si>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</si>
  <si>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</si>
  <si>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</si>
  <si>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</si>
  <si>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</si>
  <si>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</si>
  <si>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</si>
  <si>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</si>
  <si>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</si>
  <si>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</si>
  <si>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</si>
  <si>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</si>
  <si>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</si>
  <si>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</si>
  <si>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</si>
  <si>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</si>
  <si>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</si>
  <si>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</si>
  <si>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</si>
  <si>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</si>
  <si>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</si>
  <si>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</si>
  <si>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</si>
  <si>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</si>
  <si>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</si>
  <si>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</si>
  <si>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</si>
  <si>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</si>
  <si>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</si>
  <si>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</si>
  <si>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</si>
  <si>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</si>
  <si>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</si>
  <si>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</si>
  <si>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</si>
  <si>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</si>
  <si>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</si>
  <si>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</si>
  <si>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</si>
  <si>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</si>
  <si>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</si>
  <si>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</si>
  <si>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</si>
  <si>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</si>
  <si>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</si>
  <si>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</si>
  <si>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</si>
  <si>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</si>
  <si>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</si>
  <si>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</si>
  <si>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</si>
  <si>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</si>
  <si>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</si>
  <si>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</si>
  <si>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</si>
  <si>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</si>
  <si>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</si>
  <si>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</si>
  <si>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</si>
  <si>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</si>
  <si>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</si>
  <si>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</si>
  <si>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</si>
  <si>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</si>
  <si>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</si>
  <si>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</si>
  <si>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</si>
  <si>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</si>
  <si>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</si>
  <si>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</si>
  <si>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</si>
  <si>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</si>
  <si>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</si>
  <si>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</si>
  <si>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</si>
  <si>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</si>
  <si>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</si>
  <si>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</si>
  <si>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</si>
  <si>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</si>
  <si>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</si>
  <si>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</si>
  <si>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</si>
  <si>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</si>
  <si>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</si>
  <si>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</si>
  <si>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</si>
  <si>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</si>
  <si>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</si>
  <si>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</si>
  <si>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</si>
  <si>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</si>
  <si>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</si>
  <si>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</si>
  <si>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</si>
  <si>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</si>
  <si>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</si>
  <si>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</si>
  <si>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</si>
  <si>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</si>
  <si>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</si>
  <si>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</si>
  <si>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</si>
  <si>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</si>
  <si>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</si>
  <si>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</si>
  <si>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</si>
  <si>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</si>
  <si>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</si>
  <si>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</si>
  <si>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</si>
  <si>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</si>
  <si>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</si>
  <si>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</si>
  <si>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</si>
  <si>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</si>
  <si>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</si>
  <si>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</si>
  <si>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</si>
  <si>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</si>
  <si>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</si>
  <si>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</si>
  <si>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</si>
  <si>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</si>
  <si>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</si>
  <si>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</si>
  <si>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</si>
  <si>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</si>
  <si>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</si>
  <si>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</si>
  <si>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</si>
  <si>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</si>
  <si>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</si>
  <si>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</si>
  <si>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</si>
  <si>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</si>
  <si>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</si>
  <si>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</si>
  <si>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</si>
  <si>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</si>
  <si>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</si>
  <si>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</si>
  <si>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</si>
  <si>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</si>
  <si>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</si>
  <si>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</si>
  <si>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</si>
  <si>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</si>
  <si>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</si>
  <si>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</si>
  <si>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</si>
  <si>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</si>
  <si>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</si>
  <si>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</si>
  <si>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</si>
  <si>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</si>
  <si>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</si>
  <si>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</si>
  <si>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</si>
  <si>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</si>
  <si>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</si>
  <si>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</si>
  <si>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</si>
  <si>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</si>
  <si>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</si>
  <si>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</si>
  <si>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</si>
  <si>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</si>
  <si>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</si>
  <si>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</si>
  <si>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</si>
  <si>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</si>
  <si>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</si>
  <si>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</si>
  <si>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</si>
  <si>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</si>
  <si>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</si>
  <si>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</si>
  <si>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</si>
  <si>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</si>
  <si>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</si>
  <si>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</si>
  <si>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</si>
  <si>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</si>
  <si>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</si>
  <si>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</si>
  <si>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</si>
  <si>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</si>
  <si>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</si>
  <si>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</si>
  <si>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</si>
  <si>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</si>
  <si>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</si>
  <si>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</si>
  <si>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</si>
  <si>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</si>
  <si>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</si>
  <si>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</si>
  <si>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</si>
  <si>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</si>
  <si>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</si>
  <si>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</si>
  <si>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</si>
  <si>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</si>
  <si>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</si>
  <si>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</si>
  <si>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</si>
  <si>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</si>
  <si>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</si>
  <si>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</si>
  <si>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</si>
  <si>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</si>
  <si>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</si>
  <si>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</si>
  <si>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</si>
  <si>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</si>
  <si>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</si>
  <si>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</si>
  <si>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</si>
  <si>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</si>
  <si>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</si>
  <si>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</si>
  <si>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</si>
  <si>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</si>
  <si>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</si>
  <si>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</si>
  <si>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</si>
  <si>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</si>
  <si>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</si>
  <si>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</si>
  <si>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</si>
  <si>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</si>
  <si>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</si>
  <si>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</si>
  <si>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</si>
  <si>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</si>
  <si>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</si>
  <si>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</si>
  <si>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</si>
  <si>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</si>
  <si>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</si>
  <si>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</si>
  <si>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</si>
  <si>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</si>
  <si>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</si>
  <si>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</si>
  <si>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</si>
  <si>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</si>
  <si>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</si>
  <si>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</si>
  <si>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</si>
  <si>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</si>
  <si>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</si>
  <si>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</si>
  <si>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</si>
  <si>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</si>
  <si>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</si>
  <si>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</si>
  <si>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</si>
  <si>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</si>
  <si>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</si>
  <si>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</si>
  <si>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</si>
  <si>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</si>
  <si>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</si>
  <si>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</si>
  <si>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</si>
  <si>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</si>
  <si>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</si>
  <si>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</si>
  <si>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</si>
  <si>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</si>
  <si>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</si>
  <si>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</si>
  <si>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</si>
  <si>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</si>
  <si>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</si>
  <si>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</si>
  <si>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</si>
  <si>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</si>
  <si>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</si>
  <si>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</si>
  <si>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</si>
  <si>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</si>
  <si>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</si>
  <si>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</si>
  <si>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</si>
  <si>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</si>
  <si>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</si>
  <si>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</si>
  <si>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</si>
  <si>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</si>
  <si>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</si>
  <si>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</si>
  <si>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</si>
  <si>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</si>
  <si>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</si>
  <si>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</si>
  <si>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</si>
  <si>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</si>
  <si>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</si>
  <si>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</si>
  <si>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</si>
  <si>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</si>
  <si>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</si>
  <si>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</si>
  <si>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</si>
  <si>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</si>
  <si>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</si>
  <si>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</si>
  <si>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</si>
  <si>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</si>
  <si>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</si>
  <si>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</si>
  <si>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</si>
  <si>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</si>
  <si>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</si>
  <si>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</si>
  <si>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</si>
  <si>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</si>
  <si>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</si>
  <si>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</si>
  <si>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</si>
  <si>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</si>
  <si>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</si>
  <si>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</si>
  <si>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</si>
  <si>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</si>
  <si>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</si>
  <si>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</si>
  <si>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</si>
  <si>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</si>
  <si>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</si>
  <si>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</si>
  <si>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</si>
  <si>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</si>
  <si>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</si>
  <si>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</si>
  <si>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</si>
  <si>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</si>
  <si>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</si>
  <si>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</si>
  <si>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</si>
  <si>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</si>
  <si>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</si>
  <si>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</si>
  <si>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</si>
  <si>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</si>
  <si>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</si>
  <si>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</si>
  <si>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</si>
  <si>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</si>
  <si>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</si>
  <si>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</si>
  <si>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</si>
  <si>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</si>
  <si>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</si>
  <si>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</si>
  <si>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</si>
  <si>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</si>
  <si>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</si>
  <si>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</si>
  <si>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</si>
  <si>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</si>
  <si>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</si>
  <si>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</si>
  <si>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</si>
  <si>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</si>
  <si>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</si>
  <si>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</si>
  <si>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</si>
  <si>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</si>
  <si>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</si>
  <si>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</si>
  <si>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</si>
  <si>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</si>
  <si>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</si>
  <si>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</si>
  <si>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</si>
  <si>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</si>
  <si>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</si>
  <si>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</si>
  <si>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</si>
  <si>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</si>
  <si>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</si>
  <si>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</si>
  <si>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</si>
  <si>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</si>
  <si>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</si>
  <si>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</si>
  <si>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</si>
  <si>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</si>
  <si>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</si>
  <si>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</si>
  <si>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</si>
  <si>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</si>
  <si>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</si>
  <si>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</si>
  <si>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</si>
  <si>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</si>
  <si>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</si>
  <si>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</si>
  <si>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</si>
  <si>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</si>
  <si>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</si>
  <si>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</si>
  <si>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</si>
  <si>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</si>
  <si>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</si>
  <si>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</si>
  <si>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</si>
  <si>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</si>
  <si>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</si>
  <si>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</si>
  <si>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</si>
  <si>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</si>
  <si>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</si>
  <si>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</si>
  <si>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</si>
  <si>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</si>
  <si>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</si>
  <si>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</si>
  <si>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</si>
  <si>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</si>
  <si>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</si>
  <si>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</si>
  <si>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</si>
  <si>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</si>
  <si>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</si>
  <si>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</si>
  <si>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</si>
  <si>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</si>
  <si>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</si>
  <si>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</si>
  <si>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</si>
  <si>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</si>
  <si>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</si>
  <si>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</si>
  <si>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</si>
  <si>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</si>
  <si>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</si>
  <si>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</si>
  <si>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</si>
  <si>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</si>
  <si>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</si>
  <si>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</si>
  <si>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</si>
  <si>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</si>
  <si>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</si>
  <si>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</si>
  <si>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</si>
  <si>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</si>
  <si>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</si>
  <si>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</si>
  <si>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</si>
  <si>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</si>
  <si>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</si>
  <si>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</si>
  <si>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</si>
  <si>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</si>
  <si>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</si>
  <si>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</si>
  <si>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</si>
  <si>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</si>
  <si>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</si>
  <si>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</si>
  <si>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</si>
  <si>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</si>
  <si>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</si>
  <si>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</si>
  <si>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</si>
  <si>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</si>
  <si>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</si>
  <si>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</si>
  <si>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</si>
  <si>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</si>
  <si>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</si>
  <si>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</si>
  <si>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</si>
  <si>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</si>
  <si>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</si>
  <si>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</si>
  <si>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</si>
  <si>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</si>
  <si>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</si>
  <si>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</si>
  <si>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</si>
  <si>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</si>
  <si>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</si>
  <si>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</si>
  <si>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</si>
  <si>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</si>
  <si>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</si>
  <si>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</si>
  <si>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</si>
  <si>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</si>
  <si>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</si>
  <si>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</si>
  <si>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</si>
  <si>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</si>
  <si>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</si>
  <si>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</si>
  <si>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</si>
  <si>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</si>
  <si>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</si>
  <si>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</si>
  <si>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</si>
  <si>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</si>
  <si>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</si>
  <si>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</si>
  <si>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</si>
  <si>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</si>
  <si>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</si>
  <si>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</si>
  <si>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</si>
  <si>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</si>
  <si>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</si>
  <si>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</si>
  <si>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</si>
  <si>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</si>
  <si>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</si>
  <si>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</si>
  <si>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</si>
  <si>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</si>
  <si>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</si>
  <si>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</si>
  <si>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</si>
  <si>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</si>
  <si>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</si>
  <si>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</si>
  <si>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</si>
  <si>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</si>
  <si>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</si>
  <si>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</si>
  <si>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</si>
  <si>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</si>
  <si>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</si>
  <si>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</si>
  <si>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</si>
  <si>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</si>
  <si>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</si>
  <si>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</si>
  <si>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</si>
  <si>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</si>
  <si>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</si>
  <si>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</si>
  <si>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</si>
  <si>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</si>
  <si>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</si>
  <si>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</si>
  <si>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</si>
  <si>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</si>
  <si>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</si>
  <si>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</si>
  <si>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</si>
  <si>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</si>
  <si>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</si>
  <si>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</si>
  <si>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</si>
  <si>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</si>
  <si>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</si>
  <si>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</si>
  <si>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</si>
  <si>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</si>
  <si>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</si>
  <si>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</si>
  <si>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</si>
  <si>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</si>
  <si>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</si>
  <si>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</si>
  <si>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</si>
  <si>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</si>
  <si>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</si>
  <si>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</si>
  <si>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</si>
  <si>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</si>
  <si>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</si>
  <si>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</si>
  <si>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</si>
  <si>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</si>
  <si>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</si>
  <si>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</si>
  <si>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</si>
  <si>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</si>
  <si>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</si>
  <si>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</si>
  <si>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</si>
  <si>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</si>
  <si>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</si>
  <si>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</si>
  <si>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</si>
  <si>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</si>
  <si>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</si>
  <si>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</si>
  <si>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</si>
  <si>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</si>
  <si>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</si>
  <si>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</si>
  <si>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</si>
  <si>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</si>
  <si>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</si>
  <si>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</si>
  <si>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</si>
  <si>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</si>
  <si>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</si>
  <si>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</si>
  <si>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</si>
  <si>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</si>
  <si>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</si>
  <si>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</si>
  <si>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</si>
  <si>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</si>
  <si>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</si>
  <si>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</si>
  <si>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</si>
  <si>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</si>
  <si>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</si>
  <si>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</si>
  <si>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</si>
  <si>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</si>
  <si>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</si>
  <si>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</si>
  <si>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</si>
  <si>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</si>
  <si>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</si>
  <si>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</si>
  <si>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</si>
  <si>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</si>
  <si>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</si>
  <si>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</si>
  <si>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</si>
  <si>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</si>
  <si>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</si>
  <si>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</si>
  <si>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</si>
  <si>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</si>
  <si>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</si>
  <si>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</si>
  <si>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</si>
  <si>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</si>
  <si>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</si>
  <si>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</si>
  <si>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</si>
  <si>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</si>
  <si>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</si>
  <si>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</si>
  <si>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</si>
  <si>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</si>
  <si>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</si>
  <si>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</si>
  <si>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</si>
  <si>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</si>
  <si>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</si>
  <si>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</si>
  <si>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</si>
  <si>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</si>
  <si>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</si>
  <si>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</si>
  <si>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</si>
  <si>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</si>
  <si>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</si>
  <si>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</si>
  <si>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</si>
  <si>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</si>
  <si>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</si>
  <si>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</si>
  <si>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</si>
  <si>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</si>
  <si>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</si>
  <si>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</si>
  <si>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</si>
  <si>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</si>
  <si>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</si>
  <si>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</si>
  <si>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</si>
  <si>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</si>
  <si>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</si>
  <si>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</si>
  <si>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</si>
  <si>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</si>
  <si>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</si>
  <si>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</si>
  <si>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</si>
  <si>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</si>
  <si>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</si>
  <si>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</si>
  <si>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</si>
  <si>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</si>
  <si>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</si>
  <si>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</si>
  <si>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</si>
  <si>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</si>
  <si>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</si>
  <si>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</si>
  <si>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</si>
  <si>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</si>
  <si>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</si>
  <si>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</si>
  <si>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</si>
  <si>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</si>
  <si>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</si>
  <si>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</si>
  <si>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</si>
  <si>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</si>
  <si>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</si>
  <si>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</si>
  <si>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</si>
  <si>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</si>
  <si>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</si>
  <si>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</si>
  <si>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</si>
  <si>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</si>
  <si>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</si>
  <si>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</si>
  <si>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</si>
  <si>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</si>
  <si>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</si>
  <si>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</si>
  <si>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</si>
  <si>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</si>
  <si>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</si>
  <si>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</si>
  <si>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</si>
  <si>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</si>
  <si>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</si>
  <si>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</si>
  <si>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</si>
  <si>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</si>
  <si>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</si>
  <si>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</si>
  <si>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</si>
  <si>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</si>
  <si>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</si>
  <si>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</si>
  <si>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</si>
  <si>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</si>
  <si>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</si>
  <si>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</si>
  <si>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</si>
  <si>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</si>
  <si>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</si>
  <si>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</si>
  <si>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</si>
  <si>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</si>
  <si>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</si>
  <si>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</si>
  <si>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</si>
  <si>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</si>
  <si>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</si>
  <si>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</si>
  <si>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</si>
  <si>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</si>
  <si>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</si>
  <si>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</si>
  <si>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</si>
  <si>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</si>
  <si>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</si>
  <si>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</si>
  <si>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</si>
  <si>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</si>
  <si>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</si>
  <si>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</si>
  <si>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</si>
  <si>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</si>
  <si>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</si>
  <si>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</si>
  <si>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</si>
  <si>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</si>
  <si>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</si>
  <si>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</si>
  <si>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</si>
  <si>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</si>
  <si>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</si>
  <si>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</si>
  <si>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</si>
  <si>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</si>
  <si>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</si>
  <si>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</si>
  <si>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</si>
  <si>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</si>
  <si>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</si>
  <si>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</si>
  <si>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</si>
  <si>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</si>
  <si>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</si>
  <si>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</si>
  <si>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</si>
  <si>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</si>
  <si>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</si>
  <si>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</si>
  <si>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</si>
  <si>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</si>
  <si>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</si>
  <si>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</si>
  <si>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</si>
  <si>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</si>
  <si>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</si>
  <si>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</si>
  <si>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</si>
  <si>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</si>
  <si>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</si>
  <si>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</si>
  <si>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</si>
  <si>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</si>
  <si>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</si>
  <si>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</si>
  <si>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</si>
  <si>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</si>
  <si>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</si>
  <si>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</si>
  <si>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</si>
  <si>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</si>
  <si>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</si>
  <si>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</si>
  <si>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</si>
  <si>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</si>
  <si>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</si>
  <si>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</si>
  <si>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</si>
  <si>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</si>
  <si>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</si>
  <si>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</si>
  <si>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</si>
  <si>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</si>
  <si>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</si>
  <si>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</si>
  <si>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</si>
  <si>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</si>
  <si>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</si>
  <si>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</si>
  <si>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</si>
  <si>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</si>
  <si>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</si>
  <si>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</si>
  <si>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</si>
  <si>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</si>
  <si>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</si>
  <si>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</si>
  <si>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</si>
  <si>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</si>
  <si>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</si>
  <si>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</si>
  <si>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</si>
  <si>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</si>
  <si>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</si>
  <si>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</si>
  <si>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</si>
  <si>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</si>
  <si>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</si>
  <si>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</si>
  <si>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</si>
  <si>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</si>
  <si>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</si>
  <si>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</si>
  <si>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</si>
  <si>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</si>
  <si>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</si>
  <si>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</si>
  <si>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</si>
  <si>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</si>
  <si>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</si>
  <si>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</si>
  <si>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</si>
  <si>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</si>
  <si>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</si>
  <si>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</si>
  <si>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</si>
  <si>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</si>
  <si>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</si>
  <si>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</si>
  <si>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</si>
  <si>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</si>
  <si>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</si>
  <si>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</si>
  <si>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</si>
  <si>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</si>
  <si>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</si>
  <si>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</si>
  <si>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</si>
  <si>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</si>
  <si>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</si>
  <si>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</si>
  <si>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</si>
  <si>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</si>
  <si>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</si>
  <si>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</si>
  <si>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</si>
  <si>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</si>
  <si>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</si>
  <si>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</si>
  <si>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</si>
  <si>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</si>
  <si>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</si>
  <si>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</si>
  <si>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</si>
  <si>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</si>
  <si>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</si>
  <si>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</si>
  <si>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</si>
  <si>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</si>
  <si>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</si>
  <si>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</si>
  <si>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</si>
  <si>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</si>
  <si>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</si>
  <si>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</si>
  <si>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</si>
  <si>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</si>
  <si>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</si>
  <si>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</si>
  <si>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</si>
  <si>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</si>
  <si>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</si>
  <si>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</si>
  <si>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</si>
  <si>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</si>
  <si>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</si>
  <si>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</si>
  <si>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</si>
  <si>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</si>
  <si>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</si>
  <si>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</si>
  <si>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</si>
  <si>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</si>
  <si>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</si>
  <si>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</si>
  <si>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</si>
  <si>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</si>
  <si>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</si>
  <si>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</si>
  <si>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</si>
  <si>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</si>
  <si>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</si>
  <si>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</si>
  <si>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</si>
  <si>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</si>
  <si>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</si>
  <si>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</si>
  <si>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</si>
  <si>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</si>
  <si>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</si>
  <si>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</si>
  <si>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</si>
  <si>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</si>
  <si>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</si>
  <si>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</si>
  <si>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</si>
  <si>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</si>
  <si>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</si>
  <si>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</si>
  <si>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</si>
  <si>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</si>
  <si>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</si>
  <si>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</si>
  <si>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</si>
  <si>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</si>
  <si>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</si>
  <si>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</si>
  <si>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</si>
  <si>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</si>
  <si>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</si>
  <si>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</si>
  <si>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</si>
  <si>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</si>
  <si>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</si>
  <si>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</si>
  <si>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</si>
  <si>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</si>
  <si>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</si>
  <si>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</si>
  <si>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</si>
  <si>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</si>
  <si>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</si>
  <si>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</si>
  <si>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</si>
  <si>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</si>
  <si>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</si>
  <si>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</si>
  <si>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</si>
  <si>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</si>
  <si>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</si>
  <si>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</si>
  <si>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</si>
  <si>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</si>
  <si>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</si>
  <si>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</si>
  <si>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</si>
  <si>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</si>
  <si>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</si>
  <si>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</si>
  <si>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</si>
  <si>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</si>
  <si>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</si>
  <si>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</si>
  <si>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</si>
  <si>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</si>
  <si>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</si>
  <si>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</si>
  <si>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</si>
  <si>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</si>
  <si>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</si>
  <si>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</si>
  <si>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</si>
  <si>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</si>
  <si>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</si>
  <si>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</si>
  <si>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</si>
  <si>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</si>
  <si>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</si>
  <si>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</si>
  <si>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</si>
  <si>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</si>
  <si>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</si>
  <si>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</si>
  <si>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</si>
  <si>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</si>
  <si>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</si>
  <si>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</si>
  <si>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</si>
  <si>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</si>
  <si>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</si>
  <si>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</si>
  <si>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</si>
  <si>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</si>
  <si>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</si>
  <si>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</si>
  <si>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</si>
  <si>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</si>
  <si>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</si>
  <si>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</si>
  <si>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</si>
  <si>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</si>
  <si>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</si>
  <si>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</si>
  <si>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</si>
  <si>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</si>
  <si>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</si>
  <si>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</si>
  <si>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</si>
  <si>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</si>
  <si>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</si>
  <si>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</si>
  <si>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</si>
  <si>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</si>
  <si>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</si>
  <si>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</si>
  <si>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</si>
  <si>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</si>
  <si>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</si>
  <si>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</si>
  <si>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</si>
  <si>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</si>
  <si>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</si>
  <si>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</si>
  <si>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</si>
  <si>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</si>
  <si>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</si>
  <si>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</si>
  <si>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</si>
  <si>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</si>
  <si>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</si>
  <si>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</si>
  <si>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</si>
  <si>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</si>
  <si>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</si>
  <si>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</si>
  <si>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</si>
  <si>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</si>
  <si>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</si>
  <si>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</si>
  <si>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</si>
  <si>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</si>
  <si>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</si>
  <si>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</si>
  <si>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</si>
  <si>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</si>
  <si>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</si>
  <si>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</si>
  <si>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</si>
  <si>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</si>
  <si>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</si>
  <si>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</si>
  <si>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</si>
  <si>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</si>
  <si>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</si>
  <si>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</si>
  <si>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</si>
  <si>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</si>
  <si>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</si>
  <si>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</si>
  <si>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</si>
  <si>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</si>
  <si>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</si>
  <si>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</si>
  <si>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</si>
  <si>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</si>
  <si>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</si>
  <si>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</si>
  <si>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</si>
  <si>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</si>
  <si>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</si>
  <si>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</si>
  <si>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</si>
  <si>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</si>
  <si>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</si>
  <si>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</si>
  <si>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</si>
  <si>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</si>
  <si>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</si>
  <si>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</si>
  <si>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</si>
  <si>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</si>
  <si>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</si>
  <si>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</si>
  <si>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</si>
  <si>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</si>
  <si>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</si>
  <si>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</si>
  <si>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</si>
  <si>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</si>
  <si>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</si>
  <si>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</si>
  <si>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</si>
  <si>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</si>
  <si>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</si>
  <si>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</si>
  <si>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</si>
  <si>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</si>
  <si>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</si>
  <si>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</si>
  <si>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</si>
  <si>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</si>
  <si>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</si>
  <si>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</si>
  <si>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</si>
  <si>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</si>
  <si>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</si>
  <si>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</si>
  <si>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</si>
  <si>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</si>
  <si>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</si>
  <si>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</si>
  <si>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</si>
  <si>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</si>
  <si>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</si>
  <si>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</si>
  <si>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</si>
  <si>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</si>
  <si>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</si>
  <si>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</si>
  <si>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</si>
  <si>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</si>
  <si>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</si>
  <si>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</si>
  <si>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</si>
  <si>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</si>
  <si>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</si>
  <si>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</si>
  <si>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</si>
  <si>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</si>
  <si>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</si>
  <si>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</si>
  <si>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</si>
  <si>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</si>
  <si>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</si>
  <si>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</si>
  <si>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</si>
  <si>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</si>
  <si>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</si>
  <si>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</si>
  <si>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</si>
  <si>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</si>
  <si>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</si>
  <si>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</si>
  <si>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</si>
  <si>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</si>
  <si>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</si>
  <si>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</si>
  <si>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</si>
  <si>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</si>
  <si>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</si>
  <si>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</si>
  <si>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</si>
  <si>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</si>
  <si>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</si>
  <si>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</si>
  <si>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</si>
  <si>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</si>
  <si>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</si>
  <si>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</si>
  <si>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</si>
  <si>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</si>
  <si>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</si>
  <si>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</si>
  <si>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</si>
  <si>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</si>
  <si>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</si>
  <si>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</si>
  <si>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</si>
  <si>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</si>
  <si>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</si>
  <si>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</si>
  <si>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</si>
  <si>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</si>
  <si>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</si>
  <si>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</si>
  <si>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</si>
  <si>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</si>
  <si>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</si>
  <si>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</si>
  <si>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</si>
  <si>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</si>
  <si>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</si>
  <si>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</si>
  <si>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</si>
  <si>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</si>
  <si>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</si>
  <si>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</si>
  <si>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</si>
  <si>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</si>
  <si>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</si>
  <si>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</si>
  <si>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</si>
  <si>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</si>
  <si>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</si>
  <si>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</si>
  <si>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</si>
  <si>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</si>
  <si>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</si>
  <si>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</si>
  <si>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</si>
  <si>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</si>
  <si>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</si>
  <si>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</si>
  <si>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</si>
  <si>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</si>
  <si>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</si>
  <si>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</si>
  <si>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</si>
  <si>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</si>
  <si>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</si>
  <si>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</si>
  <si>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</si>
  <si>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</si>
  <si>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</si>
  <si>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</si>
  <si>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</si>
  <si>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</si>
  <si>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</si>
  <si>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</si>
  <si>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</si>
  <si>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</si>
  <si>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</si>
  <si>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</si>
  <si>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</si>
  <si>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</si>
  <si>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</si>
  <si>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</si>
  <si>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</si>
  <si>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</si>
  <si>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</si>
  <si>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</si>
  <si>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</si>
  <si>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</si>
  <si>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</si>
  <si>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</si>
  <si>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</si>
  <si>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</si>
  <si>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</si>
  <si>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</si>
  <si>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</si>
  <si>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</si>
  <si>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</si>
  <si>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</si>
  <si>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</si>
  <si>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</si>
  <si>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</si>
  <si>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</si>
  <si>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</si>
  <si>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</si>
  <si>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</si>
  <si>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</si>
  <si>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</si>
  <si>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</si>
  <si>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</si>
  <si>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</si>
  <si>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</si>
  <si>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</si>
  <si>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</si>
  <si>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</si>
  <si>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</si>
  <si>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</si>
  <si>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</si>
  <si>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</si>
  <si>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</si>
  <si>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</si>
  <si>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</si>
  <si>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</si>
  <si>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</si>
  <si>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</si>
  <si>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</si>
  <si>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</si>
  <si>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</si>
  <si>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</si>
  <si>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2025-08-13</t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</si>
  <si>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</si>
  <si>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</si>
  <si>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</si>
  <si>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</si>
  <si>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</si>
  <si>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</si>
  <si>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</si>
  <si>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</si>
  <si>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</si>
  <si>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</si>
  <si>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</si>
  <si>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</si>
  <si>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경동(화물)</t>
    <phoneticPr fontId="2" type="noConversion"/>
  </si>
  <si>
    <t>태흥오토미션(광주)_250813_175718.xlsx</t>
  </si>
  <si>
    <t>ISM_RENEW</t>
  </si>
  <si>
    <t>빅딜게러지(목포)</t>
    <phoneticPr fontId="2" type="noConversion"/>
  </si>
  <si>
    <t>전남 목포시 고하대로 719번길 13</t>
    <phoneticPr fontId="2" type="noConversion"/>
  </si>
  <si>
    <t>010-3199-6311</t>
    <phoneticPr fontId="2" type="noConversion"/>
  </si>
  <si>
    <t>ISM_RENEW</t>
    <phoneticPr fontId="2" type="noConversion"/>
  </si>
  <si>
    <t>빅딜게러지(목포)_250813_175753.xlsx</t>
  </si>
  <si>
    <t>빅딜게러지(목포)_250813_175753.xlsx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</si>
</sst>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2640000</c:v>
                </c:pt>
                <c:pt idx="2">
                  <c:v>4969000</c:v>
                </c:pt>
                <c:pt idx="3">
                  <c:v>1320000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2310000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19</c:v>
                      </c:pt>
                      <c:pt idx="4">
                        <c:v>30</c:v>
                      </c:pt>
                      <c:pt idx="5">
                        <c:v>22</c:v>
                      </c:pt>
                      <c:pt idx="6">
                        <c:v>23</c:v>
                      </c:pt>
                      <c:pt idx="7">
                        <c:v>6</c:v>
                      </c:pt>
                      <c:pt idx="8">
                        <c:v>30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7"/>
      <c r="B1" s="298"/>
      <c r="C1" s="298"/>
      <c r="D1" s="298"/>
      <c r="E1" s="298"/>
      <c r="F1" s="298"/>
      <c r="G1" s="29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9" t="s">
        <v>1226</v>
      </c>
      <c r="R1" s="299"/>
      <c r="S1" s="300"/>
      <c r="T1" s="300"/>
      <c r="U1" s="301"/>
    </row>
    <row r="2" spans="1:21" x14ac:dyDescent="0.3">
      <c r="A2" s="302" t="s">
        <v>70</v>
      </c>
      <c r="B2" s="303"/>
      <c r="C2" s="304" t="s">
        <v>2271</v>
      </c>
      <c r="D2" s="305"/>
      <c r="E2" s="305"/>
      <c r="F2" s="305"/>
      <c r="G2" s="306"/>
      <c r="H2" s="304" t="s">
        <v>82</v>
      </c>
      <c r="I2" s="305"/>
      <c r="J2" s="305"/>
      <c r="K2" s="305"/>
      <c r="L2" s="305"/>
      <c r="M2" s="305"/>
      <c r="N2" s="305"/>
      <c r="O2" s="306"/>
      <c r="P2" s="307" t="s">
        <v>68</v>
      </c>
      <c r="Q2" s="308"/>
      <c r="R2" s="308"/>
      <c r="S2" s="303"/>
      <c r="T2" s="309">
        <v>45882</v>
      </c>
      <c r="U2" s="310"/>
    </row>
    <row r="3" spans="1:21" ht="24.95" customHeight="1" x14ac:dyDescent="0.3">
      <c r="A3" s="320" t="s">
        <v>1194</v>
      </c>
      <c r="B3" s="37" t="s">
        <v>64</v>
      </c>
      <c r="C3" s="323" t="s">
        <v>3360</v>
      </c>
      <c r="D3" s="324"/>
      <c r="E3" s="324"/>
      <c r="F3" s="324"/>
      <c r="G3" s="324"/>
      <c r="H3" s="324"/>
      <c r="I3" s="324"/>
      <c r="J3" s="325"/>
      <c r="K3" s="326" t="s">
        <v>1195</v>
      </c>
      <c r="L3" s="37" t="s">
        <v>64</v>
      </c>
      <c r="M3" s="329" t="s">
        <v>970</v>
      </c>
      <c r="N3" s="330"/>
      <c r="O3" s="330"/>
      <c r="P3" s="330"/>
      <c r="Q3" s="330"/>
      <c r="R3" s="330"/>
      <c r="S3" s="330"/>
      <c r="T3" s="330"/>
      <c r="U3" s="331"/>
    </row>
    <row r="4" spans="1:21" ht="24.95" customHeight="1" x14ac:dyDescent="0.3">
      <c r="A4" s="321"/>
      <c r="B4" s="37" t="s">
        <v>66</v>
      </c>
      <c r="C4" s="332"/>
      <c r="D4" s="333"/>
      <c r="E4" s="333"/>
      <c r="F4" s="333"/>
      <c r="G4" s="333"/>
      <c r="H4" s="333"/>
      <c r="I4" s="333"/>
      <c r="J4" s="334"/>
      <c r="K4" s="327"/>
      <c r="L4" s="37" t="s">
        <v>66</v>
      </c>
      <c r="M4" s="311" t="s">
        <v>968</v>
      </c>
      <c r="N4" s="312"/>
      <c r="O4" s="312"/>
      <c r="P4" s="312"/>
      <c r="Q4" s="312"/>
      <c r="R4" s="313"/>
      <c r="S4" s="38" t="s">
        <v>67</v>
      </c>
      <c r="T4" s="311" t="s">
        <v>78</v>
      </c>
      <c r="U4" s="314"/>
    </row>
    <row r="5" spans="1:21" ht="24.95" customHeight="1" x14ac:dyDescent="0.3">
      <c r="A5" s="321"/>
      <c r="B5" s="38" t="s">
        <v>10</v>
      </c>
      <c r="C5" s="311" t="s">
        <v>3361</v>
      </c>
      <c r="D5" s="312"/>
      <c r="E5" s="312"/>
      <c r="F5" s="312"/>
      <c r="G5" s="312"/>
      <c r="H5" s="312"/>
      <c r="I5" s="312"/>
      <c r="J5" s="313"/>
      <c r="K5" s="327"/>
      <c r="L5" s="38" t="s">
        <v>10</v>
      </c>
      <c r="M5" s="311" t="s">
        <v>79</v>
      </c>
      <c r="N5" s="312"/>
      <c r="O5" s="312"/>
      <c r="P5" s="312"/>
      <c r="Q5" s="312"/>
      <c r="R5" s="312"/>
      <c r="S5" s="312"/>
      <c r="T5" s="312"/>
      <c r="U5" s="314"/>
    </row>
    <row r="6" spans="1:21" ht="24.95" customHeight="1" x14ac:dyDescent="0.3">
      <c r="A6" s="322"/>
      <c r="B6" s="38" t="s">
        <v>80</v>
      </c>
      <c r="C6" s="311" t="s">
        <v>3362</v>
      </c>
      <c r="D6" s="312"/>
      <c r="E6" s="312"/>
      <c r="F6" s="312"/>
      <c r="G6" s="312"/>
      <c r="H6" s="312"/>
      <c r="I6" s="312"/>
      <c r="J6" s="313"/>
      <c r="K6" s="328"/>
      <c r="L6" s="38" t="s">
        <v>80</v>
      </c>
      <c r="M6" s="311" t="s">
        <v>71</v>
      </c>
      <c r="N6" s="312"/>
      <c r="O6" s="312"/>
      <c r="P6" s="312"/>
      <c r="Q6" s="312"/>
      <c r="R6" s="313"/>
      <c r="S6" s="38" t="s">
        <v>26</v>
      </c>
      <c r="T6" s="311" t="s">
        <v>36</v>
      </c>
      <c r="U6" s="314"/>
    </row>
    <row r="7" spans="1:21" ht="15.75" customHeight="1" x14ac:dyDescent="0.3">
      <c r="A7" s="315" t="s">
        <v>75</v>
      </c>
      <c r="B7" s="316"/>
      <c r="C7" s="316"/>
      <c r="D7" s="316"/>
      <c r="E7" s="317"/>
      <c r="F7" s="318" t="s">
        <v>48</v>
      </c>
      <c r="G7" s="316"/>
      <c r="H7" s="316"/>
      <c r="I7" s="317"/>
      <c r="J7" s="318" t="s">
        <v>46</v>
      </c>
      <c r="K7" s="316"/>
      <c r="L7" s="316"/>
      <c r="M7" s="316"/>
      <c r="N7" s="317"/>
      <c r="O7" s="316" t="s">
        <v>54</v>
      </c>
      <c r="P7" s="317"/>
      <c r="Q7" s="318" t="s">
        <v>74</v>
      </c>
      <c r="R7" s="316"/>
      <c r="S7" s="317"/>
      <c r="T7" s="318" t="s">
        <v>73</v>
      </c>
      <c r="U7" s="319"/>
    </row>
    <row r="8" spans="1:21" ht="15.6" customHeight="1" x14ac:dyDescent="0.3">
      <c r="A8" s="344" t="s">
        <v>3363</v>
      </c>
      <c r="B8" s="345"/>
      <c r="C8" s="345"/>
      <c r="D8" s="345"/>
      <c r="E8" s="346"/>
      <c r="F8" s="347"/>
      <c r="G8" s="345"/>
      <c r="H8" s="345"/>
      <c r="I8" s="346"/>
      <c r="J8" s="353">
        <v>100000</v>
      </c>
      <c r="K8" s="353"/>
      <c r="L8" s="353"/>
      <c r="M8" s="353"/>
      <c r="N8" s="353"/>
      <c r="O8" s="354">
        <v>1</v>
      </c>
      <c r="P8" s="354"/>
      <c r="Q8" s="348"/>
      <c r="R8" s="349"/>
      <c r="S8" s="350"/>
      <c r="T8" s="351">
        <v>100000</v>
      </c>
      <c r="U8" s="352"/>
    </row>
    <row r="9" spans="1:21" ht="15.6" customHeight="1" x14ac:dyDescent="0.3">
      <c r="A9" s="335"/>
      <c r="B9" s="336"/>
      <c r="C9" s="336"/>
      <c r="D9" s="336"/>
      <c r="E9" s="337"/>
      <c r="F9" s="338"/>
      <c r="G9" s="336"/>
      <c r="H9" s="336"/>
      <c r="I9" s="337"/>
      <c r="J9" s="355"/>
      <c r="K9" s="355"/>
      <c r="L9" s="355"/>
      <c r="M9" s="355"/>
      <c r="N9" s="355"/>
      <c r="O9" s="356"/>
      <c r="P9" s="356"/>
      <c r="Q9" s="339"/>
      <c r="R9" s="340"/>
      <c r="S9" s="341"/>
      <c r="T9" s="342"/>
      <c r="U9" s="343"/>
    </row>
    <row r="10" spans="1:21" ht="15.6" customHeight="1" x14ac:dyDescent="0.3">
      <c r="A10" s="335"/>
      <c r="B10" s="336"/>
      <c r="C10" s="336"/>
      <c r="D10" s="336"/>
      <c r="E10" s="337"/>
      <c r="F10" s="338"/>
      <c r="G10" s="336"/>
      <c r="H10" s="336"/>
      <c r="I10" s="337"/>
      <c r="J10" s="355"/>
      <c r="K10" s="355"/>
      <c r="L10" s="355"/>
      <c r="M10" s="355"/>
      <c r="N10" s="355"/>
      <c r="O10" s="356"/>
      <c r="P10" s="356"/>
      <c r="Q10" s="339"/>
      <c r="R10" s="340"/>
      <c r="S10" s="341"/>
      <c r="T10" s="342"/>
      <c r="U10" s="343"/>
    </row>
    <row r="11" spans="1:21" ht="15.6" customHeight="1" x14ac:dyDescent="0.3">
      <c r="A11" s="335"/>
      <c r="B11" s="336"/>
      <c r="C11" s="336"/>
      <c r="D11" s="336"/>
      <c r="E11" s="337"/>
      <c r="F11" s="338"/>
      <c r="G11" s="336"/>
      <c r="H11" s="336"/>
      <c r="I11" s="337"/>
      <c r="J11" s="355"/>
      <c r="K11" s="355"/>
      <c r="L11" s="355"/>
      <c r="M11" s="355"/>
      <c r="N11" s="355"/>
      <c r="O11" s="356"/>
      <c r="P11" s="356"/>
      <c r="Q11" s="339"/>
      <c r="R11" s="340"/>
      <c r="S11" s="341"/>
      <c r="T11" s="342"/>
      <c r="U11" s="343"/>
    </row>
    <row r="12" spans="1:21" ht="15.6" customHeight="1" x14ac:dyDescent="0.3">
      <c r="A12" s="335"/>
      <c r="B12" s="336"/>
      <c r="C12" s="336"/>
      <c r="D12" s="336"/>
      <c r="E12" s="337"/>
      <c r="F12" s="338"/>
      <c r="G12" s="336"/>
      <c r="H12" s="336"/>
      <c r="I12" s="337"/>
      <c r="J12" s="355"/>
      <c r="K12" s="355"/>
      <c r="L12" s="355"/>
      <c r="M12" s="355"/>
      <c r="N12" s="355"/>
      <c r="O12" s="356"/>
      <c r="P12" s="356"/>
      <c r="Q12" s="339"/>
      <c r="R12" s="340"/>
      <c r="S12" s="341"/>
      <c r="T12" s="342"/>
      <c r="U12" s="343"/>
    </row>
    <row r="13" spans="1:21" ht="15.6" customHeight="1" x14ac:dyDescent="0.3">
      <c r="A13" s="335"/>
      <c r="B13" s="336"/>
      <c r="C13" s="336"/>
      <c r="D13" s="336"/>
      <c r="E13" s="337"/>
      <c r="F13" s="338"/>
      <c r="G13" s="336"/>
      <c r="H13" s="336"/>
      <c r="I13" s="337"/>
      <c r="J13" s="355"/>
      <c r="K13" s="355"/>
      <c r="L13" s="355"/>
      <c r="M13" s="355"/>
      <c r="N13" s="355"/>
      <c r="O13" s="356"/>
      <c r="P13" s="356"/>
      <c r="Q13" s="339"/>
      <c r="R13" s="340"/>
      <c r="S13" s="341"/>
      <c r="T13" s="342"/>
      <c r="U13" s="343"/>
    </row>
    <row r="14" spans="1:21" ht="15.6" customHeight="1" x14ac:dyDescent="0.3">
      <c r="A14" s="335"/>
      <c r="B14" s="336"/>
      <c r="C14" s="336"/>
      <c r="D14" s="336"/>
      <c r="E14" s="337"/>
      <c r="F14" s="338"/>
      <c r="G14" s="336"/>
      <c r="H14" s="336"/>
      <c r="I14" s="337"/>
      <c r="J14" s="355"/>
      <c r="K14" s="355"/>
      <c r="L14" s="355"/>
      <c r="M14" s="355"/>
      <c r="N14" s="355"/>
      <c r="O14" s="356"/>
      <c r="P14" s="356"/>
      <c r="Q14" s="339"/>
      <c r="R14" s="340"/>
      <c r="S14" s="341"/>
      <c r="T14" s="342"/>
      <c r="U14" s="343"/>
    </row>
    <row r="15" spans="1:21" ht="15.6" customHeight="1" thickBot="1" x14ac:dyDescent="0.35">
      <c r="A15" s="357"/>
      <c r="B15" s="358"/>
      <c r="C15" s="358"/>
      <c r="D15" s="358"/>
      <c r="E15" s="359"/>
      <c r="F15" s="360"/>
      <c r="G15" s="358"/>
      <c r="H15" s="358"/>
      <c r="I15" s="359"/>
      <c r="J15" s="366"/>
      <c r="K15" s="366"/>
      <c r="L15" s="366"/>
      <c r="M15" s="366"/>
      <c r="N15" s="366"/>
      <c r="O15" s="367"/>
      <c r="P15" s="367"/>
      <c r="Q15" s="361"/>
      <c r="R15" s="362"/>
      <c r="S15" s="363"/>
      <c r="T15" s="364"/>
      <c r="U15" s="365"/>
    </row>
    <row r="16" spans="1:21" ht="15" customHeight="1" thickTop="1" x14ac:dyDescent="0.3">
      <c r="A16" s="368" t="s">
        <v>2367</v>
      </c>
      <c r="B16" s="369"/>
      <c r="C16" s="369"/>
      <c r="D16" s="369"/>
      <c r="E16" s="370"/>
      <c r="F16" s="377"/>
      <c r="G16" s="378"/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378"/>
      <c r="T16" s="378"/>
      <c r="U16" s="379"/>
    </row>
    <row r="17" spans="1:21" ht="15" customHeight="1" x14ac:dyDescent="0.3">
      <c r="A17" s="371"/>
      <c r="B17" s="372"/>
      <c r="C17" s="372"/>
      <c r="D17" s="372"/>
      <c r="E17" s="373"/>
      <c r="F17" s="380"/>
      <c r="G17" s="381"/>
      <c r="H17" s="381"/>
      <c r="I17" s="381"/>
      <c r="J17" s="381"/>
      <c r="K17" s="381"/>
      <c r="L17" s="381"/>
      <c r="M17" s="381"/>
      <c r="N17" s="381"/>
      <c r="O17" s="381"/>
      <c r="P17" s="381"/>
      <c r="Q17" s="381"/>
      <c r="R17" s="381"/>
      <c r="S17" s="381"/>
      <c r="T17" s="381"/>
      <c r="U17" s="382"/>
    </row>
    <row r="18" spans="1:21" ht="15" customHeight="1" x14ac:dyDescent="0.3">
      <c r="A18" s="371"/>
      <c r="B18" s="372"/>
      <c r="C18" s="372"/>
      <c r="D18" s="372"/>
      <c r="E18" s="373"/>
      <c r="F18" s="380"/>
      <c r="G18" s="381"/>
      <c r="H18" s="381"/>
      <c r="I18" s="381"/>
      <c r="J18" s="381"/>
      <c r="K18" s="381"/>
      <c r="L18" s="381"/>
      <c r="M18" s="381"/>
      <c r="N18" s="381"/>
      <c r="O18" s="381"/>
      <c r="P18" s="381"/>
      <c r="Q18" s="381"/>
      <c r="R18" s="381"/>
      <c r="S18" s="381"/>
      <c r="T18" s="381"/>
      <c r="U18" s="382"/>
    </row>
    <row r="19" spans="1:21" ht="15" customHeight="1" x14ac:dyDescent="0.3">
      <c r="A19" s="374"/>
      <c r="B19" s="375"/>
      <c r="C19" s="375"/>
      <c r="D19" s="375"/>
      <c r="E19" s="376"/>
      <c r="F19" s="383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S19" s="384"/>
      <c r="T19" s="384"/>
      <c r="U19" s="385"/>
    </row>
    <row r="20" spans="1:21" ht="20.100000000000001" customHeight="1" x14ac:dyDescent="0.3">
      <c r="A20" s="315" t="s">
        <v>86</v>
      </c>
      <c r="B20" s="316"/>
      <c r="C20" s="316"/>
      <c r="D20" s="316"/>
      <c r="E20" s="316"/>
      <c r="F20" s="392">
        <v>0</v>
      </c>
      <c r="G20" s="392"/>
      <c r="H20" s="392"/>
      <c r="I20" s="393"/>
      <c r="J20" s="388">
        <f>SUM(J8:N19)</f>
        <v>100000</v>
      </c>
      <c r="K20" s="389"/>
      <c r="L20" s="389"/>
      <c r="M20" s="389"/>
      <c r="N20" s="390"/>
      <c r="O20" s="426">
        <f>SUM(O8:P19)</f>
        <v>1</v>
      </c>
      <c r="P20" s="426"/>
      <c r="Q20" s="391">
        <f>SUM(Q8:S19)</f>
        <v>0</v>
      </c>
      <c r="R20" s="392"/>
      <c r="S20" s="393"/>
      <c r="T20" s="392">
        <f>SUM(T8:U15)</f>
        <v>100000</v>
      </c>
      <c r="U20" s="394"/>
    </row>
    <row r="21" spans="1:21" ht="20.100000000000001" customHeight="1" thickBot="1" x14ac:dyDescent="0.35">
      <c r="A21" s="416" t="s">
        <v>96</v>
      </c>
      <c r="B21" s="417"/>
      <c r="C21" s="417"/>
      <c r="D21" s="417"/>
      <c r="E21" s="417"/>
      <c r="F21" s="418">
        <f>F20+T20+Q20</f>
        <v>100000</v>
      </c>
      <c r="G21" s="418"/>
      <c r="H21" s="418"/>
      <c r="I21" s="419"/>
      <c r="J21" s="420" t="s">
        <v>971</v>
      </c>
      <c r="K21" s="417"/>
      <c r="L21" s="386" t="str">
        <f>T4</f>
        <v>장효주</v>
      </c>
      <c r="M21" s="386"/>
      <c r="N21" s="386"/>
      <c r="O21" s="420" t="s">
        <v>69</v>
      </c>
      <c r="P21" s="417"/>
      <c r="Q21" s="386" t="str">
        <f>C3</f>
        <v>빅딜게러지(목포)</v>
      </c>
      <c r="R21" s="386"/>
      <c r="S21" s="386"/>
      <c r="T21" s="386"/>
      <c r="U21" s="387"/>
    </row>
    <row r="22" spans="1:21" ht="20.100000000000001" customHeight="1" x14ac:dyDescent="0.3">
      <c r="A22" s="427" t="s">
        <v>3365</v>
      </c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20.100000000000001" customHeight="1" thickBot="1" x14ac:dyDescent="0.35">
      <c r="A23" s="428"/>
      <c r="B23" s="428"/>
      <c r="C23" s="428"/>
      <c r="D23" s="428"/>
      <c r="E23" s="428"/>
      <c r="F23" s="428"/>
      <c r="G23" s="428"/>
      <c r="H23" s="428"/>
      <c r="I23" s="428"/>
      <c r="J23" s="428"/>
      <c r="K23" s="428"/>
      <c r="L23" s="428"/>
      <c r="M23" s="428"/>
      <c r="N23" s="428"/>
      <c r="O23" s="428"/>
      <c r="P23" s="428"/>
      <c r="Q23" s="428"/>
      <c r="R23" s="428"/>
      <c r="S23" s="428"/>
      <c r="T23" s="428"/>
      <c r="U23" s="428"/>
    </row>
    <row r="24" spans="1:21" ht="24" customHeight="1" thickBot="1" x14ac:dyDescent="0.3">
      <c r="A24" s="297"/>
      <c r="B24" s="298"/>
      <c r="C24" s="298"/>
      <c r="D24" s="298"/>
      <c r="E24" s="298"/>
      <c r="F24" s="298"/>
      <c r="G24" s="29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9" t="s">
        <v>1226</v>
      </c>
      <c r="R24" s="299"/>
      <c r="S24" s="429">
        <f>S1</f>
        <v>0</v>
      </c>
      <c r="T24" s="429"/>
      <c r="U24" s="430"/>
    </row>
    <row r="25" spans="1:21" x14ac:dyDescent="0.3">
      <c r="A25" s="302" t="s">
        <v>70</v>
      </c>
      <c r="B25" s="303"/>
      <c r="C25" s="304" t="str">
        <f>C2</f>
        <v>카카오뱅크 3333181865047</v>
      </c>
      <c r="D25" s="305"/>
      <c r="E25" s="305"/>
      <c r="F25" s="305"/>
      <c r="G25" s="306"/>
      <c r="H25" s="304" t="s">
        <v>81</v>
      </c>
      <c r="I25" s="305"/>
      <c r="J25" s="305"/>
      <c r="K25" s="305"/>
      <c r="L25" s="305"/>
      <c r="M25" s="305"/>
      <c r="N25" s="305"/>
      <c r="O25" s="306"/>
      <c r="P25" s="307" t="s">
        <v>68</v>
      </c>
      <c r="Q25" s="308"/>
      <c r="R25" s="308"/>
      <c r="S25" s="303"/>
      <c r="T25" s="309">
        <f>T2</f>
        <v>45882</v>
      </c>
      <c r="U25" s="310"/>
    </row>
    <row r="26" spans="1:21" ht="24.95" customHeight="1" x14ac:dyDescent="0.3">
      <c r="A26" s="320" t="s">
        <v>1194</v>
      </c>
      <c r="B26" s="37" t="s">
        <v>64</v>
      </c>
      <c r="C26" s="323" t="str">
        <f>C3</f>
        <v>빅딜게러지(목포)</v>
      </c>
      <c r="D26" s="324"/>
      <c r="E26" s="324"/>
      <c r="F26" s="324"/>
      <c r="G26" s="324"/>
      <c r="H26" s="324"/>
      <c r="I26" s="324"/>
      <c r="J26" s="325"/>
      <c r="K26" s="326" t="s">
        <v>1195</v>
      </c>
      <c r="L26" s="37" t="s">
        <v>64</v>
      </c>
      <c r="M26" s="329" t="s">
        <v>970</v>
      </c>
      <c r="N26" s="330"/>
      <c r="O26" s="330"/>
      <c r="P26" s="330"/>
      <c r="Q26" s="330"/>
      <c r="R26" s="330"/>
      <c r="S26" s="330"/>
      <c r="T26" s="330"/>
      <c r="U26" s="331"/>
    </row>
    <row r="27" spans="1:21" ht="24.95" customHeight="1" x14ac:dyDescent="0.3">
      <c r="A27" s="321"/>
      <c r="B27" s="37" t="s">
        <v>66</v>
      </c>
      <c r="C27" s="395">
        <f>C4</f>
        <v>0</v>
      </c>
      <c r="D27" s="396"/>
      <c r="E27" s="396"/>
      <c r="F27" s="396"/>
      <c r="G27" s="396"/>
      <c r="H27" s="396"/>
      <c r="I27" s="396"/>
      <c r="J27" s="397"/>
      <c r="K27" s="327"/>
      <c r="L27" s="37" t="s">
        <v>66</v>
      </c>
      <c r="M27" s="311" t="s">
        <v>968</v>
      </c>
      <c r="N27" s="312"/>
      <c r="O27" s="312"/>
      <c r="P27" s="312"/>
      <c r="Q27" s="312"/>
      <c r="R27" s="313"/>
      <c r="S27" s="38" t="s">
        <v>67</v>
      </c>
      <c r="T27" s="311" t="s">
        <v>78</v>
      </c>
      <c r="U27" s="314"/>
    </row>
    <row r="28" spans="1:21" ht="24.95" customHeight="1" x14ac:dyDescent="0.3">
      <c r="A28" s="321"/>
      <c r="B28" s="38" t="s">
        <v>10</v>
      </c>
      <c r="C28" s="311" t="str">
        <f>C5</f>
        <v>전남 목포시 고하대로 719번길 13</v>
      </c>
      <c r="D28" s="312"/>
      <c r="E28" s="312"/>
      <c r="F28" s="312"/>
      <c r="G28" s="312"/>
      <c r="H28" s="312"/>
      <c r="I28" s="312"/>
      <c r="J28" s="313"/>
      <c r="K28" s="327"/>
      <c r="L28" s="38" t="s">
        <v>10</v>
      </c>
      <c r="M28" s="311" t="s">
        <v>79</v>
      </c>
      <c r="N28" s="312"/>
      <c r="O28" s="312"/>
      <c r="P28" s="312"/>
      <c r="Q28" s="312"/>
      <c r="R28" s="312"/>
      <c r="S28" s="312"/>
      <c r="T28" s="312"/>
      <c r="U28" s="314"/>
    </row>
    <row r="29" spans="1:21" ht="24.95" customHeight="1" x14ac:dyDescent="0.3">
      <c r="A29" s="322"/>
      <c r="B29" s="38" t="s">
        <v>80</v>
      </c>
      <c r="C29" s="311" t="str">
        <f>C6</f>
        <v>010-3199-6311</v>
      </c>
      <c r="D29" s="312"/>
      <c r="E29" s="312"/>
      <c r="F29" s="312"/>
      <c r="G29" s="312"/>
      <c r="H29" s="312"/>
      <c r="I29" s="312"/>
      <c r="J29" s="313"/>
      <c r="K29" s="328"/>
      <c r="L29" s="38" t="s">
        <v>80</v>
      </c>
      <c r="M29" s="311" t="s">
        <v>71</v>
      </c>
      <c r="N29" s="312"/>
      <c r="O29" s="312"/>
      <c r="P29" s="312"/>
      <c r="Q29" s="312"/>
      <c r="R29" s="313"/>
      <c r="S29" s="38" t="s">
        <v>26</v>
      </c>
      <c r="T29" s="311" t="str">
        <f>T6</f>
        <v>경동(화물)</v>
      </c>
      <c r="U29" s="314"/>
    </row>
    <row r="30" spans="1:21" ht="15.6" customHeight="1" x14ac:dyDescent="0.3">
      <c r="A30" s="315" t="s">
        <v>75</v>
      </c>
      <c r="B30" s="316"/>
      <c r="C30" s="316"/>
      <c r="D30" s="316"/>
      <c r="E30" s="317"/>
      <c r="F30" s="318" t="s">
        <v>48</v>
      </c>
      <c r="G30" s="316"/>
      <c r="H30" s="316"/>
      <c r="I30" s="317"/>
      <c r="J30" s="318" t="s">
        <v>46</v>
      </c>
      <c r="K30" s="316"/>
      <c r="L30" s="316"/>
      <c r="M30" s="316"/>
      <c r="N30" s="317"/>
      <c r="O30" s="316" t="s">
        <v>54</v>
      </c>
      <c r="P30" s="317"/>
      <c r="Q30" s="318" t="s">
        <v>74</v>
      </c>
      <c r="R30" s="316"/>
      <c r="S30" s="317"/>
      <c r="T30" s="318" t="s">
        <v>73</v>
      </c>
      <c r="U30" s="319"/>
    </row>
    <row r="31" spans="1:21" ht="15.6" customHeight="1" x14ac:dyDescent="0.3">
      <c r="A31" s="403" t="str">
        <f>A8</f>
        <v>ISM_RENEW</v>
      </c>
      <c r="B31" s="404"/>
      <c r="C31" s="404"/>
      <c r="D31" s="404"/>
      <c r="E31" s="404"/>
      <c r="F31" s="404">
        <f>F8</f>
        <v>0</v>
      </c>
      <c r="G31" s="404"/>
      <c r="H31" s="404"/>
      <c r="I31" s="404"/>
      <c r="J31" s="408">
        <f>J8</f>
        <v>100000</v>
      </c>
      <c r="K31" s="408"/>
      <c r="L31" s="408"/>
      <c r="M31" s="408"/>
      <c r="N31" s="408"/>
      <c r="O31" s="408">
        <f>O8</f>
        <v>1</v>
      </c>
      <c r="P31" s="408"/>
      <c r="Q31" s="405">
        <f>Q8</f>
        <v>0</v>
      </c>
      <c r="R31" s="405"/>
      <c r="S31" s="405"/>
      <c r="T31" s="406">
        <f>T8</f>
        <v>100000</v>
      </c>
      <c r="U31" s="407"/>
    </row>
    <row r="32" spans="1:21" ht="15.6" customHeight="1" x14ac:dyDescent="0.3">
      <c r="A32" s="398">
        <f t="shared" ref="A32:A38" si="0">A9</f>
        <v>0</v>
      </c>
      <c r="B32" s="399"/>
      <c r="C32" s="399"/>
      <c r="D32" s="399"/>
      <c r="E32" s="399"/>
      <c r="F32" s="399">
        <f t="shared" ref="F32:F38" si="1">F9</f>
        <v>0</v>
      </c>
      <c r="G32" s="399"/>
      <c r="H32" s="399"/>
      <c r="I32" s="399"/>
      <c r="J32" s="409">
        <f t="shared" ref="J32:J38" si="2">J9</f>
        <v>0</v>
      </c>
      <c r="K32" s="409"/>
      <c r="L32" s="409"/>
      <c r="M32" s="409"/>
      <c r="N32" s="409"/>
      <c r="O32" s="409">
        <f t="shared" ref="O32:O38" si="3">O9</f>
        <v>0</v>
      </c>
      <c r="P32" s="409"/>
      <c r="Q32" s="400">
        <f t="shared" ref="Q32:Q38" si="4">Q9</f>
        <v>0</v>
      </c>
      <c r="R32" s="400"/>
      <c r="S32" s="400"/>
      <c r="T32" s="401">
        <f t="shared" ref="T32:T38" si="5">T9</f>
        <v>0</v>
      </c>
      <c r="U32" s="402"/>
    </row>
    <row r="33" spans="1:21" ht="15.6" customHeight="1" x14ac:dyDescent="0.3">
      <c r="A33" s="398">
        <f t="shared" si="0"/>
        <v>0</v>
      </c>
      <c r="B33" s="399"/>
      <c r="C33" s="399"/>
      <c r="D33" s="399"/>
      <c r="E33" s="399"/>
      <c r="F33" s="399">
        <f t="shared" si="1"/>
        <v>0</v>
      </c>
      <c r="G33" s="399"/>
      <c r="H33" s="399"/>
      <c r="I33" s="399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0">
        <f t="shared" si="4"/>
        <v>0</v>
      </c>
      <c r="R33" s="400"/>
      <c r="S33" s="400"/>
      <c r="T33" s="401">
        <f t="shared" si="5"/>
        <v>0</v>
      </c>
      <c r="U33" s="402"/>
    </row>
    <row r="34" spans="1:21" ht="15.6" customHeight="1" x14ac:dyDescent="0.3">
      <c r="A34" s="398">
        <f t="shared" si="0"/>
        <v>0</v>
      </c>
      <c r="B34" s="399"/>
      <c r="C34" s="399"/>
      <c r="D34" s="399"/>
      <c r="E34" s="399"/>
      <c r="F34" s="399">
        <f t="shared" si="1"/>
        <v>0</v>
      </c>
      <c r="G34" s="399"/>
      <c r="H34" s="399"/>
      <c r="I34" s="399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0">
        <f t="shared" si="4"/>
        <v>0</v>
      </c>
      <c r="R34" s="400"/>
      <c r="S34" s="400"/>
      <c r="T34" s="401">
        <f t="shared" si="5"/>
        <v>0</v>
      </c>
      <c r="U34" s="402"/>
    </row>
    <row r="35" spans="1:21" ht="15.6" customHeight="1" x14ac:dyDescent="0.3">
      <c r="A35" s="398">
        <f t="shared" si="0"/>
        <v>0</v>
      </c>
      <c r="B35" s="399"/>
      <c r="C35" s="399"/>
      <c r="D35" s="399"/>
      <c r="E35" s="399"/>
      <c r="F35" s="399">
        <f t="shared" si="1"/>
        <v>0</v>
      </c>
      <c r="G35" s="399"/>
      <c r="H35" s="399"/>
      <c r="I35" s="399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0">
        <f t="shared" si="4"/>
        <v>0</v>
      </c>
      <c r="R35" s="400"/>
      <c r="S35" s="400"/>
      <c r="T35" s="401">
        <f t="shared" si="5"/>
        <v>0</v>
      </c>
      <c r="U35" s="402"/>
    </row>
    <row r="36" spans="1:21" ht="15.6" customHeight="1" x14ac:dyDescent="0.3">
      <c r="A36" s="398">
        <f t="shared" si="0"/>
        <v>0</v>
      </c>
      <c r="B36" s="399"/>
      <c r="C36" s="399"/>
      <c r="D36" s="399"/>
      <c r="E36" s="399"/>
      <c r="F36" s="399">
        <f t="shared" si="1"/>
        <v>0</v>
      </c>
      <c r="G36" s="399"/>
      <c r="H36" s="399"/>
      <c r="I36" s="399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0">
        <f t="shared" si="4"/>
        <v>0</v>
      </c>
      <c r="R36" s="400"/>
      <c r="S36" s="400"/>
      <c r="T36" s="401">
        <f t="shared" si="5"/>
        <v>0</v>
      </c>
      <c r="U36" s="402"/>
    </row>
    <row r="37" spans="1:21" ht="15.6" customHeight="1" x14ac:dyDescent="0.3">
      <c r="A37" s="398">
        <f t="shared" si="0"/>
        <v>0</v>
      </c>
      <c r="B37" s="399"/>
      <c r="C37" s="399"/>
      <c r="D37" s="399"/>
      <c r="E37" s="399"/>
      <c r="F37" s="399">
        <f t="shared" si="1"/>
        <v>0</v>
      </c>
      <c r="G37" s="399"/>
      <c r="H37" s="399"/>
      <c r="I37" s="399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0">
        <f t="shared" si="4"/>
        <v>0</v>
      </c>
      <c r="R37" s="400"/>
      <c r="S37" s="400"/>
      <c r="T37" s="401">
        <f t="shared" si="5"/>
        <v>0</v>
      </c>
      <c r="U37" s="402"/>
    </row>
    <row r="38" spans="1:21" ht="15.6" customHeight="1" thickBot="1" x14ac:dyDescent="0.35">
      <c r="A38" s="410">
        <f t="shared" si="0"/>
        <v>0</v>
      </c>
      <c r="B38" s="411"/>
      <c r="C38" s="411"/>
      <c r="D38" s="411"/>
      <c r="E38" s="411"/>
      <c r="F38" s="411">
        <f t="shared" si="1"/>
        <v>0</v>
      </c>
      <c r="G38" s="411"/>
      <c r="H38" s="411"/>
      <c r="I38" s="411"/>
      <c r="J38" s="415">
        <f t="shared" si="2"/>
        <v>0</v>
      </c>
      <c r="K38" s="415"/>
      <c r="L38" s="415"/>
      <c r="M38" s="415"/>
      <c r="N38" s="415"/>
      <c r="O38" s="415">
        <f t="shared" si="3"/>
        <v>0</v>
      </c>
      <c r="P38" s="415"/>
      <c r="Q38" s="412">
        <f t="shared" si="4"/>
        <v>0</v>
      </c>
      <c r="R38" s="412"/>
      <c r="S38" s="412"/>
      <c r="T38" s="413">
        <f t="shared" si="5"/>
        <v>0</v>
      </c>
      <c r="U38" s="414"/>
    </row>
    <row r="39" spans="1:21" ht="15" customHeight="1" thickTop="1" x14ac:dyDescent="0.3">
      <c r="A39" s="368" t="s">
        <v>2367</v>
      </c>
      <c r="B39" s="369"/>
      <c r="C39" s="369"/>
      <c r="D39" s="369"/>
      <c r="E39" s="370"/>
      <c r="F39" s="377">
        <f>F16</f>
        <v>0</v>
      </c>
      <c r="G39" s="378"/>
      <c r="H39" s="378"/>
      <c r="I39" s="378"/>
      <c r="J39" s="378"/>
      <c r="K39" s="378"/>
      <c r="L39" s="378"/>
      <c r="M39" s="378"/>
      <c r="N39" s="378"/>
      <c r="O39" s="378"/>
      <c r="P39" s="378"/>
      <c r="Q39" s="378"/>
      <c r="R39" s="378"/>
      <c r="S39" s="378"/>
      <c r="T39" s="378"/>
      <c r="U39" s="379"/>
    </row>
    <row r="40" spans="1:21" ht="15" customHeight="1" x14ac:dyDescent="0.3">
      <c r="A40" s="371"/>
      <c r="B40" s="372"/>
      <c r="C40" s="372"/>
      <c r="D40" s="372"/>
      <c r="E40" s="373"/>
      <c r="F40" s="380"/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  <c r="U40" s="382"/>
    </row>
    <row r="41" spans="1:21" ht="15" customHeight="1" x14ac:dyDescent="0.3">
      <c r="A41" s="371"/>
      <c r="B41" s="372"/>
      <c r="C41" s="372"/>
      <c r="D41" s="372"/>
      <c r="E41" s="373"/>
      <c r="F41" s="380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  <c r="U41" s="382"/>
    </row>
    <row r="42" spans="1:21" ht="15" customHeight="1" x14ac:dyDescent="0.3">
      <c r="A42" s="374"/>
      <c r="B42" s="375"/>
      <c r="C42" s="375"/>
      <c r="D42" s="375"/>
      <c r="E42" s="376"/>
      <c r="F42" s="383"/>
      <c r="G42" s="384"/>
      <c r="H42" s="384"/>
      <c r="I42" s="384"/>
      <c r="J42" s="384"/>
      <c r="K42" s="384"/>
      <c r="L42" s="384"/>
      <c r="M42" s="384"/>
      <c r="N42" s="384"/>
      <c r="O42" s="384"/>
      <c r="P42" s="384"/>
      <c r="Q42" s="384"/>
      <c r="R42" s="384"/>
      <c r="S42" s="384"/>
      <c r="T42" s="384"/>
      <c r="U42" s="385"/>
    </row>
    <row r="43" spans="1:21" ht="20.100000000000001" customHeight="1" x14ac:dyDescent="0.3">
      <c r="A43" s="315" t="s">
        <v>86</v>
      </c>
      <c r="B43" s="316"/>
      <c r="C43" s="316"/>
      <c r="D43" s="316"/>
      <c r="E43" s="316"/>
      <c r="F43" s="392">
        <f>F20</f>
        <v>0</v>
      </c>
      <c r="G43" s="392"/>
      <c r="H43" s="392"/>
      <c r="I43" s="393"/>
      <c r="J43" s="388">
        <f>J20</f>
        <v>100000</v>
      </c>
      <c r="K43" s="389"/>
      <c r="L43" s="389"/>
      <c r="M43" s="389"/>
      <c r="N43" s="390"/>
      <c r="O43" s="426">
        <f>O20</f>
        <v>1</v>
      </c>
      <c r="P43" s="426"/>
      <c r="Q43" s="391">
        <f>Q20</f>
        <v>0</v>
      </c>
      <c r="R43" s="392"/>
      <c r="S43" s="392"/>
      <c r="T43" s="392">
        <f>T20</f>
        <v>100000</v>
      </c>
      <c r="U43" s="394"/>
    </row>
    <row r="44" spans="1:21" ht="20.100000000000001" customHeight="1" thickBot="1" x14ac:dyDescent="0.35">
      <c r="A44" s="416" t="s">
        <v>96</v>
      </c>
      <c r="B44" s="417"/>
      <c r="C44" s="417"/>
      <c r="D44" s="417"/>
      <c r="E44" s="417"/>
      <c r="F44" s="418">
        <f>F21</f>
        <v>100000</v>
      </c>
      <c r="G44" s="418"/>
      <c r="H44" s="418"/>
      <c r="I44" s="419"/>
      <c r="J44" s="420" t="s">
        <v>971</v>
      </c>
      <c r="K44" s="417"/>
      <c r="L44" s="421" t="str">
        <f>T27</f>
        <v>장효주</v>
      </c>
      <c r="M44" s="421"/>
      <c r="N44" s="421"/>
      <c r="O44" s="420" t="s">
        <v>69</v>
      </c>
      <c r="P44" s="422"/>
      <c r="Q44" s="423" t="str">
        <f>Q21</f>
        <v>빅딜게러지(목포)</v>
      </c>
      <c r="R44" s="424"/>
      <c r="S44" s="424"/>
      <c r="T44" s="424"/>
      <c r="U44" s="42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100000</v>
      </c>
      <c r="H1" s="111">
        <f>SUM(H2:H7)</f>
        <v>1</v>
      </c>
      <c r="I1" s="111">
        <f>SUM(I2:I7)</f>
        <v>0</v>
      </c>
      <c r="J1" s="111">
        <f>SUM(J2:J7)</f>
        <v>100000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3344</v>
      </c>
      <c r="C2" s="47" t="s">
        <v>3350</v>
      </c>
      <c r="E2" t="s">
        <v>3359</v>
      </c>
      <c r="G2">
        <v>100000</v>
      </c>
      <c r="H2">
        <v>1</v>
      </c>
      <c r="I2" s="233"/>
      <c r="J2" s="233">
        <v>100000</v>
      </c>
      <c r="K2" s="295"/>
    </row>
    <row r="3" spans="1:12" x14ac:dyDescent="0.3">
      <c r="I3" s="233"/>
      <c r="J3" s="233"/>
    </row>
    <row r="4" spans="1:12" x14ac:dyDescent="0.3">
      <c r="I4" s="233"/>
      <c r="J4" s="233"/>
    </row>
    <row r="5" spans="1:12" x14ac:dyDescent="0.3">
      <c r="I5" s="233"/>
      <c r="J5" s="233"/>
    </row>
    <row r="6" spans="1:12" x14ac:dyDescent="0.3">
      <c r="I6" s="233"/>
      <c r="J6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1" t="s">
        <v>53</v>
      </c>
      <c r="C4" s="432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3" t="s">
        <v>93</v>
      </c>
      <c r="C28" s="434"/>
      <c r="D28" s="434"/>
      <c r="E28" s="435"/>
      <c r="F28" s="434"/>
      <c r="G28" s="434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9" t="s">
        <v>1590</v>
      </c>
      <c r="F6" s="439"/>
      <c r="G6" s="439"/>
      <c r="H6" s="439"/>
      <c r="I6" s="439"/>
      <c r="J6" s="439"/>
      <c r="K6" s="439"/>
    </row>
    <row r="7" spans="5:11" x14ac:dyDescent="0.3"/>
    <row r="8" spans="5:11" x14ac:dyDescent="0.3"/>
    <row r="9" spans="5:11" x14ac:dyDescent="0.3">
      <c r="G9" s="436"/>
      <c r="H9" s="436"/>
      <c r="I9" s="436"/>
      <c r="J9" s="436"/>
    </row>
    <row r="10" spans="5:11" ht="33" customHeight="1" x14ac:dyDescent="0.3">
      <c r="F10" s="124"/>
      <c r="G10" s="437"/>
      <c r="H10" s="438"/>
      <c r="I10" s="438"/>
      <c r="J10" s="438"/>
    </row>
    <row r="11" spans="5:11" x14ac:dyDescent="0.3"/>
    <row r="12" spans="5:11" ht="32.25" customHeight="1" x14ac:dyDescent="0.3">
      <c r="F12" s="125"/>
      <c r="G12" s="437" t="s">
        <v>1591</v>
      </c>
      <c r="H12" s="438"/>
      <c r="I12" s="438"/>
      <c r="J12" s="43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48"/>
  <sheetViews>
    <sheetView workbookViewId="0">
      <pane xSplit="1" ySplit="1" topLeftCell="B1200" activePane="bottomRight" state="frozen"/>
      <selection activeCell="N26" sqref="N26"/>
      <selection pane="topRight" activeCell="N26" sqref="N26"/>
      <selection pane="bottomLeft" activeCell="N26" sqref="N26"/>
      <selection pane="bottomRight" activeCell="M1226" sqref="M1226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1247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6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3353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3353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3350</v>
      </c>
      <c r="E1248" s="279" t="s">
        <v>3359</v>
      </c>
      <c r="G1248" s="274">
        <v>100000</v>
      </c>
      <c r="H1248" s="279">
        <v>1</v>
      </c>
      <c r="K1248" s="274">
        <v>100000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K110" sqref="K110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45882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51064500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51064500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F107" s="83"/>
      <c r="G107" s="127"/>
    </row>
    <row r="108" spans="1:10" ht="18" customHeight="1" x14ac:dyDescent="0.3">
      <c r="F108" s="83"/>
      <c r="G108" s="127"/>
    </row>
    <row r="109" spans="1:10" ht="18" customHeight="1" x14ac:dyDescent="0.3">
      <c r="F109" s="83"/>
      <c r="G109" s="127"/>
    </row>
    <row r="110" spans="1:10" ht="18" customHeight="1" x14ac:dyDescent="0.3">
      <c r="F110" s="83"/>
      <c r="G110" s="127"/>
    </row>
    <row r="111" spans="1:10" ht="18" customHeight="1" x14ac:dyDescent="0.3">
      <c r="F111" s="83"/>
      <c r="G111" s="127"/>
    </row>
    <row r="112" spans="1:10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8</v>
      </c>
    </row>
    <row r="3" spans="1:6" x14ac:dyDescent="0.3">
      <c r="B3" t="s">
        <v>1070</v>
      </c>
      <c r="C3" s="52">
        <f>SUMIF(BTS_매출관리!C:C,B3,BTS_매출관리!I:I)</f>
        <v>2640000</v>
      </c>
      <c r="D3">
        <f t="shared" si="0"/>
        <v>5</v>
      </c>
    </row>
    <row r="4" spans="1:6" x14ac:dyDescent="0.3">
      <c r="B4" t="s">
        <v>1333</v>
      </c>
      <c r="C4" s="52">
        <f>SUMIF(BTS_매출관리!C:C,B4,BTS_매출관리!I:I)</f>
        <v>4969000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1320000</v>
      </c>
      <c r="D5">
        <f t="shared" si="0"/>
        <v>19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30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22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23</v>
      </c>
    </row>
    <row r="9" spans="1:6" x14ac:dyDescent="0.3">
      <c r="B9" t="s">
        <v>1321</v>
      </c>
      <c r="C9" s="52">
        <f>SUMIF(BTS_매출관리!C:C,B9,BTS_매출관리!I:I)</f>
        <v>2310000</v>
      </c>
      <c r="D9">
        <f t="shared" si="0"/>
        <v>6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30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30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30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30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30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275000</v>
      </c>
      <c r="D15">
        <f t="shared" si="0"/>
        <v>27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30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30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30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30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30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30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12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29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7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30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30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30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30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30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30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30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26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30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30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30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30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30</v>
      </c>
    </row>
    <row r="39" spans="2:4" x14ac:dyDescent="0.3">
      <c r="B39" t="s">
        <v>1027</v>
      </c>
      <c r="C39" s="52">
        <f>SUMIF(BTS_매출관리!C:C,B39,BTS_매출관리!I:I)</f>
        <v>670000</v>
      </c>
      <c r="D39">
        <f t="shared" si="0"/>
        <v>24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30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30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30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18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30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30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30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16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30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30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30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21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30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30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30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30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30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30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30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30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30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30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30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30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10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30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30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19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30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4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30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30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30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30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30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30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30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30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30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30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30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30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30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30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30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30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30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30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28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30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30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30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30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30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30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30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30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30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30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30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9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30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17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30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30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30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25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14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30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15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30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30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30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30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30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30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10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12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30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30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C157" s="52">
        <f>SUMIF(BTS_매출관리!C:C,B157,BTS_매출관리!I:I)</f>
        <v>0</v>
      </c>
      <c r="D157">
        <f t="shared" si="2"/>
        <v>30</v>
      </c>
    </row>
    <row r="158" spans="2:4" x14ac:dyDescent="0.3">
      <c r="C158" s="52">
        <f>SUMIF(BTS_매출관리!C:C,B158,BTS_매출관리!I:I)</f>
        <v>0</v>
      </c>
      <c r="D158">
        <f t="shared" si="2"/>
        <v>30</v>
      </c>
    </row>
    <row r="159" spans="2:4" x14ac:dyDescent="0.3">
      <c r="C159" s="52">
        <f>SUMIF(BTS_매출관리!C:C,B159,BTS_매출관리!I:I)</f>
        <v>0</v>
      </c>
      <c r="D159">
        <f t="shared" si="2"/>
        <v>30</v>
      </c>
    </row>
    <row r="160" spans="2:4" x14ac:dyDescent="0.3">
      <c r="C160" s="52">
        <f>SUMIF(BTS_매출관리!C:C,B160,BTS_매출관리!I:I)</f>
        <v>0</v>
      </c>
      <c r="D160">
        <f t="shared" si="2"/>
        <v>30</v>
      </c>
    </row>
    <row r="161" spans="3:4" x14ac:dyDescent="0.3">
      <c r="C161" s="52">
        <f>SUMIF(BTS_매출관리!C:C,B161,BTS_매출관리!I:I)</f>
        <v>0</v>
      </c>
      <c r="D161">
        <f t="shared" si="2"/>
        <v>30</v>
      </c>
    </row>
    <row r="162" spans="3:4" x14ac:dyDescent="0.3">
      <c r="C162" s="52">
        <f>SUMIF(BTS_매출관리!C:C,B162,BTS_매출관리!I:I)</f>
        <v>0</v>
      </c>
      <c r="D162">
        <f t="shared" si="2"/>
        <v>30</v>
      </c>
    </row>
    <row r="163" spans="3:4" x14ac:dyDescent="0.3">
      <c r="C163" s="52">
        <f>SUMIF(BTS_매출관리!C:C,B163,BTS_매출관리!I:I)</f>
        <v>0</v>
      </c>
      <c r="D163">
        <f t="shared" si="2"/>
        <v>30</v>
      </c>
    </row>
    <row r="164" spans="3:4" x14ac:dyDescent="0.3">
      <c r="C164" s="52">
        <f>SUMIF(BTS_매출관리!C:C,B164,BTS_매출관리!I:I)</f>
        <v>0</v>
      </c>
      <c r="D164">
        <f t="shared" si="2"/>
        <v>30</v>
      </c>
    </row>
    <row r="165" spans="3:4" x14ac:dyDescent="0.3">
      <c r="C165" s="52">
        <f>SUMIF(BTS_매출관리!C:C,B165,BTS_매출관리!I:I)</f>
        <v>0</v>
      </c>
      <c r="D165">
        <f t="shared" si="2"/>
        <v>30</v>
      </c>
    </row>
    <row r="166" spans="3:4" x14ac:dyDescent="0.3">
      <c r="C166" s="52">
        <f>SUMIF(BTS_매출관리!C:C,B166,BTS_매출관리!I:I)</f>
        <v>0</v>
      </c>
      <c r="D166">
        <f t="shared" si="2"/>
        <v>30</v>
      </c>
    </row>
    <row r="167" spans="3:4" x14ac:dyDescent="0.3">
      <c r="C167" s="52">
        <f>SUMIF(BTS_매출관리!C:C,B167,BTS_매출관리!I:I)</f>
        <v>0</v>
      </c>
      <c r="D167">
        <f t="shared" si="2"/>
        <v>30</v>
      </c>
    </row>
    <row r="168" spans="3:4" x14ac:dyDescent="0.3">
      <c r="C168" s="52">
        <f>SUMIF(BTS_매출관리!C:C,B168,BTS_매출관리!I:I)</f>
        <v>0</v>
      </c>
      <c r="D168">
        <f t="shared" si="2"/>
        <v>30</v>
      </c>
    </row>
    <row r="169" spans="3:4" x14ac:dyDescent="0.3">
      <c r="C169" s="52">
        <f>SUMIF(BTS_매출관리!C:C,B169,BTS_매출관리!I:I)</f>
        <v>0</v>
      </c>
      <c r="D169">
        <f t="shared" si="2"/>
        <v>30</v>
      </c>
    </row>
    <row r="170" spans="3:4" x14ac:dyDescent="0.3">
      <c r="C170" s="52">
        <f>SUMIF(BTS_매출관리!C:C,B170,BTS_매출관리!I:I)</f>
        <v>0</v>
      </c>
      <c r="D170">
        <f t="shared" si="2"/>
        <v>30</v>
      </c>
    </row>
    <row r="171" spans="3:4" x14ac:dyDescent="0.3">
      <c r="C171" s="52">
        <f>SUMIF(BTS_매출관리!C:C,B171,BTS_매출관리!I:I)</f>
        <v>0</v>
      </c>
      <c r="D171">
        <f t="shared" si="2"/>
        <v>30</v>
      </c>
    </row>
    <row r="172" spans="3:4" x14ac:dyDescent="0.3">
      <c r="C172" s="52">
        <f>SUMIF(BTS_매출관리!C:C,B172,BTS_매출관리!I:I)</f>
        <v>0</v>
      </c>
      <c r="D172">
        <f t="shared" si="2"/>
        <v>30</v>
      </c>
    </row>
    <row r="173" spans="3:4" x14ac:dyDescent="0.3">
      <c r="C173" s="52">
        <f>SUMIF(BTS_매출관리!C:C,B173,BTS_매출관리!I:I)</f>
        <v>0</v>
      </c>
      <c r="D173">
        <f t="shared" si="2"/>
        <v>30</v>
      </c>
    </row>
    <row r="174" spans="3:4" x14ac:dyDescent="0.3">
      <c r="C174" s="52">
        <f>SUMIF(BTS_매출관리!C:C,B174,BTS_매출관리!I:I)</f>
        <v>0</v>
      </c>
      <c r="D174">
        <f t="shared" si="2"/>
        <v>30</v>
      </c>
    </row>
    <row r="175" spans="3:4" x14ac:dyDescent="0.3">
      <c r="C175" s="52">
        <f>SUMIF(BTS_매출관리!C:C,B175,BTS_매출관리!I:I)</f>
        <v>0</v>
      </c>
      <c r="D175">
        <f t="shared" si="2"/>
        <v>30</v>
      </c>
    </row>
    <row r="176" spans="3:4" x14ac:dyDescent="0.3">
      <c r="C176" s="52">
        <f>SUMIF(BTS_매출관리!C:C,B176,BTS_매출관리!I:I)</f>
        <v>0</v>
      </c>
      <c r="D176">
        <f t="shared" si="2"/>
        <v>30</v>
      </c>
    </row>
    <row r="177" spans="3:4" x14ac:dyDescent="0.3">
      <c r="C177" s="52">
        <f>SUMIF(BTS_매출관리!C:C,B177,BTS_매출관리!I:I)</f>
        <v>0</v>
      </c>
      <c r="D177">
        <f t="shared" si="2"/>
        <v>30</v>
      </c>
    </row>
    <row r="178" spans="3:4" x14ac:dyDescent="0.3">
      <c r="C178" s="52">
        <f>SUMIF(BTS_매출관리!C:C,B178,BTS_매출관리!I:I)</f>
        <v>0</v>
      </c>
      <c r="D178">
        <f t="shared" si="2"/>
        <v>30</v>
      </c>
    </row>
    <row r="179" spans="3:4" x14ac:dyDescent="0.3">
      <c r="C179" s="52">
        <f>SUMIF(BTS_매출관리!C:C,B179,BTS_매출관리!I:I)</f>
        <v>0</v>
      </c>
      <c r="D179">
        <f t="shared" si="2"/>
        <v>30</v>
      </c>
    </row>
    <row r="180" spans="3:4" x14ac:dyDescent="0.3">
      <c r="C180" s="52">
        <f>SUMIF(BTS_매출관리!C:C,B180,BTS_매출관리!I:I)</f>
        <v>0</v>
      </c>
      <c r="D180">
        <f t="shared" si="2"/>
        <v>30</v>
      </c>
    </row>
    <row r="181" spans="3:4" x14ac:dyDescent="0.3">
      <c r="C181" s="52">
        <f>SUMIF(BTS_매출관리!C:C,B181,BTS_매출관리!I:I)</f>
        <v>0</v>
      </c>
      <c r="D181">
        <f t="shared" si="2"/>
        <v>30</v>
      </c>
    </row>
    <row r="182" spans="3:4" x14ac:dyDescent="0.3">
      <c r="C182" s="52">
        <f>SUMIF(BTS_매출관리!C:C,B182,BTS_매출관리!I:I)</f>
        <v>0</v>
      </c>
      <c r="D182">
        <f t="shared" si="2"/>
        <v>30</v>
      </c>
    </row>
    <row r="183" spans="3:4" x14ac:dyDescent="0.3">
      <c r="C183" s="52">
        <f>SUMIF(BTS_매출관리!C:C,B183,BTS_매출관리!I:I)</f>
        <v>0</v>
      </c>
      <c r="D183">
        <f t="shared" si="2"/>
        <v>30</v>
      </c>
    </row>
    <row r="184" spans="3:4" x14ac:dyDescent="0.3">
      <c r="C184" s="52">
        <f>SUMIF(BTS_매출관리!C:C,B184,BTS_매출관리!I:I)</f>
        <v>0</v>
      </c>
      <c r="D184">
        <f t="shared" si="2"/>
        <v>30</v>
      </c>
    </row>
    <row r="185" spans="3:4" x14ac:dyDescent="0.3">
      <c r="C185" s="52">
        <f>SUMIF(BTS_매출관리!C:C,B185,BTS_매출관리!I:I)</f>
        <v>0</v>
      </c>
      <c r="D185">
        <f t="shared" si="2"/>
        <v>30</v>
      </c>
    </row>
    <row r="186" spans="3:4" x14ac:dyDescent="0.3">
      <c r="C186" s="52">
        <f>SUMIF(BTS_매출관리!C:C,B186,BTS_매출관리!I:I)</f>
        <v>0</v>
      </c>
      <c r="D186">
        <f t="shared" si="2"/>
        <v>30</v>
      </c>
    </row>
    <row r="187" spans="3:4" x14ac:dyDescent="0.3">
      <c r="C187" s="52">
        <f>SUMIF(BTS_매출관리!C:C,B187,BTS_매출관리!I:I)</f>
        <v>0</v>
      </c>
      <c r="D187">
        <f t="shared" si="2"/>
        <v>30</v>
      </c>
    </row>
    <row r="188" spans="3:4" x14ac:dyDescent="0.3">
      <c r="C188" s="52">
        <f>SUMIF(BTS_매출관리!C:C,B188,BTS_매출관리!I:I)</f>
        <v>0</v>
      </c>
      <c r="D188">
        <f t="shared" si="2"/>
        <v>30</v>
      </c>
    </row>
    <row r="189" spans="3:4" x14ac:dyDescent="0.3">
      <c r="C189" s="52">
        <f>SUMIF(BTS_매출관리!C:C,B189,BTS_매출관리!I:I)</f>
        <v>0</v>
      </c>
      <c r="D189">
        <f t="shared" si="2"/>
        <v>30</v>
      </c>
    </row>
    <row r="190" spans="3:4" x14ac:dyDescent="0.3">
      <c r="C190" s="52">
        <f>SUMIF(BTS_매출관리!C:C,B190,BTS_매출관리!I:I)</f>
        <v>0</v>
      </c>
      <c r="D190">
        <f t="shared" si="2"/>
        <v>30</v>
      </c>
    </row>
    <row r="191" spans="3:4" x14ac:dyDescent="0.3">
      <c r="C191" s="52">
        <f>SUMIF(BTS_매출관리!C:C,B191,BTS_매출관리!I:I)</f>
        <v>0</v>
      </c>
      <c r="D191">
        <f t="shared" si="2"/>
        <v>30</v>
      </c>
    </row>
    <row r="192" spans="3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0" t="s">
        <v>2</v>
      </c>
      <c r="B1" s="445" t="s">
        <v>2372</v>
      </c>
      <c r="C1" s="443" t="s">
        <v>2604</v>
      </c>
      <c r="D1" s="440" t="s">
        <v>2633</v>
      </c>
      <c r="E1" s="440" t="s">
        <v>40</v>
      </c>
      <c r="F1" s="440" t="s">
        <v>2811</v>
      </c>
      <c r="G1" s="440"/>
      <c r="H1" s="440" t="s">
        <v>2812</v>
      </c>
      <c r="I1" s="440"/>
      <c r="J1" s="440" t="s">
        <v>2813</v>
      </c>
      <c r="K1" s="440"/>
      <c r="L1" s="286"/>
    </row>
    <row r="2" spans="1:15" ht="17.25" thickBot="1" x14ac:dyDescent="0.35">
      <c r="A2" s="441"/>
      <c r="B2" s="446"/>
      <c r="C2" s="444"/>
      <c r="D2" s="441"/>
      <c r="E2" s="441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2" t="s">
        <v>2632</v>
      </c>
      <c r="C150" s="442"/>
      <c r="D150" s="442"/>
      <c r="E150" s="442"/>
      <c r="F150" s="442"/>
      <c r="G150" s="442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7"/>
      <c r="B1" s="298"/>
      <c r="C1" s="298"/>
      <c r="D1" s="298"/>
      <c r="E1" s="298"/>
      <c r="F1" s="298"/>
      <c r="G1" s="29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9" t="s">
        <v>1226</v>
      </c>
      <c r="R1" s="299"/>
      <c r="S1" s="300"/>
      <c r="T1" s="300"/>
      <c r="U1" s="301"/>
    </row>
    <row r="2" spans="1:21" x14ac:dyDescent="0.3">
      <c r="A2" s="302" t="s">
        <v>70</v>
      </c>
      <c r="B2" s="303"/>
      <c r="C2" s="304" t="s">
        <v>2271</v>
      </c>
      <c r="D2" s="305"/>
      <c r="E2" s="305"/>
      <c r="F2" s="305"/>
      <c r="G2" s="306"/>
      <c r="H2" s="304" t="s">
        <v>81</v>
      </c>
      <c r="I2" s="305"/>
      <c r="J2" s="305"/>
      <c r="K2" s="305"/>
      <c r="L2" s="305"/>
      <c r="M2" s="305"/>
      <c r="N2" s="305"/>
      <c r="O2" s="306"/>
      <c r="P2" s="307" t="s">
        <v>68</v>
      </c>
      <c r="Q2" s="308"/>
      <c r="R2" s="308"/>
      <c r="S2" s="303"/>
      <c r="T2" s="309">
        <v>45804</v>
      </c>
      <c r="U2" s="310"/>
    </row>
    <row r="3" spans="1:21" ht="24" customHeight="1" x14ac:dyDescent="0.3">
      <c r="A3" s="320" t="s">
        <v>1194</v>
      </c>
      <c r="B3" s="37" t="s">
        <v>64</v>
      </c>
      <c r="C3" s="478" t="s">
        <v>1573</v>
      </c>
      <c r="D3" s="479"/>
      <c r="E3" s="479"/>
      <c r="F3" s="479"/>
      <c r="G3" s="479"/>
      <c r="H3" s="479"/>
      <c r="I3" s="479"/>
      <c r="J3" s="480"/>
      <c r="K3" s="326" t="s">
        <v>1195</v>
      </c>
      <c r="L3" s="37" t="s">
        <v>64</v>
      </c>
      <c r="M3" s="475" t="s">
        <v>970</v>
      </c>
      <c r="N3" s="476"/>
      <c r="O3" s="476"/>
      <c r="P3" s="476"/>
      <c r="Q3" s="476"/>
      <c r="R3" s="476"/>
      <c r="S3" s="476"/>
      <c r="T3" s="476"/>
      <c r="U3" s="477"/>
    </row>
    <row r="4" spans="1:21" ht="24.95" customHeight="1" x14ac:dyDescent="0.3">
      <c r="A4" s="321"/>
      <c r="B4" s="37" t="s">
        <v>66</v>
      </c>
      <c r="C4" s="332"/>
      <c r="D4" s="333"/>
      <c r="E4" s="333"/>
      <c r="F4" s="333"/>
      <c r="G4" s="333"/>
      <c r="H4" s="333"/>
      <c r="I4" s="333"/>
      <c r="J4" s="334"/>
      <c r="K4" s="327"/>
      <c r="L4" s="37" t="s">
        <v>66</v>
      </c>
      <c r="M4" s="311" t="s">
        <v>968</v>
      </c>
      <c r="N4" s="312"/>
      <c r="O4" s="312"/>
      <c r="P4" s="312"/>
      <c r="Q4" s="312"/>
      <c r="R4" s="313"/>
      <c r="S4" s="38" t="s">
        <v>67</v>
      </c>
      <c r="T4" s="481" t="s">
        <v>78</v>
      </c>
      <c r="U4" s="482"/>
    </row>
    <row r="5" spans="1:21" ht="15.75" customHeight="1" x14ac:dyDescent="0.3">
      <c r="A5" s="321"/>
      <c r="B5" s="38" t="s">
        <v>65</v>
      </c>
      <c r="C5" s="311" t="s">
        <v>1111</v>
      </c>
      <c r="D5" s="312"/>
      <c r="E5" s="312"/>
      <c r="F5" s="312"/>
      <c r="G5" s="312"/>
      <c r="H5" s="312"/>
      <c r="I5" s="312"/>
      <c r="J5" s="313"/>
      <c r="K5" s="327"/>
      <c r="L5" s="38" t="s">
        <v>65</v>
      </c>
      <c r="M5" s="311" t="s">
        <v>79</v>
      </c>
      <c r="N5" s="312"/>
      <c r="O5" s="312"/>
      <c r="P5" s="312"/>
      <c r="Q5" s="312"/>
      <c r="R5" s="312"/>
      <c r="S5" s="312"/>
      <c r="T5" s="312"/>
      <c r="U5" s="314"/>
    </row>
    <row r="6" spans="1:21" ht="15.75" customHeight="1" x14ac:dyDescent="0.3">
      <c r="A6" s="322"/>
      <c r="B6" s="38" t="s">
        <v>80</v>
      </c>
      <c r="C6" s="311" t="s">
        <v>1110</v>
      </c>
      <c r="D6" s="312"/>
      <c r="E6" s="312"/>
      <c r="F6" s="312"/>
      <c r="G6" s="312"/>
      <c r="H6" s="312"/>
      <c r="I6" s="312"/>
      <c r="J6" s="313"/>
      <c r="K6" s="328"/>
      <c r="L6" s="38" t="s">
        <v>80</v>
      </c>
      <c r="M6" s="311" t="s">
        <v>71</v>
      </c>
      <c r="N6" s="312"/>
      <c r="O6" s="312"/>
      <c r="P6" s="312"/>
      <c r="Q6" s="312"/>
      <c r="R6" s="313"/>
      <c r="S6" s="38" t="s">
        <v>26</v>
      </c>
      <c r="T6" s="311" t="s">
        <v>980</v>
      </c>
      <c r="U6" s="314"/>
    </row>
    <row r="7" spans="1:21" ht="15.75" customHeight="1" x14ac:dyDescent="0.3">
      <c r="A7" s="315" t="s">
        <v>75</v>
      </c>
      <c r="B7" s="316"/>
      <c r="C7" s="316"/>
      <c r="D7" s="316"/>
      <c r="E7" s="317"/>
      <c r="F7" s="318" t="s">
        <v>83</v>
      </c>
      <c r="G7" s="316"/>
      <c r="H7" s="316"/>
      <c r="I7" s="317"/>
      <c r="J7" s="318" t="s">
        <v>72</v>
      </c>
      <c r="K7" s="317"/>
      <c r="L7" s="318" t="s">
        <v>46</v>
      </c>
      <c r="M7" s="316"/>
      <c r="N7" s="316"/>
      <c r="O7" s="316"/>
      <c r="P7" s="317"/>
      <c r="Q7" s="318" t="s">
        <v>73</v>
      </c>
      <c r="R7" s="316"/>
      <c r="S7" s="317"/>
      <c r="T7" s="318" t="s">
        <v>74</v>
      </c>
      <c r="U7" s="319"/>
    </row>
    <row r="8" spans="1:21" ht="15" customHeight="1" x14ac:dyDescent="0.3">
      <c r="A8" s="483" t="s">
        <v>1158</v>
      </c>
      <c r="B8" s="484"/>
      <c r="C8" s="484"/>
      <c r="D8" s="484"/>
      <c r="E8" s="485"/>
      <c r="F8" s="486"/>
      <c r="G8" s="484"/>
      <c r="H8" s="484"/>
      <c r="I8" s="485"/>
      <c r="J8" s="347">
        <v>1</v>
      </c>
      <c r="K8" s="346"/>
      <c r="L8" s="465">
        <v>1000000</v>
      </c>
      <c r="M8" s="466"/>
      <c r="N8" s="466"/>
      <c r="O8" s="466"/>
      <c r="P8" s="467"/>
      <c r="Q8" s="465">
        <v>1000000</v>
      </c>
      <c r="R8" s="466"/>
      <c r="S8" s="467"/>
      <c r="T8" s="351"/>
      <c r="U8" s="352"/>
    </row>
    <row r="9" spans="1:21" ht="15" customHeight="1" x14ac:dyDescent="0.3">
      <c r="A9" s="468"/>
      <c r="B9" s="469"/>
      <c r="C9" s="469"/>
      <c r="D9" s="469"/>
      <c r="E9" s="470"/>
      <c r="F9" s="471"/>
      <c r="G9" s="469"/>
      <c r="H9" s="469"/>
      <c r="I9" s="470"/>
      <c r="J9" s="338"/>
      <c r="K9" s="337"/>
      <c r="L9" s="472"/>
      <c r="M9" s="473"/>
      <c r="N9" s="473"/>
      <c r="O9" s="473"/>
      <c r="P9" s="474"/>
      <c r="Q9" s="472"/>
      <c r="R9" s="473"/>
      <c r="S9" s="474"/>
      <c r="T9" s="342"/>
      <c r="U9" s="343"/>
    </row>
    <row r="10" spans="1:21" ht="15" customHeight="1" x14ac:dyDescent="0.3">
      <c r="A10" s="468"/>
      <c r="B10" s="469"/>
      <c r="C10" s="469"/>
      <c r="D10" s="469"/>
      <c r="E10" s="470"/>
      <c r="F10" s="471"/>
      <c r="G10" s="469"/>
      <c r="H10" s="469"/>
      <c r="I10" s="470"/>
      <c r="J10" s="338"/>
      <c r="K10" s="337"/>
      <c r="L10" s="472"/>
      <c r="M10" s="473"/>
      <c r="N10" s="473"/>
      <c r="O10" s="473"/>
      <c r="P10" s="474"/>
      <c r="Q10" s="472"/>
      <c r="R10" s="473"/>
      <c r="S10" s="474"/>
      <c r="T10" s="342"/>
      <c r="U10" s="343"/>
    </row>
    <row r="11" spans="1:21" ht="15" customHeight="1" x14ac:dyDescent="0.3">
      <c r="A11" s="468"/>
      <c r="B11" s="469"/>
      <c r="C11" s="469"/>
      <c r="D11" s="469"/>
      <c r="E11" s="470"/>
      <c r="F11" s="471"/>
      <c r="G11" s="469"/>
      <c r="H11" s="469"/>
      <c r="I11" s="470"/>
      <c r="J11" s="338"/>
      <c r="K11" s="337"/>
      <c r="L11" s="472"/>
      <c r="M11" s="473"/>
      <c r="N11" s="473"/>
      <c r="O11" s="473"/>
      <c r="P11" s="474"/>
      <c r="Q11" s="472"/>
      <c r="R11" s="473"/>
      <c r="S11" s="474"/>
      <c r="T11" s="342"/>
      <c r="U11" s="343"/>
    </row>
    <row r="12" spans="1:21" ht="15" customHeight="1" x14ac:dyDescent="0.3">
      <c r="A12" s="468"/>
      <c r="B12" s="469"/>
      <c r="C12" s="469"/>
      <c r="D12" s="469"/>
      <c r="E12" s="470"/>
      <c r="F12" s="471"/>
      <c r="G12" s="469"/>
      <c r="H12" s="469"/>
      <c r="I12" s="470"/>
      <c r="J12" s="338"/>
      <c r="K12" s="337"/>
      <c r="L12" s="472"/>
      <c r="M12" s="473"/>
      <c r="N12" s="473"/>
      <c r="O12" s="473"/>
      <c r="P12" s="474"/>
      <c r="Q12" s="472"/>
      <c r="R12" s="473"/>
      <c r="S12" s="474"/>
      <c r="T12" s="342"/>
      <c r="U12" s="343"/>
    </row>
    <row r="13" spans="1:21" ht="15" customHeight="1" x14ac:dyDescent="0.3">
      <c r="A13" s="468"/>
      <c r="B13" s="469"/>
      <c r="C13" s="469"/>
      <c r="D13" s="469"/>
      <c r="E13" s="470"/>
      <c r="F13" s="487"/>
      <c r="G13" s="488"/>
      <c r="H13" s="488"/>
      <c r="I13" s="489"/>
      <c r="J13" s="338"/>
      <c r="K13" s="337"/>
      <c r="L13" s="472"/>
      <c r="M13" s="473"/>
      <c r="N13" s="473"/>
      <c r="O13" s="473"/>
      <c r="P13" s="474"/>
      <c r="Q13" s="472"/>
      <c r="R13" s="473"/>
      <c r="S13" s="474"/>
      <c r="T13" s="342"/>
      <c r="U13" s="343"/>
    </row>
    <row r="14" spans="1:21" ht="15" customHeight="1" x14ac:dyDescent="0.3">
      <c r="A14" s="468"/>
      <c r="B14" s="469"/>
      <c r="C14" s="469"/>
      <c r="D14" s="469"/>
      <c r="E14" s="470"/>
      <c r="F14" s="471"/>
      <c r="G14" s="469"/>
      <c r="H14" s="469"/>
      <c r="I14" s="470"/>
      <c r="J14" s="338"/>
      <c r="K14" s="337"/>
      <c r="L14" s="472"/>
      <c r="M14" s="473"/>
      <c r="N14" s="473"/>
      <c r="O14" s="473"/>
      <c r="P14" s="474"/>
      <c r="Q14" s="472"/>
      <c r="R14" s="473"/>
      <c r="S14" s="474"/>
      <c r="T14" s="342"/>
      <c r="U14" s="343"/>
    </row>
    <row r="15" spans="1:21" ht="15" customHeight="1" x14ac:dyDescent="0.3">
      <c r="A15" s="335"/>
      <c r="B15" s="336"/>
      <c r="C15" s="336"/>
      <c r="D15" s="336"/>
      <c r="E15" s="337"/>
      <c r="F15" s="338"/>
      <c r="G15" s="336"/>
      <c r="H15" s="336"/>
      <c r="I15" s="337"/>
      <c r="J15" s="338"/>
      <c r="K15" s="337"/>
      <c r="L15" s="490"/>
      <c r="M15" s="491"/>
      <c r="N15" s="491"/>
      <c r="O15" s="491"/>
      <c r="P15" s="492"/>
      <c r="Q15" s="490"/>
      <c r="R15" s="491"/>
      <c r="S15" s="492"/>
      <c r="T15" s="342"/>
      <c r="U15" s="343"/>
    </row>
    <row r="16" spans="1:21" ht="15" customHeight="1" x14ac:dyDescent="0.3">
      <c r="A16" s="335"/>
      <c r="B16" s="336"/>
      <c r="C16" s="336"/>
      <c r="D16" s="336"/>
      <c r="E16" s="337"/>
      <c r="F16" s="338"/>
      <c r="G16" s="336"/>
      <c r="H16" s="336"/>
      <c r="I16" s="337"/>
      <c r="J16" s="338"/>
      <c r="K16" s="337"/>
      <c r="L16" s="490"/>
      <c r="M16" s="491"/>
      <c r="N16" s="491"/>
      <c r="O16" s="491"/>
      <c r="P16" s="492"/>
      <c r="Q16" s="490"/>
      <c r="R16" s="491"/>
      <c r="S16" s="49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38"/>
      <c r="G17" s="336"/>
      <c r="H17" s="336"/>
      <c r="I17" s="337"/>
      <c r="J17" s="338"/>
      <c r="K17" s="337"/>
      <c r="L17" s="490"/>
      <c r="M17" s="491"/>
      <c r="N17" s="491"/>
      <c r="O17" s="491"/>
      <c r="P17" s="492"/>
      <c r="Q17" s="490"/>
      <c r="R17" s="491"/>
      <c r="S17" s="492"/>
      <c r="T17" s="342"/>
      <c r="U17" s="343"/>
    </row>
    <row r="18" spans="1:21" ht="15" customHeight="1" x14ac:dyDescent="0.3">
      <c r="A18" s="335"/>
      <c r="B18" s="336"/>
      <c r="C18" s="336"/>
      <c r="D18" s="336"/>
      <c r="E18" s="337"/>
      <c r="F18" s="338"/>
      <c r="G18" s="336"/>
      <c r="H18" s="336"/>
      <c r="I18" s="337"/>
      <c r="J18" s="338"/>
      <c r="K18" s="337"/>
      <c r="L18" s="490"/>
      <c r="M18" s="491"/>
      <c r="N18" s="491"/>
      <c r="O18" s="491"/>
      <c r="P18" s="492"/>
      <c r="Q18" s="490"/>
      <c r="R18" s="491"/>
      <c r="S18" s="492"/>
      <c r="T18" s="342"/>
      <c r="U18" s="343"/>
    </row>
    <row r="19" spans="1:21" ht="15" customHeight="1" x14ac:dyDescent="0.3">
      <c r="A19" s="513"/>
      <c r="B19" s="514"/>
      <c r="C19" s="514"/>
      <c r="D19" s="514"/>
      <c r="E19" s="510"/>
      <c r="F19" s="509"/>
      <c r="G19" s="514"/>
      <c r="H19" s="514"/>
      <c r="I19" s="510"/>
      <c r="J19" s="509"/>
      <c r="K19" s="510"/>
      <c r="L19" s="461"/>
      <c r="M19" s="462"/>
      <c r="N19" s="462"/>
      <c r="O19" s="462"/>
      <c r="P19" s="463"/>
      <c r="Q19" s="461"/>
      <c r="R19" s="462"/>
      <c r="S19" s="463"/>
      <c r="T19" s="511"/>
      <c r="U19" s="512"/>
    </row>
    <row r="20" spans="1:21" x14ac:dyDescent="0.3">
      <c r="A20" s="315" t="s">
        <v>86</v>
      </c>
      <c r="B20" s="316"/>
      <c r="C20" s="316"/>
      <c r="D20" s="316"/>
      <c r="E20" s="316"/>
      <c r="F20" s="392">
        <v>2450000</v>
      </c>
      <c r="G20" s="392"/>
      <c r="H20" s="392"/>
      <c r="I20" s="393"/>
      <c r="J20" s="464">
        <f>SUM(J8:K19)</f>
        <v>1</v>
      </c>
      <c r="K20" s="464"/>
      <c r="L20" s="447" t="s">
        <v>965</v>
      </c>
      <c r="M20" s="448"/>
      <c r="N20" s="448"/>
      <c r="O20" s="448"/>
      <c r="P20" s="449"/>
      <c r="Q20" s="391">
        <f>SUM(Q8:S19)</f>
        <v>1000000</v>
      </c>
      <c r="R20" s="392"/>
      <c r="S20" s="392"/>
      <c r="T20" s="392"/>
      <c r="U20" s="394"/>
    </row>
    <row r="21" spans="1:21" ht="17.25" thickBot="1" x14ac:dyDescent="0.35">
      <c r="A21" s="416" t="s">
        <v>96</v>
      </c>
      <c r="B21" s="417"/>
      <c r="C21" s="417"/>
      <c r="D21" s="417"/>
      <c r="E21" s="417"/>
      <c r="F21" s="418">
        <f>F20+Q20</f>
        <v>3450000</v>
      </c>
      <c r="G21" s="418"/>
      <c r="H21" s="418"/>
      <c r="I21" s="419"/>
      <c r="J21" s="420" t="s">
        <v>971</v>
      </c>
      <c r="K21" s="417"/>
      <c r="L21" s="386" t="str">
        <f>T4</f>
        <v>장효주</v>
      </c>
      <c r="M21" s="386"/>
      <c r="N21" s="386"/>
      <c r="O21" s="420" t="s">
        <v>69</v>
      </c>
      <c r="P21" s="422"/>
      <c r="Q21" s="453" t="str">
        <f>C3</f>
        <v>제이오토(대구)</v>
      </c>
      <c r="R21" s="454"/>
      <c r="S21" s="454"/>
      <c r="T21" s="454"/>
      <c r="U21" s="455"/>
    </row>
    <row r="22" spans="1:21" ht="9" customHeight="1" x14ac:dyDescent="0.3">
      <c r="A22" s="436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11.25" customHeight="1" thickBot="1" x14ac:dyDescent="0.35">
      <c r="A23" s="428"/>
      <c r="B23" s="428"/>
      <c r="C23" s="428"/>
      <c r="D23" s="428"/>
      <c r="E23" s="428"/>
      <c r="F23" s="428"/>
      <c r="G23" s="428"/>
      <c r="H23" s="428"/>
      <c r="I23" s="428"/>
      <c r="J23" s="428"/>
      <c r="K23" s="428"/>
      <c r="L23" s="428"/>
      <c r="M23" s="428"/>
      <c r="N23" s="428"/>
      <c r="O23" s="428"/>
      <c r="P23" s="428"/>
      <c r="Q23" s="428"/>
      <c r="R23" s="428"/>
      <c r="S23" s="428"/>
      <c r="T23" s="428"/>
      <c r="U23" s="428"/>
    </row>
    <row r="24" spans="1:21" ht="24" customHeight="1" thickBot="1" x14ac:dyDescent="0.35">
      <c r="A24" s="506" t="s">
        <v>76</v>
      </c>
      <c r="B24" s="507"/>
      <c r="C24" s="507"/>
      <c r="D24" s="507"/>
      <c r="E24" s="507"/>
      <c r="F24" s="507"/>
      <c r="G24" s="507"/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  <c r="U24" s="508"/>
    </row>
    <row r="25" spans="1:21" x14ac:dyDescent="0.3">
      <c r="A25" s="302" t="s">
        <v>70</v>
      </c>
      <c r="B25" s="303"/>
      <c r="C25" s="304" t="str">
        <f>C2</f>
        <v>카카오뱅크 3333181865047</v>
      </c>
      <c r="D25" s="305"/>
      <c r="E25" s="305"/>
      <c r="F25" s="305"/>
      <c r="G25" s="306"/>
      <c r="H25" s="304" t="s">
        <v>82</v>
      </c>
      <c r="I25" s="305"/>
      <c r="J25" s="305"/>
      <c r="K25" s="305"/>
      <c r="L25" s="305"/>
      <c r="M25" s="305"/>
      <c r="N25" s="305"/>
      <c r="O25" s="306"/>
      <c r="P25" s="307" t="s">
        <v>68</v>
      </c>
      <c r="Q25" s="308"/>
      <c r="R25" s="308"/>
      <c r="S25" s="303"/>
      <c r="T25" s="309">
        <f>T2</f>
        <v>45804</v>
      </c>
      <c r="U25" s="310"/>
    </row>
    <row r="26" spans="1:21" ht="27" customHeight="1" x14ac:dyDescent="0.3">
      <c r="A26" s="320" t="s">
        <v>1194</v>
      </c>
      <c r="B26" s="37" t="s">
        <v>64</v>
      </c>
      <c r="C26" s="496" t="str">
        <f>C3</f>
        <v>제이오토(대구)</v>
      </c>
      <c r="D26" s="497"/>
      <c r="E26" s="497"/>
      <c r="F26" s="497"/>
      <c r="G26" s="497"/>
      <c r="H26" s="497"/>
      <c r="I26" s="497"/>
      <c r="J26" s="498"/>
      <c r="K26" s="326" t="s">
        <v>1195</v>
      </c>
      <c r="L26" s="37" t="s">
        <v>64</v>
      </c>
      <c r="M26" s="475" t="str">
        <f>M3</f>
        <v>BTS&amp;P</v>
      </c>
      <c r="N26" s="476"/>
      <c r="O26" s="476"/>
      <c r="P26" s="476"/>
      <c r="Q26" s="476"/>
      <c r="R26" s="476"/>
      <c r="S26" s="476"/>
      <c r="T26" s="476"/>
      <c r="U26" s="477"/>
    </row>
    <row r="27" spans="1:21" ht="24.95" customHeight="1" x14ac:dyDescent="0.3">
      <c r="A27" s="321"/>
      <c r="B27" s="37" t="s">
        <v>66</v>
      </c>
      <c r="C27" s="458">
        <f>C4</f>
        <v>0</v>
      </c>
      <c r="D27" s="459"/>
      <c r="E27" s="459"/>
      <c r="F27" s="459"/>
      <c r="G27" s="459"/>
      <c r="H27" s="459"/>
      <c r="I27" s="459"/>
      <c r="J27" s="460"/>
      <c r="K27" s="327"/>
      <c r="L27" s="37" t="s">
        <v>66</v>
      </c>
      <c r="M27" s="311" t="str">
        <f>M4</f>
        <v>259-12-01768</v>
      </c>
      <c r="N27" s="312"/>
      <c r="O27" s="312"/>
      <c r="P27" s="312"/>
      <c r="Q27" s="312"/>
      <c r="R27" s="313"/>
      <c r="S27" s="38" t="s">
        <v>67</v>
      </c>
      <c r="T27" s="481" t="str">
        <f>T4</f>
        <v>장효주</v>
      </c>
      <c r="U27" s="482"/>
    </row>
    <row r="28" spans="1:21" ht="15.75" customHeight="1" x14ac:dyDescent="0.3">
      <c r="A28" s="321"/>
      <c r="B28" s="38" t="s">
        <v>10</v>
      </c>
      <c r="C28" s="311" t="str">
        <f>C5</f>
        <v>대구광역시 서구 가르뱅이로 53</v>
      </c>
      <c r="D28" s="312"/>
      <c r="E28" s="312"/>
      <c r="F28" s="312"/>
      <c r="G28" s="312"/>
      <c r="H28" s="312"/>
      <c r="I28" s="312"/>
      <c r="J28" s="313"/>
      <c r="K28" s="327"/>
      <c r="L28" s="38" t="s">
        <v>10</v>
      </c>
      <c r="M28" s="311" t="str">
        <f>M5</f>
        <v>대구 달서구 용산로 28(본리동)</v>
      </c>
      <c r="N28" s="312"/>
      <c r="O28" s="312"/>
      <c r="P28" s="312"/>
      <c r="Q28" s="312"/>
      <c r="R28" s="312"/>
      <c r="S28" s="312"/>
      <c r="T28" s="312"/>
      <c r="U28" s="314"/>
    </row>
    <row r="29" spans="1:21" ht="15.75" customHeight="1" x14ac:dyDescent="0.3">
      <c r="A29" s="322"/>
      <c r="B29" s="38" t="s">
        <v>80</v>
      </c>
      <c r="C29" s="311" t="str">
        <f>C6</f>
        <v>010-5102-8176</v>
      </c>
      <c r="D29" s="312"/>
      <c r="E29" s="312"/>
      <c r="F29" s="312"/>
      <c r="G29" s="312"/>
      <c r="H29" s="312"/>
      <c r="I29" s="312"/>
      <c r="J29" s="313"/>
      <c r="K29" s="328"/>
      <c r="L29" s="38" t="s">
        <v>80</v>
      </c>
      <c r="M29" s="311" t="str">
        <f>M6</f>
        <v>010-5168-3542</v>
      </c>
      <c r="N29" s="312"/>
      <c r="O29" s="312"/>
      <c r="P29" s="312"/>
      <c r="Q29" s="312"/>
      <c r="R29" s="313"/>
      <c r="S29" s="38" t="s">
        <v>26</v>
      </c>
      <c r="T29" s="311"/>
      <c r="U29" s="314"/>
    </row>
    <row r="30" spans="1:21" ht="15.75" customHeight="1" x14ac:dyDescent="0.3">
      <c r="A30" s="315" t="s">
        <v>75</v>
      </c>
      <c r="B30" s="316"/>
      <c r="C30" s="316"/>
      <c r="D30" s="316"/>
      <c r="E30" s="317"/>
      <c r="F30" s="318" t="s">
        <v>48</v>
      </c>
      <c r="G30" s="316"/>
      <c r="H30" s="316"/>
      <c r="I30" s="317"/>
      <c r="J30" s="318" t="s">
        <v>72</v>
      </c>
      <c r="K30" s="317"/>
      <c r="L30" s="318" t="s">
        <v>46</v>
      </c>
      <c r="M30" s="316"/>
      <c r="N30" s="316"/>
      <c r="O30" s="316"/>
      <c r="P30" s="317"/>
      <c r="Q30" s="318" t="s">
        <v>73</v>
      </c>
      <c r="R30" s="316"/>
      <c r="S30" s="317"/>
      <c r="T30" s="318" t="s">
        <v>74</v>
      </c>
      <c r="U30" s="319"/>
    </row>
    <row r="31" spans="1:21" ht="15" customHeight="1" x14ac:dyDescent="0.3">
      <c r="A31" s="501" t="str">
        <f>A8</f>
        <v>8HP70 VALBEBODY</v>
      </c>
      <c r="B31" s="499"/>
      <c r="C31" s="499"/>
      <c r="D31" s="499"/>
      <c r="E31" s="499"/>
      <c r="F31" s="499">
        <f>F8</f>
        <v>0</v>
      </c>
      <c r="G31" s="499"/>
      <c r="H31" s="499"/>
      <c r="I31" s="499"/>
      <c r="J31" s="499">
        <f>J8</f>
        <v>1</v>
      </c>
      <c r="K31" s="499"/>
      <c r="L31" s="456">
        <f>L8</f>
        <v>1000000</v>
      </c>
      <c r="M31" s="456"/>
      <c r="N31" s="456"/>
      <c r="O31" s="456"/>
      <c r="P31" s="456"/>
      <c r="Q31" s="456">
        <f>Q8</f>
        <v>1000000</v>
      </c>
      <c r="R31" s="456"/>
      <c r="S31" s="456"/>
      <c r="T31" s="499">
        <f>T8</f>
        <v>0</v>
      </c>
      <c r="U31" s="500"/>
    </row>
    <row r="32" spans="1:21" ht="15" customHeight="1" x14ac:dyDescent="0.3">
      <c r="A32" s="495">
        <f t="shared" ref="A32:A42" si="0">A9</f>
        <v>0</v>
      </c>
      <c r="B32" s="493"/>
      <c r="C32" s="493"/>
      <c r="D32" s="493"/>
      <c r="E32" s="493"/>
      <c r="F32" s="493">
        <f t="shared" ref="F32:F42" si="1">F9</f>
        <v>0</v>
      </c>
      <c r="G32" s="493"/>
      <c r="H32" s="493"/>
      <c r="I32" s="493"/>
      <c r="J32" s="493">
        <f t="shared" ref="J32:J42" si="2">J9</f>
        <v>0</v>
      </c>
      <c r="K32" s="493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93">
        <f t="shared" ref="T32:T42" si="5">T9</f>
        <v>0</v>
      </c>
      <c r="U32" s="494"/>
    </row>
    <row r="33" spans="1:21" ht="15" customHeight="1" x14ac:dyDescent="0.3">
      <c r="A33" s="495">
        <f t="shared" si="0"/>
        <v>0</v>
      </c>
      <c r="B33" s="493"/>
      <c r="C33" s="493"/>
      <c r="D33" s="493"/>
      <c r="E33" s="493"/>
      <c r="F33" s="493">
        <f t="shared" si="1"/>
        <v>0</v>
      </c>
      <c r="G33" s="493"/>
      <c r="H33" s="493"/>
      <c r="I33" s="493"/>
      <c r="J33" s="493">
        <f t="shared" si="2"/>
        <v>0</v>
      </c>
      <c r="K33" s="493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93">
        <f t="shared" si="5"/>
        <v>0</v>
      </c>
      <c r="U33" s="494"/>
    </row>
    <row r="34" spans="1:21" ht="15" customHeight="1" x14ac:dyDescent="0.3">
      <c r="A34" s="495">
        <f t="shared" si="0"/>
        <v>0</v>
      </c>
      <c r="B34" s="493"/>
      <c r="C34" s="493"/>
      <c r="D34" s="493"/>
      <c r="E34" s="493"/>
      <c r="F34" s="493">
        <f t="shared" si="1"/>
        <v>0</v>
      </c>
      <c r="G34" s="493"/>
      <c r="H34" s="493"/>
      <c r="I34" s="493"/>
      <c r="J34" s="493">
        <v>1</v>
      </c>
      <c r="K34" s="493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93">
        <f t="shared" si="5"/>
        <v>0</v>
      </c>
      <c r="U34" s="494"/>
    </row>
    <row r="35" spans="1:21" ht="15" customHeight="1" x14ac:dyDescent="0.3">
      <c r="A35" s="495">
        <f t="shared" si="0"/>
        <v>0</v>
      </c>
      <c r="B35" s="493"/>
      <c r="C35" s="493"/>
      <c r="D35" s="493"/>
      <c r="E35" s="493"/>
      <c r="F35" s="493">
        <f t="shared" si="1"/>
        <v>0</v>
      </c>
      <c r="G35" s="493"/>
      <c r="H35" s="493"/>
      <c r="I35" s="493"/>
      <c r="J35" s="493">
        <f t="shared" si="2"/>
        <v>0</v>
      </c>
      <c r="K35" s="493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93">
        <f t="shared" si="5"/>
        <v>0</v>
      </c>
      <c r="U35" s="494"/>
    </row>
    <row r="36" spans="1:21" ht="15" customHeight="1" x14ac:dyDescent="0.3">
      <c r="A36" s="495">
        <f t="shared" si="0"/>
        <v>0</v>
      </c>
      <c r="B36" s="493"/>
      <c r="C36" s="493"/>
      <c r="D36" s="493"/>
      <c r="E36" s="493"/>
      <c r="F36" s="493">
        <f t="shared" si="1"/>
        <v>0</v>
      </c>
      <c r="G36" s="493"/>
      <c r="H36" s="493"/>
      <c r="I36" s="493"/>
      <c r="J36" s="493">
        <f t="shared" si="2"/>
        <v>0</v>
      </c>
      <c r="K36" s="493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93">
        <f t="shared" si="5"/>
        <v>0</v>
      </c>
      <c r="U36" s="494"/>
    </row>
    <row r="37" spans="1:21" ht="15" customHeight="1" x14ac:dyDescent="0.3">
      <c r="A37" s="495">
        <f t="shared" si="0"/>
        <v>0</v>
      </c>
      <c r="B37" s="493"/>
      <c r="C37" s="493"/>
      <c r="D37" s="493"/>
      <c r="E37" s="493"/>
      <c r="F37" s="493">
        <f t="shared" si="1"/>
        <v>0</v>
      </c>
      <c r="G37" s="493"/>
      <c r="H37" s="493"/>
      <c r="I37" s="493"/>
      <c r="J37" s="493">
        <f t="shared" si="2"/>
        <v>0</v>
      </c>
      <c r="K37" s="493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93">
        <f t="shared" si="5"/>
        <v>0</v>
      </c>
      <c r="U37" s="494"/>
    </row>
    <row r="38" spans="1:21" ht="15" customHeight="1" x14ac:dyDescent="0.3">
      <c r="A38" s="495">
        <f t="shared" si="0"/>
        <v>0</v>
      </c>
      <c r="B38" s="493"/>
      <c r="C38" s="493"/>
      <c r="D38" s="493"/>
      <c r="E38" s="493"/>
      <c r="F38" s="493">
        <f t="shared" si="1"/>
        <v>0</v>
      </c>
      <c r="G38" s="493"/>
      <c r="H38" s="493"/>
      <c r="I38" s="493"/>
      <c r="J38" s="493">
        <f t="shared" si="2"/>
        <v>0</v>
      </c>
      <c r="K38" s="493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93">
        <f t="shared" si="5"/>
        <v>0</v>
      </c>
      <c r="U38" s="494"/>
    </row>
    <row r="39" spans="1:21" ht="15" customHeight="1" x14ac:dyDescent="0.3">
      <c r="A39" s="495">
        <f t="shared" si="0"/>
        <v>0</v>
      </c>
      <c r="B39" s="493"/>
      <c r="C39" s="493"/>
      <c r="D39" s="493"/>
      <c r="E39" s="493"/>
      <c r="F39" s="493">
        <f t="shared" si="1"/>
        <v>0</v>
      </c>
      <c r="G39" s="493"/>
      <c r="H39" s="493"/>
      <c r="I39" s="493"/>
      <c r="J39" s="493">
        <f t="shared" si="2"/>
        <v>0</v>
      </c>
      <c r="K39" s="493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93">
        <f t="shared" si="5"/>
        <v>0</v>
      </c>
      <c r="U39" s="494"/>
    </row>
    <row r="40" spans="1:21" ht="15" customHeight="1" x14ac:dyDescent="0.3">
      <c r="A40" s="495">
        <f t="shared" si="0"/>
        <v>0</v>
      </c>
      <c r="B40" s="493"/>
      <c r="C40" s="493"/>
      <c r="D40" s="493"/>
      <c r="E40" s="493"/>
      <c r="F40" s="493">
        <f t="shared" si="1"/>
        <v>0</v>
      </c>
      <c r="G40" s="493"/>
      <c r="H40" s="493"/>
      <c r="I40" s="493"/>
      <c r="J40" s="493">
        <f t="shared" si="2"/>
        <v>0</v>
      </c>
      <c r="K40" s="493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93">
        <f t="shared" si="5"/>
        <v>0</v>
      </c>
      <c r="U40" s="494"/>
    </row>
    <row r="41" spans="1:21" ht="15" customHeight="1" x14ac:dyDescent="0.3">
      <c r="A41" s="495">
        <f t="shared" si="0"/>
        <v>0</v>
      </c>
      <c r="B41" s="493"/>
      <c r="C41" s="493"/>
      <c r="D41" s="493"/>
      <c r="E41" s="493"/>
      <c r="F41" s="493">
        <f t="shared" si="1"/>
        <v>0</v>
      </c>
      <c r="G41" s="493"/>
      <c r="H41" s="493"/>
      <c r="I41" s="493"/>
      <c r="J41" s="493">
        <f t="shared" si="2"/>
        <v>0</v>
      </c>
      <c r="K41" s="493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93">
        <f t="shared" si="5"/>
        <v>0</v>
      </c>
      <c r="U41" s="494"/>
    </row>
    <row r="42" spans="1:21" ht="15" customHeight="1" x14ac:dyDescent="0.3">
      <c r="A42" s="502">
        <f t="shared" si="0"/>
        <v>0</v>
      </c>
      <c r="B42" s="503"/>
      <c r="C42" s="503"/>
      <c r="D42" s="503"/>
      <c r="E42" s="503"/>
      <c r="F42" s="503">
        <f t="shared" si="1"/>
        <v>0</v>
      </c>
      <c r="G42" s="503"/>
      <c r="H42" s="503"/>
      <c r="I42" s="503"/>
      <c r="J42" s="503">
        <f t="shared" si="2"/>
        <v>0</v>
      </c>
      <c r="K42" s="503"/>
      <c r="L42" s="504">
        <f t="shared" si="3"/>
        <v>0</v>
      </c>
      <c r="M42" s="504"/>
      <c r="N42" s="504"/>
      <c r="O42" s="504"/>
      <c r="P42" s="504"/>
      <c r="Q42" s="504">
        <f t="shared" si="4"/>
        <v>0</v>
      </c>
      <c r="R42" s="504"/>
      <c r="S42" s="504"/>
      <c r="T42" s="503">
        <f t="shared" si="5"/>
        <v>0</v>
      </c>
      <c r="U42" s="505"/>
    </row>
    <row r="43" spans="1:21" x14ac:dyDescent="0.3">
      <c r="A43" s="315" t="s">
        <v>86</v>
      </c>
      <c r="B43" s="316"/>
      <c r="C43" s="316"/>
      <c r="D43" s="316"/>
      <c r="E43" s="316"/>
      <c r="F43" s="392">
        <f>F20</f>
        <v>2450000</v>
      </c>
      <c r="G43" s="392"/>
      <c r="H43" s="392"/>
      <c r="I43" s="393"/>
      <c r="J43" s="464">
        <f>J20</f>
        <v>1</v>
      </c>
      <c r="K43" s="464"/>
      <c r="L43" s="447" t="s">
        <v>965</v>
      </c>
      <c r="M43" s="448"/>
      <c r="N43" s="448"/>
      <c r="O43" s="448"/>
      <c r="P43" s="449"/>
      <c r="Q43" s="450">
        <f>Q20</f>
        <v>1000000</v>
      </c>
      <c r="R43" s="451"/>
      <c r="S43" s="451"/>
      <c r="T43" s="451"/>
      <c r="U43" s="452"/>
    </row>
    <row r="44" spans="1:21" ht="17.25" thickBot="1" x14ac:dyDescent="0.35">
      <c r="A44" s="416" t="s">
        <v>96</v>
      </c>
      <c r="B44" s="417"/>
      <c r="C44" s="417"/>
      <c r="D44" s="417"/>
      <c r="E44" s="417"/>
      <c r="F44" s="418">
        <f>F21</f>
        <v>3450000</v>
      </c>
      <c r="G44" s="418"/>
      <c r="H44" s="418"/>
      <c r="I44" s="419"/>
      <c r="J44" s="420" t="s">
        <v>971</v>
      </c>
      <c r="K44" s="417"/>
      <c r="L44" s="386" t="str">
        <f>L21</f>
        <v>장효주</v>
      </c>
      <c r="M44" s="386"/>
      <c r="N44" s="386"/>
      <c r="O44" s="420" t="s">
        <v>69</v>
      </c>
      <c r="P44" s="422"/>
      <c r="Q44" s="453" t="str">
        <f>Q21</f>
        <v>제이오토(대구)</v>
      </c>
      <c r="R44" s="454"/>
      <c r="S44" s="454"/>
      <c r="T44" s="454"/>
      <c r="U44" s="45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7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700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3345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3346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3347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3348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3349</v>
      </c>
    </row>
    <row r="674" spans="1:4" x14ac:dyDescent="0.3">
      <c r="A674">
        <v>698</v>
      </c>
      <c r="B674" s="13">
        <v>45882</v>
      </c>
      <c r="C674" t="s">
        <v>3353</v>
      </c>
      <c r="D674" t="s">
        <v>3358</v>
      </c>
    </row>
    <row r="675" spans="1:4" x14ac:dyDescent="0.3">
      <c r="A675">
        <v>699</v>
      </c>
      <c r="B675" s="13">
        <v>45882</v>
      </c>
      <c r="C675" t="s">
        <v>3350</v>
      </c>
      <c r="D675" t="s">
        <v>3364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173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 t="s">
        <v>3343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3343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3343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16065000.199999999</v>
      </c>
      <c r="I17" s="52" t="s">
        <v>3343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3343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2309999.6999999993</v>
      </c>
      <c r="I20" s="52" t="s">
        <v>3343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1300000</v>
      </c>
      <c r="I26" s="52" t="s">
        <v>3343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6619000</v>
      </c>
      <c r="I37" s="52" t="s">
        <v>3343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3343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3343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3310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1550000</v>
      </c>
      <c r="I68" s="52" t="s">
        <v>3343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3343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3343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3343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3343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3310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70000</v>
      </c>
      <c r="I107" s="52" t="s">
        <v>3343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3343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2106000</v>
      </c>
      <c r="I109" s="52" t="s">
        <v>3343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3350</v>
      </c>
      <c r="C172" t="s">
        <v>3351</v>
      </c>
      <c r="E172" t="s">
        <v>3352</v>
      </c>
      <c r="F172" t="s">
        <v>969</v>
      </c>
      <c r="H172" s="201">
        <f>SUMIF(주문_리스트!C:C,거래처!B172,주문_리스트!K:K)+SUMIF(주문_리스트!C:C,거래처!B172,주문_리스트!L:L)</f>
        <v>100000</v>
      </c>
    </row>
    <row r="173" spans="1:9" x14ac:dyDescent="0.3">
      <c r="A173">
        <v>172</v>
      </c>
      <c r="B173" t="s">
        <v>3354</v>
      </c>
      <c r="C173" t="s">
        <v>3355</v>
      </c>
      <c r="E173" t="s">
        <v>3356</v>
      </c>
      <c r="F173" t="s">
        <v>3357</v>
      </c>
      <c r="H173" s="201">
        <f>SUMIF(주문_리스트!C:C,거래처!B173,주문_리스트!K:K)+SUMIF(주문_리스트!C:C,거래처!B173,주문_리스트!L:L)</f>
        <v>1550000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-59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-75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-30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-14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-32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-3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-13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-16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-75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5" t="s">
        <v>12</v>
      </c>
      <c r="C4" s="516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2025-08-13T09:00:08Z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