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644817A-DDBC-4AEF-A409-9E16E347E448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" i="54" l="1"/>
  <c r="G56" i="54"/>
  <c r="G57" i="54"/>
  <c r="G58" i="54"/>
  <c r="H58" i="54" s="1"/>
  <c r="I58" i="54" s="1"/>
  <c r="G59" i="54"/>
  <c r="H59" i="54" s="1"/>
  <c r="I59" i="54" s="1"/>
  <c r="G60" i="54"/>
  <c r="H60" i="54" s="1"/>
  <c r="I60" i="54" s="1"/>
  <c r="J1" i="52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8" i="54"/>
  <c r="J148" i="54"/>
  <c r="H148" i="54"/>
  <c r="I148" i="54" s="1"/>
  <c r="G148" i="54"/>
  <c r="J147" i="54"/>
  <c r="I147" i="54"/>
  <c r="G147" i="54"/>
  <c r="H147" i="54" s="1"/>
  <c r="J146" i="54"/>
  <c r="I146" i="54"/>
  <c r="G146" i="54"/>
  <c r="H146" i="54" s="1"/>
  <c r="J145" i="54"/>
  <c r="H145" i="54"/>
  <c r="I145" i="54" s="1"/>
  <c r="G145" i="54"/>
  <c r="J144" i="54"/>
  <c r="I144" i="54"/>
  <c r="G144" i="54"/>
  <c r="H144" i="54" s="1"/>
  <c r="J143" i="54"/>
  <c r="I143" i="54"/>
  <c r="G143" i="54"/>
  <c r="H143" i="54" s="1"/>
  <c r="J142" i="54"/>
  <c r="K142" i="54" s="1"/>
  <c r="I142" i="54"/>
  <c r="H142" i="54"/>
  <c r="G142" i="54"/>
  <c r="J141" i="54"/>
  <c r="G141" i="54"/>
  <c r="H141" i="54" s="1"/>
  <c r="I141" i="54" s="1"/>
  <c r="J140" i="54"/>
  <c r="H140" i="54"/>
  <c r="I140" i="54" s="1"/>
  <c r="G140" i="54"/>
  <c r="J139" i="54"/>
  <c r="I139" i="54"/>
  <c r="H139" i="54"/>
  <c r="G139" i="54"/>
  <c r="J138" i="54"/>
  <c r="G138" i="54"/>
  <c r="H138" i="54" s="1"/>
  <c r="I138" i="54" s="1"/>
  <c r="J137" i="54"/>
  <c r="H137" i="54"/>
  <c r="I137" i="54" s="1"/>
  <c r="G137" i="54"/>
  <c r="J136" i="54"/>
  <c r="K136" i="54" s="1"/>
  <c r="I136" i="54"/>
  <c r="G136" i="54"/>
  <c r="H136" i="54" s="1"/>
  <c r="J135" i="54"/>
  <c r="H135" i="54"/>
  <c r="I135" i="54" s="1"/>
  <c r="G135" i="54"/>
  <c r="J134" i="54"/>
  <c r="I134" i="54"/>
  <c r="G134" i="54"/>
  <c r="H134" i="54" s="1"/>
  <c r="J133" i="54"/>
  <c r="I133" i="54"/>
  <c r="G133" i="54"/>
  <c r="H133" i="54" s="1"/>
  <c r="J132" i="54"/>
  <c r="H132" i="54"/>
  <c r="I132" i="54" s="1"/>
  <c r="G132" i="54"/>
  <c r="J131" i="54"/>
  <c r="I131" i="54"/>
  <c r="G131" i="54"/>
  <c r="H131" i="54" s="1"/>
  <c r="J130" i="54"/>
  <c r="K130" i="54" s="1"/>
  <c r="H130" i="54"/>
  <c r="I130" i="54" s="1"/>
  <c r="G130" i="54"/>
  <c r="J129" i="54"/>
  <c r="I129" i="54"/>
  <c r="H129" i="54"/>
  <c r="G129" i="54"/>
  <c r="J128" i="54"/>
  <c r="G128" i="54"/>
  <c r="H128" i="54" s="1"/>
  <c r="I128" i="54" s="1"/>
  <c r="J127" i="54"/>
  <c r="H127" i="54"/>
  <c r="I127" i="54" s="1"/>
  <c r="G127" i="54"/>
  <c r="J126" i="54"/>
  <c r="I126" i="54"/>
  <c r="H126" i="54"/>
  <c r="G126" i="54"/>
  <c r="J125" i="54"/>
  <c r="G125" i="54"/>
  <c r="H125" i="54" s="1"/>
  <c r="I125" i="54" s="1"/>
  <c r="K124" i="54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K118" i="54" s="1"/>
  <c r="G118" i="54"/>
  <c r="H118" i="54" s="1"/>
  <c r="I118" i="54" s="1"/>
  <c r="J117" i="54"/>
  <c r="H117" i="54"/>
  <c r="I117" i="54" s="1"/>
  <c r="G117" i="54"/>
  <c r="J116" i="54"/>
  <c r="I116" i="54"/>
  <c r="H116" i="54"/>
  <c r="G116" i="54"/>
  <c r="J115" i="54"/>
  <c r="G115" i="54"/>
  <c r="H115" i="54" s="1"/>
  <c r="I115" i="54" s="1"/>
  <c r="J114" i="54"/>
  <c r="H114" i="54"/>
  <c r="I114" i="54" s="1"/>
  <c r="G114" i="54"/>
  <c r="J113" i="54"/>
  <c r="I113" i="54"/>
  <c r="H113" i="54"/>
  <c r="G113" i="54"/>
  <c r="K112" i="54"/>
  <c r="J112" i="54"/>
  <c r="H112" i="54"/>
  <c r="I112" i="54" s="1"/>
  <c r="G112" i="54"/>
  <c r="J111" i="54"/>
  <c r="G111" i="54"/>
  <c r="H111" i="54" s="1"/>
  <c r="I111" i="54" s="1"/>
  <c r="J110" i="54"/>
  <c r="I110" i="54"/>
  <c r="G110" i="54"/>
  <c r="H110" i="54" s="1"/>
  <c r="J109" i="54"/>
  <c r="G109" i="54"/>
  <c r="H109" i="54" s="1"/>
  <c r="I109" i="54" s="1"/>
  <c r="J108" i="54"/>
  <c r="I108" i="54"/>
  <c r="G108" i="54"/>
  <c r="H108" i="54" s="1"/>
  <c r="J107" i="54"/>
  <c r="G107" i="54"/>
  <c r="H107" i="54" s="1"/>
  <c r="I107" i="54" s="1"/>
  <c r="J106" i="54"/>
  <c r="K106" i="54" s="1"/>
  <c r="I106" i="54"/>
  <c r="H106" i="54"/>
  <c r="G106" i="54"/>
  <c r="J105" i="54"/>
  <c r="G105" i="54"/>
  <c r="H105" i="54" s="1"/>
  <c r="I105" i="54" s="1"/>
  <c r="J104" i="54"/>
  <c r="H104" i="54"/>
  <c r="I104" i="54" s="1"/>
  <c r="G104" i="54"/>
  <c r="J103" i="54"/>
  <c r="H103" i="54"/>
  <c r="I103" i="54" s="1"/>
  <c r="G103" i="54"/>
  <c r="J102" i="54"/>
  <c r="G102" i="54"/>
  <c r="H102" i="54" s="1"/>
  <c r="I102" i="54" s="1"/>
  <c r="J101" i="54"/>
  <c r="H101" i="54"/>
  <c r="I101" i="54" s="1"/>
  <c r="G101" i="54"/>
  <c r="J100" i="54"/>
  <c r="K100" i="54" s="1"/>
  <c r="I100" i="54"/>
  <c r="G100" i="54"/>
  <c r="H100" i="54" s="1"/>
  <c r="J99" i="54"/>
  <c r="G99" i="54"/>
  <c r="H99" i="54" s="1"/>
  <c r="I99" i="54" s="1"/>
  <c r="J98" i="54"/>
  <c r="I98" i="54"/>
  <c r="G98" i="54"/>
  <c r="H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H94" i="54"/>
  <c r="I94" i="54" s="1"/>
  <c r="G94" i="54"/>
  <c r="J93" i="54"/>
  <c r="I93" i="54"/>
  <c r="H93" i="54"/>
  <c r="G93" i="54"/>
  <c r="J92" i="54"/>
  <c r="G92" i="54"/>
  <c r="H92" i="54" s="1"/>
  <c r="I92" i="54" s="1"/>
  <c r="J91" i="54"/>
  <c r="H91" i="54"/>
  <c r="I91" i="54" s="1"/>
  <c r="G91" i="54"/>
  <c r="J90" i="54"/>
  <c r="I90" i="54"/>
  <c r="H90" i="54"/>
  <c r="G90" i="54"/>
  <c r="J89" i="54"/>
  <c r="G89" i="54"/>
  <c r="H89" i="54" s="1"/>
  <c r="I89" i="54" s="1"/>
  <c r="K88" i="54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H81" i="54"/>
  <c r="I81" i="54" s="1"/>
  <c r="G81" i="54"/>
  <c r="J80" i="54"/>
  <c r="I80" i="54"/>
  <c r="H80" i="54"/>
  <c r="G80" i="54"/>
  <c r="J79" i="54"/>
  <c r="G79" i="54"/>
  <c r="H79" i="54" s="1"/>
  <c r="I79" i="54" s="1"/>
  <c r="J78" i="54"/>
  <c r="H78" i="54"/>
  <c r="I78" i="54" s="1"/>
  <c r="G78" i="54"/>
  <c r="J77" i="54"/>
  <c r="I77" i="54"/>
  <c r="H77" i="54"/>
  <c r="G77" i="54"/>
  <c r="K76" i="54"/>
  <c r="J76" i="54"/>
  <c r="G76" i="54"/>
  <c r="H76" i="54" s="1"/>
  <c r="I76" i="54" s="1"/>
  <c r="J75" i="54"/>
  <c r="I75" i="54"/>
  <c r="G75" i="54"/>
  <c r="H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I71" i="54"/>
  <c r="G71" i="54"/>
  <c r="H71" i="54" s="1"/>
  <c r="J70" i="54"/>
  <c r="K70" i="54" s="1"/>
  <c r="H70" i="54"/>
  <c r="I70" i="54" s="1"/>
  <c r="G70" i="54"/>
  <c r="J69" i="54"/>
  <c r="G69" i="54"/>
  <c r="H69" i="54" s="1"/>
  <c r="I69" i="54" s="1"/>
  <c r="J68" i="54"/>
  <c r="H68" i="54"/>
  <c r="I68" i="54" s="1"/>
  <c r="G68" i="54"/>
  <c r="J67" i="54"/>
  <c r="I67" i="54"/>
  <c r="H67" i="54"/>
  <c r="G67" i="54"/>
  <c r="J66" i="54"/>
  <c r="H66" i="54"/>
  <c r="I66" i="54" s="1"/>
  <c r="G66" i="54"/>
  <c r="J65" i="54"/>
  <c r="H65" i="54"/>
  <c r="I65" i="54" s="1"/>
  <c r="G65" i="54"/>
  <c r="J64" i="54"/>
  <c r="K64" i="54" s="1"/>
  <c r="G64" i="54"/>
  <c r="H64" i="54" s="1"/>
  <c r="I64" i="54" s="1"/>
  <c r="J63" i="54"/>
  <c r="G63" i="54"/>
  <c r="H63" i="54" s="1"/>
  <c r="I63" i="54" s="1"/>
  <c r="J62" i="54"/>
  <c r="I62" i="54"/>
  <c r="G62" i="54"/>
  <c r="H62" i="54" s="1"/>
  <c r="J61" i="54"/>
  <c r="G61" i="54"/>
  <c r="H61" i="54" s="1"/>
  <c r="I61" i="54" s="1"/>
  <c r="J60" i="54"/>
  <c r="J59" i="54"/>
  <c r="K59" i="54" s="1"/>
  <c r="J58" i="54"/>
  <c r="J57" i="54"/>
  <c r="H57" i="54"/>
  <c r="I57" i="54" s="1"/>
  <c r="J56" i="54"/>
  <c r="H56" i="54"/>
  <c r="I56" i="54" s="1"/>
  <c r="J55" i="54"/>
  <c r="H55" i="54"/>
  <c r="I55" i="54" s="1"/>
  <c r="J54" i="54"/>
  <c r="G54" i="54"/>
  <c r="H54" i="54" s="1"/>
  <c r="I54" i="54" s="1"/>
  <c r="J53" i="54"/>
  <c r="H53" i="54"/>
  <c r="I53" i="54" s="1"/>
  <c r="G53" i="54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G49" i="54"/>
  <c r="H49" i="54" s="1"/>
  <c r="J48" i="54"/>
  <c r="K48" i="54" s="1"/>
  <c r="H48" i="54"/>
  <c r="I48" i="54" s="1"/>
  <c r="G48" i="54"/>
  <c r="K47" i="54"/>
  <c r="J47" i="54"/>
  <c r="G47" i="54"/>
  <c r="H47" i="54" s="1"/>
  <c r="I47" i="54" s="1"/>
  <c r="K46" i="54"/>
  <c r="J46" i="54"/>
  <c r="H46" i="54"/>
  <c r="I46" i="54" s="1"/>
  <c r="G46" i="54"/>
  <c r="J45" i="54"/>
  <c r="K45" i="54" s="1"/>
  <c r="I45" i="54"/>
  <c r="G45" i="54"/>
  <c r="H45" i="54" s="1"/>
  <c r="J44" i="54"/>
  <c r="K44" i="54" s="1"/>
  <c r="I44" i="54"/>
  <c r="H44" i="54"/>
  <c r="G44" i="54"/>
  <c r="K43" i="54"/>
  <c r="J43" i="54"/>
  <c r="H43" i="54"/>
  <c r="I43" i="54" s="1"/>
  <c r="G43" i="54"/>
  <c r="J42" i="54"/>
  <c r="K42" i="54" s="1"/>
  <c r="H42" i="54"/>
  <c r="I42" i="54" s="1"/>
  <c r="G42" i="54"/>
  <c r="K41" i="54"/>
  <c r="J41" i="54"/>
  <c r="G41" i="54"/>
  <c r="H41" i="54" s="1"/>
  <c r="I41" i="54" s="1"/>
  <c r="K40" i="54"/>
  <c r="J40" i="54"/>
  <c r="H40" i="54"/>
  <c r="I40" i="54" s="1"/>
  <c r="G40" i="54"/>
  <c r="J39" i="54"/>
  <c r="K39" i="54" s="1"/>
  <c r="I39" i="54"/>
  <c r="G39" i="54"/>
  <c r="H39" i="54" s="1"/>
  <c r="J38" i="54"/>
  <c r="K38" i="54" s="1"/>
  <c r="I38" i="54"/>
  <c r="H38" i="54"/>
  <c r="G38" i="54"/>
  <c r="K37" i="54"/>
  <c r="J37" i="54"/>
  <c r="H37" i="54"/>
  <c r="I37" i="54" s="1"/>
  <c r="G37" i="54"/>
  <c r="J36" i="54"/>
  <c r="K36" i="54" s="1"/>
  <c r="H36" i="54"/>
  <c r="I36" i="54" s="1"/>
  <c r="G36" i="54"/>
  <c r="K35" i="54"/>
  <c r="J35" i="54"/>
  <c r="G35" i="54"/>
  <c r="H35" i="54" s="1"/>
  <c r="I35" i="54" s="1"/>
  <c r="K34" i="54"/>
  <c r="J34" i="54"/>
  <c r="H34" i="54"/>
  <c r="I34" i="54" s="1"/>
  <c r="G34" i="54"/>
  <c r="J33" i="54"/>
  <c r="K33" i="54" s="1"/>
  <c r="I33" i="54"/>
  <c r="G33" i="54"/>
  <c r="H33" i="54" s="1"/>
  <c r="J32" i="54"/>
  <c r="K32" i="54" s="1"/>
  <c r="I32" i="54"/>
  <c r="H32" i="54"/>
  <c r="G32" i="54"/>
  <c r="K31" i="54"/>
  <c r="J31" i="54"/>
  <c r="H31" i="54"/>
  <c r="I31" i="54" s="1"/>
  <c r="G31" i="54"/>
  <c r="J30" i="54"/>
  <c r="K30" i="54" s="1"/>
  <c r="H30" i="54"/>
  <c r="I30" i="54" s="1"/>
  <c r="G30" i="54"/>
  <c r="K29" i="54"/>
  <c r="J29" i="54"/>
  <c r="G29" i="54"/>
  <c r="H29" i="54" s="1"/>
  <c r="I29" i="54" s="1"/>
  <c r="K28" i="54"/>
  <c r="J28" i="54"/>
  <c r="H28" i="54"/>
  <c r="I28" i="54" s="1"/>
  <c r="G28" i="54"/>
  <c r="J27" i="54"/>
  <c r="K27" i="54" s="1"/>
  <c r="I27" i="54"/>
  <c r="G27" i="54"/>
  <c r="H27" i="54" s="1"/>
  <c r="J26" i="54"/>
  <c r="K26" i="54" s="1"/>
  <c r="I26" i="54"/>
  <c r="H26" i="54"/>
  <c r="G26" i="54"/>
  <c r="K25" i="54"/>
  <c r="J25" i="54"/>
  <c r="H25" i="54"/>
  <c r="I25" i="54" s="1"/>
  <c r="G25" i="54"/>
  <c r="J24" i="54"/>
  <c r="K24" i="54" s="1"/>
  <c r="H24" i="54"/>
  <c r="I24" i="54" s="1"/>
  <c r="G24" i="54"/>
  <c r="K23" i="54"/>
  <c r="J23" i="54"/>
  <c r="G23" i="54"/>
  <c r="H23" i="54" s="1"/>
  <c r="I23" i="54" s="1"/>
  <c r="K22" i="54"/>
  <c r="J22" i="54"/>
  <c r="H22" i="54"/>
  <c r="I22" i="54" s="1"/>
  <c r="G22" i="54"/>
  <c r="J21" i="54"/>
  <c r="K21" i="54" s="1"/>
  <c r="I21" i="54"/>
  <c r="G21" i="54"/>
  <c r="H21" i="54" s="1"/>
  <c r="J20" i="54"/>
  <c r="K20" i="54" s="1"/>
  <c r="I20" i="54"/>
  <c r="H20" i="54"/>
  <c r="G20" i="54"/>
  <c r="K19" i="54"/>
  <c r="J19" i="54"/>
  <c r="H19" i="54"/>
  <c r="I19" i="54" s="1"/>
  <c r="G19" i="54"/>
  <c r="J18" i="54"/>
  <c r="K18" i="54" s="1"/>
  <c r="H18" i="54"/>
  <c r="I18" i="54" s="1"/>
  <c r="G18" i="54"/>
  <c r="K17" i="54"/>
  <c r="J17" i="54"/>
  <c r="G17" i="54"/>
  <c r="H17" i="54" s="1"/>
  <c r="I17" i="54" s="1"/>
  <c r="K16" i="54"/>
  <c r="J16" i="54"/>
  <c r="H16" i="54"/>
  <c r="I16" i="54" s="1"/>
  <c r="G16" i="54"/>
  <c r="J15" i="54"/>
  <c r="K15" i="54" s="1"/>
  <c r="I15" i="54"/>
  <c r="G15" i="54"/>
  <c r="H15" i="54" s="1"/>
  <c r="J14" i="54"/>
  <c r="K14" i="54" s="1"/>
  <c r="I14" i="54"/>
  <c r="H14" i="54"/>
  <c r="G14" i="54"/>
  <c r="K13" i="54"/>
  <c r="J13" i="54"/>
  <c r="H13" i="54"/>
  <c r="I13" i="54" s="1"/>
  <c r="G13" i="54"/>
  <c r="J12" i="54"/>
  <c r="K12" i="54" s="1"/>
  <c r="H12" i="54"/>
  <c r="I12" i="54" s="1"/>
  <c r="G12" i="54"/>
  <c r="K11" i="54"/>
  <c r="J11" i="54"/>
  <c r="G11" i="54"/>
  <c r="H11" i="54" s="1"/>
  <c r="I11" i="54" s="1"/>
  <c r="K10" i="54"/>
  <c r="J10" i="54"/>
  <c r="H10" i="54"/>
  <c r="I10" i="54" s="1"/>
  <c r="G10" i="54"/>
  <c r="J9" i="54"/>
  <c r="K9" i="54" s="1"/>
  <c r="I9" i="54"/>
  <c r="G9" i="54"/>
  <c r="H9" i="54" s="1"/>
  <c r="J8" i="54"/>
  <c r="K8" i="54" s="1"/>
  <c r="I8" i="54"/>
  <c r="H8" i="54"/>
  <c r="G8" i="54"/>
  <c r="K7" i="54"/>
  <c r="J7" i="54"/>
  <c r="H7" i="54"/>
  <c r="I7" i="54" s="1"/>
  <c r="G7" i="54"/>
  <c r="J6" i="54"/>
  <c r="K6" i="54" s="1"/>
  <c r="H6" i="54"/>
  <c r="I6" i="54" s="1"/>
  <c r="G6" i="54"/>
  <c r="K5" i="54"/>
  <c r="J5" i="54"/>
  <c r="G5" i="54"/>
  <c r="H5" i="54" s="1"/>
  <c r="I5" i="54" s="1"/>
  <c r="K4" i="54"/>
  <c r="J4" i="54"/>
  <c r="H4" i="54"/>
  <c r="I4" i="54" s="1"/>
  <c r="G4" i="54"/>
  <c r="J3" i="54"/>
  <c r="K3" i="54" s="1"/>
  <c r="I3" i="54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49" i="54"/>
  <c r="H149" i="54"/>
  <c r="I49" i="54"/>
  <c r="I149" i="54" s="1"/>
  <c r="K49" i="54"/>
  <c r="K149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<sst xmlns="http://schemas.openxmlformats.org/spreadsheetml/2006/main" count="9205" uniqueCount="3391">
  <si>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</si>
  <si>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</si>
  <si>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</si>
  <si>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</si>
  <si>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</si>
  <si>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</si>
  <si>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</si>
  <si>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</si>
  <si>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</si>
  <si>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</si>
  <si>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</si>
  <si>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</si>
  <si>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</si>
  <si>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</si>
  <si>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</si>
  <si>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</si>
  <si>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</si>
  <si>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</si>
  <si>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</si>
  <si>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</si>
  <si>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</si>
  <si>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</si>
  <si>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</si>
  <si>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</si>
  <si>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</si>
  <si>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</si>
  <si>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</si>
  <si>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</si>
  <si>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</si>
  <si>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</si>
  <si>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</si>
  <si>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</si>
  <si>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</si>
  <si>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</si>
  <si>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</si>
  <si>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</si>
  <si>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</si>
  <si>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</si>
  <si>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</si>
  <si>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</si>
  <si>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</si>
  <si>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</si>
  <si>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</si>
  <si>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</si>
  <si>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</si>
  <si>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</si>
  <si>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</si>
  <si>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</si>
  <si>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</si>
  <si>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</si>
  <si>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</si>
  <si>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</si>
  <si>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</si>
  <si>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</si>
  <si>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</si>
  <si>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</si>
  <si>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</si>
  <si>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</si>
  <si>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</si>
  <si>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</si>
  <si>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</si>
  <si>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</si>
  <si>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</si>
  <si>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</si>
  <si>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</si>
  <si>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</si>
  <si>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</si>
  <si>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</si>
  <si>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</si>
  <si>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</si>
  <si>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</si>
  <si>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</si>
  <si>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</si>
  <si>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</si>
  <si>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</si>
  <si>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</si>
  <si>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</si>
  <si>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</si>
  <si>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</si>
  <si>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</si>
  <si>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</si>
  <si>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</si>
  <si>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</si>
  <si>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</si>
  <si>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</si>
  <si>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</si>
  <si>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</si>
  <si>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</si>
  <si>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</si>
  <si>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</si>
  <si>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</si>
  <si>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</si>
  <si>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</si>
  <si>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</si>
  <si>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</si>
  <si>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</si>
  <si>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</si>
  <si>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</si>
  <si>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</si>
  <si>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</si>
  <si>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</si>
  <si>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</si>
  <si>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</si>
  <si>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</si>
  <si>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</si>
  <si>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</si>
  <si>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</si>
  <si>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</si>
  <si>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</si>
  <si>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</si>
  <si>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</si>
  <si>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</si>
  <si>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</si>
  <si>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</si>
  <si>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</si>
  <si>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</si>
  <si>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</si>
  <si>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</si>
  <si>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</si>
  <si>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</si>
  <si>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</si>
  <si>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</si>
  <si>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</si>
  <si>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</si>
  <si>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</si>
  <si>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</si>
  <si>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</si>
  <si>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</si>
  <si>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</si>
  <si>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</si>
  <si>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</si>
  <si>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</si>
  <si>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</si>
  <si>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</si>
  <si>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</si>
  <si>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</si>
  <si>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</si>
  <si>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</si>
  <si>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</si>
  <si>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</si>
  <si>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</si>
  <si>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</si>
  <si>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</si>
  <si>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</si>
  <si>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</si>
  <si>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</si>
  <si>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</si>
  <si>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</si>
  <si>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</si>
  <si>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</si>
  <si>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</si>
  <si>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</si>
  <si>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</si>
  <si>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</si>
  <si>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</si>
  <si>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</si>
  <si>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</si>
  <si>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</si>
  <si>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</si>
  <si>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</si>
  <si>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</si>
  <si>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</si>
  <si>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</si>
  <si>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</si>
  <si>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</si>
  <si>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</si>
  <si>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</si>
  <si>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</si>
  <si>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</si>
  <si>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</si>
  <si>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</si>
  <si>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</si>
  <si>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</si>
  <si>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</si>
  <si>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</si>
  <si>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</si>
  <si>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</si>
  <si>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</si>
  <si>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</si>
  <si>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</si>
  <si>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</si>
  <si>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</si>
  <si>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</si>
  <si>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</si>
  <si>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</si>
  <si>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</si>
  <si>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</si>
  <si>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</si>
  <si>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</si>
  <si>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</si>
  <si>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</si>
  <si>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</si>
  <si>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</si>
  <si>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</si>
  <si>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</si>
  <si>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</si>
  <si>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</si>
  <si>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</si>
  <si>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</si>
  <si>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</si>
  <si>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</si>
  <si>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</si>
  <si>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</si>
  <si>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</si>
  <si>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</si>
  <si>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</si>
  <si>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</si>
  <si>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</si>
  <si>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</si>
  <si>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</si>
  <si>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</si>
  <si>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</si>
  <si>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</si>
  <si>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</si>
  <si>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</si>
  <si>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</si>
  <si>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</si>
  <si>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</si>
  <si>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</si>
  <si>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</si>
  <si>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</si>
  <si>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</si>
  <si>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</si>
  <si>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</si>
  <si>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</si>
  <si>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</si>
  <si>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</si>
  <si>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</si>
  <si>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</si>
  <si>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</si>
  <si>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</si>
  <si>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</si>
  <si>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</si>
  <si>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</si>
  <si>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</si>
  <si>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</si>
  <si>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</si>
  <si>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</si>
  <si>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</si>
  <si>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</si>
  <si>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</si>
  <si>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</si>
  <si>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</si>
  <si>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</si>
  <si>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</si>
  <si>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</si>
  <si>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</si>
  <si>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</si>
  <si>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</si>
  <si>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</si>
  <si>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</si>
  <si>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</si>
  <si>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</si>
  <si>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</si>
  <si>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</si>
  <si>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</si>
  <si>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</si>
  <si>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</si>
  <si>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</si>
  <si>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</si>
  <si>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</si>
  <si>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</si>
  <si>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</si>
  <si>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</si>
  <si>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</si>
  <si>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</si>
  <si>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</si>
  <si>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</si>
  <si>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</si>
  <si>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</si>
  <si>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</si>
  <si>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</si>
  <si>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</si>
  <si>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</si>
  <si>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</si>
  <si>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</si>
  <si>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</si>
  <si>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</si>
  <si>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</si>
  <si>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</si>
  <si>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</si>
  <si>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</si>
  <si>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</si>
  <si>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</si>
  <si>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</si>
  <si>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</si>
  <si>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</si>
  <si>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</si>
  <si>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</si>
  <si>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</si>
  <si>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</si>
  <si>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</si>
  <si>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</si>
  <si>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</si>
  <si>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</si>
  <si>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</si>
  <si>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</si>
  <si>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</si>
  <si>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</si>
  <si>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</si>
  <si>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</si>
  <si>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</si>
  <si>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</si>
  <si>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</si>
  <si>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</si>
  <si>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</si>
  <si>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</si>
  <si>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</si>
  <si>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</si>
  <si>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</si>
  <si>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</si>
  <si>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</si>
  <si>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</si>
  <si>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</si>
  <si>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</si>
  <si>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</si>
  <si>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</si>
  <si>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</si>
  <si>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</si>
  <si>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</si>
  <si>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</si>
  <si>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</si>
  <si>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</si>
  <si>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</si>
  <si>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</si>
  <si>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</si>
  <si>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</si>
  <si>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</si>
  <si>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</si>
  <si>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</si>
  <si>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</si>
  <si>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</si>
  <si>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</si>
  <si>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</si>
  <si>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</si>
  <si>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</si>
  <si>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</si>
  <si>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</si>
  <si>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</si>
  <si>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</si>
  <si>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</si>
  <si>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</si>
  <si>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</si>
  <si>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</si>
  <si>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</si>
  <si>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</si>
  <si>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</si>
  <si>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</si>
  <si>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</si>
  <si>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</si>
  <si>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</si>
  <si>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</si>
  <si>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</si>
  <si>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</si>
  <si>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</si>
  <si>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</si>
  <si>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</si>
  <si>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</si>
  <si>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</si>
  <si>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</si>
  <si>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</si>
  <si>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</si>
  <si>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</si>
  <si>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</si>
  <si>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</si>
  <si>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</si>
  <si>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</si>
  <si>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</si>
  <si>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</si>
  <si>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</si>
  <si>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</si>
  <si>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</si>
  <si>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</si>
  <si>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</si>
  <si>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</si>
  <si>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</si>
  <si>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</si>
  <si>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</si>
  <si>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</si>
  <si>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</si>
  <si>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</si>
  <si>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</si>
  <si>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</si>
  <si>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</si>
  <si>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</si>
  <si>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</si>
  <si>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</si>
  <si>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</si>
  <si>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</si>
  <si>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</si>
  <si>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</si>
  <si>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</si>
  <si>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</si>
  <si>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</si>
  <si>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</si>
  <si>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</si>
  <si>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</si>
  <si>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</si>
  <si>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</si>
  <si>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</si>
  <si>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</si>
  <si>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</si>
  <si>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</si>
  <si>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</si>
  <si>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</si>
  <si>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</si>
  <si>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</si>
  <si>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</si>
  <si>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</si>
  <si>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</si>
  <si>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</si>
  <si>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</si>
  <si>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</si>
  <si>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</si>
  <si>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</si>
  <si>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</si>
  <si>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</si>
  <si>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</si>
  <si>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</si>
  <si>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</si>
  <si>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</si>
  <si>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</si>
  <si>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</si>
  <si>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</si>
  <si>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</si>
  <si>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</si>
  <si>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</si>
  <si>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</si>
  <si>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</si>
  <si>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</si>
  <si>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</si>
  <si>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</si>
  <si>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</si>
  <si>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</si>
  <si>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</si>
  <si>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</si>
  <si>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</si>
  <si>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</si>
  <si>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</si>
  <si>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</si>
  <si>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</si>
  <si>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</si>
  <si>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</si>
  <si>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</si>
  <si>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</si>
  <si>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</si>
  <si>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</si>
  <si>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</si>
  <si>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</si>
  <si>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</si>
  <si>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</si>
  <si>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</si>
  <si>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</si>
  <si>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</si>
  <si>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</si>
  <si>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</si>
  <si>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</si>
  <si>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</si>
  <si>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</si>
  <si>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</si>
  <si>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</si>
  <si>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</si>
  <si>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</si>
  <si>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</si>
  <si>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</si>
  <si>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</si>
  <si>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</si>
  <si>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</si>
  <si>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</si>
  <si>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</si>
  <si>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</si>
  <si>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</si>
  <si>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</si>
  <si>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</si>
  <si>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</si>
  <si>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</si>
  <si>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</si>
  <si>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</si>
  <si>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</si>
  <si>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</si>
  <si>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</si>
  <si>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</si>
  <si>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</si>
  <si>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</si>
  <si>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</si>
  <si>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</si>
  <si>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</si>
  <si>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</si>
  <si>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</si>
  <si>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</si>
  <si>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</si>
  <si>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</si>
  <si>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</si>
  <si>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</si>
  <si>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</si>
  <si>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</si>
  <si>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</si>
  <si>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</si>
  <si>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</si>
  <si>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</si>
  <si>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</si>
  <si>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</si>
  <si>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</si>
  <si>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</si>
  <si>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</si>
  <si>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</si>
  <si>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</si>
  <si>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</si>
  <si>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</si>
  <si>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</si>
  <si>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</si>
  <si>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</si>
  <si>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</si>
  <si>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</si>
  <si>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</si>
  <si>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</si>
  <si>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</si>
  <si>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</si>
  <si>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</si>
  <si>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</si>
  <si>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</si>
  <si>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</si>
  <si>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</si>
  <si>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</si>
  <si>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</si>
  <si>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</si>
  <si>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</si>
  <si>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</si>
  <si>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</si>
  <si>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</si>
  <si>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</si>
  <si>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</si>
  <si>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</si>
  <si>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</si>
  <si>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</si>
  <si>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</si>
  <si>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</si>
  <si>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</si>
  <si>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</si>
  <si>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</si>
  <si>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</si>
  <si>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</si>
  <si>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</si>
  <si>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</si>
  <si>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</si>
  <si>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</si>
  <si>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</si>
  <si>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</si>
  <si>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</si>
  <si>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</si>
  <si>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</si>
  <si>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</si>
  <si>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</si>
  <si>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</si>
  <si>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</si>
  <si>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</si>
  <si>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</si>
  <si>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</si>
  <si>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</si>
  <si>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</si>
  <si>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</si>
  <si>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</si>
  <si>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</si>
  <si>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</si>
  <si>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</si>
  <si>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</si>
  <si>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</si>
  <si>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</si>
  <si>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</si>
  <si>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</si>
  <si>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</si>
  <si>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</si>
  <si>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</si>
  <si>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</si>
  <si>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</si>
  <si>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</si>
  <si>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</si>
  <si>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</si>
  <si>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</si>
  <si>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</si>
  <si>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</si>
  <si>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</si>
  <si>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</si>
  <si>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</si>
  <si>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</si>
  <si>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</si>
  <si>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</si>
  <si>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</si>
  <si>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</si>
  <si>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</si>
  <si>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</si>
  <si>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</si>
  <si>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</si>
  <si>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</si>
  <si>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</si>
  <si>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</si>
  <si>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</si>
  <si>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</si>
  <si>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</si>
  <si>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</si>
  <si>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</si>
  <si>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</si>
  <si>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</si>
  <si>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</si>
  <si>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</si>
  <si>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</si>
  <si>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</si>
  <si>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</si>
  <si>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</si>
  <si>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</si>
  <si>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</si>
  <si>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</si>
  <si>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</si>
  <si>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</si>
  <si>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</si>
  <si>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</si>
  <si>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</si>
  <si>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</si>
  <si>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</si>
  <si>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</si>
  <si>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</si>
  <si>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</si>
  <si>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</si>
  <si>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</si>
  <si>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</si>
  <si>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</si>
  <si>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</si>
  <si>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</si>
  <si>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</si>
  <si>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</si>
  <si>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</si>
  <si>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</si>
  <si>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</si>
  <si>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</si>
  <si>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</si>
  <si>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</si>
  <si>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</si>
  <si>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</si>
  <si>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</si>
  <si>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</si>
  <si>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</si>
  <si>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</si>
  <si>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</si>
  <si>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</si>
  <si>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</si>
  <si>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</si>
  <si>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</si>
  <si>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</si>
  <si>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</si>
  <si>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</si>
  <si>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</si>
  <si>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</si>
  <si>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</si>
  <si>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</si>
  <si>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</si>
  <si>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</si>
  <si>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</si>
  <si>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</si>
  <si>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</si>
  <si>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</si>
  <si>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</si>
  <si>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</si>
  <si>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</si>
  <si>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</si>
  <si>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</si>
  <si>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</si>
  <si>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</si>
  <si>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</si>
  <si>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</si>
  <si>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</si>
  <si>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</si>
  <si>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</si>
  <si>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</si>
  <si>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</si>
  <si>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</si>
  <si>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</si>
  <si>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</si>
  <si>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</si>
  <si>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</si>
  <si>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</si>
  <si>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</si>
  <si>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</si>
  <si>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</si>
  <si>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</si>
  <si>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</si>
  <si>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</si>
  <si>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</si>
  <si>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</si>
  <si>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</si>
  <si>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</si>
  <si>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</si>
  <si>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</si>
  <si>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</si>
  <si>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</si>
  <si>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</si>
  <si>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</si>
  <si>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</si>
  <si>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</si>
  <si>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</si>
  <si>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</si>
  <si>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</si>
  <si>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</si>
  <si>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</si>
  <si>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</si>
  <si>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</si>
  <si>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</si>
  <si>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</si>
  <si>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</si>
  <si>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</si>
  <si>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</si>
  <si>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</si>
  <si>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</si>
  <si>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</si>
  <si>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</si>
  <si>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</si>
  <si>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</si>
  <si>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</si>
  <si>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</si>
  <si>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</si>
  <si>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</si>
  <si>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</si>
  <si>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</si>
  <si>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</si>
  <si>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</si>
  <si>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</si>
  <si>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</si>
  <si>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</si>
  <si>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</si>
  <si>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</si>
  <si>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</si>
  <si>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</si>
  <si>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</si>
  <si>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</si>
  <si>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</si>
  <si>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</si>
  <si>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</si>
  <si>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</si>
  <si>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</si>
  <si>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</si>
  <si>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</si>
  <si>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</si>
  <si>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</si>
  <si>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</si>
  <si>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</si>
  <si>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</si>
  <si>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</si>
  <si>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</si>
  <si>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</si>
  <si>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</si>
  <si>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</si>
  <si>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</si>
  <si>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</si>
  <si>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</si>
  <si>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</si>
  <si>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</si>
  <si>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</si>
  <si>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</si>
  <si>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</si>
  <si>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</si>
  <si>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</si>
  <si>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</si>
  <si>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</si>
  <si>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</si>
  <si>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</si>
  <si>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</si>
  <si>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</si>
  <si>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</si>
  <si>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</si>
  <si>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</si>
  <si>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</si>
  <si>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</si>
  <si>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</si>
  <si>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</si>
  <si>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</si>
  <si>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</si>
  <si>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</si>
  <si>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</si>
  <si>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</si>
  <si>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</si>
  <si>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</si>
  <si>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</si>
  <si>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</si>
  <si>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</si>
  <si>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</si>
  <si>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</si>
  <si>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</si>
  <si>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</si>
  <si>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</si>
  <si>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</si>
  <si>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</si>
  <si>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</si>
  <si>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</si>
  <si>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</si>
  <si>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</si>
  <si>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</si>
  <si>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</si>
  <si>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</si>
  <si>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</si>
  <si>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</si>
  <si>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</si>
  <si>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</si>
  <si>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</si>
  <si>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</si>
  <si>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</si>
  <si>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</si>
  <si>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</si>
  <si>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</si>
  <si>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</si>
  <si>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</si>
  <si>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</si>
  <si>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</si>
  <si>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</si>
  <si>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</si>
  <si>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</si>
  <si>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</si>
  <si>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</si>
  <si>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</si>
  <si>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</si>
  <si>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</si>
  <si>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</si>
  <si>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</si>
  <si>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</si>
  <si>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</si>
  <si>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</si>
  <si>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</si>
  <si>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</si>
  <si>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</si>
  <si>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</si>
  <si>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</si>
  <si>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</si>
  <si>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</si>
  <si>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</si>
  <si>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</si>
  <si>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</si>
  <si>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</si>
  <si>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</si>
  <si>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</si>
  <si>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</si>
  <si>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</si>
  <si>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</si>
  <si>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</si>
  <si>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</si>
  <si>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</si>
  <si>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</si>
  <si>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</si>
  <si>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</si>
  <si>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</si>
  <si>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</si>
  <si>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</si>
  <si>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</si>
  <si>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</si>
  <si>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</si>
  <si>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</si>
  <si>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</si>
  <si>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</si>
  <si>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</si>
  <si>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</si>
  <si>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</si>
  <si>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</si>
  <si>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</si>
  <si>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</si>
  <si>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</si>
  <si>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</si>
  <si>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</si>
  <si>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</si>
  <si>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</si>
  <si>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</si>
  <si>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</si>
  <si>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</si>
  <si>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</si>
  <si>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</si>
  <si>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</si>
  <si>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</si>
  <si>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</si>
  <si>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</si>
  <si>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</si>
  <si>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</si>
  <si>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</si>
  <si>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</si>
  <si>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</si>
  <si>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</si>
  <si>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</si>
  <si>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</si>
  <si>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</si>
  <si>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</si>
  <si>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</si>
  <si>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</si>
  <si>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</si>
  <si>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</si>
  <si>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</si>
  <si>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</si>
  <si>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</si>
  <si>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</si>
  <si>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</si>
  <si>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</si>
  <si>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</si>
  <si>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</si>
  <si>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</si>
  <si>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</si>
  <si>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</si>
  <si>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</si>
  <si>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</si>
  <si>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</si>
  <si>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</si>
  <si>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</si>
  <si>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</si>
  <si>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</si>
  <si>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</si>
  <si>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</si>
  <si>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</si>
  <si>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</si>
  <si>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</si>
  <si>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</si>
  <si>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</si>
  <si>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</si>
  <si>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</si>
  <si>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</si>
  <si>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</si>
  <si>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</si>
  <si>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</si>
  <si>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</si>
  <si>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</si>
  <si>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</si>
  <si>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</si>
  <si>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</si>
  <si>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</si>
  <si>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</si>
  <si>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</si>
  <si>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</si>
  <si>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</si>
  <si>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</si>
  <si>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</si>
  <si>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</si>
  <si>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</si>
  <si>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</si>
  <si>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</si>
  <si>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</si>
  <si>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</si>
  <si>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</si>
  <si>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</si>
  <si>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</si>
  <si>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</si>
  <si>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</si>
  <si>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</si>
  <si>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</si>
  <si>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</si>
  <si>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</si>
  <si>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</si>
  <si>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</si>
  <si>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</si>
  <si>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</si>
  <si>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</si>
  <si>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</si>
  <si>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</si>
  <si>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</si>
  <si>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</si>
  <si>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</si>
  <si>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</si>
  <si>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</si>
  <si>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</si>
  <si>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</si>
  <si>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</si>
  <si>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</si>
  <si>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</si>
  <si>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</si>
  <si>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</si>
  <si>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</si>
  <si>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</si>
  <si>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</si>
  <si>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</si>
  <si>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</si>
  <si>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</si>
  <si>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</si>
  <si>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</si>
  <si>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</si>
  <si>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</si>
  <si>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</si>
  <si>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</si>
  <si>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</si>
  <si>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</si>
  <si>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</si>
  <si>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</si>
  <si>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</si>
  <si>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</si>
  <si>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</si>
  <si>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</si>
  <si>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</si>
  <si>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</si>
  <si>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</si>
  <si>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</si>
  <si>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</si>
  <si>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</si>
  <si>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</si>
  <si>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</si>
  <si>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</si>
  <si>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</si>
  <si>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</si>
  <si>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</si>
  <si>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</si>
  <si>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</si>
  <si>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</si>
  <si>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</si>
  <si>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</si>
  <si>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</si>
  <si>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</si>
  <si>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</si>
  <si>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</si>
  <si>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</si>
  <si>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</si>
  <si>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</si>
  <si>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</si>
  <si>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</si>
  <si>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</si>
  <si>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</si>
  <si>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</si>
  <si>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</si>
  <si>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</si>
  <si>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</si>
  <si>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</si>
  <si>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</si>
  <si>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</si>
  <si>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</si>
  <si>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</si>
  <si>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</si>
  <si>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</si>
  <si>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</si>
  <si>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</si>
  <si>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</si>
  <si>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</si>
  <si>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</si>
  <si>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</si>
  <si>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</si>
  <si>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</si>
  <si>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</si>
  <si>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</si>
  <si>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</si>
  <si>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</si>
  <si>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</si>
  <si>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</si>
  <si>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</si>
  <si>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</si>
  <si>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</si>
  <si>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</si>
  <si>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</si>
  <si>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</si>
  <si>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</si>
  <si>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</si>
  <si>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</si>
  <si>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</si>
  <si>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</si>
  <si>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</si>
  <si>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</si>
  <si>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</si>
  <si>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</si>
  <si>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</si>
  <si>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</si>
  <si>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</si>
  <si>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</si>
  <si>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</si>
  <si>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</si>
  <si>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</si>
  <si>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</si>
  <si>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</si>
  <si>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</si>
  <si>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</si>
  <si>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</si>
  <si>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</si>
  <si>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</si>
  <si>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</si>
  <si>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</si>
  <si>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</si>
  <si>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</si>
  <si>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</si>
  <si>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</si>
  <si>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</si>
  <si>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</si>
  <si>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</si>
  <si>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</si>
  <si>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</si>
  <si>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</si>
  <si>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</si>
  <si>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</si>
  <si>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</si>
  <si>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</si>
  <si>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</si>
  <si>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</si>
  <si>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</si>
  <si>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</si>
  <si>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</si>
  <si>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</si>
  <si>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</si>
  <si>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</si>
  <si>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</si>
  <si>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</si>
  <si>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</si>
  <si>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</si>
  <si>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</si>
  <si>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</si>
  <si>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</si>
  <si>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</si>
  <si>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</si>
  <si>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</si>
  <si>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</si>
  <si>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</si>
  <si>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</si>
  <si>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</si>
  <si>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</si>
  <si>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</si>
  <si>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</si>
  <si>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</si>
  <si>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</si>
  <si>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</si>
  <si>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</si>
  <si>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</si>
  <si>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</si>
  <si>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</si>
  <si>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</si>
  <si>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</si>
  <si>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</si>
  <si>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</si>
  <si>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</si>
  <si>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</si>
  <si>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</si>
  <si>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</si>
  <si>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</si>
  <si>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</si>
  <si>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</si>
  <si>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</si>
  <si>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</si>
  <si>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</si>
  <si>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</si>
  <si>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</si>
  <si>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</si>
  <si>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</si>
  <si>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</si>
  <si>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</si>
  <si>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</si>
  <si>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</si>
  <si>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</si>
  <si>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</si>
  <si>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</si>
  <si>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</si>
  <si>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</si>
  <si>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</si>
  <si>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</si>
  <si>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</si>
  <si>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</si>
  <si>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</si>
  <si>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</si>
  <si>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</si>
  <si>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</si>
  <si>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</si>
  <si>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</si>
  <si>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</si>
  <si>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</si>
  <si>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</si>
  <si>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</si>
  <si>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</si>
  <si>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</si>
  <si>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</si>
  <si>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</si>
  <si>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</si>
  <si>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</si>
  <si>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</si>
  <si>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</si>
  <si>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</si>
  <si>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</si>
  <si>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</si>
  <si>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</si>
  <si>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</si>
  <si>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</si>
  <si>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</si>
  <si>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</si>
  <si>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</si>
  <si>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</si>
  <si>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</si>
  <si>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</si>
  <si>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</si>
  <si>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</si>
  <si>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</si>
  <si>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</si>
  <si>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</si>
  <si>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</si>
  <si>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</si>
  <si>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</si>
  <si>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</si>
  <si>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</si>
  <si>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</si>
  <si>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</si>
  <si>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</si>
  <si>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</si>
  <si>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</si>
  <si>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</si>
  <si>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</si>
  <si>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</si>
  <si>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</si>
  <si>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</si>
  <si>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</si>
  <si>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</si>
  <si>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</si>
  <si>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</si>
  <si>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</si>
  <si>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</si>
  <si>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</si>
  <si>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</si>
  <si>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</si>
  <si>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</si>
  <si>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</si>
  <si>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</si>
  <si>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</si>
  <si>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</si>
  <si>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</si>
  <si>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</si>
  <si>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</si>
  <si>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</si>
  <si>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</si>
  <si>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</si>
  <si>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</si>
  <si>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</si>
  <si>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</si>
  <si>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</si>
  <si>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</si>
  <si>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</si>
  <si>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</si>
  <si>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</si>
  <si>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</si>
  <si>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</si>
  <si>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</si>
  <si>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</si>
  <si>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</si>
  <si>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</si>
  <si>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</si>
  <si>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</si>
  <si>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</si>
  <si>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</si>
  <si>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</si>
  <si>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</si>
  <si>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</si>
  <si>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</si>
  <si>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</si>
  <si>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</si>
  <si>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</si>
  <si>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</si>
  <si>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</si>
  <si>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</si>
  <si>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</si>
  <si>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</si>
  <si>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</si>
  <si>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</si>
  <si>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</si>
  <si>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</si>
  <si>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</si>
  <si>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</si>
  <si>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</si>
  <si>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</si>
  <si>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</si>
  <si>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</si>
  <si>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</si>
  <si>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</si>
  <si>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</si>
  <si>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</si>
  <si>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</si>
  <si>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</si>
  <si>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</si>
  <si>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</si>
  <si>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</si>
  <si>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</si>
  <si>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</si>
  <si>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</si>
  <si>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</si>
  <si>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</si>
  <si>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</si>
  <si>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</si>
  <si>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</si>
  <si>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</si>
  <si>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</si>
  <si>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</si>
  <si>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</si>
  <si>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</si>
  <si>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</si>
  <si>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</si>
  <si>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</si>
  <si>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</si>
  <si>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</si>
  <si>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</si>
  <si>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</si>
  <si>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</si>
  <si>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</si>
  <si>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</si>
  <si>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</si>
  <si>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</si>
  <si>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</si>
  <si>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</si>
  <si>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</si>
  <si>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</si>
  <si>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</si>
  <si>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</si>
  <si>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</si>
  <si>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</si>
  <si>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</si>
  <si>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</si>
  <si>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</si>
  <si>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</si>
  <si>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</si>
  <si>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</si>
  <si>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</si>
  <si>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</si>
  <si>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</si>
  <si>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</si>
  <si>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</si>
  <si>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</si>
  <si>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</si>
  <si>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</si>
  <si>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</si>
  <si>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</si>
  <si>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</si>
  <si>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</si>
  <si>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</si>
  <si>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</si>
  <si>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</si>
  <si>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</si>
  <si>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</si>
  <si>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</si>
  <si>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</si>
  <si>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</si>
  <si>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</si>
  <si>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</si>
  <si>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</si>
  <si>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</si>
  <si>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</si>
  <si>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</si>
  <si>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</si>
  <si>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</si>
  <si>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</si>
  <si>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</si>
  <si>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</si>
  <si>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</si>
  <si>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</si>
  <si>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</si>
  <si>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</si>
  <si>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</si>
  <si>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</si>
  <si>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</si>
  <si>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</si>
  <si>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</si>
  <si>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</si>
  <si>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</si>
  <si>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</si>
  <si>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</si>
  <si>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</si>
  <si>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</si>
  <si>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</si>
  <si>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</si>
  <si>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</si>
  <si>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</si>
  <si>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</si>
  <si>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</si>
  <si>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</si>
  <si>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</si>
  <si>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</si>
  <si>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</si>
  <si>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</si>
  <si>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</si>
  <si>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</si>
  <si>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</si>
  <si>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</si>
  <si>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</si>
  <si>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</si>
  <si>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</si>
  <si>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</si>
  <si>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</si>
  <si>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</si>
  <si>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</si>
  <si>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</si>
  <si>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</si>
  <si>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</si>
  <si>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</si>
  <si>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</si>
  <si>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</si>
  <si>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</si>
  <si>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</si>
  <si>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</si>
  <si>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</si>
  <si>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</si>
  <si>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</si>
  <si>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</si>
  <si>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</si>
  <si>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</si>
  <si>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</si>
  <si>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</si>
  <si>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</si>
  <si>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</si>
  <si>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</si>
  <si>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</si>
  <si>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</si>
  <si>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</si>
  <si>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</si>
  <si>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</si>
  <si>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</si>
  <si>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</si>
  <si>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</si>
  <si>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</si>
  <si>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</si>
  <si>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</si>
  <si>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</si>
  <si>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</si>
  <si>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</si>
  <si>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</si>
  <si>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</si>
  <si>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</si>
  <si>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</si>
  <si>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</si>
  <si>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</si>
  <si>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</si>
  <si>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</si>
  <si>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</si>
  <si>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</si>
  <si>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</si>
  <si>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</si>
  <si>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</si>
  <si>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</si>
  <si>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</si>
  <si>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</si>
  <si>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</si>
  <si>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</si>
  <si>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</si>
  <si>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</si>
  <si>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</si>
  <si>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</si>
  <si>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</si>
  <si>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</si>
  <si>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</si>
  <si>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</si>
  <si>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</si>
  <si>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</si>
  <si>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</si>
  <si>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</si>
  <si>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</si>
  <si>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</si>
  <si>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</si>
  <si>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</si>
  <si>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</si>
  <si>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</si>
  <si>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</si>
  <si>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</si>
  <si>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</si>
  <si>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</si>
  <si>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</si>
  <si>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</si>
  <si>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</si>
  <si>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</si>
  <si>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</si>
  <si>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</si>
  <si>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</si>
  <si>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</si>
  <si>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</si>
  <si>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</si>
  <si>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</si>
  <si>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</si>
  <si>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</si>
  <si>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</si>
  <si>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</si>
  <si>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</si>
  <si>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</si>
  <si>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</si>
  <si>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</si>
  <si>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</si>
  <si>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</si>
  <si>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</si>
  <si>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</si>
  <si>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</si>
  <si>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</si>
  <si>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</si>
  <si>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</si>
  <si>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</si>
  <si>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</si>
  <si>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</si>
  <si>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</si>
  <si>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</si>
  <si>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</si>
  <si>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</si>
  <si>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</si>
  <si>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</si>
  <si>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</si>
  <si>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</si>
  <si>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</si>
  <si>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</si>
  <si>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</si>
  <si>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</si>
  <si>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</si>
  <si>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</si>
  <si>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</si>
  <si>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</si>
  <si>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</si>
  <si>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</si>
  <si>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</si>
  <si>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</si>
  <si>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</si>
  <si>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</si>
  <si>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</si>
  <si>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</si>
  <si>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</si>
  <si>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</si>
  <si>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</si>
  <si>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</si>
  <si>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</si>
  <si>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</si>
  <si>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</si>
  <si>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</si>
  <si>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</si>
  <si>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</si>
  <si>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</si>
  <si>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</si>
  <si>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</si>
  <si>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</si>
  <si>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</si>
  <si>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</si>
  <si>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</si>
  <si>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</si>
  <si>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</si>
  <si>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</si>
  <si>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</si>
  <si>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</si>
  <si>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</si>
  <si>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</si>
  <si>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</si>
  <si>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</si>
  <si>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</si>
  <si>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</si>
  <si>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</si>
  <si>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</si>
  <si>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</si>
  <si>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</si>
  <si>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</si>
  <si>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</si>
  <si>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</si>
  <si>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</si>
  <si>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</si>
  <si>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</si>
  <si>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</si>
  <si>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</si>
  <si>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</si>
  <si>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</si>
  <si>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</si>
  <si>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</si>
  <si>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</si>
  <si>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</si>
  <si>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</si>
  <si>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</si>
  <si>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</si>
  <si>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</si>
  <si>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</si>
  <si>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</si>
  <si>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</si>
  <si>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</si>
  <si>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</si>
  <si>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</si>
  <si>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</si>
  <si>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</si>
  <si>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</si>
  <si>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</si>
  <si>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</si>
  <si>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</si>
  <si>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</si>
  <si>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</si>
  <si>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</si>
  <si>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</si>
  <si>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</si>
  <si>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</si>
  <si>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</si>
  <si>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</si>
  <si>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</si>
  <si>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</si>
  <si>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</si>
  <si>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</si>
  <si>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</si>
  <si>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</si>
  <si>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</si>
  <si>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</si>
  <si>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</si>
  <si>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</si>
  <si>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</si>
  <si>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</si>
  <si>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</si>
  <si>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</si>
  <si>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</si>
  <si>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</si>
  <si>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</si>
  <si>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</si>
  <si>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</si>
  <si>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</si>
  <si>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</si>
  <si>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</si>
  <si>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</si>
  <si>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</si>
  <si>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</si>
  <si>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</si>
  <si>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</si>
  <si>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</si>
  <si>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</si>
  <si>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</si>
  <si>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</si>
  <si>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</si>
  <si>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</si>
  <si>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</si>
  <si>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</si>
  <si>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</si>
  <si>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</si>
  <si>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</si>
  <si>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</si>
  <si>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</si>
  <si>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</si>
  <si>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</si>
  <si>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</si>
  <si>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</si>
  <si>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</si>
  <si>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</si>
  <si>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</si>
  <si>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</si>
  <si>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</si>
  <si>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</si>
  <si>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</si>
  <si>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</si>
  <si>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</si>
  <si>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</si>
  <si>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</si>
  <si>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</si>
  <si>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</si>
  <si>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</si>
  <si>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</si>
  <si>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</si>
  <si>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</si>
  <si>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</si>
  <si>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</si>
  <si>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</si>
  <si>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</si>
  <si>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</si>
  <si>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</si>
  <si>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</si>
  <si>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</si>
  <si>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</si>
  <si>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</si>
  <si>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</si>
  <si>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</si>
  <si>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</si>
  <si>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</si>
  <si>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</si>
  <si>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</si>
  <si>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</si>
  <si>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</si>
  <si>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</si>
  <si>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</si>
  <si>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</si>
  <si>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</si>
  <si>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</si>
  <si>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</si>
  <si>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</si>
  <si>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</si>
  <si>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</si>
  <si>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</si>
  <si>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</si>
  <si>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</si>
  <si>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</si>
  <si>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</si>
  <si>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</si>
  <si>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</si>
  <si>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</si>
  <si>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</si>
  <si>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</si>
  <si>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</si>
  <si>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</si>
  <si>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</si>
  <si>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</si>
  <si>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</si>
  <si>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</si>
  <si>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</si>
  <si>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</si>
  <si>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</si>
  <si>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</si>
  <si>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</si>
  <si>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</si>
  <si>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</si>
  <si>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</si>
  <si>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</si>
  <si>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</si>
  <si>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</si>
  <si>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</si>
  <si>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</si>
  <si>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</si>
  <si>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</si>
  <si>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</si>
  <si>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</si>
  <si>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</si>
  <si>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</si>
  <si>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</si>
  <si>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</si>
  <si>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</si>
  <si>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</si>
  <si>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</si>
  <si>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</si>
  <si>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</si>
  <si>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</si>
  <si>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</si>
  <si>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</si>
  <si>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</si>
  <si>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</si>
  <si>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</si>
  <si>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</si>
  <si>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</si>
  <si>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</si>
  <si>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</si>
  <si>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</si>
  <si>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</si>
  <si>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</si>
  <si>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</si>
  <si>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</si>
  <si>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</si>
  <si>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</si>
  <si>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</si>
  <si>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</si>
  <si>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</si>
  <si>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</si>
  <si>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</si>
  <si>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</si>
  <si>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</si>
  <si>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</si>
  <si>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</si>
  <si>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</si>
  <si>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</si>
  <si>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</si>
  <si>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</si>
  <si>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</si>
  <si>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</si>
  <si>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</si>
  <si>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</si>
  <si>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</si>
  <si>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</si>
  <si>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</si>
  <si>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</si>
  <si>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</si>
  <si>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</si>
  <si>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</si>
  <si>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</si>
  <si>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</si>
  <si>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</si>
  <si>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</si>
  <si>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</si>
  <si>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</si>
  <si>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</si>
  <si>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</si>
  <si>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</si>
  <si>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</si>
  <si>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</si>
  <si>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</si>
  <si>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</si>
  <si>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</si>
  <si>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</si>
  <si>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</si>
  <si>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</si>
  <si>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</si>
  <si>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</si>
  <si>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</si>
  <si>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</si>
  <si>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</si>
  <si>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</si>
  <si>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</si>
  <si>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</si>
  <si>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</si>
  <si>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</si>
  <si>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</si>
  <si>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</si>
  <si>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</si>
  <si>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</si>
  <si>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</si>
  <si>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</si>
  <si>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</si>
  <si>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</si>
  <si>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</si>
  <si>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</si>
  <si>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</si>
  <si>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</si>
  <si>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</si>
  <si>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</si>
  <si>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</si>
  <si>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</si>
  <si>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</si>
  <si>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</si>
  <si>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</si>
  <si>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</si>
  <si>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</si>
  <si>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</si>
  <si>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</si>
  <si>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</si>
  <si>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</si>
  <si>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</si>
  <si>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</si>
  <si>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</si>
  <si>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</si>
  <si>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</si>
  <si>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</si>
  <si>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</si>
  <si>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</si>
  <si>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</si>
  <si>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</si>
  <si>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</si>
  <si>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</si>
  <si>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</si>
  <si>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</si>
  <si>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</si>
  <si>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</si>
  <si>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</si>
  <si>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</si>
  <si>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</si>
  <si>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</si>
  <si>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</si>
  <si>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</si>
  <si>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</si>
  <si>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</si>
  <si>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</si>
  <si>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</si>
  <si>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</si>
  <si>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</si>
  <si>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</si>
  <si>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</si>
  <si>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</si>
  <si>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</si>
  <si>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</si>
  <si>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</si>
  <si>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</si>
  <si>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</si>
  <si>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</si>
  <si>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</si>
  <si>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</si>
  <si>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</si>
  <si>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</si>
  <si>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</si>
  <si>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</si>
  <si>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</si>
  <si>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</si>
  <si>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</si>
  <si>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</si>
  <si>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</si>
  <si>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</si>
  <si>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</si>
  <si>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</si>
  <si>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</si>
  <si>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</si>
  <si>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</si>
  <si>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</si>
  <si>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</si>
  <si>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</si>
  <si>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</si>
  <si>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</si>
  <si>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</si>
  <si>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</si>
  <si>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</si>
  <si>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</si>
  <si>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</si>
  <si>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</si>
  <si>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</si>
  <si>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</si>
  <si>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</si>
  <si>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</si>
  <si>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</si>
  <si>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</si>
  <si>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</si>
  <si>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</si>
  <si>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</si>
  <si>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</si>
  <si>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</si>
  <si>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</si>
  <si>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</si>
  <si>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</si>
  <si>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</si>
  <si>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</si>
  <si>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</si>
  <si>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</si>
  <si>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</si>
  <si>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</si>
  <si>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</si>
  <si>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</si>
  <si>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</si>
  <si>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</si>
  <si>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</si>
  <si>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</si>
  <si>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</si>
  <si>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</si>
  <si>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</si>
  <si>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</si>
  <si>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</si>
  <si>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</si>
  <si>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</si>
  <si>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</si>
  <si>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</si>
  <si>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</si>
  <si>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</si>
  <si>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</si>
  <si>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</si>
  <si>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</si>
  <si>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</si>
  <si>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</si>
  <si>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</si>
  <si>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</si>
  <si>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</si>
  <si>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</si>
  <si>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</si>
  <si>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</si>
  <si>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</si>
  <si>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</si>
  <si>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</si>
  <si>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</si>
  <si>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</si>
  <si>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</si>
  <si>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</si>
  <si>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</si>
  <si>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</si>
  <si>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</si>
  <si>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</si>
  <si>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</si>
  <si>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</si>
  <si>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</si>
  <si>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</si>
  <si>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</si>
  <si>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</si>
  <si>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</si>
  <si>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</si>
  <si>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</si>
  <si>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</si>
  <si>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</si>
  <si>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</si>
  <si>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</si>
  <si>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</si>
  <si>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</si>
  <si>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</si>
  <si>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</si>
  <si>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</si>
  <si>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</si>
  <si>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</si>
  <si>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</si>
  <si>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</si>
  <si>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</si>
  <si>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</si>
  <si>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</si>
  <si>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</si>
  <si>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</si>
  <si>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</si>
  <si>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</si>
  <si>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</si>
  <si>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</si>
  <si>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</si>
  <si>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</si>
  <si>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</si>
  <si>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</si>
  <si>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</si>
  <si>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</si>
  <si>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</si>
  <si>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</si>
  <si>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</si>
  <si>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</si>
  <si>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</si>
  <si>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</si>
  <si>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</si>
  <si>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</si>
  <si>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</si>
  <si>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</si>
  <si>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</si>
  <si>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</si>
  <si>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</si>
  <si>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</si>
  <si>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</si>
  <si>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</si>
  <si>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</si>
  <si>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</si>
  <si>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</si>
  <si>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</si>
  <si>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</si>
  <si>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</si>
  <si>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</si>
  <si>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</si>
  <si>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</si>
  <si>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</si>
  <si>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</si>
  <si>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</si>
  <si>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</si>
  <si>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</si>
  <si>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</si>
  <si>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</si>
  <si>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</si>
  <si>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</si>
  <si>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</si>
  <si>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</si>
  <si>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</si>
  <si>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</si>
  <si>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</si>
  <si>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</si>
  <si>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</si>
  <si>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</si>
  <si>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</si>
  <si>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</si>
  <si>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</si>
  <si>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</si>
  <si>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</si>
  <si>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</si>
  <si>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</si>
  <si>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</si>
  <si>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</si>
  <si>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</si>
  <si>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</si>
  <si>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</si>
  <si>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</si>
  <si>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</si>
  <si>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</si>
  <si>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</si>
  <si>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</si>
  <si>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</si>
  <si>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</si>
  <si>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</si>
  <si>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</si>
  <si>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</si>
  <si>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</si>
  <si>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</si>
  <si>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</si>
  <si>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</si>
  <si>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</si>
  <si>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</si>
  <si>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</si>
  <si>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</si>
  <si>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</si>
  <si>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</si>
  <si>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</si>
  <si>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</si>
  <si>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</si>
  <si>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</si>
  <si>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</si>
  <si>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</si>
  <si>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</si>
  <si>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</si>
  <si>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</si>
  <si>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</si>
  <si>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</si>
  <si>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</si>
  <si>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</si>
  <si>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</si>
  <si>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</si>
  <si>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</si>
  <si>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</si>
  <si>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</si>
  <si>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</si>
  <si>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</si>
  <si>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</si>
  <si>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</si>
  <si>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</si>
  <si>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</si>
  <si>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</si>
  <si>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</si>
  <si>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</si>
  <si>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</si>
  <si>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</si>
  <si>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</si>
  <si>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</si>
  <si>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</si>
  <si>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</si>
  <si>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</si>
  <si>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</si>
  <si>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</si>
  <si>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</si>
  <si>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</si>
  <si>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</si>
  <si>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</si>
  <si>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</si>
  <si>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</si>
  <si>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</si>
  <si>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</si>
  <si>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</si>
  <si>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</si>
  <si>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</si>
  <si>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</si>
  <si>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</si>
  <si>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</si>
  <si>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</si>
  <si>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</si>
  <si>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</si>
  <si>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</si>
  <si>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</si>
  <si>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</si>
  <si>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</si>
  <si>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</si>
  <si>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</si>
  <si>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</si>
  <si>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</si>
  <si>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</si>
  <si>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</si>
  <si>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</si>
  <si>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</si>
  <si>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</si>
  <si>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</si>
  <si>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</si>
  <si>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</si>
  <si>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</si>
  <si>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</si>
  <si>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</si>
  <si>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</si>
  <si>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</si>
  <si>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</si>
  <si>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</si>
  <si>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</si>
  <si>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</si>
  <si>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</si>
  <si>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</si>
  <si>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</si>
  <si>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</si>
  <si>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</si>
  <si>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</si>
  <si>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</si>
  <si>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</si>
  <si>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</si>
  <si>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</si>
  <si>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</si>
  <si>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</si>
  <si>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</si>
  <si>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</si>
  <si>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</si>
  <si>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</si>
  <si>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</si>
  <si>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</si>
  <si>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</si>
  <si>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</si>
  <si>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</si>
  <si>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</si>
  <si>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</si>
  <si>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</si>
  <si>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</si>
  <si>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</si>
  <si>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</si>
  <si>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</si>
  <si>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</si>
  <si>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</si>
  <si>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</si>
  <si>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</si>
  <si>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</si>
  <si>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</si>
  <si>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</si>
  <si>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</si>
  <si>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</si>
  <si>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</si>
  <si>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</si>
  <si>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</si>
  <si>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</si>
  <si>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</si>
  <si>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</si>
  <si>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</si>
  <si>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</si>
  <si>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</si>
  <si>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</si>
  <si>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</si>
  <si>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</si>
  <si>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</si>
  <si>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</si>
  <si>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</si>
  <si>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</si>
  <si>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</si>
  <si>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</si>
  <si>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</si>
  <si>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</si>
  <si>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</si>
  <si>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</si>
  <si>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</si>
  <si>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</si>
  <si>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</si>
  <si>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</si>
  <si>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</si>
  <si>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</si>
  <si>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</si>
  <si>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</si>
  <si>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</si>
  <si>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</si>
  <si>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</si>
  <si>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</si>
  <si>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</si>
  <si>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</si>
  <si>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</si>
  <si>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</si>
  <si>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</si>
  <si>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</si>
  <si>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</si>
  <si>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</si>
  <si>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</si>
  <si>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</si>
  <si>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</si>
  <si>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</si>
  <si>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</si>
  <si>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</si>
  <si>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</si>
  <si>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</si>
  <si>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</si>
  <si>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</si>
  <si>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</si>
  <si>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</si>
  <si>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</si>
  <si>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</si>
  <si>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</si>
  <si>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</si>
  <si>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</si>
  <si>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</si>
  <si>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</si>
  <si>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</si>
  <si>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</si>
  <si>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</si>
  <si>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</si>
  <si>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</si>
  <si>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</si>
  <si>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</si>
  <si>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</si>
  <si>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</si>
  <si>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</si>
  <si>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</si>
  <si>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</si>
  <si>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</si>
  <si>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</si>
  <si>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</si>
  <si>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</si>
  <si>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</si>
  <si>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</si>
  <si>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</si>
  <si>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</si>
  <si>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</si>
  <si>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</si>
  <si>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</si>
  <si>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</si>
  <si>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</si>
  <si>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</si>
  <si>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</si>
  <si>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</si>
  <si>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</si>
  <si>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</si>
  <si>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</si>
  <si>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</si>
  <si>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</si>
  <si>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</si>
  <si>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</si>
  <si>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</si>
  <si>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</si>
  <si>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</si>
  <si>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</si>
  <si>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</si>
  <si>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</si>
  <si>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</si>
  <si>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</si>
  <si>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</si>
  <si>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</si>
  <si>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</si>
  <si>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</si>
  <si>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</si>
  <si>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</si>
  <si>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</si>
  <si>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</si>
  <si>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</si>
  <si>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</si>
  <si>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</si>
  <si>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</si>
  <si>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</si>
  <si>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</si>
  <si>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</si>
  <si>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</si>
  <si>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</si>
  <si>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</si>
  <si>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</si>
  <si>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</si>
  <si>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</si>
  <si>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</si>
  <si>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</si>
  <si>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</si>
  <si>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</si>
  <si>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</si>
  <si>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</si>
  <si>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</si>
  <si>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</si>
  <si>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</si>
  <si>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</si>
  <si>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</si>
  <si>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</si>
  <si>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</si>
  <si>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</si>
  <si>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</si>
  <si>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</si>
  <si>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</si>
  <si>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</si>
  <si>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</si>
  <si>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</si>
  <si>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</si>
  <si>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</si>
  <si>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</si>
  <si>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</si>
  <si>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</si>
  <si>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</si>
  <si>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</si>
  <si>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</si>
  <si>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</si>
  <si>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</si>
  <si>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</si>
  <si>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</si>
  <si>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</si>
  <si>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</si>
  <si>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</si>
  <si>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</si>
  <si>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</si>
  <si>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</si>
  <si>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</si>
  <si>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</si>
  <si>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</si>
  <si>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</si>
  <si>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</si>
  <si>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</si>
  <si>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</si>
  <si>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</si>
  <si>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</si>
  <si>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</si>
  <si>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</si>
  <si>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</si>
  <si>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</si>
  <si>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</si>
  <si>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</si>
  <si>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</si>
  <si>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</si>
  <si>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</si>
  <si>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</si>
  <si>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</si>
  <si>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</si>
  <si>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</si>
  <si>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</si>
  <si>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</si>
  <si>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</si>
  <si>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</si>
  <si>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</si>
  <si>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</si>
  <si>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</si>
  <si>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</si>
  <si>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</si>
  <si>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</si>
  <si>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</si>
  <si>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</si>
  <si>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</si>
  <si>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</si>
  <si>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</si>
  <si>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</si>
  <si>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</si>
  <si>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</si>
  <si>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</si>
  <si>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</si>
  <si>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</si>
  <si>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</si>
  <si>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</si>
  <si>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</si>
  <si>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</si>
  <si>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</si>
  <si>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</si>
  <si>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</si>
  <si>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</si>
  <si>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</si>
  <si>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</si>
  <si>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</si>
  <si>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</si>
  <si>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</si>
  <si>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</si>
  <si>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</si>
  <si>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</si>
  <si>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</si>
  <si>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</si>
  <si>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</si>
  <si>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</si>
  <si>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</si>
  <si>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</si>
  <si>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</si>
  <si>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</si>
  <si>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</si>
  <si>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</si>
  <si>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</si>
  <si>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</si>
  <si>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</si>
  <si>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</si>
  <si>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</si>
  <si>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</si>
  <si>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</si>
  <si>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</si>
  <si>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</si>
  <si>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</si>
  <si>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</si>
  <si>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</si>
  <si>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</si>
  <si>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</si>
  <si>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</si>
  <si>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</si>
  <si>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</si>
  <si>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</si>
  <si>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</si>
  <si>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</si>
  <si>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</si>
  <si>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</si>
  <si>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</si>
  <si>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</si>
  <si>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</si>
  <si>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</si>
  <si>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</si>
  <si>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</si>
  <si>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</si>
  <si>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</si>
  <si>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</si>
  <si>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</si>
  <si>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</si>
  <si>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</si>
  <si>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</si>
  <si>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</si>
  <si>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</si>
  <si>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</si>
  <si>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</si>
  <si>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</si>
  <si>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</si>
  <si>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</si>
  <si>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</si>
  <si>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</si>
  <si>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</si>
  <si>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</si>
  <si>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</si>
  <si>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</si>
  <si>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</si>
  <si>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</si>
  <si>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</si>
  <si>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</si>
  <si>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</si>
  <si>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</si>
  <si>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</si>
  <si>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</si>
  <si>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</si>
  <si>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</si>
  <si>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</si>
  <si>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</si>
  <si>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</si>
  <si>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</si>
  <si>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</si>
  <si>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</si>
  <si>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</si>
  <si>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</si>
  <si>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</si>
  <si>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</si>
  <si>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</si>
  <si>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</si>
  <si>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</si>
  <si>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</si>
  <si>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</si>
  <si>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</si>
  <si>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</si>
  <si>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</si>
  <si>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</si>
  <si>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</si>
  <si>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</si>
  <si>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</si>
  <si>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</si>
  <si>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</si>
  <si>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</si>
  <si>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</si>
  <si>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</si>
  <si>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</si>
  <si>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</si>
  <si>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</si>
  <si>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</si>
  <si>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</si>
  <si>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</si>
  <si>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</si>
  <si>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</si>
  <si>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</si>
  <si>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</si>
  <si>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</si>
  <si>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</si>
  <si>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</si>
  <si>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</si>
  <si>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</si>
  <si>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</si>
  <si>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</si>
  <si>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</si>
  <si>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</si>
  <si>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</si>
  <si>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</si>
  <si>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</si>
  <si>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</si>
  <si>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</si>
  <si>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</si>
  <si>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</si>
  <si>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</si>
  <si>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</si>
  <si>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</si>
  <si>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</si>
  <si>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</si>
  <si>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</si>
  <si>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</si>
  <si>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</si>
  <si>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</si>
  <si>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</si>
  <si>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</si>
  <si>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</si>
  <si>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</si>
  <si>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</si>
  <si>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</si>
  <si>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</si>
  <si>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</si>
  <si>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</si>
  <si>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</si>
  <si>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</si>
  <si>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</si>
  <si>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</si>
  <si>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</si>
  <si>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</si>
  <si>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</si>
  <si>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</si>
  <si>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</si>
  <si>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</si>
  <si>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</si>
  <si>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</si>
  <si>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</si>
  <si>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</si>
  <si>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</si>
  <si>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</si>
  <si>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</si>
  <si>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</si>
  <si>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</si>
  <si>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</si>
  <si>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</si>
  <si>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</si>
  <si>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</si>
  <si>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</si>
  <si>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</si>
  <si>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</si>
  <si>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</si>
  <si>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</si>
  <si>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</si>
  <si>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</si>
  <si>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</si>
  <si>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</si>
  <si>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</si>
  <si>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</si>
  <si>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</si>
  <si>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</si>
  <si>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</si>
  <si>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</si>
  <si>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</si>
  <si>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</si>
  <si>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</si>
  <si>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</si>
  <si>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</si>
  <si>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</si>
  <si>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</si>
  <si>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</si>
  <si>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</si>
  <si>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</si>
  <si>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</si>
  <si>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</si>
  <si>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</si>
  <si>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</si>
  <si>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</si>
  <si>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</si>
  <si>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</si>
  <si>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</si>
  <si>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</si>
  <si>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</si>
  <si>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</si>
  <si>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</si>
  <si>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</si>
  <si>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</si>
  <si>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</si>
  <si>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</si>
  <si>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</si>
  <si>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</si>
  <si>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</si>
  <si>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</si>
  <si>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</si>
  <si>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</si>
  <si>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</si>
  <si>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</si>
  <si>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</si>
  <si>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</si>
  <si>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</si>
  <si>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</si>
  <si>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</si>
  <si>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</si>
  <si>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</si>
  <si>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</si>
  <si>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</si>
  <si>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</si>
  <si>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</si>
  <si>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</si>
  <si>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</si>
  <si>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</si>
  <si>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</si>
  <si>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</si>
  <si>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</si>
  <si>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</si>
  <si>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</si>
  <si>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</si>
  <si>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</si>
  <si>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</si>
  <si>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</si>
  <si>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</si>
  <si>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</si>
  <si>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</si>
  <si>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</si>
  <si>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</si>
  <si>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</si>
  <si>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</si>
  <si>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</si>
  <si>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</si>
  <si>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</si>
  <si>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</si>
  <si>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</si>
  <si>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</si>
  <si>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</si>
  <si>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</si>
  <si>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</si>
  <si>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</si>
  <si>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</si>
  <si>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</si>
  <si>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</si>
  <si>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</si>
  <si>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</si>
  <si>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</si>
  <si>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</si>
  <si>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</si>
  <si>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</si>
  <si>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</si>
  <si>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</si>
  <si>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</si>
  <si>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</si>
  <si>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</si>
  <si>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</si>
  <si>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</si>
  <si>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</si>
  <si>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</si>
  <si>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</si>
  <si>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</si>
  <si>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</si>
  <si>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</si>
  <si>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</si>
  <si>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</si>
  <si>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</si>
  <si>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</si>
  <si>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</si>
  <si>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</si>
  <si>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</si>
  <si>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</si>
  <si>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</si>
  <si>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</si>
  <si>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</si>
  <si>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</si>
  <si>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</si>
  <si>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</si>
  <si>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</si>
  <si>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</si>
  <si>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</si>
  <si>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</si>
  <si>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</si>
  <si>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</si>
  <si>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</si>
  <si>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</si>
  <si>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</si>
  <si>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</si>
  <si>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</si>
  <si>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</si>
  <si>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</si>
  <si>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</si>
  <si>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</si>
  <si>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</si>
  <si>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</si>
  <si>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</si>
  <si>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</si>
  <si>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</si>
  <si>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</si>
  <si>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</si>
  <si>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</si>
  <si>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</si>
  <si>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</si>
  <si>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</si>
  <si>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</si>
  <si>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</si>
  <si>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</si>
  <si>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</si>
  <si>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</si>
  <si>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</si>
  <si>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</si>
  <si>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</si>
  <si>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</si>
  <si>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</si>
  <si>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</si>
  <si>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</si>
  <si>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</si>
  <si>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</si>
  <si>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</si>
  <si>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</si>
  <si>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</si>
  <si>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</si>
  <si>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</si>
  <si>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</si>
  <si>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</si>
  <si>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</si>
  <si>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</si>
  <si>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</si>
  <si>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</si>
  <si>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</si>
  <si>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</si>
  <si>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</si>
  <si>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</si>
  <si>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</si>
  <si>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</si>
  <si>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</si>
  <si>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</si>
  <si>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</si>
  <si>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</si>
  <si>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</si>
  <si>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</si>
  <si>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</si>
  <si>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</si>
  <si>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</si>
  <si>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</si>
  <si>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</si>
  <si>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</si>
  <si>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</si>
  <si>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</si>
  <si>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</si>
  <si>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</si>
  <si>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</si>
  <si>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</si>
  <si>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</si>
  <si>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</si>
  <si>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</si>
  <si>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</si>
  <si>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</si>
  <si>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</si>
  <si>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</si>
  <si>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</si>
  <si>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</si>
  <si>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</si>
  <si>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</si>
  <si>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</si>
  <si>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</si>
  <si>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</si>
  <si>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</si>
  <si>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</si>
  <si>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</si>
  <si>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</si>
  <si>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</si>
  <si>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</si>
  <si>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</si>
  <si>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</si>
  <si>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</si>
  <si>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</si>
  <si>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</si>
  <si>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</si>
  <si>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</si>
  <si>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</si>
  <si>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</si>
  <si>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</si>
  <si>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</si>
  <si>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</si>
  <si>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</si>
  <si>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</si>
  <si>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</si>
  <si>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</si>
  <si>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</si>
  <si>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</si>
  <si>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</si>
  <si>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</si>
  <si>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</si>
  <si>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</si>
  <si>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</si>
  <si>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</si>
  <si>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</si>
  <si>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</si>
  <si>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</si>
  <si>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</si>
  <si>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</si>
  <si>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</si>
  <si>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</si>
  <si>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</si>
  <si>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</si>
  <si>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</si>
  <si>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</si>
  <si>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</si>
  <si>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</si>
  <si>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</si>
  <si>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</si>
  <si>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</si>
  <si>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</si>
  <si>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</si>
  <si>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</si>
  <si>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</si>
  <si>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</si>
  <si>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</si>
  <si>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</si>
  <si>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</si>
  <si>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</si>
  <si>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</si>
  <si>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</si>
  <si>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</si>
  <si>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</si>
  <si>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</si>
  <si>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</si>
  <si>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</si>
  <si>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</si>
  <si>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</si>
  <si>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</si>
  <si>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</si>
  <si>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</si>
  <si>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</si>
  <si>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</si>
  <si>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</si>
  <si>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</si>
  <si>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</si>
  <si>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</si>
  <si>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</si>
  <si>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</si>
  <si>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</si>
  <si>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</si>
  <si>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</si>
  <si>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</si>
  <si>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</si>
  <si>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</si>
  <si>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</si>
  <si>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</si>
  <si>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</si>
  <si>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</si>
  <si>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</si>
  <si>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</si>
  <si>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</si>
  <si>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</si>
  <si>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</si>
  <si>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</si>
  <si>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</si>
  <si>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</si>
  <si>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</si>
  <si>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</si>
  <si>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</si>
  <si>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</si>
  <si>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</si>
  <si>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</si>
  <si>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</si>
  <si>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</si>
  <si>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</si>
  <si>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</si>
  <si>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</si>
  <si>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</si>
  <si>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</si>
  <si>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</si>
  <si>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</si>
  <si>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</si>
  <si>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</si>
  <si>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</si>
  <si>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</si>
  <si>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</si>
  <si>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</si>
  <si>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</si>
  <si>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</si>
  <si>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</si>
  <si>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</si>
  <si>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</si>
  <si>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</si>
  <si>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</si>
  <si>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</si>
  <si>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</si>
  <si>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</si>
  <si>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</si>
  <si>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</si>
  <si>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</si>
  <si>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</si>
  <si>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</si>
  <si>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</si>
  <si>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</si>
  <si>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</si>
  <si>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</si>
  <si>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</si>
  <si>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</si>
  <si>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</si>
  <si>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</si>
  <si>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</si>
  <si>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</si>
  <si>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</si>
  <si>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</si>
  <si>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</si>
  <si>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</si>
  <si>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</si>
  <si>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</si>
  <si>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</si>
  <si>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</si>
  <si>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</si>
  <si>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</si>
  <si>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</si>
  <si>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</si>
  <si>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</si>
  <si>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</si>
  <si>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</si>
  <si>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</si>
  <si>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</si>
  <si>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</si>
  <si>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</si>
  <si>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</si>
  <si>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</si>
  <si>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</si>
  <si>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</si>
  <si>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</si>
  <si>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</si>
  <si>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</si>
  <si>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</si>
  <si>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</si>
  <si>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</si>
  <si>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</si>
  <si>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</si>
  <si>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</si>
  <si>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</si>
  <si>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</si>
  <si>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</si>
  <si>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</si>
  <si>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</si>
  <si>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</si>
  <si>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</si>
  <si>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</si>
  <si>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</si>
  <si>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</si>
  <si>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</si>
  <si>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</si>
  <si>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</si>
  <si>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</si>
  <si>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</si>
  <si>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</si>
  <si>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</si>
  <si>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</si>
  <si>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</si>
  <si>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</si>
  <si>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</si>
  <si>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</si>
  <si>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</si>
  <si>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</si>
  <si>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</si>
  <si>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</si>
  <si>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</si>
  <si>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</si>
  <si>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</si>
  <si>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</si>
  <si>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</si>
  <si>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</si>
  <si>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</si>
  <si>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</si>
  <si>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</si>
  <si>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</si>
  <si>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</si>
  <si>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</si>
  <si>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</si>
  <si>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</si>
  <si>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</si>
  <si>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</si>
  <si>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</si>
  <si>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</si>
  <si>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</si>
  <si>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</si>
  <si>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</si>
  <si>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</si>
  <si>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</si>
  <si>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</si>
  <si>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</si>
  <si>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</si>
  <si>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</si>
  <si>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</si>
  <si>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</si>
  <si>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</si>
  <si>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</si>
  <si>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</si>
  <si>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</si>
  <si>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</si>
  <si>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</si>
  <si>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</si>
  <si>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</si>
  <si>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</si>
  <si>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</si>
  <si>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</si>
  <si>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</si>
  <si>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</si>
  <si>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</si>
  <si>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</si>
  <si>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</si>
  <si>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</si>
  <si>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</si>
  <si>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</si>
  <si>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</si>
  <si>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</si>
  <si>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</si>
  <si>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</si>
  <si>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</si>
  <si>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</si>
  <si>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</si>
  <si>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</si>
  <si>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</si>
  <si>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</si>
  <si>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</si>
  <si>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</si>
  <si>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</si>
  <si>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</si>
  <si>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</si>
  <si>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</si>
  <si>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</si>
  <si>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</si>
  <si>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</si>
  <si>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</si>
  <si>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</si>
  <si>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</si>
  <si>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</si>
  <si>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</si>
  <si>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</si>
  <si>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</si>
  <si>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</si>
  <si>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</si>
  <si>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</si>
  <si>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</si>
  <si>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</si>
  <si>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</si>
  <si>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</si>
  <si>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</si>
  <si>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</si>
  <si>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</si>
  <si>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</si>
  <si>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</si>
  <si>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</si>
  <si>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</si>
  <si>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</si>
  <si>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</si>
  <si>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</si>
  <si>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</si>
  <si>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</si>
  <si>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</si>
  <si>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</si>
  <si>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</si>
  <si>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</si>
  <si>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</si>
  <si>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</si>
  <si>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</si>
  <si>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</si>
  <si>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</si>
  <si>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</si>
  <si>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</si>
  <si>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</si>
  <si>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</si>
  <si>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</si>
  <si>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</si>
  <si>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</si>
  <si>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</si>
  <si>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</si>
  <si>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</si>
  <si>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</si>
  <si>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</si>
  <si>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</si>
  <si>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</si>
  <si>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</si>
  <si>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</si>
  <si>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</si>
  <si>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</si>
  <si>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</si>
  <si>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</si>
  <si>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</si>
  <si>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</si>
  <si>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</si>
  <si>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</si>
  <si>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</si>
  <si>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</si>
  <si>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</si>
  <si>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</si>
  <si>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</si>
  <si>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</si>
  <si>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</si>
  <si>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</si>
  <si>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</si>
  <si>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</si>
  <si>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</si>
  <si>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</si>
  <si>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</si>
  <si>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</si>
  <si>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</si>
  <si>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</si>
  <si>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</si>
  <si>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</si>
  <si>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</si>
  <si>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</si>
  <si>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</si>
  <si>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</si>
  <si>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</si>
  <si>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</si>
  <si>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</si>
  <si>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</si>
  <si>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</si>
  <si>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</si>
  <si>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</si>
  <si>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</si>
  <si>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</si>
  <si>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</si>
  <si>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</si>
  <si>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</si>
  <si>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</si>
  <si>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</si>
  <si>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</si>
  <si>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</si>
  <si>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</si>
  <si>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</si>
  <si>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</si>
  <si>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</si>
  <si>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</si>
  <si>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</si>
  <si>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</si>
  <si>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</si>
  <si>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</si>
  <si>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</si>
  <si>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</si>
  <si>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</si>
  <si>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</si>
  <si>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</si>
  <si>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</si>
  <si>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</si>
  <si>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</si>
  <si>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</si>
  <si>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</si>
  <si>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</si>
  <si>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</si>
  <si>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</si>
  <si>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</si>
  <si>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</si>
  <si>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</si>
  <si>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</si>
  <si>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</si>
  <si>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</si>
  <si>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</si>
  <si>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</si>
  <si>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</si>
  <si>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</si>
  <si>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</si>
  <si>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</si>
  <si>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</si>
  <si>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</si>
  <si>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</si>
  <si>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</si>
  <si>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</si>
  <si>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</si>
  <si>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</si>
  <si>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</si>
  <si>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</si>
  <si>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</si>
  <si>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</si>
  <si>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</si>
  <si>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</si>
  <si>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</si>
  <si>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</si>
  <si>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</si>
  <si>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</si>
  <si>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</si>
  <si>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</si>
  <si>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</si>
  <si>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</si>
  <si>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</si>
  <si>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</si>
  <si>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</si>
  <si>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</si>
  <si>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</si>
  <si>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</si>
  <si>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</si>
  <si>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</si>
  <si>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</si>
  <si>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</si>
  <si>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</si>
  <si>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</si>
  <si>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</si>
  <si>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</si>
  <si>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</si>
  <si>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</si>
  <si>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</si>
  <si>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</si>
  <si>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</si>
  <si>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</si>
  <si>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</si>
  <si>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</si>
  <si>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</si>
  <si>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</si>
  <si>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</si>
  <si>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</si>
  <si>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</si>
  <si>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</si>
  <si>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</si>
  <si>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</si>
  <si>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</si>
  <si>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</si>
  <si>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</si>
  <si>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</si>
  <si>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</si>
  <si>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</si>
  <si>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</si>
  <si>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</si>
  <si>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</si>
  <si>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</si>
  <si>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</si>
  <si>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</si>
  <si>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</si>
  <si>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</si>
  <si>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</si>
  <si>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</si>
  <si>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</si>
  <si>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</si>
  <si>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</si>
  <si>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</si>
  <si>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</si>
  <si>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</si>
  <si>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</si>
  <si>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</si>
  <si>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</si>
  <si>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</si>
  <si>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</si>
  <si>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</si>
  <si>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</si>
  <si>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</si>
  <si>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</si>
  <si>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</si>
  <si>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</si>
  <si>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</si>
  <si>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</si>
  <si>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</si>
  <si>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</si>
  <si>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</si>
  <si>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</si>
  <si>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</si>
  <si>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</si>
  <si>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</si>
  <si>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</si>
  <si>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</si>
  <si>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</si>
  <si>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</si>
  <si>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</si>
  <si>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</si>
  <si>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</si>
  <si>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</si>
  <si>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</si>
  <si>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</si>
  <si>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</si>
  <si>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</si>
  <si>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</si>
  <si>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</si>
  <si>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</si>
  <si>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</si>
  <si>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</si>
  <si>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</si>
  <si>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</si>
  <si>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</si>
  <si>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</si>
  <si>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</si>
  <si>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</si>
  <si>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</si>
  <si>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</si>
  <si>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</si>
  <si>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</si>
  <si>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</si>
  <si>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</si>
  <si>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</si>
  <si>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</si>
  <si>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</si>
  <si>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</si>
  <si>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</si>
  <si>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</si>
  <si>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</si>
  <si>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</si>
  <si>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</si>
  <si>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</si>
  <si>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</si>
  <si>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</si>
  <si>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</si>
  <si>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</si>
  <si>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</si>
  <si>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</si>
  <si>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</si>
  <si>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</si>
  <si>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</si>
  <si>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</si>
  <si>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</si>
  <si>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</si>
  <si>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</si>
  <si>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</si>
  <si>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</si>
  <si>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</si>
  <si>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</si>
  <si>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</si>
  <si>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</si>
  <si>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</si>
  <si>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</si>
  <si>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</si>
  <si>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</si>
  <si>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</si>
  <si>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</si>
  <si>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</si>
  <si>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</si>
  <si>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</si>
  <si>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</si>
  <si>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</si>
  <si>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</si>
  <si>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</si>
  <si>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</si>
  <si>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</si>
  <si>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</si>
  <si>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</si>
  <si>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</si>
  <si>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</si>
  <si>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</si>
  <si>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</si>
  <si>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</si>
  <si>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</si>
  <si>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</si>
  <si>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</si>
  <si>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</si>
  <si>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</si>
  <si>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</si>
  <si>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</si>
  <si>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</si>
  <si>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</si>
  <si>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</si>
  <si>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</si>
  <si>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</si>
  <si>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</si>
  <si>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</si>
  <si>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</si>
  <si>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</si>
  <si>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</si>
  <si>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</si>
  <si>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</si>
  <si>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</si>
  <si>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</si>
  <si>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</si>
  <si>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</si>
  <si>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</si>
  <si>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</si>
  <si>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</si>
  <si>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</si>
  <si>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</si>
  <si>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</si>
  <si>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</si>
  <si>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</si>
  <si>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</si>
  <si>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</si>
  <si>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</si>
  <si>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</si>
  <si>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</si>
  <si>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</si>
  <si>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</si>
  <si>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</si>
  <si>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</si>
  <si>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</si>
  <si>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</si>
  <si>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</si>
  <si>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</si>
  <si>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</si>
  <si>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</si>
  <si>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</si>
  <si>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</si>
  <si>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</si>
  <si>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</si>
  <si>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</si>
  <si>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</si>
  <si>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</si>
  <si>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</si>
  <si>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</si>
  <si>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</si>
  <si>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</si>
  <si>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</si>
  <si>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</si>
  <si>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</si>
  <si>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</si>
  <si>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</si>
  <si>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</si>
  <si>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check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</si>
  <si>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</si>
  <si>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</si>
  <si>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</si>
  <si>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</si>
  <si>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2025-08-15</t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</si>
  <si>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</si>
  <si>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</si>
  <si>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</si>
  <si>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</si>
  <si>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</si>
  <si>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농협 3520106511413</t>
    <phoneticPr fontId="2" type="noConversion"/>
  </si>
  <si>
    <t>디알모터스(파주)</t>
    <phoneticPr fontId="2" type="noConversion"/>
  </si>
  <si>
    <t>경기도 파주시 동서대로 377 2동 1층</t>
    <phoneticPr fontId="2" type="noConversion"/>
  </si>
  <si>
    <t>010-7322-3574</t>
    <phoneticPr fontId="2" type="noConversion"/>
  </si>
  <si>
    <t>VGSNAG3_Repair</t>
    <phoneticPr fontId="2" type="noConversion"/>
  </si>
  <si>
    <t>디알모터스(파주)_250815_181244.xlsx</t>
  </si>
  <si>
    <t>디알모터스(파주)_250815_181244.xlsx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</si>
</sst>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1850000</c:v>
                </c:pt>
                <c:pt idx="1">
                  <c:v>2840000</c:v>
                </c:pt>
                <c:pt idx="2">
                  <c:v>8369000</c:v>
                </c:pt>
                <c:pt idx="3">
                  <c:v>1899000</c:v>
                </c:pt>
                <c:pt idx="4">
                  <c:v>0</c:v>
                </c:pt>
                <c:pt idx="5">
                  <c:v>1210000</c:v>
                </c:pt>
                <c:pt idx="6">
                  <c:v>1100000</c:v>
                </c:pt>
                <c:pt idx="7">
                  <c:v>660000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8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7</c:v>
                      </c:pt>
                      <c:pt idx="4">
                        <c:v>37</c:v>
                      </c:pt>
                      <c:pt idx="5">
                        <c:v>23</c:v>
                      </c:pt>
                      <c:pt idx="6">
                        <c:v>24</c:v>
                      </c:pt>
                      <c:pt idx="7">
                        <c:v>32</c:v>
                      </c:pt>
                      <c:pt idx="8">
                        <c:v>37</c:v>
                      </c:pt>
                      <c:pt idx="9">
                        <c:v>37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8"/>
      <c r="B1" s="299"/>
      <c r="C1" s="299"/>
      <c r="D1" s="299"/>
      <c r="E1" s="299"/>
      <c r="F1" s="299"/>
      <c r="G1" s="29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00" t="s">
        <v>1226</v>
      </c>
      <c r="R1" s="300"/>
      <c r="S1" s="301"/>
      <c r="T1" s="301"/>
      <c r="U1" s="302"/>
    </row>
    <row r="2" spans="1:21" x14ac:dyDescent="0.3">
      <c r="A2" s="303" t="s">
        <v>70</v>
      </c>
      <c r="B2" s="304"/>
      <c r="C2" s="305" t="s">
        <v>3384</v>
      </c>
      <c r="D2" s="306"/>
      <c r="E2" s="306"/>
      <c r="F2" s="306"/>
      <c r="G2" s="307"/>
      <c r="H2" s="305" t="s">
        <v>82</v>
      </c>
      <c r="I2" s="306"/>
      <c r="J2" s="306"/>
      <c r="K2" s="306"/>
      <c r="L2" s="306"/>
      <c r="M2" s="306"/>
      <c r="N2" s="306"/>
      <c r="O2" s="307"/>
      <c r="P2" s="308" t="s">
        <v>68</v>
      </c>
      <c r="Q2" s="309"/>
      <c r="R2" s="309"/>
      <c r="S2" s="304"/>
      <c r="T2" s="310">
        <v>45884</v>
      </c>
      <c r="U2" s="311"/>
    </row>
    <row r="3" spans="1:21" ht="24.95" customHeight="1" x14ac:dyDescent="0.3">
      <c r="A3" s="321" t="s">
        <v>1194</v>
      </c>
      <c r="B3" s="37" t="s">
        <v>64</v>
      </c>
      <c r="C3" s="324" t="s">
        <v>3385</v>
      </c>
      <c r="D3" s="325"/>
      <c r="E3" s="325"/>
      <c r="F3" s="325"/>
      <c r="G3" s="325"/>
      <c r="H3" s="325"/>
      <c r="I3" s="325"/>
      <c r="J3" s="326"/>
      <c r="K3" s="327" t="s">
        <v>1195</v>
      </c>
      <c r="L3" s="37" t="s">
        <v>64</v>
      </c>
      <c r="M3" s="330" t="s">
        <v>970</v>
      </c>
      <c r="N3" s="331"/>
      <c r="O3" s="331"/>
      <c r="P3" s="331"/>
      <c r="Q3" s="331"/>
      <c r="R3" s="331"/>
      <c r="S3" s="331"/>
      <c r="T3" s="331"/>
      <c r="U3" s="332"/>
    </row>
    <row r="4" spans="1:21" ht="24.95" customHeight="1" x14ac:dyDescent="0.3">
      <c r="A4" s="322"/>
      <c r="B4" s="37" t="s">
        <v>66</v>
      </c>
      <c r="C4" s="333"/>
      <c r="D4" s="334"/>
      <c r="E4" s="334"/>
      <c r="F4" s="334"/>
      <c r="G4" s="334"/>
      <c r="H4" s="334"/>
      <c r="I4" s="334"/>
      <c r="J4" s="335"/>
      <c r="K4" s="328"/>
      <c r="L4" s="37" t="s">
        <v>66</v>
      </c>
      <c r="M4" s="312" t="s">
        <v>968</v>
      </c>
      <c r="N4" s="313"/>
      <c r="O4" s="313"/>
      <c r="P4" s="313"/>
      <c r="Q4" s="313"/>
      <c r="R4" s="314"/>
      <c r="S4" s="38" t="s">
        <v>67</v>
      </c>
      <c r="T4" s="312" t="s">
        <v>78</v>
      </c>
      <c r="U4" s="315"/>
    </row>
    <row r="5" spans="1:21" ht="24.95" customHeight="1" x14ac:dyDescent="0.3">
      <c r="A5" s="322"/>
      <c r="B5" s="38" t="s">
        <v>10</v>
      </c>
      <c r="C5" s="312" t="s">
        <v>3386</v>
      </c>
      <c r="D5" s="313"/>
      <c r="E5" s="313"/>
      <c r="F5" s="313"/>
      <c r="G5" s="313"/>
      <c r="H5" s="313"/>
      <c r="I5" s="313"/>
      <c r="J5" s="314"/>
      <c r="K5" s="328"/>
      <c r="L5" s="38" t="s">
        <v>10</v>
      </c>
      <c r="M5" s="312" t="s">
        <v>79</v>
      </c>
      <c r="N5" s="313"/>
      <c r="O5" s="313"/>
      <c r="P5" s="313"/>
      <c r="Q5" s="313"/>
      <c r="R5" s="313"/>
      <c r="S5" s="313"/>
      <c r="T5" s="313"/>
      <c r="U5" s="315"/>
    </row>
    <row r="6" spans="1:21" ht="24.95" customHeight="1" x14ac:dyDescent="0.3">
      <c r="A6" s="323"/>
      <c r="B6" s="38" t="s">
        <v>80</v>
      </c>
      <c r="C6" s="312" t="s">
        <v>3387</v>
      </c>
      <c r="D6" s="313"/>
      <c r="E6" s="313"/>
      <c r="F6" s="313"/>
      <c r="G6" s="313"/>
      <c r="H6" s="313"/>
      <c r="I6" s="313"/>
      <c r="J6" s="314"/>
      <c r="K6" s="329"/>
      <c r="L6" s="38" t="s">
        <v>80</v>
      </c>
      <c r="M6" s="312" t="s">
        <v>71</v>
      </c>
      <c r="N6" s="313"/>
      <c r="O6" s="313"/>
      <c r="P6" s="313"/>
      <c r="Q6" s="313"/>
      <c r="R6" s="314"/>
      <c r="S6" s="38" t="s">
        <v>26</v>
      </c>
      <c r="T6" s="312" t="s">
        <v>36</v>
      </c>
      <c r="U6" s="315"/>
    </row>
    <row r="7" spans="1:21" ht="15.75" customHeight="1" x14ac:dyDescent="0.3">
      <c r="A7" s="316" t="s">
        <v>75</v>
      </c>
      <c r="B7" s="317"/>
      <c r="C7" s="317"/>
      <c r="D7" s="317"/>
      <c r="E7" s="318"/>
      <c r="F7" s="319" t="s">
        <v>48</v>
      </c>
      <c r="G7" s="317"/>
      <c r="H7" s="317"/>
      <c r="I7" s="318"/>
      <c r="J7" s="319" t="s">
        <v>46</v>
      </c>
      <c r="K7" s="317"/>
      <c r="L7" s="317"/>
      <c r="M7" s="317"/>
      <c r="N7" s="318"/>
      <c r="O7" s="317" t="s">
        <v>54</v>
      </c>
      <c r="P7" s="318"/>
      <c r="Q7" s="319" t="s">
        <v>74</v>
      </c>
      <c r="R7" s="317"/>
      <c r="S7" s="318"/>
      <c r="T7" s="319" t="s">
        <v>73</v>
      </c>
      <c r="U7" s="320"/>
    </row>
    <row r="8" spans="1:21" ht="15.6" customHeight="1" x14ac:dyDescent="0.3">
      <c r="A8" s="345" t="s">
        <v>3388</v>
      </c>
      <c r="B8" s="346"/>
      <c r="C8" s="346"/>
      <c r="D8" s="346"/>
      <c r="E8" s="347"/>
      <c r="F8" s="348"/>
      <c r="G8" s="346"/>
      <c r="H8" s="346"/>
      <c r="I8" s="347"/>
      <c r="J8" s="354">
        <v>650000</v>
      </c>
      <c r="K8" s="354"/>
      <c r="L8" s="354"/>
      <c r="M8" s="354"/>
      <c r="N8" s="354"/>
      <c r="O8" s="355">
        <v>1</v>
      </c>
      <c r="P8" s="355"/>
      <c r="Q8" s="349">
        <v>65000</v>
      </c>
      <c r="R8" s="350"/>
      <c r="S8" s="351"/>
      <c r="T8" s="352">
        <v>715000</v>
      </c>
      <c r="U8" s="353"/>
    </row>
    <row r="9" spans="1:21" ht="15.6" customHeight="1" x14ac:dyDescent="0.3">
      <c r="A9" s="336" t="s">
        <v>2959</v>
      </c>
      <c r="B9" s="337"/>
      <c r="C9" s="337"/>
      <c r="D9" s="337"/>
      <c r="E9" s="338"/>
      <c r="F9" s="339" t="s">
        <v>2862</v>
      </c>
      <c r="G9" s="337"/>
      <c r="H9" s="337"/>
      <c r="I9" s="338"/>
      <c r="J9" s="356">
        <v>129000</v>
      </c>
      <c r="K9" s="356"/>
      <c r="L9" s="356"/>
      <c r="M9" s="356"/>
      <c r="N9" s="356"/>
      <c r="O9" s="357">
        <v>1</v>
      </c>
      <c r="P9" s="357"/>
      <c r="Q9" s="340">
        <v>12900</v>
      </c>
      <c r="R9" s="341"/>
      <c r="S9" s="342"/>
      <c r="T9" s="343">
        <v>141900</v>
      </c>
      <c r="U9" s="344"/>
    </row>
    <row r="10" spans="1:21" ht="15.6" customHeight="1" x14ac:dyDescent="0.3">
      <c r="A10" s="336"/>
      <c r="B10" s="337"/>
      <c r="C10" s="337"/>
      <c r="D10" s="337"/>
      <c r="E10" s="338"/>
      <c r="F10" s="339"/>
      <c r="G10" s="337"/>
      <c r="H10" s="337"/>
      <c r="I10" s="338"/>
      <c r="J10" s="356"/>
      <c r="K10" s="356"/>
      <c r="L10" s="356"/>
      <c r="M10" s="356"/>
      <c r="N10" s="356"/>
      <c r="O10" s="357"/>
      <c r="P10" s="357"/>
      <c r="Q10" s="340"/>
      <c r="R10" s="341"/>
      <c r="S10" s="342"/>
      <c r="T10" s="343"/>
      <c r="U10" s="344"/>
    </row>
    <row r="11" spans="1:21" ht="15.6" customHeight="1" x14ac:dyDescent="0.3">
      <c r="A11" s="336"/>
      <c r="B11" s="337"/>
      <c r="C11" s="337"/>
      <c r="D11" s="337"/>
      <c r="E11" s="338"/>
      <c r="F11" s="339"/>
      <c r="G11" s="337"/>
      <c r="H11" s="337"/>
      <c r="I11" s="338"/>
      <c r="J11" s="356"/>
      <c r="K11" s="356"/>
      <c r="L11" s="356"/>
      <c r="M11" s="356"/>
      <c r="N11" s="356"/>
      <c r="O11" s="357"/>
      <c r="P11" s="357"/>
      <c r="Q11" s="340"/>
      <c r="R11" s="341"/>
      <c r="S11" s="342"/>
      <c r="T11" s="343"/>
      <c r="U11" s="344"/>
    </row>
    <row r="12" spans="1:21" ht="15.6" customHeight="1" x14ac:dyDescent="0.3">
      <c r="A12" s="336"/>
      <c r="B12" s="337"/>
      <c r="C12" s="337"/>
      <c r="D12" s="337"/>
      <c r="E12" s="338"/>
      <c r="F12" s="339"/>
      <c r="G12" s="337"/>
      <c r="H12" s="337"/>
      <c r="I12" s="338"/>
      <c r="J12" s="356"/>
      <c r="K12" s="356"/>
      <c r="L12" s="356"/>
      <c r="M12" s="356"/>
      <c r="N12" s="356"/>
      <c r="O12" s="357"/>
      <c r="P12" s="357"/>
      <c r="Q12" s="340"/>
      <c r="R12" s="341"/>
      <c r="S12" s="342"/>
      <c r="T12" s="343"/>
      <c r="U12" s="344"/>
    </row>
    <row r="13" spans="1:21" ht="15.6" customHeight="1" x14ac:dyDescent="0.3">
      <c r="A13" s="336"/>
      <c r="B13" s="337"/>
      <c r="C13" s="337"/>
      <c r="D13" s="337"/>
      <c r="E13" s="338"/>
      <c r="F13" s="339"/>
      <c r="G13" s="337"/>
      <c r="H13" s="337"/>
      <c r="I13" s="338"/>
      <c r="J13" s="356"/>
      <c r="K13" s="356"/>
      <c r="L13" s="356"/>
      <c r="M13" s="356"/>
      <c r="N13" s="356"/>
      <c r="O13" s="357"/>
      <c r="P13" s="357"/>
      <c r="Q13" s="340"/>
      <c r="R13" s="341"/>
      <c r="S13" s="342"/>
      <c r="T13" s="343"/>
      <c r="U13" s="344"/>
    </row>
    <row r="14" spans="1:21" ht="15.6" customHeight="1" x14ac:dyDescent="0.3">
      <c r="A14" s="336"/>
      <c r="B14" s="337"/>
      <c r="C14" s="337"/>
      <c r="D14" s="337"/>
      <c r="E14" s="338"/>
      <c r="F14" s="339"/>
      <c r="G14" s="337"/>
      <c r="H14" s="337"/>
      <c r="I14" s="338"/>
      <c r="J14" s="356"/>
      <c r="K14" s="356"/>
      <c r="L14" s="356"/>
      <c r="M14" s="356"/>
      <c r="N14" s="356"/>
      <c r="O14" s="357"/>
      <c r="P14" s="357"/>
      <c r="Q14" s="340"/>
      <c r="R14" s="341"/>
      <c r="S14" s="342"/>
      <c r="T14" s="343"/>
      <c r="U14" s="344"/>
    </row>
    <row r="15" spans="1:21" ht="15.6" customHeight="1" thickBot="1" x14ac:dyDescent="0.35">
      <c r="A15" s="358"/>
      <c r="B15" s="359"/>
      <c r="C15" s="359"/>
      <c r="D15" s="359"/>
      <c r="E15" s="360"/>
      <c r="F15" s="361"/>
      <c r="G15" s="359"/>
      <c r="H15" s="359"/>
      <c r="I15" s="360"/>
      <c r="J15" s="367"/>
      <c r="K15" s="367"/>
      <c r="L15" s="367"/>
      <c r="M15" s="367"/>
      <c r="N15" s="367"/>
      <c r="O15" s="368"/>
      <c r="P15" s="368"/>
      <c r="Q15" s="362"/>
      <c r="R15" s="363"/>
      <c r="S15" s="364"/>
      <c r="T15" s="365"/>
      <c r="U15" s="366"/>
    </row>
    <row r="16" spans="1:21" ht="15" customHeight="1" thickTop="1" x14ac:dyDescent="0.3">
      <c r="A16" s="369" t="s">
        <v>2367</v>
      </c>
      <c r="B16" s="370"/>
      <c r="C16" s="370"/>
      <c r="D16" s="370"/>
      <c r="E16" s="371"/>
      <c r="F16" s="378"/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79"/>
      <c r="S16" s="379"/>
      <c r="T16" s="379"/>
      <c r="U16" s="380"/>
    </row>
    <row r="17" spans="1:21" ht="15" customHeight="1" x14ac:dyDescent="0.3">
      <c r="A17" s="372"/>
      <c r="B17" s="373"/>
      <c r="C17" s="373"/>
      <c r="D17" s="373"/>
      <c r="E17" s="374"/>
      <c r="F17" s="381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3"/>
    </row>
    <row r="18" spans="1:21" ht="15" customHeight="1" x14ac:dyDescent="0.3">
      <c r="A18" s="372"/>
      <c r="B18" s="373"/>
      <c r="C18" s="373"/>
      <c r="D18" s="373"/>
      <c r="E18" s="374"/>
      <c r="F18" s="381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3"/>
    </row>
    <row r="19" spans="1:21" ht="15" customHeight="1" x14ac:dyDescent="0.3">
      <c r="A19" s="375"/>
      <c r="B19" s="376"/>
      <c r="C19" s="376"/>
      <c r="D19" s="376"/>
      <c r="E19" s="377"/>
      <c r="F19" s="384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</row>
    <row r="20" spans="1:21" ht="20.100000000000001" customHeight="1" x14ac:dyDescent="0.3">
      <c r="A20" s="316" t="s">
        <v>86</v>
      </c>
      <c r="B20" s="317"/>
      <c r="C20" s="317"/>
      <c r="D20" s="317"/>
      <c r="E20" s="317"/>
      <c r="F20" s="393">
        <v>0</v>
      </c>
      <c r="G20" s="393"/>
      <c r="H20" s="393"/>
      <c r="I20" s="394"/>
      <c r="J20" s="389">
        <f>SUM(J8:N19)</f>
        <v>779000</v>
      </c>
      <c r="K20" s="390"/>
      <c r="L20" s="390"/>
      <c r="M20" s="390"/>
      <c r="N20" s="391"/>
      <c r="O20" s="427">
        <f>SUM(O8:P19)</f>
        <v>2</v>
      </c>
      <c r="P20" s="427"/>
      <c r="Q20" s="392">
        <f>SUM(Q8:S19)</f>
        <v>77900</v>
      </c>
      <c r="R20" s="393"/>
      <c r="S20" s="394"/>
      <c r="T20" s="393">
        <f>SUM(T8:U15)</f>
        <v>856900</v>
      </c>
      <c r="U20" s="395"/>
    </row>
    <row r="21" spans="1:21" ht="20.100000000000001" customHeight="1" thickBot="1" x14ac:dyDescent="0.35">
      <c r="A21" s="417" t="s">
        <v>96</v>
      </c>
      <c r="B21" s="418"/>
      <c r="C21" s="418"/>
      <c r="D21" s="418"/>
      <c r="E21" s="418"/>
      <c r="F21" s="419">
        <f>F20+T20+Q20</f>
        <v>934800</v>
      </c>
      <c r="G21" s="419"/>
      <c r="H21" s="419"/>
      <c r="I21" s="420"/>
      <c r="J21" s="421" t="s">
        <v>971</v>
      </c>
      <c r="K21" s="418"/>
      <c r="L21" s="387" t="str">
        <f>T4</f>
        <v>장효주</v>
      </c>
      <c r="M21" s="387"/>
      <c r="N21" s="387"/>
      <c r="O21" s="421" t="s">
        <v>69</v>
      </c>
      <c r="P21" s="418"/>
      <c r="Q21" s="387" t="str">
        <f>C3</f>
        <v>디알모터스(파주)</v>
      </c>
      <c r="R21" s="387"/>
      <c r="S21" s="387"/>
      <c r="T21" s="387"/>
      <c r="U21" s="388"/>
    </row>
    <row r="22" spans="1:21" ht="20.100000000000001" customHeight="1" x14ac:dyDescent="0.3">
      <c r="A22" s="428" t="s">
        <v>3390</v>
      </c>
      <c r="B22" s="428"/>
      <c r="C22" s="428"/>
      <c r="D22" s="428"/>
      <c r="E22" s="428"/>
      <c r="F22" s="428"/>
      <c r="G22" s="428"/>
      <c r="H22" s="428"/>
      <c r="I22" s="428"/>
      <c r="J22" s="428"/>
      <c r="K22" s="428"/>
      <c r="L22" s="428"/>
      <c r="M22" s="428"/>
      <c r="N22" s="428"/>
      <c r="O22" s="428"/>
      <c r="P22" s="428"/>
      <c r="Q22" s="428"/>
      <c r="R22" s="428"/>
      <c r="S22" s="428"/>
      <c r="T22" s="428"/>
      <c r="U22" s="428"/>
    </row>
    <row r="23" spans="1:21" ht="20.100000000000001" customHeight="1" thickBot="1" x14ac:dyDescent="0.35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1:21" ht="24" customHeight="1" thickBot="1" x14ac:dyDescent="0.3">
      <c r="A24" s="298"/>
      <c r="B24" s="299"/>
      <c r="C24" s="299"/>
      <c r="D24" s="299"/>
      <c r="E24" s="299"/>
      <c r="F24" s="299"/>
      <c r="G24" s="299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00" t="s">
        <v>1226</v>
      </c>
      <c r="R24" s="300"/>
      <c r="S24" s="430">
        <f>S1</f>
        <v>0</v>
      </c>
      <c r="T24" s="430"/>
      <c r="U24" s="431"/>
    </row>
    <row r="25" spans="1:21" x14ac:dyDescent="0.3">
      <c r="A25" s="303" t="s">
        <v>70</v>
      </c>
      <c r="B25" s="304"/>
      <c r="C25" s="305" t="str">
        <f>C2</f>
        <v>농협 3520106511413</v>
      </c>
      <c r="D25" s="306"/>
      <c r="E25" s="306"/>
      <c r="F25" s="306"/>
      <c r="G25" s="307"/>
      <c r="H25" s="305" t="s">
        <v>81</v>
      </c>
      <c r="I25" s="306"/>
      <c r="J25" s="306"/>
      <c r="K25" s="306"/>
      <c r="L25" s="306"/>
      <c r="M25" s="306"/>
      <c r="N25" s="306"/>
      <c r="O25" s="307"/>
      <c r="P25" s="308" t="s">
        <v>68</v>
      </c>
      <c r="Q25" s="309"/>
      <c r="R25" s="309"/>
      <c r="S25" s="304"/>
      <c r="T25" s="310">
        <f>T2</f>
        <v>45884</v>
      </c>
      <c r="U25" s="311"/>
    </row>
    <row r="26" spans="1:21" ht="24.95" customHeight="1" x14ac:dyDescent="0.3">
      <c r="A26" s="321" t="s">
        <v>1194</v>
      </c>
      <c r="B26" s="37" t="s">
        <v>64</v>
      </c>
      <c r="C26" s="324" t="str">
        <f>C3</f>
        <v>디알모터스(파주)</v>
      </c>
      <c r="D26" s="325"/>
      <c r="E26" s="325"/>
      <c r="F26" s="325"/>
      <c r="G26" s="325"/>
      <c r="H26" s="325"/>
      <c r="I26" s="325"/>
      <c r="J26" s="326"/>
      <c r="K26" s="327" t="s">
        <v>1195</v>
      </c>
      <c r="L26" s="37" t="s">
        <v>64</v>
      </c>
      <c r="M26" s="330" t="s">
        <v>970</v>
      </c>
      <c r="N26" s="331"/>
      <c r="O26" s="331"/>
      <c r="P26" s="331"/>
      <c r="Q26" s="331"/>
      <c r="R26" s="331"/>
      <c r="S26" s="331"/>
      <c r="T26" s="331"/>
      <c r="U26" s="332"/>
    </row>
    <row r="27" spans="1:21" ht="24.95" customHeight="1" x14ac:dyDescent="0.3">
      <c r="A27" s="322"/>
      <c r="B27" s="37" t="s">
        <v>66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28"/>
      <c r="L27" s="37" t="s">
        <v>66</v>
      </c>
      <c r="M27" s="312" t="s">
        <v>968</v>
      </c>
      <c r="N27" s="313"/>
      <c r="O27" s="313"/>
      <c r="P27" s="313"/>
      <c r="Q27" s="313"/>
      <c r="R27" s="314"/>
      <c r="S27" s="38" t="s">
        <v>67</v>
      </c>
      <c r="T27" s="312" t="s">
        <v>78</v>
      </c>
      <c r="U27" s="315"/>
    </row>
    <row r="28" spans="1:21" ht="24.95" customHeight="1" x14ac:dyDescent="0.3">
      <c r="A28" s="322"/>
      <c r="B28" s="38" t="s">
        <v>10</v>
      </c>
      <c r="C28" s="312" t="str">
        <f>C5</f>
        <v>경기도 파주시 동서대로 377 2동 1층</v>
      </c>
      <c r="D28" s="313"/>
      <c r="E28" s="313"/>
      <c r="F28" s="313"/>
      <c r="G28" s="313"/>
      <c r="H28" s="313"/>
      <c r="I28" s="313"/>
      <c r="J28" s="314"/>
      <c r="K28" s="328"/>
      <c r="L28" s="38" t="s">
        <v>10</v>
      </c>
      <c r="M28" s="312" t="s">
        <v>79</v>
      </c>
      <c r="N28" s="313"/>
      <c r="O28" s="313"/>
      <c r="P28" s="313"/>
      <c r="Q28" s="313"/>
      <c r="R28" s="313"/>
      <c r="S28" s="313"/>
      <c r="T28" s="313"/>
      <c r="U28" s="315"/>
    </row>
    <row r="29" spans="1:21" ht="24.95" customHeight="1" x14ac:dyDescent="0.3">
      <c r="A29" s="323"/>
      <c r="B29" s="38" t="s">
        <v>80</v>
      </c>
      <c r="C29" s="312" t="str">
        <f>C6</f>
        <v>010-7322-3574</v>
      </c>
      <c r="D29" s="313"/>
      <c r="E29" s="313"/>
      <c r="F29" s="313"/>
      <c r="G29" s="313"/>
      <c r="H29" s="313"/>
      <c r="I29" s="313"/>
      <c r="J29" s="314"/>
      <c r="K29" s="329"/>
      <c r="L29" s="38" t="s">
        <v>80</v>
      </c>
      <c r="M29" s="312" t="s">
        <v>71</v>
      </c>
      <c r="N29" s="313"/>
      <c r="O29" s="313"/>
      <c r="P29" s="313"/>
      <c r="Q29" s="313"/>
      <c r="R29" s="314"/>
      <c r="S29" s="38" t="s">
        <v>26</v>
      </c>
      <c r="T29" s="312" t="str">
        <f>T6</f>
        <v>경동(화물)</v>
      </c>
      <c r="U29" s="315"/>
    </row>
    <row r="30" spans="1:21" ht="15.6" customHeight="1" x14ac:dyDescent="0.3">
      <c r="A30" s="316" t="s">
        <v>75</v>
      </c>
      <c r="B30" s="317"/>
      <c r="C30" s="317"/>
      <c r="D30" s="317"/>
      <c r="E30" s="318"/>
      <c r="F30" s="319" t="s">
        <v>48</v>
      </c>
      <c r="G30" s="317"/>
      <c r="H30" s="317"/>
      <c r="I30" s="318"/>
      <c r="J30" s="319" t="s">
        <v>46</v>
      </c>
      <c r="K30" s="317"/>
      <c r="L30" s="317"/>
      <c r="M30" s="317"/>
      <c r="N30" s="318"/>
      <c r="O30" s="317" t="s">
        <v>54</v>
      </c>
      <c r="P30" s="318"/>
      <c r="Q30" s="319" t="s">
        <v>74</v>
      </c>
      <c r="R30" s="317"/>
      <c r="S30" s="318"/>
      <c r="T30" s="319" t="s">
        <v>73</v>
      </c>
      <c r="U30" s="320"/>
    </row>
    <row r="31" spans="1:21" ht="15.6" customHeight="1" x14ac:dyDescent="0.3">
      <c r="A31" s="404" t="str">
        <f>A8</f>
        <v>VGSNAG3_Repair</v>
      </c>
      <c r="B31" s="405"/>
      <c r="C31" s="405"/>
      <c r="D31" s="405"/>
      <c r="E31" s="405"/>
      <c r="F31" s="405">
        <f>F8</f>
        <v>0</v>
      </c>
      <c r="G31" s="405"/>
      <c r="H31" s="405"/>
      <c r="I31" s="405"/>
      <c r="J31" s="409">
        <f>J8</f>
        <v>650000</v>
      </c>
      <c r="K31" s="409"/>
      <c r="L31" s="409"/>
      <c r="M31" s="409"/>
      <c r="N31" s="409"/>
      <c r="O31" s="409">
        <f>O8</f>
        <v>1</v>
      </c>
      <c r="P31" s="409"/>
      <c r="Q31" s="406">
        <f>Q8</f>
        <v>65000</v>
      </c>
      <c r="R31" s="406"/>
      <c r="S31" s="406"/>
      <c r="T31" s="407">
        <f>T8</f>
        <v>715000</v>
      </c>
      <c r="U31" s="408"/>
    </row>
    <row r="32" spans="1:21" ht="15.6" customHeight="1" x14ac:dyDescent="0.3">
      <c r="A32" s="399" t="str">
        <f t="shared" ref="A32:A38" si="0">A9</f>
        <v>ZF_9G_Oilpan</v>
      </c>
      <c r="B32" s="400"/>
      <c r="C32" s="400"/>
      <c r="D32" s="400"/>
      <c r="E32" s="400"/>
      <c r="F32" s="400" t="str">
        <f t="shared" ref="F32:F38" si="1">F9</f>
        <v>7252703114-1</v>
      </c>
      <c r="G32" s="400"/>
      <c r="H32" s="400"/>
      <c r="I32" s="400"/>
      <c r="J32" s="410">
        <f t="shared" ref="J32:J38" si="2">J9</f>
        <v>129000</v>
      </c>
      <c r="K32" s="410"/>
      <c r="L32" s="410"/>
      <c r="M32" s="410"/>
      <c r="N32" s="410"/>
      <c r="O32" s="410">
        <f t="shared" ref="O32:O38" si="3">O9</f>
        <v>1</v>
      </c>
      <c r="P32" s="410"/>
      <c r="Q32" s="401">
        <f t="shared" ref="Q32:Q38" si="4">Q9</f>
        <v>12900</v>
      </c>
      <c r="R32" s="401"/>
      <c r="S32" s="401"/>
      <c r="T32" s="402">
        <f t="shared" ref="T32:T38" si="5">T9</f>
        <v>141900</v>
      </c>
      <c r="U32" s="403"/>
    </row>
    <row r="33" spans="1:21" ht="15.6" customHeight="1" x14ac:dyDescent="0.3">
      <c r="A33" s="399">
        <f t="shared" si="0"/>
        <v>0</v>
      </c>
      <c r="B33" s="400"/>
      <c r="C33" s="400"/>
      <c r="D33" s="400"/>
      <c r="E33" s="400"/>
      <c r="F33" s="400">
        <f t="shared" si="1"/>
        <v>0</v>
      </c>
      <c r="G33" s="400"/>
      <c r="H33" s="400"/>
      <c r="I33" s="400"/>
      <c r="J33" s="410">
        <f t="shared" si="2"/>
        <v>0</v>
      </c>
      <c r="K33" s="410"/>
      <c r="L33" s="410"/>
      <c r="M33" s="410"/>
      <c r="N33" s="410"/>
      <c r="O33" s="410">
        <f t="shared" si="3"/>
        <v>0</v>
      </c>
      <c r="P33" s="410"/>
      <c r="Q33" s="401">
        <f t="shared" si="4"/>
        <v>0</v>
      </c>
      <c r="R33" s="401"/>
      <c r="S33" s="401"/>
      <c r="T33" s="402">
        <f t="shared" si="5"/>
        <v>0</v>
      </c>
      <c r="U33" s="403"/>
    </row>
    <row r="34" spans="1:21" ht="15.6" customHeight="1" x14ac:dyDescent="0.3">
      <c r="A34" s="399">
        <f t="shared" si="0"/>
        <v>0</v>
      </c>
      <c r="B34" s="400"/>
      <c r="C34" s="400"/>
      <c r="D34" s="400"/>
      <c r="E34" s="400"/>
      <c r="F34" s="400">
        <f t="shared" si="1"/>
        <v>0</v>
      </c>
      <c r="G34" s="400"/>
      <c r="H34" s="400"/>
      <c r="I34" s="400"/>
      <c r="J34" s="410">
        <f t="shared" si="2"/>
        <v>0</v>
      </c>
      <c r="K34" s="410"/>
      <c r="L34" s="410"/>
      <c r="M34" s="410"/>
      <c r="N34" s="410"/>
      <c r="O34" s="410">
        <f t="shared" si="3"/>
        <v>0</v>
      </c>
      <c r="P34" s="410"/>
      <c r="Q34" s="401">
        <f t="shared" si="4"/>
        <v>0</v>
      </c>
      <c r="R34" s="401"/>
      <c r="S34" s="401"/>
      <c r="T34" s="402">
        <f t="shared" si="5"/>
        <v>0</v>
      </c>
      <c r="U34" s="403"/>
    </row>
    <row r="35" spans="1:21" ht="15.6" customHeight="1" x14ac:dyDescent="0.3">
      <c r="A35" s="399">
        <f t="shared" si="0"/>
        <v>0</v>
      </c>
      <c r="B35" s="400"/>
      <c r="C35" s="400"/>
      <c r="D35" s="400"/>
      <c r="E35" s="400"/>
      <c r="F35" s="400">
        <f t="shared" si="1"/>
        <v>0</v>
      </c>
      <c r="G35" s="400"/>
      <c r="H35" s="400"/>
      <c r="I35" s="400"/>
      <c r="J35" s="410">
        <f t="shared" si="2"/>
        <v>0</v>
      </c>
      <c r="K35" s="410"/>
      <c r="L35" s="410"/>
      <c r="M35" s="410"/>
      <c r="N35" s="410"/>
      <c r="O35" s="410">
        <f t="shared" si="3"/>
        <v>0</v>
      </c>
      <c r="P35" s="410"/>
      <c r="Q35" s="401">
        <f t="shared" si="4"/>
        <v>0</v>
      </c>
      <c r="R35" s="401"/>
      <c r="S35" s="401"/>
      <c r="T35" s="402">
        <f t="shared" si="5"/>
        <v>0</v>
      </c>
      <c r="U35" s="403"/>
    </row>
    <row r="36" spans="1:21" ht="15.6" customHeight="1" x14ac:dyDescent="0.3">
      <c r="A36" s="399">
        <f t="shared" si="0"/>
        <v>0</v>
      </c>
      <c r="B36" s="400"/>
      <c r="C36" s="400"/>
      <c r="D36" s="400"/>
      <c r="E36" s="400"/>
      <c r="F36" s="400">
        <f t="shared" si="1"/>
        <v>0</v>
      </c>
      <c r="G36" s="400"/>
      <c r="H36" s="400"/>
      <c r="I36" s="400"/>
      <c r="J36" s="410">
        <f t="shared" si="2"/>
        <v>0</v>
      </c>
      <c r="K36" s="410"/>
      <c r="L36" s="410"/>
      <c r="M36" s="410"/>
      <c r="N36" s="410"/>
      <c r="O36" s="410">
        <f t="shared" si="3"/>
        <v>0</v>
      </c>
      <c r="P36" s="410"/>
      <c r="Q36" s="401">
        <f t="shared" si="4"/>
        <v>0</v>
      </c>
      <c r="R36" s="401"/>
      <c r="S36" s="401"/>
      <c r="T36" s="402">
        <f t="shared" si="5"/>
        <v>0</v>
      </c>
      <c r="U36" s="403"/>
    </row>
    <row r="37" spans="1:21" ht="15.6" customHeight="1" x14ac:dyDescent="0.3">
      <c r="A37" s="399">
        <f t="shared" si="0"/>
        <v>0</v>
      </c>
      <c r="B37" s="400"/>
      <c r="C37" s="400"/>
      <c r="D37" s="400"/>
      <c r="E37" s="400"/>
      <c r="F37" s="400">
        <f t="shared" si="1"/>
        <v>0</v>
      </c>
      <c r="G37" s="400"/>
      <c r="H37" s="400"/>
      <c r="I37" s="400"/>
      <c r="J37" s="410">
        <f t="shared" si="2"/>
        <v>0</v>
      </c>
      <c r="K37" s="410"/>
      <c r="L37" s="410"/>
      <c r="M37" s="410"/>
      <c r="N37" s="410"/>
      <c r="O37" s="410">
        <f t="shared" si="3"/>
        <v>0</v>
      </c>
      <c r="P37" s="410"/>
      <c r="Q37" s="401">
        <f t="shared" si="4"/>
        <v>0</v>
      </c>
      <c r="R37" s="401"/>
      <c r="S37" s="401"/>
      <c r="T37" s="402">
        <f t="shared" si="5"/>
        <v>0</v>
      </c>
      <c r="U37" s="403"/>
    </row>
    <row r="38" spans="1:21" ht="15.6" customHeight="1" thickBot="1" x14ac:dyDescent="0.35">
      <c r="A38" s="411">
        <f t="shared" si="0"/>
        <v>0</v>
      </c>
      <c r="B38" s="412"/>
      <c r="C38" s="412"/>
      <c r="D38" s="412"/>
      <c r="E38" s="412"/>
      <c r="F38" s="412">
        <f t="shared" si="1"/>
        <v>0</v>
      </c>
      <c r="G38" s="412"/>
      <c r="H38" s="412"/>
      <c r="I38" s="412"/>
      <c r="J38" s="416">
        <f t="shared" si="2"/>
        <v>0</v>
      </c>
      <c r="K38" s="416"/>
      <c r="L38" s="416"/>
      <c r="M38" s="416"/>
      <c r="N38" s="416"/>
      <c r="O38" s="416">
        <f t="shared" si="3"/>
        <v>0</v>
      </c>
      <c r="P38" s="416"/>
      <c r="Q38" s="413">
        <f t="shared" si="4"/>
        <v>0</v>
      </c>
      <c r="R38" s="413"/>
      <c r="S38" s="413"/>
      <c r="T38" s="414">
        <f t="shared" si="5"/>
        <v>0</v>
      </c>
      <c r="U38" s="415"/>
    </row>
    <row r="39" spans="1:21" ht="15" customHeight="1" thickTop="1" x14ac:dyDescent="0.3">
      <c r="A39" s="369" t="s">
        <v>2367</v>
      </c>
      <c r="B39" s="370"/>
      <c r="C39" s="370"/>
      <c r="D39" s="370"/>
      <c r="E39" s="371"/>
      <c r="F39" s="378">
        <f>F16</f>
        <v>0</v>
      </c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379"/>
      <c r="T39" s="379"/>
      <c r="U39" s="380"/>
    </row>
    <row r="40" spans="1:21" ht="15" customHeight="1" x14ac:dyDescent="0.3">
      <c r="A40" s="372"/>
      <c r="B40" s="373"/>
      <c r="C40" s="373"/>
      <c r="D40" s="373"/>
      <c r="E40" s="374"/>
      <c r="F40" s="381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2"/>
      <c r="R40" s="382"/>
      <c r="S40" s="382"/>
      <c r="T40" s="382"/>
      <c r="U40" s="383"/>
    </row>
    <row r="41" spans="1:21" ht="15" customHeight="1" x14ac:dyDescent="0.3">
      <c r="A41" s="372"/>
      <c r="B41" s="373"/>
      <c r="C41" s="373"/>
      <c r="D41" s="373"/>
      <c r="E41" s="374"/>
      <c r="F41" s="381"/>
      <c r="G41" s="382"/>
      <c r="H41" s="382"/>
      <c r="I41" s="382"/>
      <c r="J41" s="382"/>
      <c r="K41" s="382"/>
      <c r="L41" s="382"/>
      <c r="M41" s="382"/>
      <c r="N41" s="382"/>
      <c r="O41" s="382"/>
      <c r="P41" s="382"/>
      <c r="Q41" s="382"/>
      <c r="R41" s="382"/>
      <c r="S41" s="382"/>
      <c r="T41" s="382"/>
      <c r="U41" s="383"/>
    </row>
    <row r="42" spans="1:21" ht="15" customHeight="1" x14ac:dyDescent="0.3">
      <c r="A42" s="375"/>
      <c r="B42" s="376"/>
      <c r="C42" s="376"/>
      <c r="D42" s="376"/>
      <c r="E42" s="377"/>
      <c r="F42" s="384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</row>
    <row r="43" spans="1:21" ht="20.100000000000001" customHeight="1" x14ac:dyDescent="0.3">
      <c r="A43" s="316" t="s">
        <v>86</v>
      </c>
      <c r="B43" s="317"/>
      <c r="C43" s="317"/>
      <c r="D43" s="317"/>
      <c r="E43" s="317"/>
      <c r="F43" s="393">
        <f>F20</f>
        <v>0</v>
      </c>
      <c r="G43" s="393"/>
      <c r="H43" s="393"/>
      <c r="I43" s="394"/>
      <c r="J43" s="389">
        <f>J20</f>
        <v>779000</v>
      </c>
      <c r="K43" s="390"/>
      <c r="L43" s="390"/>
      <c r="M43" s="390"/>
      <c r="N43" s="391"/>
      <c r="O43" s="427">
        <f>O20</f>
        <v>2</v>
      </c>
      <c r="P43" s="427"/>
      <c r="Q43" s="392">
        <f>Q20</f>
        <v>77900</v>
      </c>
      <c r="R43" s="393"/>
      <c r="S43" s="393"/>
      <c r="T43" s="393">
        <f>T20</f>
        <v>856900</v>
      </c>
      <c r="U43" s="395"/>
    </row>
    <row r="44" spans="1:21" ht="20.100000000000001" customHeight="1" thickBot="1" x14ac:dyDescent="0.35">
      <c r="A44" s="417" t="s">
        <v>96</v>
      </c>
      <c r="B44" s="418"/>
      <c r="C44" s="418"/>
      <c r="D44" s="418"/>
      <c r="E44" s="418"/>
      <c r="F44" s="419">
        <f>F21</f>
        <v>934800</v>
      </c>
      <c r="G44" s="419"/>
      <c r="H44" s="419"/>
      <c r="I44" s="420"/>
      <c r="J44" s="421" t="s">
        <v>971</v>
      </c>
      <c r="K44" s="418"/>
      <c r="L44" s="422" t="str">
        <f>T27</f>
        <v>장효주</v>
      </c>
      <c r="M44" s="422"/>
      <c r="N44" s="422"/>
      <c r="O44" s="421" t="s">
        <v>69</v>
      </c>
      <c r="P44" s="423"/>
      <c r="Q44" s="424" t="str">
        <f>Q21</f>
        <v>디알모터스(파주)</v>
      </c>
      <c r="R44" s="425"/>
      <c r="S44" s="425"/>
      <c r="T44" s="425"/>
      <c r="U44" s="426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D34" sqref="D34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>
        <f>SUM(G2:G6)</f>
        <v>779000</v>
      </c>
      <c r="H1" s="111">
        <f>SUM(H2:H6)</f>
        <v>2</v>
      </c>
      <c r="I1" s="111">
        <f>SUM(I2:I6)</f>
        <v>77900</v>
      </c>
      <c r="J1" s="111">
        <f>SUM(J2:J6)</f>
        <v>856900</v>
      </c>
      <c r="K1" s="112" t="s">
        <v>4</v>
      </c>
      <c r="L1" s="100">
        <v>3</v>
      </c>
    </row>
    <row r="2" spans="1:12" x14ac:dyDescent="0.3">
      <c r="A2" s="47">
        <v>1</v>
      </c>
      <c r="B2" s="47" t="s">
        <v>3378</v>
      </c>
      <c r="C2" s="47" t="s">
        <v>3381</v>
      </c>
      <c r="E2" t="s">
        <v>2349</v>
      </c>
      <c r="G2">
        <v>650000</v>
      </c>
      <c r="H2">
        <v>1</v>
      </c>
      <c r="I2" s="233">
        <v>65000</v>
      </c>
      <c r="J2" s="233">
        <v>715000</v>
      </c>
    </row>
    <row r="3" spans="1:12" x14ac:dyDescent="0.3">
      <c r="A3" s="47">
        <v>2</v>
      </c>
      <c r="B3" s="47" t="s">
        <v>3378</v>
      </c>
      <c r="C3" s="47" t="s">
        <v>3381</v>
      </c>
      <c r="D3" t="s">
        <v>2862</v>
      </c>
      <c r="E3" t="s">
        <v>2959</v>
      </c>
      <c r="F3" t="s">
        <v>2862</v>
      </c>
      <c r="G3">
        <v>129000</v>
      </c>
      <c r="H3">
        <v>1</v>
      </c>
      <c r="I3" s="233">
        <v>12900</v>
      </c>
      <c r="J3" s="233">
        <v>141900</v>
      </c>
    </row>
    <row r="4" spans="1:12" x14ac:dyDescent="0.3">
      <c r="I4" s="233"/>
      <c r="J4" s="233"/>
    </row>
    <row r="5" spans="1:12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2" t="s">
        <v>53</v>
      </c>
      <c r="C4" s="433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4" t="s">
        <v>93</v>
      </c>
      <c r="C28" s="435"/>
      <c r="D28" s="435"/>
      <c r="E28" s="436"/>
      <c r="F28" s="435"/>
      <c r="G28" s="435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0" t="s">
        <v>1590</v>
      </c>
      <c r="F6" s="440"/>
      <c r="G6" s="440"/>
      <c r="H6" s="440"/>
      <c r="I6" s="440"/>
      <c r="J6" s="440"/>
      <c r="K6" s="440"/>
    </row>
    <row r="7" spans="5:11" x14ac:dyDescent="0.3"/>
    <row r="8" spans="5:11" x14ac:dyDescent="0.3"/>
    <row r="9" spans="5:11" x14ac:dyDescent="0.3">
      <c r="G9" s="437"/>
      <c r="H9" s="437"/>
      <c r="I9" s="437"/>
      <c r="J9" s="437"/>
    </row>
    <row r="10" spans="5:11" ht="33" customHeight="1" x14ac:dyDescent="0.3">
      <c r="F10" s="124"/>
      <c r="G10" s="438"/>
      <c r="H10" s="439"/>
      <c r="I10" s="439"/>
      <c r="J10" s="439"/>
    </row>
    <row r="11" spans="5:11" x14ac:dyDescent="0.3"/>
    <row r="12" spans="5:11" ht="32.25" customHeight="1" x14ac:dyDescent="0.3">
      <c r="F12" s="125"/>
      <c r="G12" s="438" t="s">
        <v>1591</v>
      </c>
      <c r="H12" s="439"/>
      <c r="I12" s="439"/>
      <c r="J12" s="439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270"/>
  <sheetViews>
    <sheetView workbookViewId="0">
      <pane xSplit="1" ySplit="1" topLeftCell="B1245" activePane="bottomRight" state="frozen"/>
      <selection activeCell="N26" sqref="N26"/>
      <selection pane="topRight" activeCell="N26" sqref="N26"/>
      <selection pane="bottomLeft" activeCell="N26" sqref="N26"/>
      <selection pane="bottomRight" activeCell="M1267" sqref="M1267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1269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3263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3263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3263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3263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3263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3263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3263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3263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3263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3263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3263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3263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3263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3263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3263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3263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3263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3263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3263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3263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3263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3263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3263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3263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3263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3263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3263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3263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3263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3263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3263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3263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3263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3263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3263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3263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3263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3263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3263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3263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3263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3263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3263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3263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3263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3263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3263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3263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3263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3263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3263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3263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3263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3263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3263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3263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3263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3263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3263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  <c r="N878" t="s">
        <v>3313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3263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3263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3263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  <c r="N884" t="s">
        <v>3313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3263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  <c r="N886" t="s">
        <v>3313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  <c r="N887" t="s">
        <v>3313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  <c r="N888" t="s">
        <v>3313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  <c r="N889" t="s">
        <v>3313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  <c r="N890" t="s">
        <v>3313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  <c r="N895" t="s">
        <v>3313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  <c r="N896" t="s">
        <v>3313</v>
      </c>
    </row>
    <row r="897" spans="1:14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  <c r="N897" t="s">
        <v>3313</v>
      </c>
    </row>
    <row r="898" spans="1:14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  <c r="N898" t="s">
        <v>3313</v>
      </c>
    </row>
    <row r="899" spans="1:14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  <c r="N899" t="s">
        <v>3313</v>
      </c>
    </row>
    <row r="900" spans="1:14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  <c r="N900" t="s">
        <v>3313</v>
      </c>
    </row>
    <row r="901" spans="1:14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  <c r="N901" t="s">
        <v>3313</v>
      </c>
    </row>
    <row r="902" spans="1:14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  <c r="N902" t="s">
        <v>3313</v>
      </c>
    </row>
    <row r="903" spans="1:14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  <c r="N903" t="s">
        <v>3313</v>
      </c>
    </row>
    <row r="904" spans="1:14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4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  <c r="N905" t="s">
        <v>3313</v>
      </c>
    </row>
    <row r="906" spans="1:14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  <c r="N906" t="s">
        <v>3313</v>
      </c>
    </row>
    <row r="907" spans="1:14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  <c r="N907" t="s">
        <v>3313</v>
      </c>
    </row>
    <row r="908" spans="1:14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  <c r="N908" t="s">
        <v>3313</v>
      </c>
    </row>
    <row r="909" spans="1:14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  <c r="N909" t="s">
        <v>3313</v>
      </c>
    </row>
    <row r="910" spans="1:14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  <c r="N910" t="s">
        <v>3313</v>
      </c>
    </row>
    <row r="911" spans="1:14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  <c r="N911" t="s">
        <v>3313</v>
      </c>
    </row>
    <row r="912" spans="1:14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  <c r="N912" t="s">
        <v>3313</v>
      </c>
    </row>
    <row r="913" spans="1:14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  <c r="N913" t="s">
        <v>3313</v>
      </c>
    </row>
    <row r="914" spans="1:14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  <c r="N914" t="s">
        <v>3313</v>
      </c>
    </row>
    <row r="915" spans="1:14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  <c r="N915" t="s">
        <v>3313</v>
      </c>
    </row>
    <row r="916" spans="1:14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  <c r="N916" t="s">
        <v>3313</v>
      </c>
    </row>
    <row r="917" spans="1:14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  <c r="N917" t="s">
        <v>3313</v>
      </c>
    </row>
    <row r="918" spans="1:14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4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4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4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  <c r="N921" t="s">
        <v>3313</v>
      </c>
    </row>
    <row r="922" spans="1:14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4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4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  <c r="N924" t="s">
        <v>3313</v>
      </c>
    </row>
    <row r="925" spans="1:14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4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4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  <c r="N927" t="s">
        <v>3313</v>
      </c>
    </row>
    <row r="928" spans="1:14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  <c r="N928" t="s">
        <v>3313</v>
      </c>
    </row>
    <row r="929" spans="1:14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  <c r="N929" t="s">
        <v>3313</v>
      </c>
    </row>
    <row r="930" spans="1:14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  <c r="N930" t="s">
        <v>3313</v>
      </c>
    </row>
    <row r="931" spans="1:14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  <c r="N931" t="s">
        <v>3313</v>
      </c>
    </row>
    <row r="932" spans="1:14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  <c r="N932" t="s">
        <v>3313</v>
      </c>
    </row>
    <row r="933" spans="1:14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  <c r="N933" t="s">
        <v>3313</v>
      </c>
    </row>
    <row r="934" spans="1:14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  <c r="N934" t="s">
        <v>3313</v>
      </c>
    </row>
    <row r="935" spans="1:14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4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4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4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  <c r="N938" t="s">
        <v>3313</v>
      </c>
    </row>
    <row r="939" spans="1:14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  <c r="N939" t="s">
        <v>3313</v>
      </c>
    </row>
    <row r="940" spans="1:14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  <c r="N940" t="s">
        <v>3313</v>
      </c>
    </row>
    <row r="941" spans="1:14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  <c r="N941" t="s">
        <v>3313</v>
      </c>
    </row>
    <row r="942" spans="1:14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  <c r="N942" t="s">
        <v>3313</v>
      </c>
    </row>
    <row r="943" spans="1:14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  <c r="N943" t="s">
        <v>3313</v>
      </c>
    </row>
    <row r="944" spans="1:14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  <c r="N944" t="s">
        <v>3313</v>
      </c>
    </row>
    <row r="945" spans="1:14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  <c r="N945" t="s">
        <v>3313</v>
      </c>
    </row>
    <row r="946" spans="1:14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  <c r="N946" t="s">
        <v>3313</v>
      </c>
    </row>
    <row r="947" spans="1:14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  <c r="N947" t="s">
        <v>3313</v>
      </c>
    </row>
    <row r="948" spans="1:14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  <c r="N948" t="s">
        <v>3313</v>
      </c>
    </row>
    <row r="949" spans="1:14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  <c r="N949" t="s">
        <v>3313</v>
      </c>
    </row>
    <row r="950" spans="1:14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  <c r="N950" t="s">
        <v>3313</v>
      </c>
    </row>
    <row r="951" spans="1:14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4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4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4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  <c r="N954" t="s">
        <v>3313</v>
      </c>
    </row>
    <row r="955" spans="1:14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  <c r="N955" t="s">
        <v>3313</v>
      </c>
    </row>
    <row r="956" spans="1:14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  <c r="N956" t="s">
        <v>3313</v>
      </c>
    </row>
    <row r="957" spans="1:14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  <c r="N957" t="s">
        <v>3313</v>
      </c>
    </row>
    <row r="958" spans="1:14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  <c r="N958" t="s">
        <v>3313</v>
      </c>
    </row>
    <row r="959" spans="1:14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  <c r="N959" t="s">
        <v>3313</v>
      </c>
    </row>
    <row r="960" spans="1:14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4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4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4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4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4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4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4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  <c r="N967" t="s">
        <v>3313</v>
      </c>
    </row>
    <row r="968" spans="1:14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  <c r="N968" t="s">
        <v>3313</v>
      </c>
    </row>
    <row r="969" spans="1:14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  <c r="N969" t="s">
        <v>3313</v>
      </c>
    </row>
    <row r="970" spans="1:14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  <c r="N970" t="s">
        <v>3313</v>
      </c>
    </row>
    <row r="971" spans="1:14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  <c r="N971" t="s">
        <v>3313</v>
      </c>
    </row>
    <row r="972" spans="1:14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  <c r="N972" t="s">
        <v>3313</v>
      </c>
    </row>
    <row r="973" spans="1:14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  <c r="N973" t="s">
        <v>3313</v>
      </c>
    </row>
    <row r="974" spans="1:14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  <c r="N974" t="s">
        <v>3313</v>
      </c>
    </row>
    <row r="975" spans="1:14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  <c r="N975" t="s">
        <v>3313</v>
      </c>
    </row>
    <row r="976" spans="1:14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  <c r="N976" t="s">
        <v>3313</v>
      </c>
    </row>
    <row r="977" spans="1:14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  <c r="N977" t="s">
        <v>3313</v>
      </c>
    </row>
    <row r="978" spans="1:14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  <c r="N978" t="s">
        <v>3313</v>
      </c>
    </row>
    <row r="979" spans="1:14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  <c r="N979" t="s">
        <v>3313</v>
      </c>
    </row>
    <row r="980" spans="1:14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  <c r="N980" t="s">
        <v>3313</v>
      </c>
    </row>
    <row r="981" spans="1:14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  <c r="N981" t="s">
        <v>3313</v>
      </c>
    </row>
    <row r="982" spans="1:14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  <c r="N982" t="s">
        <v>3313</v>
      </c>
    </row>
    <row r="983" spans="1:14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4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4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  <c r="N985" t="s">
        <v>3313</v>
      </c>
    </row>
    <row r="986" spans="1:14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4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4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  <c r="N988" t="s">
        <v>3313</v>
      </c>
    </row>
    <row r="989" spans="1:14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  <c r="N989" t="s">
        <v>3313</v>
      </c>
    </row>
    <row r="990" spans="1:14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  <c r="N990" t="s">
        <v>3313</v>
      </c>
    </row>
    <row r="991" spans="1:14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  <c r="N991" t="s">
        <v>3313</v>
      </c>
    </row>
    <row r="992" spans="1:14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  <c r="N992" t="s">
        <v>3313</v>
      </c>
    </row>
    <row r="993" spans="1:14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4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4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  <c r="N995" t="s">
        <v>3313</v>
      </c>
    </row>
    <row r="996" spans="1:14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4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  <c r="N997" t="s">
        <v>3313</v>
      </c>
    </row>
    <row r="998" spans="1:14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  <c r="N998" t="s">
        <v>3313</v>
      </c>
    </row>
    <row r="999" spans="1:14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  <c r="N999" t="s">
        <v>3313</v>
      </c>
    </row>
    <row r="1000" spans="1:14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  <c r="N1000" t="s">
        <v>3313</v>
      </c>
    </row>
    <row r="1001" spans="1:14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  <c r="N1001" t="s">
        <v>3313</v>
      </c>
    </row>
    <row r="1002" spans="1:14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  <c r="N1002" t="s">
        <v>3313</v>
      </c>
    </row>
    <row r="1003" spans="1:14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  <c r="N1003" t="s">
        <v>3313</v>
      </c>
    </row>
    <row r="1004" spans="1:14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  <c r="N1004" t="s">
        <v>3313</v>
      </c>
    </row>
    <row r="1005" spans="1:14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  <c r="N1005" t="s">
        <v>3313</v>
      </c>
    </row>
    <row r="1006" spans="1:14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  <c r="N1006" t="s">
        <v>3313</v>
      </c>
    </row>
    <row r="1007" spans="1:14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4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4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  <c r="N1009" t="s">
        <v>3313</v>
      </c>
    </row>
    <row r="1010" spans="1:14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  <c r="N1010" t="s">
        <v>3313</v>
      </c>
    </row>
    <row r="1011" spans="1:14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  <c r="N1011" t="s">
        <v>3313</v>
      </c>
    </row>
    <row r="1012" spans="1:14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  <c r="N1012" t="s">
        <v>3313</v>
      </c>
    </row>
    <row r="1013" spans="1:14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  <c r="N1013" t="s">
        <v>3313</v>
      </c>
    </row>
    <row r="1014" spans="1:14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  <c r="N1014" t="s">
        <v>3313</v>
      </c>
    </row>
    <row r="1015" spans="1:14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  <c r="N1015" t="s">
        <v>3313</v>
      </c>
    </row>
    <row r="1016" spans="1:14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  <c r="N1016" t="s">
        <v>3313</v>
      </c>
    </row>
    <row r="1017" spans="1:14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  <c r="N1017" t="s">
        <v>3313</v>
      </c>
    </row>
    <row r="1018" spans="1:14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  <c r="N1018" t="s">
        <v>3313</v>
      </c>
    </row>
    <row r="1019" spans="1:14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  <c r="N1019" t="s">
        <v>3313</v>
      </c>
    </row>
    <row r="1020" spans="1:14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  <c r="N1020" t="s">
        <v>3313</v>
      </c>
    </row>
    <row r="1021" spans="1:14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4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4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4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4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  <c r="N1025" t="s">
        <v>3313</v>
      </c>
    </row>
    <row r="1026" spans="1:14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  <c r="N1026" t="s">
        <v>3313</v>
      </c>
    </row>
    <row r="1027" spans="1:14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  <c r="N1027" t="s">
        <v>3313</v>
      </c>
    </row>
    <row r="1028" spans="1:14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  <c r="N1028" t="s">
        <v>3313</v>
      </c>
    </row>
    <row r="1029" spans="1:14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  <c r="N1029" t="s">
        <v>3313</v>
      </c>
    </row>
    <row r="1030" spans="1:14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  <c r="N1030" t="s">
        <v>3313</v>
      </c>
    </row>
    <row r="1031" spans="1:14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  <c r="N1031" t="s">
        <v>3313</v>
      </c>
    </row>
    <row r="1032" spans="1:14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  <c r="N1032" t="s">
        <v>3313</v>
      </c>
    </row>
    <row r="1033" spans="1:14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  <c r="N1033" t="s">
        <v>3313</v>
      </c>
    </row>
    <row r="1034" spans="1:14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  <c r="N1034" t="s">
        <v>3313</v>
      </c>
    </row>
    <row r="1035" spans="1:14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4" x14ac:dyDescent="0.3">
      <c r="A1036" s="58">
        <v>1034</v>
      </c>
      <c r="B1036" s="272">
        <v>45862</v>
      </c>
      <c r="C1036" s="279" t="s">
        <v>3224</v>
      </c>
      <c r="E1036" s="279" t="s">
        <v>3225</v>
      </c>
      <c r="G1036" s="274">
        <v>50000</v>
      </c>
      <c r="H1036" s="279">
        <v>1</v>
      </c>
      <c r="K1036" s="274">
        <v>50000</v>
      </c>
      <c r="N1036" t="s">
        <v>3313</v>
      </c>
    </row>
    <row r="1037" spans="1:14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  <c r="N1037" t="s">
        <v>3313</v>
      </c>
    </row>
    <row r="1038" spans="1:14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  <c r="N1038" t="s">
        <v>3313</v>
      </c>
    </row>
    <row r="1039" spans="1:14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  <c r="N1039" t="s">
        <v>3313</v>
      </c>
    </row>
    <row r="1040" spans="1:14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4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  <c r="N1041" t="s">
        <v>3313</v>
      </c>
    </row>
    <row r="1042" spans="1:14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  <c r="N1042" t="s">
        <v>3313</v>
      </c>
    </row>
    <row r="1043" spans="1:14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  <c r="N1043" t="s">
        <v>3313</v>
      </c>
    </row>
    <row r="1044" spans="1:14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  <c r="N1044" t="s">
        <v>3313</v>
      </c>
    </row>
    <row r="1045" spans="1:14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  <c r="N1045" t="s">
        <v>3313</v>
      </c>
    </row>
    <row r="1046" spans="1:14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  <c r="N1046" t="s">
        <v>3313</v>
      </c>
    </row>
    <row r="1047" spans="1:14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4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4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4" x14ac:dyDescent="0.3">
      <c r="A1050" s="58">
        <v>1048</v>
      </c>
      <c r="B1050" s="272">
        <v>45863</v>
      </c>
      <c r="C1050" s="279" t="s">
        <v>1501</v>
      </c>
      <c r="E1050" s="279" t="s">
        <v>1232</v>
      </c>
      <c r="F1050" s="279" t="s">
        <v>1392</v>
      </c>
      <c r="G1050" s="274">
        <v>1300000</v>
      </c>
      <c r="H1050" s="279">
        <v>1</v>
      </c>
      <c r="K1050" s="274">
        <v>1300000</v>
      </c>
      <c r="N1050" t="s">
        <v>3313</v>
      </c>
    </row>
    <row r="1051" spans="1:14" x14ac:dyDescent="0.3">
      <c r="A1051" s="58">
        <v>1049</v>
      </c>
      <c r="B1051" s="272">
        <v>45864</v>
      </c>
      <c r="C1051" s="279" t="s">
        <v>1481</v>
      </c>
      <c r="E1051" s="279" t="s">
        <v>1780</v>
      </c>
      <c r="L1051" s="274">
        <v>-638000</v>
      </c>
    </row>
    <row r="1052" spans="1:14" x14ac:dyDescent="0.3">
      <c r="A1052" s="58">
        <v>1050</v>
      </c>
      <c r="B1052" s="272">
        <v>45864</v>
      </c>
      <c r="C1052" s="279" t="s">
        <v>1476</v>
      </c>
      <c r="E1052" s="279" t="s">
        <v>2225</v>
      </c>
      <c r="F1052" s="279" t="s">
        <v>1496</v>
      </c>
      <c r="G1052" s="274">
        <v>1500000</v>
      </c>
      <c r="H1052" s="279">
        <v>1</v>
      </c>
      <c r="K1052" s="274">
        <v>1500000</v>
      </c>
      <c r="N1052" t="s">
        <v>3313</v>
      </c>
    </row>
    <row r="1053" spans="1:14" x14ac:dyDescent="0.3">
      <c r="A1053" s="58">
        <v>1051</v>
      </c>
      <c r="B1053" s="272">
        <v>45864</v>
      </c>
      <c r="C1053" s="279" t="s">
        <v>1631</v>
      </c>
      <c r="E1053" s="279" t="s">
        <v>1780</v>
      </c>
      <c r="L1053" s="274">
        <v>-1000000</v>
      </c>
    </row>
    <row r="1054" spans="1:14" x14ac:dyDescent="0.3">
      <c r="A1054" s="58">
        <v>1052</v>
      </c>
      <c r="B1054" s="272">
        <v>45866</v>
      </c>
      <c r="C1054" s="279" t="s">
        <v>3144</v>
      </c>
      <c r="E1054" s="279" t="s">
        <v>1152</v>
      </c>
      <c r="L1054" s="274">
        <v>-1550000</v>
      </c>
    </row>
    <row r="1055" spans="1:14" x14ac:dyDescent="0.3">
      <c r="A1055" s="58">
        <v>1053</v>
      </c>
      <c r="B1055" s="272">
        <v>45866</v>
      </c>
      <c r="C1055" s="279" t="s">
        <v>1100</v>
      </c>
      <c r="E1055" s="279" t="s">
        <v>1152</v>
      </c>
      <c r="L1055" s="274">
        <v>-1550000</v>
      </c>
    </row>
    <row r="1056" spans="1:14" x14ac:dyDescent="0.3">
      <c r="A1056" s="58">
        <v>1054</v>
      </c>
      <c r="B1056" s="272">
        <v>45866</v>
      </c>
      <c r="C1056" s="279" t="s">
        <v>1781</v>
      </c>
      <c r="E1056" s="279" t="s">
        <v>1152</v>
      </c>
      <c r="L1056" s="274">
        <v>-1452000</v>
      </c>
    </row>
    <row r="1057" spans="1:14" x14ac:dyDescent="0.3">
      <c r="A1057" s="58">
        <v>1055</v>
      </c>
      <c r="B1057" s="272">
        <v>45866</v>
      </c>
      <c r="C1057" s="279" t="s">
        <v>1064</v>
      </c>
      <c r="E1057" s="279" t="s">
        <v>2148</v>
      </c>
      <c r="F1057" s="279">
        <v>2830401</v>
      </c>
      <c r="G1057" s="274">
        <v>1000000</v>
      </c>
      <c r="H1057" s="279">
        <v>1</v>
      </c>
      <c r="K1057" s="274">
        <v>1000000</v>
      </c>
      <c r="N1057" t="s">
        <v>3313</v>
      </c>
    </row>
    <row r="1058" spans="1:14" x14ac:dyDescent="0.3">
      <c r="A1058" s="58">
        <v>1056</v>
      </c>
      <c r="B1058" s="272">
        <v>45866</v>
      </c>
      <c r="C1058" s="279" t="s">
        <v>1431</v>
      </c>
      <c r="E1058" s="279" t="s">
        <v>1770</v>
      </c>
      <c r="F1058" s="279" t="s">
        <v>2953</v>
      </c>
      <c r="G1058" s="274">
        <v>500000</v>
      </c>
      <c r="H1058" s="279">
        <v>1</v>
      </c>
      <c r="K1058" s="274">
        <v>500000</v>
      </c>
      <c r="N1058" t="s">
        <v>3313</v>
      </c>
    </row>
    <row r="1059" spans="1:14" x14ac:dyDescent="0.3">
      <c r="A1059" s="58">
        <v>1057</v>
      </c>
      <c r="B1059" s="272">
        <v>45866</v>
      </c>
      <c r="C1059" s="279" t="s">
        <v>1431</v>
      </c>
      <c r="E1059" s="279" t="s">
        <v>3055</v>
      </c>
      <c r="F1059" s="279">
        <v>415089709</v>
      </c>
      <c r="G1059" s="274">
        <v>430000</v>
      </c>
      <c r="H1059" s="279">
        <v>1</v>
      </c>
      <c r="K1059" s="274">
        <v>430000</v>
      </c>
      <c r="N1059" t="s">
        <v>3313</v>
      </c>
    </row>
    <row r="1060" spans="1:14" x14ac:dyDescent="0.3">
      <c r="A1060" s="58">
        <v>1058</v>
      </c>
      <c r="B1060" s="272">
        <v>45866</v>
      </c>
      <c r="C1060" s="279" t="s">
        <v>1781</v>
      </c>
      <c r="E1060" s="279" t="s">
        <v>1769</v>
      </c>
      <c r="F1060" s="279">
        <v>2850701</v>
      </c>
      <c r="G1060" s="274">
        <v>600000</v>
      </c>
      <c r="H1060" s="279">
        <v>1</v>
      </c>
      <c r="J1060" s="275">
        <v>60000</v>
      </c>
      <c r="K1060" s="274">
        <v>660000</v>
      </c>
      <c r="N1060" t="s">
        <v>3313</v>
      </c>
    </row>
    <row r="1061" spans="1:14" x14ac:dyDescent="0.3">
      <c r="A1061" s="58">
        <v>1059</v>
      </c>
      <c r="B1061" s="272">
        <v>45866</v>
      </c>
      <c r="C1061" s="279" t="s">
        <v>1885</v>
      </c>
      <c r="E1061" s="279" t="s">
        <v>2236</v>
      </c>
      <c r="F1061" s="279" t="s">
        <v>1229</v>
      </c>
      <c r="G1061" s="274">
        <v>200000</v>
      </c>
      <c r="H1061" s="279">
        <v>1</v>
      </c>
      <c r="K1061" s="274">
        <v>200000</v>
      </c>
      <c r="N1061" t="s">
        <v>3313</v>
      </c>
    </row>
    <row r="1062" spans="1:14" x14ac:dyDescent="0.3">
      <c r="A1062" s="58">
        <v>1060</v>
      </c>
      <c r="B1062" s="272">
        <v>45866</v>
      </c>
      <c r="C1062" s="279" t="s">
        <v>1704</v>
      </c>
      <c r="E1062" s="279" t="s">
        <v>1867</v>
      </c>
      <c r="F1062" s="279">
        <v>6058008122</v>
      </c>
      <c r="G1062" s="274">
        <v>2500000</v>
      </c>
      <c r="H1062" s="279">
        <v>1</v>
      </c>
      <c r="J1062" s="275">
        <v>250000</v>
      </c>
      <c r="K1062" s="274">
        <v>2750000</v>
      </c>
      <c r="N1062" t="s">
        <v>3313</v>
      </c>
    </row>
    <row r="1063" spans="1:14" x14ac:dyDescent="0.3">
      <c r="A1063" s="58">
        <v>1061</v>
      </c>
      <c r="B1063" s="272">
        <v>45866</v>
      </c>
      <c r="C1063" s="279" t="s">
        <v>1505</v>
      </c>
      <c r="E1063" s="279" t="s">
        <v>2234</v>
      </c>
      <c r="F1063" s="279" t="s">
        <v>1236</v>
      </c>
      <c r="G1063" s="274">
        <v>500000</v>
      </c>
      <c r="H1063" s="279">
        <v>1</v>
      </c>
      <c r="K1063" s="274">
        <v>500000</v>
      </c>
      <c r="N1063" t="s">
        <v>3313</v>
      </c>
    </row>
    <row r="1064" spans="1:14" x14ac:dyDescent="0.3">
      <c r="A1064" s="58">
        <v>1062</v>
      </c>
      <c r="B1064" s="272">
        <v>45866</v>
      </c>
      <c r="C1064" s="279" t="s">
        <v>3175</v>
      </c>
      <c r="E1064" s="279" t="s">
        <v>1897</v>
      </c>
      <c r="F1064" s="279">
        <v>2830402</v>
      </c>
      <c r="G1064" s="274">
        <v>1100000</v>
      </c>
      <c r="H1064" s="279">
        <v>1</v>
      </c>
      <c r="K1064" s="274">
        <v>1100000</v>
      </c>
      <c r="N1064" t="s">
        <v>3313</v>
      </c>
    </row>
    <row r="1065" spans="1:14" x14ac:dyDescent="0.3">
      <c r="A1065" s="58">
        <v>1063</v>
      </c>
      <c r="B1065" s="272">
        <v>45866</v>
      </c>
      <c r="C1065" s="279" t="s">
        <v>1576</v>
      </c>
      <c r="E1065" s="279" t="s">
        <v>2233</v>
      </c>
      <c r="F1065" s="279" t="s">
        <v>1229</v>
      </c>
      <c r="G1065" s="274">
        <v>1400000</v>
      </c>
      <c r="H1065" s="279">
        <v>1</v>
      </c>
      <c r="K1065" s="274">
        <v>1400000</v>
      </c>
      <c r="N1065" t="s">
        <v>3313</v>
      </c>
    </row>
    <row r="1066" spans="1:14" x14ac:dyDescent="0.3">
      <c r="A1066" s="58">
        <v>1064</v>
      </c>
      <c r="B1066" s="272">
        <v>45866</v>
      </c>
      <c r="C1066" s="279" t="s">
        <v>1899</v>
      </c>
      <c r="E1066" s="279" t="s">
        <v>2227</v>
      </c>
      <c r="F1066" s="279" t="s">
        <v>1230</v>
      </c>
      <c r="G1066" s="274">
        <v>1500000</v>
      </c>
      <c r="H1066" s="279">
        <v>1</v>
      </c>
      <c r="K1066" s="274">
        <v>1500000</v>
      </c>
      <c r="N1066" t="s">
        <v>3313</v>
      </c>
    </row>
    <row r="1067" spans="1:14" x14ac:dyDescent="0.3">
      <c r="A1067" s="58">
        <v>1065</v>
      </c>
      <c r="B1067" s="272">
        <v>45866</v>
      </c>
      <c r="C1067" s="279" t="s">
        <v>1899</v>
      </c>
      <c r="E1067" s="279" t="s">
        <v>2228</v>
      </c>
      <c r="F1067" s="279" t="s">
        <v>1838</v>
      </c>
      <c r="G1067" s="274">
        <v>50000</v>
      </c>
      <c r="H1067" s="279">
        <v>1</v>
      </c>
      <c r="K1067" s="274">
        <v>50000</v>
      </c>
      <c r="N1067" t="s">
        <v>3313</v>
      </c>
    </row>
    <row r="1068" spans="1:14" x14ac:dyDescent="0.3">
      <c r="A1068" s="58">
        <v>1066</v>
      </c>
      <c r="B1068" s="272">
        <v>45866</v>
      </c>
      <c r="C1068" s="279" t="s">
        <v>1781</v>
      </c>
      <c r="E1068" s="279" t="s">
        <v>2483</v>
      </c>
      <c r="F1068" s="279" t="s">
        <v>2860</v>
      </c>
      <c r="G1068" s="274">
        <v>1100000</v>
      </c>
      <c r="H1068" s="279">
        <v>1</v>
      </c>
      <c r="J1068" s="275">
        <v>110000</v>
      </c>
      <c r="K1068" s="274">
        <v>1210000</v>
      </c>
      <c r="N1068" t="s">
        <v>3313</v>
      </c>
    </row>
    <row r="1069" spans="1:14" x14ac:dyDescent="0.3">
      <c r="A1069" s="58">
        <v>1067</v>
      </c>
      <c r="B1069" s="272">
        <v>45866</v>
      </c>
      <c r="C1069" s="279" t="s">
        <v>1781</v>
      </c>
      <c r="E1069" s="279" t="s">
        <v>1551</v>
      </c>
      <c r="G1069" s="274">
        <v>20000</v>
      </c>
      <c r="H1069" s="279">
        <v>1</v>
      </c>
      <c r="J1069" s="275">
        <v>2000</v>
      </c>
      <c r="K1069" s="274">
        <v>22000</v>
      </c>
      <c r="N1069" t="s">
        <v>3313</v>
      </c>
    </row>
    <row r="1070" spans="1:14" x14ac:dyDescent="0.3">
      <c r="A1070" s="58">
        <v>1068</v>
      </c>
      <c r="B1070" s="272">
        <v>45866</v>
      </c>
      <c r="C1070" s="279" t="s">
        <v>1481</v>
      </c>
      <c r="E1070" s="279" t="s">
        <v>1232</v>
      </c>
      <c r="F1070" s="279" t="s">
        <v>1786</v>
      </c>
      <c r="G1070" s="274">
        <v>1200000</v>
      </c>
      <c r="H1070" s="279">
        <v>1</v>
      </c>
      <c r="J1070" s="275">
        <v>120000</v>
      </c>
      <c r="K1070" s="274">
        <v>1320000</v>
      </c>
      <c r="N1070" t="s">
        <v>3313</v>
      </c>
    </row>
    <row r="1071" spans="1:14" x14ac:dyDescent="0.3">
      <c r="A1071" s="58">
        <v>1069</v>
      </c>
      <c r="B1071" s="272">
        <v>45866</v>
      </c>
      <c r="C1071" s="279" t="s">
        <v>3175</v>
      </c>
      <c r="E1071" s="279" t="s">
        <v>1780</v>
      </c>
      <c r="L1071" s="274">
        <v>-1100000</v>
      </c>
    </row>
    <row r="1072" spans="1:14" x14ac:dyDescent="0.3">
      <c r="A1072" s="58">
        <v>1070</v>
      </c>
      <c r="B1072" s="272">
        <v>45866</v>
      </c>
      <c r="C1072" s="279" t="s">
        <v>3183</v>
      </c>
      <c r="E1072" s="279" t="s">
        <v>2227</v>
      </c>
      <c r="F1072" s="279" t="s">
        <v>1230</v>
      </c>
      <c r="G1072" s="274">
        <v>1500000</v>
      </c>
      <c r="H1072" s="279">
        <v>1</v>
      </c>
      <c r="J1072" s="275">
        <v>150000</v>
      </c>
      <c r="K1072" s="274">
        <v>1650000</v>
      </c>
      <c r="N1072" t="s">
        <v>3313</v>
      </c>
    </row>
    <row r="1073" spans="1:14" x14ac:dyDescent="0.3">
      <c r="A1073" s="58">
        <v>1071</v>
      </c>
      <c r="B1073" s="272">
        <v>45866</v>
      </c>
      <c r="C1073" s="279" t="s">
        <v>3183</v>
      </c>
      <c r="E1073" s="279" t="s">
        <v>2228</v>
      </c>
      <c r="F1073" s="279" t="s">
        <v>1838</v>
      </c>
      <c r="G1073" s="274">
        <v>50000</v>
      </c>
      <c r="H1073" s="279">
        <v>1</v>
      </c>
      <c r="J1073" s="275">
        <v>5000</v>
      </c>
      <c r="K1073" s="274">
        <v>55000</v>
      </c>
      <c r="N1073" t="s">
        <v>3313</v>
      </c>
    </row>
    <row r="1074" spans="1:14" x14ac:dyDescent="0.3">
      <c r="A1074" s="58">
        <v>1072</v>
      </c>
      <c r="B1074" s="272">
        <v>45866</v>
      </c>
      <c r="C1074" s="279" t="s">
        <v>3183</v>
      </c>
      <c r="E1074" s="279" t="s">
        <v>1780</v>
      </c>
      <c r="L1074" s="274">
        <v>-1705000</v>
      </c>
    </row>
    <row r="1075" spans="1:14" x14ac:dyDescent="0.3">
      <c r="A1075" s="58">
        <v>1073</v>
      </c>
      <c r="B1075" s="272">
        <v>45866</v>
      </c>
      <c r="C1075" s="279" t="s">
        <v>1481</v>
      </c>
      <c r="E1075" s="279" t="s">
        <v>1780</v>
      </c>
      <c r="L1075" s="274">
        <v>-1320000</v>
      </c>
    </row>
    <row r="1076" spans="1:14" x14ac:dyDescent="0.3">
      <c r="A1076" s="58">
        <v>1074</v>
      </c>
      <c r="B1076" s="272">
        <v>45866</v>
      </c>
      <c r="C1076" s="279" t="s">
        <v>1704</v>
      </c>
      <c r="E1076" s="279" t="s">
        <v>1780</v>
      </c>
      <c r="L1076" s="274">
        <v>-1705000</v>
      </c>
    </row>
    <row r="1077" spans="1:14" x14ac:dyDescent="0.3">
      <c r="A1077" s="58">
        <v>1075</v>
      </c>
      <c r="B1077" s="272">
        <v>45866</v>
      </c>
      <c r="C1077" s="279" t="s">
        <v>1576</v>
      </c>
      <c r="E1077" s="279" t="s">
        <v>1780</v>
      </c>
      <c r="L1077" s="274">
        <v>-1400000</v>
      </c>
    </row>
    <row r="1078" spans="1:14" x14ac:dyDescent="0.3">
      <c r="A1078" s="58">
        <v>1076</v>
      </c>
      <c r="B1078" s="272">
        <v>45866</v>
      </c>
      <c r="C1078" s="279" t="s">
        <v>1490</v>
      </c>
      <c r="E1078" s="279" t="s">
        <v>1780</v>
      </c>
      <c r="L1078" s="274">
        <v>-1789000</v>
      </c>
    </row>
    <row r="1079" spans="1:14" x14ac:dyDescent="0.3">
      <c r="A1079" s="58">
        <v>1077</v>
      </c>
      <c r="B1079" s="272">
        <v>45866</v>
      </c>
      <c r="C1079" s="279" t="s">
        <v>1885</v>
      </c>
      <c r="E1079" s="279" t="s">
        <v>1780</v>
      </c>
      <c r="L1079" s="274">
        <v>-710000</v>
      </c>
    </row>
    <row r="1080" spans="1:14" x14ac:dyDescent="0.3">
      <c r="A1080" s="58">
        <v>1078</v>
      </c>
      <c r="B1080" s="272">
        <v>45866</v>
      </c>
      <c r="C1080" s="279" t="s">
        <v>2019</v>
      </c>
      <c r="E1080" s="279" t="s">
        <v>1780</v>
      </c>
      <c r="L1080" s="274">
        <v>-230000</v>
      </c>
    </row>
    <row r="1081" spans="1:14" x14ac:dyDescent="0.3">
      <c r="A1081" s="58">
        <v>1079</v>
      </c>
      <c r="B1081" s="272">
        <v>45867</v>
      </c>
      <c r="C1081" s="279" t="s">
        <v>1064</v>
      </c>
      <c r="E1081" s="279" t="s">
        <v>1780</v>
      </c>
      <c r="L1081" s="274">
        <v>-1000000</v>
      </c>
    </row>
    <row r="1082" spans="1:14" x14ac:dyDescent="0.3">
      <c r="A1082" s="58">
        <v>1080</v>
      </c>
      <c r="B1082" s="272">
        <v>45867</v>
      </c>
      <c r="C1082" s="279" t="s">
        <v>1024</v>
      </c>
      <c r="E1082" s="279" t="s">
        <v>1780</v>
      </c>
      <c r="L1082" s="274">
        <v>-1320000</v>
      </c>
    </row>
    <row r="1083" spans="1:14" x14ac:dyDescent="0.3">
      <c r="A1083" s="58">
        <v>1081</v>
      </c>
      <c r="B1083" s="272">
        <v>45867</v>
      </c>
      <c r="C1083" s="279" t="s">
        <v>1613</v>
      </c>
      <c r="E1083" s="279" t="s">
        <v>3127</v>
      </c>
      <c r="L1083" s="274">
        <v>-500000</v>
      </c>
    </row>
    <row r="1084" spans="1:14" x14ac:dyDescent="0.3">
      <c r="A1084" s="58">
        <v>1082</v>
      </c>
      <c r="B1084" s="272">
        <v>45867</v>
      </c>
      <c r="C1084" s="279" t="s">
        <v>1476</v>
      </c>
      <c r="E1084" s="279" t="s">
        <v>3215</v>
      </c>
      <c r="F1084" s="279" t="s">
        <v>3214</v>
      </c>
      <c r="G1084" s="274">
        <v>250000</v>
      </c>
      <c r="H1084" s="279">
        <v>1</v>
      </c>
      <c r="K1084" s="274">
        <v>250000</v>
      </c>
      <c r="N1084" t="s">
        <v>3313</v>
      </c>
    </row>
    <row r="1085" spans="1:14" x14ac:dyDescent="0.3">
      <c r="A1085" s="58">
        <v>1083</v>
      </c>
      <c r="B1085" s="272">
        <v>45867</v>
      </c>
      <c r="C1085" s="279" t="s">
        <v>1825</v>
      </c>
      <c r="E1085" s="279" t="s">
        <v>2227</v>
      </c>
      <c r="F1085" s="279" t="s">
        <v>1230</v>
      </c>
      <c r="G1085" s="274">
        <v>1500000</v>
      </c>
      <c r="H1085" s="279">
        <v>1</v>
      </c>
      <c r="K1085" s="274">
        <v>1500000</v>
      </c>
      <c r="N1085" t="s">
        <v>3313</v>
      </c>
    </row>
    <row r="1086" spans="1:14" x14ac:dyDescent="0.3">
      <c r="A1086" s="58">
        <v>1084</v>
      </c>
      <c r="B1086" s="272">
        <v>45867</v>
      </c>
      <c r="C1086" s="279" t="s">
        <v>1825</v>
      </c>
      <c r="E1086" s="279" t="s">
        <v>2228</v>
      </c>
      <c r="F1086" s="279" t="s">
        <v>1838</v>
      </c>
      <c r="G1086" s="274">
        <v>50000</v>
      </c>
      <c r="H1086" s="279">
        <v>1</v>
      </c>
      <c r="K1086" s="274">
        <v>50000</v>
      </c>
      <c r="N1086" t="s">
        <v>3313</v>
      </c>
    </row>
    <row r="1087" spans="1:14" x14ac:dyDescent="0.3">
      <c r="A1087" s="58">
        <v>1085</v>
      </c>
      <c r="B1087" s="272">
        <v>45867</v>
      </c>
      <c r="C1087" s="279" t="s">
        <v>1100</v>
      </c>
      <c r="E1087" s="279" t="s">
        <v>2233</v>
      </c>
      <c r="F1087" s="279" t="s">
        <v>1229</v>
      </c>
      <c r="G1087" s="274">
        <v>900000</v>
      </c>
      <c r="H1087" s="279">
        <v>1</v>
      </c>
      <c r="K1087" s="274">
        <v>900000</v>
      </c>
      <c r="N1087" t="s">
        <v>3313</v>
      </c>
    </row>
    <row r="1088" spans="1:14" x14ac:dyDescent="0.3">
      <c r="A1088" s="58">
        <v>1086</v>
      </c>
      <c r="B1088" s="272">
        <v>45867</v>
      </c>
      <c r="C1088" s="279" t="s">
        <v>1337</v>
      </c>
      <c r="E1088" s="279" t="s">
        <v>2234</v>
      </c>
      <c r="F1088" s="279" t="s">
        <v>1236</v>
      </c>
      <c r="G1088" s="274">
        <v>520000</v>
      </c>
      <c r="H1088" s="279">
        <v>1</v>
      </c>
      <c r="K1088" s="274">
        <v>520000</v>
      </c>
      <c r="N1088" t="s">
        <v>3313</v>
      </c>
    </row>
    <row r="1089" spans="1:14" x14ac:dyDescent="0.3">
      <c r="A1089" s="58">
        <v>1087</v>
      </c>
      <c r="B1089" s="272">
        <v>45867</v>
      </c>
      <c r="C1089" s="279" t="s">
        <v>1337</v>
      </c>
      <c r="E1089" s="279" t="s">
        <v>2237</v>
      </c>
      <c r="F1089" s="279">
        <v>50229</v>
      </c>
      <c r="G1089" s="274">
        <v>70000</v>
      </c>
      <c r="H1089" s="279">
        <v>1</v>
      </c>
      <c r="K1089" s="274">
        <v>70000</v>
      </c>
      <c r="N1089" t="s">
        <v>3313</v>
      </c>
    </row>
    <row r="1090" spans="1:14" x14ac:dyDescent="0.3">
      <c r="A1090" s="58">
        <v>1088</v>
      </c>
      <c r="B1090" s="272">
        <v>45867</v>
      </c>
      <c r="C1090" s="279" t="s">
        <v>1337</v>
      </c>
      <c r="E1090" s="279" t="s">
        <v>2238</v>
      </c>
      <c r="F1090" s="279" t="s">
        <v>1830</v>
      </c>
      <c r="G1090" s="274">
        <v>35000</v>
      </c>
      <c r="H1090" s="279">
        <v>1</v>
      </c>
      <c r="K1090" s="274">
        <v>35000</v>
      </c>
      <c r="N1090" t="s">
        <v>3313</v>
      </c>
    </row>
    <row r="1091" spans="1:14" x14ac:dyDescent="0.3">
      <c r="A1091" s="58">
        <v>1089</v>
      </c>
      <c r="B1091" s="272">
        <v>45867</v>
      </c>
      <c r="C1091" s="279" t="s">
        <v>1337</v>
      </c>
      <c r="E1091" s="279" t="s">
        <v>3226</v>
      </c>
      <c r="F1091" s="279">
        <v>4150862090</v>
      </c>
      <c r="G1091" s="274">
        <v>450000</v>
      </c>
      <c r="H1091" s="279">
        <v>1</v>
      </c>
      <c r="K1091" s="274">
        <v>450000</v>
      </c>
      <c r="N1091" t="s">
        <v>3313</v>
      </c>
    </row>
    <row r="1092" spans="1:14" x14ac:dyDescent="0.3">
      <c r="A1092" s="58">
        <v>1090</v>
      </c>
      <c r="B1092" s="272">
        <v>45867</v>
      </c>
      <c r="C1092" s="279" t="s">
        <v>1840</v>
      </c>
      <c r="E1092" s="279" t="s">
        <v>2702</v>
      </c>
      <c r="F1092" s="279" t="s">
        <v>2701</v>
      </c>
      <c r="G1092" s="274">
        <v>1600000</v>
      </c>
      <c r="H1092" s="279">
        <v>1</v>
      </c>
      <c r="J1092" s="275">
        <v>160000</v>
      </c>
      <c r="K1092" s="274">
        <v>1760000</v>
      </c>
      <c r="N1092" t="s">
        <v>3313</v>
      </c>
    </row>
    <row r="1093" spans="1:14" x14ac:dyDescent="0.3">
      <c r="A1093" s="58">
        <v>1091</v>
      </c>
      <c r="B1093" s="272">
        <v>45867</v>
      </c>
      <c r="C1093" s="279" t="s">
        <v>3049</v>
      </c>
      <c r="E1093" s="279" t="s">
        <v>1232</v>
      </c>
      <c r="F1093" s="279" t="s">
        <v>1786</v>
      </c>
      <c r="G1093" s="274">
        <v>1000000</v>
      </c>
      <c r="H1093" s="279">
        <v>1</v>
      </c>
      <c r="K1093" s="274">
        <v>1000000</v>
      </c>
      <c r="N1093" t="s">
        <v>3313</v>
      </c>
    </row>
    <row r="1094" spans="1:14" x14ac:dyDescent="0.3">
      <c r="A1094" s="58">
        <v>1092</v>
      </c>
      <c r="B1094" s="272">
        <v>45867</v>
      </c>
      <c r="C1094" s="279" t="s">
        <v>1755</v>
      </c>
      <c r="E1094" s="279" t="s">
        <v>3227</v>
      </c>
      <c r="F1094" s="279" t="s">
        <v>2377</v>
      </c>
      <c r="G1094" s="274">
        <v>900000</v>
      </c>
      <c r="H1094" s="279">
        <v>1</v>
      </c>
      <c r="K1094" s="274">
        <v>900000</v>
      </c>
      <c r="N1094" t="s">
        <v>3313</v>
      </c>
    </row>
    <row r="1095" spans="1:14" x14ac:dyDescent="0.3">
      <c r="A1095" s="58">
        <v>1093</v>
      </c>
      <c r="B1095" s="272">
        <v>45867</v>
      </c>
      <c r="C1095" s="279" t="s">
        <v>1476</v>
      </c>
      <c r="E1095" s="279" t="s">
        <v>2227</v>
      </c>
      <c r="F1095" s="279" t="s">
        <v>1230</v>
      </c>
      <c r="G1095" s="274">
        <v>1500000</v>
      </c>
      <c r="H1095" s="279">
        <v>1</v>
      </c>
      <c r="K1095" s="274">
        <v>1500000</v>
      </c>
      <c r="N1095" t="s">
        <v>3313</v>
      </c>
    </row>
    <row r="1096" spans="1:14" x14ac:dyDescent="0.3">
      <c r="A1096" s="58">
        <v>1094</v>
      </c>
      <c r="B1096" s="272">
        <v>45867</v>
      </c>
      <c r="C1096" s="279" t="s">
        <v>1476</v>
      </c>
      <c r="E1096" s="279" t="s">
        <v>2228</v>
      </c>
      <c r="F1096" s="279" t="s">
        <v>1838</v>
      </c>
      <c r="G1096" s="274">
        <v>50000</v>
      </c>
      <c r="H1096" s="279">
        <v>1</v>
      </c>
      <c r="K1096" s="274">
        <v>50000</v>
      </c>
      <c r="N1096" t="s">
        <v>3313</v>
      </c>
    </row>
    <row r="1097" spans="1:14" x14ac:dyDescent="0.3">
      <c r="A1097" s="58">
        <v>1095</v>
      </c>
      <c r="B1097" s="272">
        <v>45867</v>
      </c>
      <c r="C1097" s="279" t="s">
        <v>1476</v>
      </c>
      <c r="E1097" s="279" t="s">
        <v>1581</v>
      </c>
      <c r="F1097" s="279">
        <v>24152333907</v>
      </c>
      <c r="G1097" s="274">
        <v>50000</v>
      </c>
      <c r="H1097" s="279">
        <v>1</v>
      </c>
      <c r="K1097" s="274">
        <v>50000</v>
      </c>
      <c r="N1097" t="s">
        <v>3313</v>
      </c>
    </row>
    <row r="1098" spans="1:14" x14ac:dyDescent="0.3">
      <c r="A1098" s="58">
        <v>1096</v>
      </c>
      <c r="B1098" s="272">
        <v>45867</v>
      </c>
      <c r="C1098" s="279" t="s">
        <v>1840</v>
      </c>
      <c r="E1098" s="279" t="s">
        <v>1152</v>
      </c>
      <c r="L1098" s="274">
        <v>-132000</v>
      </c>
    </row>
    <row r="1099" spans="1:14" x14ac:dyDescent="0.3">
      <c r="A1099" s="58">
        <v>1097</v>
      </c>
      <c r="B1099" s="272">
        <v>45867</v>
      </c>
      <c r="C1099" s="279" t="s">
        <v>3049</v>
      </c>
      <c r="E1099" s="279" t="s">
        <v>1152</v>
      </c>
      <c r="L1099" s="274">
        <v>-1000000</v>
      </c>
    </row>
    <row r="1100" spans="1:14" x14ac:dyDescent="0.3">
      <c r="A1100" s="58">
        <v>1098</v>
      </c>
      <c r="B1100" s="272">
        <v>45868</v>
      </c>
      <c r="C1100" s="279" t="s">
        <v>1337</v>
      </c>
      <c r="E1100" s="279" t="s">
        <v>1780</v>
      </c>
      <c r="L1100" s="274">
        <v>-1075000</v>
      </c>
    </row>
    <row r="1101" spans="1:14" x14ac:dyDescent="0.3">
      <c r="A1101" s="58">
        <v>1099</v>
      </c>
      <c r="B1101" s="272">
        <v>45868</v>
      </c>
      <c r="C1101" s="279" t="s">
        <v>2016</v>
      </c>
      <c r="E1101" s="279" t="s">
        <v>2227</v>
      </c>
      <c r="F1101" s="279" t="s">
        <v>1230</v>
      </c>
      <c r="G1101" s="274">
        <v>1500000</v>
      </c>
      <c r="H1101" s="279">
        <v>1</v>
      </c>
      <c r="J1101" s="275">
        <v>150000</v>
      </c>
      <c r="K1101" s="274">
        <v>1650000</v>
      </c>
      <c r="N1101" t="s">
        <v>3313</v>
      </c>
    </row>
    <row r="1102" spans="1:14" x14ac:dyDescent="0.3">
      <c r="A1102" s="58">
        <v>1100</v>
      </c>
      <c r="B1102" s="272">
        <v>45868</v>
      </c>
      <c r="C1102" s="279" t="s">
        <v>2016</v>
      </c>
      <c r="E1102" s="279" t="s">
        <v>2228</v>
      </c>
      <c r="F1102" s="279" t="s">
        <v>1838</v>
      </c>
      <c r="G1102" s="274">
        <v>50000</v>
      </c>
      <c r="H1102" s="279">
        <v>1</v>
      </c>
      <c r="J1102" s="275">
        <v>5000</v>
      </c>
      <c r="K1102" s="274">
        <v>55000</v>
      </c>
      <c r="N1102" t="s">
        <v>3313</v>
      </c>
    </row>
    <row r="1103" spans="1:14" x14ac:dyDescent="0.3">
      <c r="A1103" s="58">
        <v>1101</v>
      </c>
      <c r="B1103" s="272">
        <v>45868</v>
      </c>
      <c r="C1103" s="279" t="s">
        <v>1844</v>
      </c>
      <c r="E1103" s="279" t="s">
        <v>2227</v>
      </c>
      <c r="F1103" s="279" t="s">
        <v>1230</v>
      </c>
      <c r="G1103" s="274">
        <v>1500000</v>
      </c>
      <c r="H1103" s="279">
        <v>1</v>
      </c>
      <c r="K1103" s="274">
        <v>1500000</v>
      </c>
      <c r="N1103" t="s">
        <v>3313</v>
      </c>
    </row>
    <row r="1104" spans="1:14" x14ac:dyDescent="0.3">
      <c r="A1104" s="58">
        <v>1102</v>
      </c>
      <c r="B1104" s="272">
        <v>45868</v>
      </c>
      <c r="C1104" s="279" t="s">
        <v>1844</v>
      </c>
      <c r="E1104" s="279" t="s">
        <v>2228</v>
      </c>
      <c r="F1104" s="279" t="s">
        <v>1838</v>
      </c>
      <c r="G1104" s="274">
        <v>50000</v>
      </c>
      <c r="H1104" s="279">
        <v>1</v>
      </c>
      <c r="K1104" s="274">
        <v>50000</v>
      </c>
      <c r="N1104" t="s">
        <v>3313</v>
      </c>
    </row>
    <row r="1105" spans="1:14" x14ac:dyDescent="0.3">
      <c r="A1105" s="58">
        <v>1103</v>
      </c>
      <c r="B1105" s="272">
        <v>45868</v>
      </c>
      <c r="C1105" s="279" t="s">
        <v>2908</v>
      </c>
      <c r="E1105" s="279" t="s">
        <v>2229</v>
      </c>
      <c r="F1105" s="279" t="s">
        <v>2265</v>
      </c>
      <c r="G1105" s="274">
        <v>250000</v>
      </c>
      <c r="H1105" s="279">
        <v>1</v>
      </c>
      <c r="K1105" s="274">
        <v>250000</v>
      </c>
      <c r="N1105" t="s">
        <v>3313</v>
      </c>
    </row>
    <row r="1106" spans="1:14" x14ac:dyDescent="0.3">
      <c r="A1106" s="58">
        <v>1104</v>
      </c>
      <c r="B1106" s="272">
        <v>45868</v>
      </c>
      <c r="C1106" s="279" t="s">
        <v>1840</v>
      </c>
      <c r="E1106" s="279" t="s">
        <v>3231</v>
      </c>
      <c r="G1106" s="274">
        <v>200000</v>
      </c>
      <c r="H1106" s="279">
        <v>1</v>
      </c>
      <c r="J1106" s="275">
        <v>20000</v>
      </c>
      <c r="K1106" s="274">
        <v>220000</v>
      </c>
      <c r="N1106" t="s">
        <v>3313</v>
      </c>
    </row>
    <row r="1107" spans="1:14" x14ac:dyDescent="0.3">
      <c r="A1107" s="58">
        <v>1105</v>
      </c>
      <c r="B1107" s="272">
        <v>45868</v>
      </c>
      <c r="C1107" s="279" t="s">
        <v>1610</v>
      </c>
      <c r="E1107" s="279" t="s">
        <v>3055</v>
      </c>
      <c r="F1107" s="279">
        <v>4150862090</v>
      </c>
      <c r="G1107" s="274">
        <v>450000</v>
      </c>
      <c r="H1107" s="279">
        <v>1</v>
      </c>
      <c r="J1107" s="275">
        <v>45000</v>
      </c>
      <c r="K1107" s="274">
        <v>495000</v>
      </c>
      <c r="N1107" t="s">
        <v>3313</v>
      </c>
    </row>
    <row r="1108" spans="1:14" x14ac:dyDescent="0.3">
      <c r="A1108" s="58">
        <v>1106</v>
      </c>
      <c r="B1108" s="272">
        <v>45868</v>
      </c>
      <c r="C1108" s="279" t="s">
        <v>3234</v>
      </c>
      <c r="E1108" s="279" t="s">
        <v>1232</v>
      </c>
      <c r="F1108" s="279" t="s">
        <v>1786</v>
      </c>
      <c r="G1108" s="274">
        <v>1200000</v>
      </c>
      <c r="H1108" s="279">
        <v>1</v>
      </c>
      <c r="J1108" s="275">
        <v>120000</v>
      </c>
      <c r="K1108" s="274">
        <v>1320000</v>
      </c>
      <c r="N1108" t="s">
        <v>3313</v>
      </c>
    </row>
    <row r="1109" spans="1:14" x14ac:dyDescent="0.3">
      <c r="A1109" s="58">
        <v>1107</v>
      </c>
      <c r="B1109" s="272">
        <v>45868</v>
      </c>
      <c r="C1109" s="279" t="s">
        <v>2369</v>
      </c>
      <c r="E1109" s="279" t="s">
        <v>3055</v>
      </c>
      <c r="F1109" s="279">
        <v>2212500301</v>
      </c>
      <c r="G1109" s="274">
        <v>863636</v>
      </c>
      <c r="H1109" s="279">
        <v>1</v>
      </c>
      <c r="J1109" s="275">
        <v>86364</v>
      </c>
      <c r="K1109" s="274">
        <v>950000</v>
      </c>
      <c r="N1109" t="s">
        <v>3313</v>
      </c>
    </row>
    <row r="1110" spans="1:14" x14ac:dyDescent="0.3">
      <c r="A1110" s="58">
        <v>1108</v>
      </c>
      <c r="B1110" s="272">
        <v>45868</v>
      </c>
      <c r="C1110" s="279" t="s">
        <v>1704</v>
      </c>
      <c r="E1110" s="279" t="s">
        <v>1152</v>
      </c>
      <c r="L1110" s="274">
        <v>-2750000</v>
      </c>
    </row>
    <row r="1111" spans="1:14" x14ac:dyDescent="0.3">
      <c r="A1111" s="58">
        <v>1109</v>
      </c>
      <c r="B1111" s="272">
        <v>45868</v>
      </c>
      <c r="C1111" s="279" t="s">
        <v>2835</v>
      </c>
      <c r="E1111" s="279" t="s">
        <v>1152</v>
      </c>
      <c r="L1111" s="274">
        <v>-2400000</v>
      </c>
    </row>
    <row r="1112" spans="1:14" x14ac:dyDescent="0.3">
      <c r="A1112" s="58">
        <v>1110</v>
      </c>
      <c r="B1112" s="272">
        <v>45868</v>
      </c>
      <c r="C1112" s="279" t="s">
        <v>2369</v>
      </c>
      <c r="E1112" s="279" t="s">
        <v>1152</v>
      </c>
      <c r="L1112" s="274">
        <v>-950000</v>
      </c>
    </row>
    <row r="1113" spans="1:14" x14ac:dyDescent="0.3">
      <c r="A1113" s="58">
        <v>1111</v>
      </c>
      <c r="B1113" s="272">
        <v>45868</v>
      </c>
      <c r="C1113" s="279" t="s">
        <v>2016</v>
      </c>
      <c r="E1113" s="279" t="s">
        <v>1152</v>
      </c>
      <c r="L1113" s="274">
        <v>-1705000</v>
      </c>
    </row>
    <row r="1114" spans="1:14" x14ac:dyDescent="0.3">
      <c r="A1114" s="58">
        <v>1112</v>
      </c>
      <c r="B1114" s="272">
        <v>45868</v>
      </c>
      <c r="C1114" s="279" t="s">
        <v>2908</v>
      </c>
      <c r="E1114" s="279" t="s">
        <v>1152</v>
      </c>
      <c r="L1114" s="274">
        <v>-250000</v>
      </c>
    </row>
    <row r="1115" spans="1:14" x14ac:dyDescent="0.3">
      <c r="A1115" s="58">
        <v>1113</v>
      </c>
      <c r="B1115" s="272">
        <v>45868</v>
      </c>
      <c r="C1115" s="279" t="s">
        <v>3234</v>
      </c>
      <c r="E1115" s="279" t="s">
        <v>1152</v>
      </c>
      <c r="L1115" s="274">
        <v>-1320000</v>
      </c>
    </row>
    <row r="1116" spans="1:14" x14ac:dyDescent="0.3">
      <c r="A1116" s="58">
        <v>1114</v>
      </c>
      <c r="B1116" s="272">
        <v>45869</v>
      </c>
      <c r="C1116" s="279" t="s">
        <v>1484</v>
      </c>
      <c r="E1116" s="279" t="s">
        <v>1152</v>
      </c>
      <c r="L1116" s="274">
        <v>-50000</v>
      </c>
    </row>
    <row r="1117" spans="1:14" x14ac:dyDescent="0.3">
      <c r="A1117" s="58">
        <v>1115</v>
      </c>
      <c r="B1117" s="272">
        <v>45869</v>
      </c>
      <c r="C1117" s="279" t="s">
        <v>1100</v>
      </c>
      <c r="E1117" s="279" t="s">
        <v>1152</v>
      </c>
      <c r="L1117" s="274">
        <v>-900000</v>
      </c>
    </row>
    <row r="1118" spans="1:14" x14ac:dyDescent="0.3">
      <c r="A1118" s="58">
        <v>1116</v>
      </c>
      <c r="B1118" s="272">
        <v>45869</v>
      </c>
      <c r="C1118" s="279" t="s">
        <v>2369</v>
      </c>
      <c r="E1118" s="279" t="s">
        <v>1152</v>
      </c>
      <c r="L1118" s="274">
        <v>-1650000</v>
      </c>
    </row>
    <row r="1119" spans="1:14" x14ac:dyDescent="0.3">
      <c r="A1119" s="58">
        <v>1117</v>
      </c>
      <c r="B1119" s="272">
        <v>45869</v>
      </c>
      <c r="C1119" s="279" t="s">
        <v>1505</v>
      </c>
      <c r="E1119" s="279" t="s">
        <v>2227</v>
      </c>
      <c r="F1119" s="279" t="s">
        <v>1230</v>
      </c>
      <c r="G1119" s="274">
        <v>1500000</v>
      </c>
      <c r="H1119" s="279">
        <v>1</v>
      </c>
      <c r="K1119" s="274">
        <v>1500000</v>
      </c>
      <c r="N1119" t="s">
        <v>3313</v>
      </c>
    </row>
    <row r="1120" spans="1:14" x14ac:dyDescent="0.3">
      <c r="A1120" s="58">
        <v>1118</v>
      </c>
      <c r="B1120" s="272">
        <v>45869</v>
      </c>
      <c r="C1120" s="279" t="s">
        <v>1825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  <c r="N1120" t="s">
        <v>3313</v>
      </c>
    </row>
    <row r="1121" spans="1:14" x14ac:dyDescent="0.3">
      <c r="A1121" s="58">
        <v>1119</v>
      </c>
      <c r="B1121" s="272">
        <v>45869</v>
      </c>
      <c r="C1121" s="279" t="s">
        <v>1825</v>
      </c>
      <c r="E1121" s="279" t="s">
        <v>2228</v>
      </c>
      <c r="F1121" s="279" t="s">
        <v>1838</v>
      </c>
      <c r="G1121" s="274">
        <v>50000</v>
      </c>
      <c r="H1121" s="279">
        <v>1</v>
      </c>
      <c r="K1121" s="274">
        <v>50000</v>
      </c>
      <c r="N1121" t="s">
        <v>3313</v>
      </c>
    </row>
    <row r="1122" spans="1:14" x14ac:dyDescent="0.3">
      <c r="A1122" s="58">
        <v>1120</v>
      </c>
      <c r="B1122" s="272">
        <v>45869</v>
      </c>
      <c r="C1122" s="279" t="s">
        <v>1530</v>
      </c>
      <c r="E1122" s="279" t="s">
        <v>1232</v>
      </c>
      <c r="F1122" s="279" t="s">
        <v>1786</v>
      </c>
      <c r="G1122" s="274">
        <v>1200000</v>
      </c>
      <c r="H1122" s="279">
        <v>1</v>
      </c>
      <c r="K1122" s="274">
        <v>1200000</v>
      </c>
      <c r="N1122" t="s">
        <v>3313</v>
      </c>
    </row>
    <row r="1123" spans="1:14" x14ac:dyDescent="0.3">
      <c r="A1123" s="58">
        <v>1121</v>
      </c>
      <c r="B1123" s="272">
        <v>45869</v>
      </c>
      <c r="C1123" s="279" t="s">
        <v>1530</v>
      </c>
      <c r="E1123" s="279" t="s">
        <v>1551</v>
      </c>
      <c r="G1123" s="274">
        <v>20000</v>
      </c>
      <c r="H1123" s="279">
        <v>1</v>
      </c>
      <c r="K1123" s="274">
        <v>20000</v>
      </c>
      <c r="N1123" t="s">
        <v>3313</v>
      </c>
    </row>
    <row r="1124" spans="1:14" x14ac:dyDescent="0.3">
      <c r="A1124" s="58">
        <v>1122</v>
      </c>
      <c r="B1124" s="272">
        <v>45869</v>
      </c>
      <c r="C1124" s="279" t="s">
        <v>1704</v>
      </c>
      <c r="E1124" s="279" t="s">
        <v>2648</v>
      </c>
      <c r="F1124" s="279" t="s">
        <v>2647</v>
      </c>
      <c r="G1124" s="274">
        <v>1000000</v>
      </c>
      <c r="H1124" s="279">
        <v>1</v>
      </c>
      <c r="J1124" s="275">
        <v>100000</v>
      </c>
      <c r="K1124" s="274">
        <v>1100000</v>
      </c>
      <c r="N1124" t="s">
        <v>3313</v>
      </c>
    </row>
    <row r="1125" spans="1:14" x14ac:dyDescent="0.3">
      <c r="A1125" s="58">
        <v>1123</v>
      </c>
      <c r="B1125" s="272">
        <v>45869</v>
      </c>
      <c r="C1125" s="279" t="s">
        <v>1613</v>
      </c>
      <c r="E1125" s="279" t="s">
        <v>1297</v>
      </c>
      <c r="F1125" s="279" t="s">
        <v>1296</v>
      </c>
      <c r="G1125" s="274">
        <v>50000</v>
      </c>
      <c r="H1125" s="279">
        <v>1</v>
      </c>
      <c r="J1125" s="275">
        <v>5000</v>
      </c>
      <c r="K1125" s="274">
        <v>55000</v>
      </c>
      <c r="N1125" t="s">
        <v>3313</v>
      </c>
    </row>
    <row r="1126" spans="1:14" x14ac:dyDescent="0.3">
      <c r="A1126" s="58">
        <v>1124</v>
      </c>
      <c r="B1126" s="272">
        <v>45869</v>
      </c>
      <c r="C1126" s="279" t="s">
        <v>1431</v>
      </c>
      <c r="E1126" s="279" t="s">
        <v>1152</v>
      </c>
      <c r="L1126" s="274">
        <v>-9010000</v>
      </c>
    </row>
    <row r="1127" spans="1:14" x14ac:dyDescent="0.3">
      <c r="A1127" s="58">
        <v>1125</v>
      </c>
      <c r="B1127" s="272">
        <v>45869</v>
      </c>
      <c r="C1127" s="279" t="s">
        <v>1899</v>
      </c>
      <c r="E1127" s="279" t="s">
        <v>1152</v>
      </c>
      <c r="L1127" s="274">
        <v>-1550000</v>
      </c>
    </row>
    <row r="1128" spans="1:14" x14ac:dyDescent="0.3">
      <c r="A1128" s="58">
        <v>1126</v>
      </c>
      <c r="B1128" s="272">
        <v>45869</v>
      </c>
      <c r="C1128" s="279" t="s">
        <v>1586</v>
      </c>
      <c r="E1128" s="279" t="s">
        <v>1152</v>
      </c>
      <c r="L1128" s="274">
        <v>-275000</v>
      </c>
    </row>
    <row r="1129" spans="1:14" x14ac:dyDescent="0.3">
      <c r="A1129" s="58">
        <v>1127</v>
      </c>
      <c r="B1129" s="272">
        <v>45869</v>
      </c>
      <c r="C1129" s="279" t="s">
        <v>1530</v>
      </c>
      <c r="E1129" s="279" t="s">
        <v>1152</v>
      </c>
      <c r="L1129" s="274">
        <v>-1220000</v>
      </c>
    </row>
    <row r="1130" spans="1:14" x14ac:dyDescent="0.3">
      <c r="A1130" s="58">
        <v>1128</v>
      </c>
      <c r="B1130" s="272">
        <v>45870</v>
      </c>
      <c r="C1130" s="279" t="s">
        <v>1610</v>
      </c>
      <c r="E1130" s="279" t="s">
        <v>1152</v>
      </c>
      <c r="L1130" s="274">
        <v>-2835000</v>
      </c>
    </row>
    <row r="1131" spans="1:14" x14ac:dyDescent="0.3">
      <c r="A1131" s="58">
        <v>1129</v>
      </c>
      <c r="B1131" s="272">
        <v>45870</v>
      </c>
      <c r="C1131" s="279" t="s">
        <v>1174</v>
      </c>
      <c r="E1131" s="279" t="s">
        <v>1152</v>
      </c>
      <c r="L1131" s="274">
        <v>-4750000</v>
      </c>
    </row>
    <row r="1132" spans="1:14" x14ac:dyDescent="0.3">
      <c r="A1132" s="58">
        <v>1130</v>
      </c>
      <c r="B1132" s="272">
        <v>45870</v>
      </c>
      <c r="C1132" s="279" t="s">
        <v>1505</v>
      </c>
      <c r="E1132" s="279" t="s">
        <v>2234</v>
      </c>
      <c r="F1132" s="279" t="s">
        <v>1236</v>
      </c>
      <c r="G1132" s="274">
        <v>500000</v>
      </c>
      <c r="H1132" s="279">
        <v>1</v>
      </c>
      <c r="K1132" s="274">
        <v>500000</v>
      </c>
    </row>
    <row r="1133" spans="1:14" x14ac:dyDescent="0.3">
      <c r="A1133" s="58">
        <v>1131</v>
      </c>
      <c r="B1133" s="272">
        <v>45870</v>
      </c>
      <c r="C1133" s="279" t="s">
        <v>3250</v>
      </c>
      <c r="E1133" s="279" t="s">
        <v>1234</v>
      </c>
      <c r="F1133" s="279" t="s">
        <v>1233</v>
      </c>
      <c r="G1133" s="274">
        <v>1250000</v>
      </c>
      <c r="H1133" s="279">
        <v>1</v>
      </c>
      <c r="J1133" s="275">
        <v>125000</v>
      </c>
      <c r="K1133" s="274">
        <v>1375000</v>
      </c>
    </row>
    <row r="1134" spans="1:14" x14ac:dyDescent="0.3">
      <c r="A1134" s="58">
        <v>1132</v>
      </c>
      <c r="B1134" s="272">
        <v>45870</v>
      </c>
      <c r="C1134" s="279" t="s">
        <v>1980</v>
      </c>
      <c r="E1134" s="279" t="s">
        <v>2227</v>
      </c>
      <c r="F1134" s="279" t="s">
        <v>1230</v>
      </c>
      <c r="G1134" s="274">
        <v>1600000</v>
      </c>
      <c r="H1134" s="279">
        <v>1</v>
      </c>
      <c r="K1134" s="274">
        <v>1600000</v>
      </c>
    </row>
    <row r="1135" spans="1:14" x14ac:dyDescent="0.3">
      <c r="A1135" s="58">
        <v>1133</v>
      </c>
      <c r="B1135" s="272">
        <v>45870</v>
      </c>
      <c r="C1135" s="279" t="s">
        <v>1980</v>
      </c>
      <c r="E1135" s="279" t="s">
        <v>2228</v>
      </c>
      <c r="F1135" s="279" t="s">
        <v>1838</v>
      </c>
      <c r="G1135" s="274">
        <v>50000</v>
      </c>
      <c r="H1135" s="279">
        <v>1</v>
      </c>
      <c r="K1135" s="274">
        <v>50000</v>
      </c>
    </row>
    <row r="1136" spans="1:14" x14ac:dyDescent="0.3">
      <c r="A1136" s="58">
        <v>1134</v>
      </c>
      <c r="B1136" s="272">
        <v>45870</v>
      </c>
      <c r="C1136" s="279" t="s">
        <v>1431</v>
      </c>
      <c r="E1136" s="279" t="s">
        <v>2227</v>
      </c>
      <c r="F1136" s="279" t="s">
        <v>1230</v>
      </c>
      <c r="G1136" s="274">
        <v>1500000</v>
      </c>
      <c r="H1136" s="279">
        <v>1</v>
      </c>
      <c r="K1136" s="274">
        <v>1500000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2228</v>
      </c>
      <c r="F1137" s="279" t="s">
        <v>1838</v>
      </c>
      <c r="G1137" s="274">
        <v>50000</v>
      </c>
      <c r="H1137" s="279">
        <v>1</v>
      </c>
      <c r="K1137" s="274">
        <v>50000</v>
      </c>
    </row>
    <row r="1138" spans="1:12" x14ac:dyDescent="0.3">
      <c r="A1138" s="58">
        <v>1136</v>
      </c>
      <c r="B1138" s="272">
        <v>45870</v>
      </c>
      <c r="C1138" s="279" t="s">
        <v>1573</v>
      </c>
      <c r="E1138" s="279" t="s">
        <v>1152</v>
      </c>
      <c r="L1138" s="274">
        <v>-3785000</v>
      </c>
    </row>
    <row r="1139" spans="1:12" x14ac:dyDescent="0.3">
      <c r="A1139" s="58">
        <v>1137</v>
      </c>
      <c r="B1139" s="272">
        <v>45870</v>
      </c>
      <c r="C1139" s="279" t="s">
        <v>1980</v>
      </c>
      <c r="E1139" s="279" t="s">
        <v>1152</v>
      </c>
      <c r="L1139" s="274">
        <v>-1650000</v>
      </c>
    </row>
    <row r="1140" spans="1:12" x14ac:dyDescent="0.3">
      <c r="A1140" s="58">
        <v>1138</v>
      </c>
      <c r="B1140" s="272">
        <v>45870</v>
      </c>
      <c r="C1140" s="279" t="s">
        <v>1505</v>
      </c>
      <c r="E1140" s="279" t="s">
        <v>1152</v>
      </c>
      <c r="L1140" s="274">
        <v>-2000000</v>
      </c>
    </row>
    <row r="1141" spans="1:12" x14ac:dyDescent="0.3">
      <c r="A1141" s="58">
        <v>1139</v>
      </c>
      <c r="B1141" s="272">
        <v>45870</v>
      </c>
      <c r="C1141" s="279" t="s">
        <v>3250</v>
      </c>
      <c r="E1141" s="279" t="s">
        <v>1152</v>
      </c>
      <c r="L1141" s="274">
        <v>-1375000</v>
      </c>
    </row>
    <row r="1142" spans="1:12" x14ac:dyDescent="0.3">
      <c r="A1142" s="58">
        <v>1140</v>
      </c>
      <c r="B1142" s="272">
        <v>45868</v>
      </c>
      <c r="C1142" s="279" t="s">
        <v>1755</v>
      </c>
      <c r="E1142" s="279" t="s">
        <v>1749</v>
      </c>
      <c r="F1142" s="279" t="s">
        <v>1748</v>
      </c>
      <c r="G1142" s="274">
        <v>15000</v>
      </c>
      <c r="H1142" s="279">
        <v>3</v>
      </c>
      <c r="K1142" s="274">
        <v>45000</v>
      </c>
    </row>
    <row r="1143" spans="1:12" x14ac:dyDescent="0.3">
      <c r="A1143" s="58">
        <v>1141</v>
      </c>
      <c r="B1143" s="272">
        <v>45871</v>
      </c>
      <c r="C1143" s="279" t="s">
        <v>1361</v>
      </c>
      <c r="E1143" s="279" t="s">
        <v>3268</v>
      </c>
      <c r="L1143" s="274">
        <v>-1300000</v>
      </c>
    </row>
    <row r="1144" spans="1:12" x14ac:dyDescent="0.3">
      <c r="A1144" s="58">
        <v>1142</v>
      </c>
      <c r="B1144" s="272">
        <v>45873</v>
      </c>
      <c r="C1144" s="279" t="s">
        <v>1505</v>
      </c>
      <c r="E1144" s="279" t="s">
        <v>1152</v>
      </c>
      <c r="L1144" s="274">
        <v>-500000</v>
      </c>
    </row>
    <row r="1145" spans="1:12" x14ac:dyDescent="0.3">
      <c r="A1145" s="58">
        <v>1143</v>
      </c>
      <c r="B1145" s="272">
        <v>45873</v>
      </c>
      <c r="C1145" s="279" t="s">
        <v>1844</v>
      </c>
      <c r="E1145" s="279" t="s">
        <v>1152</v>
      </c>
      <c r="L1145" s="274">
        <v>-1550000</v>
      </c>
    </row>
    <row r="1146" spans="1:12" x14ac:dyDescent="0.3">
      <c r="A1146" s="58">
        <v>1144</v>
      </c>
      <c r="B1146" s="272">
        <v>45873</v>
      </c>
      <c r="C1146" s="279" t="s">
        <v>1840</v>
      </c>
      <c r="E1146" s="279" t="s">
        <v>1152</v>
      </c>
      <c r="L1146" s="274">
        <v>-1980000</v>
      </c>
    </row>
    <row r="1147" spans="1:12" x14ac:dyDescent="0.3">
      <c r="A1147" s="58">
        <v>1145</v>
      </c>
      <c r="B1147" s="272">
        <v>45873</v>
      </c>
      <c r="C1147" s="279" t="s">
        <v>1505</v>
      </c>
      <c r="E1147" s="279" t="s">
        <v>2227</v>
      </c>
      <c r="F1147" s="279" t="s">
        <v>1230</v>
      </c>
      <c r="G1147" s="274">
        <v>1500000</v>
      </c>
      <c r="H1147" s="279">
        <v>1</v>
      </c>
      <c r="K1147" s="274">
        <v>1500000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2194</v>
      </c>
      <c r="E1149" s="279" t="s">
        <v>1750</v>
      </c>
      <c r="F1149" s="279">
        <v>2800802</v>
      </c>
      <c r="G1149" s="274">
        <v>150000</v>
      </c>
      <c r="H1149" s="279">
        <v>1</v>
      </c>
      <c r="K1149" s="274">
        <v>150000</v>
      </c>
    </row>
    <row r="1150" spans="1:12" x14ac:dyDescent="0.3">
      <c r="A1150" s="58">
        <v>1148</v>
      </c>
      <c r="B1150" s="272">
        <v>45873</v>
      </c>
      <c r="C1150" s="279" t="s">
        <v>1024</v>
      </c>
      <c r="E1150" s="279" t="s">
        <v>1897</v>
      </c>
      <c r="F1150" s="279">
        <v>2830402</v>
      </c>
      <c r="G1150" s="274">
        <v>1100000</v>
      </c>
      <c r="H1150" s="279">
        <v>1</v>
      </c>
      <c r="J1150" s="275">
        <v>110000</v>
      </c>
      <c r="K1150" s="274">
        <v>1210000</v>
      </c>
    </row>
    <row r="1151" spans="1:12" x14ac:dyDescent="0.3">
      <c r="A1151" s="58">
        <v>1149</v>
      </c>
      <c r="B1151" s="272">
        <v>45874</v>
      </c>
      <c r="C1151" s="279" t="s">
        <v>1781</v>
      </c>
      <c r="E1151" s="279" t="s">
        <v>1780</v>
      </c>
      <c r="L1151" s="274">
        <v>-3212000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2237</v>
      </c>
      <c r="F1152" s="279">
        <v>50229</v>
      </c>
      <c r="G1152" s="274">
        <v>75000</v>
      </c>
      <c r="H1152" s="279">
        <v>2</v>
      </c>
      <c r="J1152" s="275">
        <v>15000</v>
      </c>
      <c r="K1152" s="274">
        <v>165000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2238</v>
      </c>
      <c r="F1153" s="279" t="s">
        <v>1830</v>
      </c>
      <c r="G1153" s="274">
        <v>35000</v>
      </c>
      <c r="H1153" s="279">
        <v>1</v>
      </c>
      <c r="J1153" s="275">
        <v>3500</v>
      </c>
      <c r="K1153" s="274">
        <v>38500</v>
      </c>
    </row>
    <row r="1154" spans="1:11" x14ac:dyDescent="0.3">
      <c r="A1154" s="58">
        <v>1152</v>
      </c>
      <c r="B1154" s="272">
        <v>45874</v>
      </c>
      <c r="C1154" s="279" t="s">
        <v>2191</v>
      </c>
      <c r="E1154" s="279" t="s">
        <v>2959</v>
      </c>
      <c r="F1154" s="279" t="s">
        <v>2862</v>
      </c>
      <c r="G1154" s="274">
        <v>129000</v>
      </c>
      <c r="H1154" s="279">
        <v>1</v>
      </c>
      <c r="K1154" s="274">
        <v>129000</v>
      </c>
    </row>
    <row r="1155" spans="1:11" x14ac:dyDescent="0.3">
      <c r="A1155" s="58">
        <v>1153</v>
      </c>
      <c r="B1155" s="272">
        <v>45874</v>
      </c>
      <c r="C1155" s="279" t="s">
        <v>1499</v>
      </c>
      <c r="E1155" s="279" t="s">
        <v>2241</v>
      </c>
      <c r="G1155" s="274">
        <v>600000</v>
      </c>
      <c r="H1155" s="279">
        <v>1</v>
      </c>
      <c r="J1155" s="275">
        <v>60000</v>
      </c>
      <c r="K1155" s="274">
        <v>660000</v>
      </c>
    </row>
    <row r="1156" spans="1:11" x14ac:dyDescent="0.3">
      <c r="A1156" s="58">
        <v>1154</v>
      </c>
      <c r="B1156" s="272">
        <v>45874</v>
      </c>
      <c r="C1156" s="279" t="s">
        <v>1629</v>
      </c>
      <c r="E1156" s="279" t="s">
        <v>1234</v>
      </c>
      <c r="F1156" s="279" t="s">
        <v>1235</v>
      </c>
      <c r="G1156" s="274">
        <v>1200000</v>
      </c>
      <c r="H1156" s="279">
        <v>1</v>
      </c>
      <c r="J1156" s="275">
        <v>120000</v>
      </c>
      <c r="K1156" s="274">
        <v>1320000</v>
      </c>
    </row>
    <row r="1157" spans="1:11" x14ac:dyDescent="0.3">
      <c r="A1157" s="58">
        <v>1155</v>
      </c>
      <c r="B1157" s="272">
        <v>45874</v>
      </c>
      <c r="C1157" s="279" t="s">
        <v>2475</v>
      </c>
      <c r="E1157" s="279" t="s">
        <v>2483</v>
      </c>
      <c r="F1157" s="279" t="s">
        <v>2860</v>
      </c>
      <c r="G1157" s="274">
        <v>1100000</v>
      </c>
      <c r="H1157" s="279">
        <v>1</v>
      </c>
      <c r="J1157" s="275">
        <v>110000</v>
      </c>
      <c r="K1157" s="274">
        <v>1210000</v>
      </c>
    </row>
    <row r="1158" spans="1:11" x14ac:dyDescent="0.3">
      <c r="A1158" s="58">
        <v>1156</v>
      </c>
      <c r="B1158" s="272">
        <v>45874</v>
      </c>
      <c r="C1158" s="279" t="s">
        <v>3273</v>
      </c>
      <c r="E1158" s="279" t="s">
        <v>2243</v>
      </c>
      <c r="F1158" s="279">
        <v>2820403</v>
      </c>
      <c r="G1158" s="274">
        <v>1500000</v>
      </c>
      <c r="H1158" s="279">
        <v>1</v>
      </c>
      <c r="K1158" s="274">
        <v>1500000</v>
      </c>
    </row>
    <row r="1159" spans="1:11" x14ac:dyDescent="0.3">
      <c r="A1159" s="58">
        <v>1157</v>
      </c>
      <c r="B1159" s="272">
        <v>45874</v>
      </c>
      <c r="C1159" s="279" t="s">
        <v>1431</v>
      </c>
      <c r="E1159" s="279" t="s">
        <v>1232</v>
      </c>
      <c r="F1159" s="279" t="s">
        <v>1786</v>
      </c>
      <c r="G1159" s="274">
        <v>1200000</v>
      </c>
      <c r="H1159" s="279">
        <v>1</v>
      </c>
      <c r="K1159" s="274">
        <v>1200000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2234</v>
      </c>
      <c r="F1160" s="279" t="s">
        <v>1236</v>
      </c>
      <c r="G1160" s="274">
        <v>510000</v>
      </c>
      <c r="H1160" s="279">
        <v>1</v>
      </c>
      <c r="K1160" s="274">
        <v>510000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2238</v>
      </c>
      <c r="F1161" s="279" t="s">
        <v>1830</v>
      </c>
      <c r="G1161" s="274">
        <v>30000</v>
      </c>
      <c r="H1161" s="279">
        <v>1</v>
      </c>
      <c r="K1161" s="274">
        <v>30000</v>
      </c>
    </row>
    <row r="1162" spans="1:11" x14ac:dyDescent="0.3">
      <c r="A1162" s="58">
        <v>1160</v>
      </c>
      <c r="B1162" s="272">
        <v>45874</v>
      </c>
      <c r="C1162" s="279" t="s">
        <v>2016</v>
      </c>
      <c r="E1162" s="279" t="s">
        <v>1232</v>
      </c>
      <c r="F1162" s="279" t="s">
        <v>1786</v>
      </c>
      <c r="G1162" s="274">
        <v>1200000</v>
      </c>
      <c r="H1162" s="279">
        <v>1</v>
      </c>
      <c r="J1162" s="275">
        <v>120000</v>
      </c>
      <c r="K1162" s="274">
        <v>1320000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3274</v>
      </c>
      <c r="F1163" s="279" t="s">
        <v>1786</v>
      </c>
      <c r="G1163" s="274">
        <v>25000</v>
      </c>
      <c r="H1163" s="279">
        <v>1</v>
      </c>
      <c r="K1163" s="274">
        <v>25000</v>
      </c>
    </row>
    <row r="1164" spans="1:11" x14ac:dyDescent="0.3">
      <c r="A1164" s="58">
        <v>1162</v>
      </c>
      <c r="B1164" s="272">
        <v>45874</v>
      </c>
      <c r="C1164" s="279" t="s">
        <v>1586</v>
      </c>
      <c r="E1164" s="279" t="s">
        <v>3275</v>
      </c>
      <c r="G1164" s="274">
        <v>1200000</v>
      </c>
      <c r="H1164" s="279">
        <v>1</v>
      </c>
      <c r="J1164" s="275">
        <v>120000</v>
      </c>
      <c r="K1164" s="274">
        <v>1320000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3276</v>
      </c>
      <c r="G1165" s="274">
        <v>50000</v>
      </c>
      <c r="H1165" s="279">
        <v>1</v>
      </c>
      <c r="J1165" s="275">
        <v>5000</v>
      </c>
      <c r="K1165" s="274">
        <v>55000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3277</v>
      </c>
      <c r="G1166" s="274">
        <v>20000</v>
      </c>
      <c r="H1166" s="279">
        <v>1</v>
      </c>
      <c r="J1166" s="275">
        <v>2000</v>
      </c>
      <c r="K1166" s="274">
        <v>22000</v>
      </c>
    </row>
    <row r="1167" spans="1:11" x14ac:dyDescent="0.3">
      <c r="A1167" s="58">
        <v>1165</v>
      </c>
      <c r="B1167" s="272">
        <v>45874</v>
      </c>
      <c r="C1167" s="279" t="s">
        <v>1476</v>
      </c>
      <c r="E1167" s="279" t="s">
        <v>2227</v>
      </c>
      <c r="F1167" s="279" t="s">
        <v>1230</v>
      </c>
      <c r="G1167" s="274">
        <v>1500000</v>
      </c>
      <c r="H1167" s="279">
        <v>1</v>
      </c>
      <c r="K1167" s="274">
        <v>1500000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2228</v>
      </c>
      <c r="F1168" s="279" t="s">
        <v>1838</v>
      </c>
      <c r="G1168" s="274">
        <v>50000</v>
      </c>
      <c r="H1168" s="279">
        <v>1</v>
      </c>
      <c r="K1168" s="274">
        <v>50000</v>
      </c>
    </row>
    <row r="1169" spans="1:12" x14ac:dyDescent="0.3">
      <c r="A1169" s="58">
        <v>1167</v>
      </c>
      <c r="B1169" s="272">
        <v>45874</v>
      </c>
      <c r="C1169" s="279" t="s">
        <v>2016</v>
      </c>
      <c r="E1169" s="279" t="s">
        <v>1152</v>
      </c>
      <c r="L1169" s="274">
        <v>-1345000</v>
      </c>
    </row>
    <row r="1170" spans="1:12" x14ac:dyDescent="0.3">
      <c r="A1170" s="58">
        <v>1168</v>
      </c>
      <c r="B1170" s="272">
        <v>45874</v>
      </c>
      <c r="C1170" s="279" t="s">
        <v>3273</v>
      </c>
      <c r="E1170" s="279" t="s">
        <v>1152</v>
      </c>
      <c r="L1170" s="274">
        <v>-1500000</v>
      </c>
    </row>
    <row r="1171" spans="1:12" x14ac:dyDescent="0.3">
      <c r="A1171" s="58">
        <v>1169</v>
      </c>
      <c r="B1171" s="272">
        <v>45874</v>
      </c>
      <c r="C1171" s="279" t="s">
        <v>2194</v>
      </c>
      <c r="E1171" s="279" t="s">
        <v>1152</v>
      </c>
      <c r="L1171" s="274">
        <v>-150000</v>
      </c>
    </row>
    <row r="1172" spans="1:12" x14ac:dyDescent="0.3">
      <c r="A1172" s="58">
        <v>1170</v>
      </c>
      <c r="B1172" s="272">
        <v>45874</v>
      </c>
      <c r="C1172" s="279" t="s">
        <v>1505</v>
      </c>
      <c r="E1172" s="279" t="s">
        <v>1152</v>
      </c>
      <c r="L1172" s="274">
        <v>-3000000</v>
      </c>
    </row>
    <row r="1173" spans="1:12" x14ac:dyDescent="0.3">
      <c r="A1173" s="58">
        <v>1171</v>
      </c>
      <c r="B1173" s="272">
        <v>45875</v>
      </c>
      <c r="C1173" s="279" t="s">
        <v>2475</v>
      </c>
      <c r="E1173" s="279" t="s">
        <v>1152</v>
      </c>
      <c r="L1173" s="274">
        <v>-1210000</v>
      </c>
    </row>
    <row r="1174" spans="1:12" x14ac:dyDescent="0.3">
      <c r="A1174" s="58">
        <v>1172</v>
      </c>
      <c r="B1174" s="272">
        <v>45875</v>
      </c>
      <c r="C1174" s="279" t="s">
        <v>1526</v>
      </c>
      <c r="E1174" s="279" t="s">
        <v>1232</v>
      </c>
      <c r="F1174" s="279" t="s">
        <v>1786</v>
      </c>
      <c r="G1174" s="274">
        <v>1200000</v>
      </c>
      <c r="H1174" s="279">
        <v>1</v>
      </c>
      <c r="K1174" s="274">
        <v>1200000</v>
      </c>
    </row>
    <row r="1175" spans="1:12" x14ac:dyDescent="0.3">
      <c r="A1175" s="58">
        <v>1173</v>
      </c>
      <c r="B1175" s="272">
        <v>45875</v>
      </c>
      <c r="C1175" s="279" t="s">
        <v>1035</v>
      </c>
      <c r="E1175" s="279" t="s">
        <v>2157</v>
      </c>
      <c r="F1175" s="279" t="s">
        <v>2664</v>
      </c>
      <c r="G1175" s="274">
        <v>70000</v>
      </c>
      <c r="H1175" s="279">
        <v>1</v>
      </c>
      <c r="K1175" s="274">
        <v>70000</v>
      </c>
    </row>
    <row r="1176" spans="1:12" x14ac:dyDescent="0.3">
      <c r="A1176" s="58">
        <v>1174</v>
      </c>
      <c r="B1176" s="272">
        <v>45875</v>
      </c>
      <c r="C1176" s="279" t="s">
        <v>3279</v>
      </c>
      <c r="E1176" s="279" t="s">
        <v>2227</v>
      </c>
      <c r="F1176" s="279" t="s">
        <v>1230</v>
      </c>
      <c r="G1176" s="274">
        <v>1500000</v>
      </c>
      <c r="H1176" s="279">
        <v>1</v>
      </c>
      <c r="J1176" s="275">
        <v>150000</v>
      </c>
      <c r="K1176" s="274">
        <v>1650000</v>
      </c>
    </row>
    <row r="1177" spans="1:12" x14ac:dyDescent="0.3">
      <c r="A1177" s="58">
        <v>1175</v>
      </c>
      <c r="B1177" s="272">
        <v>45875</v>
      </c>
      <c r="C1177" s="279" t="s">
        <v>3279</v>
      </c>
      <c r="E1177" s="279" t="s">
        <v>2228</v>
      </c>
      <c r="F1177" s="279" t="s">
        <v>1838</v>
      </c>
      <c r="G1177" s="274">
        <v>50000</v>
      </c>
      <c r="H1177" s="279">
        <v>1</v>
      </c>
      <c r="J1177" s="275">
        <v>5000</v>
      </c>
      <c r="K1177" s="274">
        <v>55000</v>
      </c>
    </row>
    <row r="1178" spans="1:12" x14ac:dyDescent="0.3">
      <c r="A1178" s="58">
        <v>1176</v>
      </c>
      <c r="B1178" s="272">
        <v>45875</v>
      </c>
      <c r="C1178" s="279" t="s">
        <v>1174</v>
      </c>
      <c r="E1178" s="279" t="s">
        <v>3292</v>
      </c>
      <c r="G1178" s="274">
        <v>1100000</v>
      </c>
      <c r="H1178" s="279">
        <v>1</v>
      </c>
      <c r="K1178" s="274">
        <v>1100000</v>
      </c>
    </row>
    <row r="1179" spans="1:12" x14ac:dyDescent="0.3">
      <c r="A1179" s="58">
        <v>1177</v>
      </c>
      <c r="B1179" s="272">
        <v>45875</v>
      </c>
      <c r="C1179" s="279" t="s">
        <v>1844</v>
      </c>
      <c r="E1179" s="279" t="s">
        <v>1528</v>
      </c>
      <c r="F1179" s="279" t="s">
        <v>2781</v>
      </c>
      <c r="G1179" s="274">
        <v>350000</v>
      </c>
      <c r="H1179" s="279">
        <v>1</v>
      </c>
      <c r="K1179" s="274">
        <v>350000</v>
      </c>
    </row>
    <row r="1180" spans="1:12" x14ac:dyDescent="0.3">
      <c r="A1180" s="58">
        <v>1178</v>
      </c>
      <c r="B1180" s="272">
        <v>45875</v>
      </c>
      <c r="C1180" s="279" t="s">
        <v>3301</v>
      </c>
      <c r="E1180" s="279" t="s">
        <v>3302</v>
      </c>
      <c r="F1180" s="279" t="s">
        <v>3303</v>
      </c>
      <c r="G1180" s="274">
        <v>1300000</v>
      </c>
      <c r="H1180" s="279">
        <v>1</v>
      </c>
      <c r="J1180" s="275" t="s">
        <v>3304</v>
      </c>
      <c r="K1180" s="274">
        <v>1430000</v>
      </c>
    </row>
    <row r="1181" spans="1:12" x14ac:dyDescent="0.3">
      <c r="A1181" s="58">
        <v>1179</v>
      </c>
      <c r="B1181" s="272">
        <v>45875</v>
      </c>
      <c r="C1181" s="279" t="s">
        <v>2191</v>
      </c>
      <c r="E1181" s="279" t="s">
        <v>2243</v>
      </c>
      <c r="F1181" s="279">
        <v>2820403</v>
      </c>
      <c r="G1181" s="274">
        <v>1600000</v>
      </c>
      <c r="H1181" s="279">
        <v>1</v>
      </c>
      <c r="K1181" s="274">
        <v>1600000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3032</v>
      </c>
      <c r="G1182" s="274">
        <v>30000</v>
      </c>
      <c r="H1182" s="279">
        <v>1</v>
      </c>
      <c r="K1182" s="274">
        <v>30000</v>
      </c>
    </row>
    <row r="1183" spans="1:12" x14ac:dyDescent="0.3">
      <c r="A1183" s="58">
        <v>1181</v>
      </c>
      <c r="B1183" s="272">
        <v>45875</v>
      </c>
      <c r="C1183" s="279" t="s">
        <v>1610</v>
      </c>
      <c r="E1183" s="279" t="s">
        <v>3298</v>
      </c>
      <c r="G1183" s="274">
        <v>250000</v>
      </c>
      <c r="H1183" s="279">
        <v>1</v>
      </c>
      <c r="J1183" s="275">
        <v>25000</v>
      </c>
      <c r="K1183" s="274">
        <v>275000</v>
      </c>
    </row>
    <row r="1184" spans="1:12" x14ac:dyDescent="0.3">
      <c r="A1184" s="58">
        <v>1182</v>
      </c>
      <c r="B1184" s="272">
        <v>45875</v>
      </c>
      <c r="C1184" s="279" t="s">
        <v>1781</v>
      </c>
      <c r="E1184" s="279" t="s">
        <v>2243</v>
      </c>
      <c r="F1184" s="279">
        <v>2820403</v>
      </c>
      <c r="G1184" s="274">
        <v>1500000</v>
      </c>
      <c r="H1184" s="279">
        <v>1</v>
      </c>
      <c r="J1184" s="275">
        <v>150000</v>
      </c>
      <c r="K1184" s="274">
        <v>1650000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1551</v>
      </c>
      <c r="G1185" s="274">
        <v>20000</v>
      </c>
      <c r="H1185" s="279">
        <v>1</v>
      </c>
      <c r="J1185" s="275">
        <v>2000</v>
      </c>
      <c r="K1185" s="274">
        <v>22000</v>
      </c>
    </row>
    <row r="1186" spans="1:13" x14ac:dyDescent="0.3">
      <c r="A1186" s="58">
        <v>1184</v>
      </c>
      <c r="B1186" s="272">
        <v>45875</v>
      </c>
      <c r="C1186" s="279" t="s">
        <v>3279</v>
      </c>
      <c r="E1186" s="279" t="s">
        <v>1152</v>
      </c>
      <c r="L1186" s="274">
        <v>-1705000</v>
      </c>
    </row>
    <row r="1187" spans="1:13" x14ac:dyDescent="0.3">
      <c r="A1187" s="58">
        <v>1185</v>
      </c>
      <c r="B1187" s="272">
        <v>45876</v>
      </c>
      <c r="C1187" s="279" t="s">
        <v>2191</v>
      </c>
      <c r="E1187" s="279" t="s">
        <v>1152</v>
      </c>
      <c r="L1187" s="274">
        <v>-1759000</v>
      </c>
    </row>
    <row r="1188" spans="1:13" x14ac:dyDescent="0.3">
      <c r="A1188" s="58">
        <v>1186</v>
      </c>
      <c r="B1188" s="272">
        <v>45876</v>
      </c>
      <c r="C1188" s="279" t="s">
        <v>3295</v>
      </c>
      <c r="E1188" s="279" t="s">
        <v>1152</v>
      </c>
      <c r="L1188" s="274">
        <v>-1430000</v>
      </c>
    </row>
    <row r="1189" spans="1:13" x14ac:dyDescent="0.3">
      <c r="A1189" s="58">
        <v>1187</v>
      </c>
      <c r="B1189" s="272">
        <v>45876</v>
      </c>
      <c r="C1189" s="279" t="s">
        <v>1476</v>
      </c>
      <c r="E1189" s="279" t="s">
        <v>2924</v>
      </c>
      <c r="F1189" s="279" t="s">
        <v>2923</v>
      </c>
      <c r="G1189" s="274">
        <v>250000</v>
      </c>
      <c r="H1189" s="279">
        <v>1</v>
      </c>
      <c r="K1189" s="274">
        <v>250000</v>
      </c>
      <c r="M1189" s="279" t="s">
        <v>3305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2230</v>
      </c>
      <c r="F1190" s="279" t="s">
        <v>1753</v>
      </c>
      <c r="G1190" s="274">
        <v>50000</v>
      </c>
      <c r="H1190" s="279">
        <v>1</v>
      </c>
      <c r="K1190" s="274">
        <v>50000</v>
      </c>
    </row>
    <row r="1191" spans="1:13" x14ac:dyDescent="0.3">
      <c r="A1191" s="58">
        <v>1189</v>
      </c>
      <c r="B1191" s="272">
        <v>45876</v>
      </c>
      <c r="C1191" s="279" t="s">
        <v>2902</v>
      </c>
      <c r="E1191" s="279" t="s">
        <v>2227</v>
      </c>
      <c r="F1191" s="279" t="s">
        <v>1230</v>
      </c>
      <c r="G1191" s="274">
        <v>1500000</v>
      </c>
      <c r="H1191" s="279">
        <v>1</v>
      </c>
      <c r="K1191" s="274">
        <v>1500000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2228</v>
      </c>
      <c r="F1192" s="279" t="s">
        <v>1838</v>
      </c>
      <c r="G1192" s="274">
        <v>50000</v>
      </c>
      <c r="H1192" s="279">
        <v>1</v>
      </c>
      <c r="K1192" s="274">
        <v>50000</v>
      </c>
    </row>
    <row r="1193" spans="1:13" x14ac:dyDescent="0.3">
      <c r="A1193" s="58">
        <v>1191</v>
      </c>
      <c r="B1193" s="272">
        <v>45876</v>
      </c>
      <c r="C1193" s="279" t="s">
        <v>2475</v>
      </c>
      <c r="E1193" s="279" t="s">
        <v>2483</v>
      </c>
      <c r="F1193" s="279" t="s">
        <v>2860</v>
      </c>
      <c r="G1193" s="274">
        <v>1100000</v>
      </c>
      <c r="H1193" s="279">
        <v>1</v>
      </c>
      <c r="J1193" s="275">
        <v>110000</v>
      </c>
      <c r="K1193" s="274">
        <v>1210000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3309</v>
      </c>
      <c r="F1194" s="279" t="s">
        <v>2860</v>
      </c>
      <c r="G1194" s="274">
        <v>200000</v>
      </c>
      <c r="H1194" s="279">
        <v>1</v>
      </c>
      <c r="J1194" s="275">
        <v>20000</v>
      </c>
      <c r="K1194" s="274">
        <v>220000</v>
      </c>
    </row>
    <row r="1195" spans="1:13" x14ac:dyDescent="0.3">
      <c r="A1195" s="58">
        <v>1193</v>
      </c>
      <c r="B1195" s="272">
        <v>45876</v>
      </c>
      <c r="C1195" s="279" t="s">
        <v>1526</v>
      </c>
      <c r="E1195" s="279" t="s">
        <v>1152</v>
      </c>
      <c r="L1195" s="274">
        <v>-1200000</v>
      </c>
    </row>
    <row r="1196" spans="1:13" x14ac:dyDescent="0.3">
      <c r="A1196" s="58">
        <v>1194</v>
      </c>
      <c r="B1196" s="272">
        <v>45877</v>
      </c>
      <c r="C1196" s="279" t="s">
        <v>1511</v>
      </c>
      <c r="E1196" s="279" t="s">
        <v>1152</v>
      </c>
      <c r="L1196" s="274">
        <v>-4338000</v>
      </c>
    </row>
    <row r="1197" spans="1:13" x14ac:dyDescent="0.3">
      <c r="A1197" s="58">
        <v>1195</v>
      </c>
      <c r="B1197" s="272">
        <v>45877</v>
      </c>
      <c r="C1197" s="279" t="s">
        <v>1755</v>
      </c>
      <c r="E1197" s="279" t="s">
        <v>1152</v>
      </c>
      <c r="L1197" s="274">
        <v>-4045000</v>
      </c>
    </row>
    <row r="1198" spans="1:13" x14ac:dyDescent="0.3">
      <c r="A1198" s="58">
        <v>1196</v>
      </c>
      <c r="B1198" s="272">
        <v>45877</v>
      </c>
      <c r="C1198" s="279" t="s">
        <v>2902</v>
      </c>
      <c r="E1198" s="279" t="s">
        <v>1152</v>
      </c>
      <c r="L1198" s="274">
        <v>-1550000</v>
      </c>
    </row>
    <row r="1199" spans="1:13" x14ac:dyDescent="0.3">
      <c r="A1199" s="58">
        <v>1197</v>
      </c>
      <c r="B1199" s="272">
        <v>45877</v>
      </c>
      <c r="C1199" s="279" t="s">
        <v>2475</v>
      </c>
      <c r="E1199" s="279" t="s">
        <v>1152</v>
      </c>
      <c r="L1199" s="274">
        <v>-1430000</v>
      </c>
    </row>
    <row r="1200" spans="1:13" x14ac:dyDescent="0.3">
      <c r="A1200" s="58">
        <v>1198</v>
      </c>
      <c r="B1200" s="272">
        <v>45877</v>
      </c>
      <c r="C1200" s="279" t="s">
        <v>3311</v>
      </c>
      <c r="E1200" s="279" t="s">
        <v>1528</v>
      </c>
      <c r="F1200" s="279" t="s">
        <v>2781</v>
      </c>
      <c r="G1200" s="274">
        <v>350000</v>
      </c>
      <c r="H1200" s="279">
        <v>1</v>
      </c>
      <c r="K1200" s="274">
        <v>350000</v>
      </c>
    </row>
    <row r="1201" spans="1:12" x14ac:dyDescent="0.3">
      <c r="A1201" s="58">
        <v>1199</v>
      </c>
      <c r="B1201" s="272">
        <v>45877</v>
      </c>
      <c r="C1201" s="279" t="s">
        <v>3311</v>
      </c>
      <c r="E1201" s="279" t="s">
        <v>1551</v>
      </c>
      <c r="G1201" s="274">
        <v>20000</v>
      </c>
      <c r="H1201" s="279">
        <v>1</v>
      </c>
      <c r="K1201" s="274">
        <v>20000</v>
      </c>
    </row>
    <row r="1202" spans="1:12" x14ac:dyDescent="0.3">
      <c r="A1202" s="58">
        <v>1200</v>
      </c>
      <c r="B1202" s="272">
        <v>45877</v>
      </c>
      <c r="C1202" s="279" t="s">
        <v>3311</v>
      </c>
      <c r="E1202" s="279" t="s">
        <v>1152</v>
      </c>
      <c r="L1202" s="274">
        <v>-370000</v>
      </c>
    </row>
    <row r="1203" spans="1:12" x14ac:dyDescent="0.3">
      <c r="A1203" s="58">
        <v>1201</v>
      </c>
      <c r="B1203" s="272">
        <v>45877</v>
      </c>
      <c r="C1203" s="279" t="s">
        <v>3314</v>
      </c>
      <c r="E1203" s="279" t="s">
        <v>2349</v>
      </c>
      <c r="G1203" s="274">
        <v>650000</v>
      </c>
      <c r="H1203" s="279">
        <v>1</v>
      </c>
      <c r="K1203" s="274">
        <v>650000</v>
      </c>
    </row>
    <row r="1204" spans="1:12" x14ac:dyDescent="0.3">
      <c r="A1204" s="58">
        <v>1202</v>
      </c>
      <c r="B1204" s="272">
        <v>45877</v>
      </c>
      <c r="C1204" s="279" t="s">
        <v>3314</v>
      </c>
      <c r="E1204" s="279" t="s">
        <v>1152</v>
      </c>
      <c r="L1204" s="274">
        <v>-650000</v>
      </c>
    </row>
    <row r="1205" spans="1:12" x14ac:dyDescent="0.3">
      <c r="A1205" s="58">
        <v>1203</v>
      </c>
      <c r="B1205" s="272">
        <v>45878</v>
      </c>
      <c r="C1205" s="279" t="s">
        <v>1027</v>
      </c>
      <c r="E1205" s="279" t="s">
        <v>2952</v>
      </c>
      <c r="F1205" s="279">
        <v>1087298388</v>
      </c>
      <c r="G1205" s="274">
        <v>550000</v>
      </c>
      <c r="H1205" s="279">
        <v>1</v>
      </c>
      <c r="K1205" s="274">
        <v>550000</v>
      </c>
    </row>
    <row r="1206" spans="1:12" x14ac:dyDescent="0.3">
      <c r="A1206" s="58">
        <v>1204</v>
      </c>
      <c r="B1206" s="272">
        <v>45878</v>
      </c>
      <c r="C1206" s="279" t="s">
        <v>1027</v>
      </c>
      <c r="E1206" s="279" t="s">
        <v>3322</v>
      </c>
      <c r="F1206" s="279">
        <v>1087327175</v>
      </c>
      <c r="G1206" s="274">
        <v>70000</v>
      </c>
      <c r="H1206" s="279">
        <v>1</v>
      </c>
      <c r="K1206" s="274">
        <v>70000</v>
      </c>
    </row>
    <row r="1207" spans="1:12" x14ac:dyDescent="0.3">
      <c r="A1207" s="58">
        <v>1205</v>
      </c>
      <c r="B1207" s="272">
        <v>45878</v>
      </c>
      <c r="C1207" s="279" t="s">
        <v>1027</v>
      </c>
      <c r="E1207" s="279" t="s">
        <v>1297</v>
      </c>
      <c r="F1207" s="279" t="s">
        <v>1296</v>
      </c>
      <c r="G1207" s="274">
        <v>50000</v>
      </c>
      <c r="H1207" s="279">
        <v>1</v>
      </c>
      <c r="K1207" s="274">
        <v>50000</v>
      </c>
    </row>
    <row r="1208" spans="1:12" x14ac:dyDescent="0.3">
      <c r="A1208" s="58">
        <v>1206</v>
      </c>
      <c r="B1208" s="272">
        <v>45878</v>
      </c>
      <c r="C1208" s="279" t="s">
        <v>3324</v>
      </c>
      <c r="E1208" s="279" t="s">
        <v>2227</v>
      </c>
      <c r="F1208" s="279" t="s">
        <v>1230</v>
      </c>
      <c r="G1208" s="274">
        <v>1500000</v>
      </c>
      <c r="H1208" s="279">
        <v>1</v>
      </c>
      <c r="K1208" s="274">
        <v>1500000</v>
      </c>
    </row>
    <row r="1209" spans="1:12" x14ac:dyDescent="0.3">
      <c r="A1209" s="58">
        <v>1207</v>
      </c>
      <c r="B1209" s="272">
        <v>45878</v>
      </c>
      <c r="C1209" s="279" t="s">
        <v>3324</v>
      </c>
      <c r="E1209" s="279" t="s">
        <v>2228</v>
      </c>
      <c r="F1209" s="279" t="s">
        <v>1838</v>
      </c>
      <c r="G1209" s="274">
        <v>50000</v>
      </c>
      <c r="H1209" s="279">
        <v>1</v>
      </c>
      <c r="K1209" s="274">
        <v>50000</v>
      </c>
    </row>
    <row r="1210" spans="1:12" x14ac:dyDescent="0.3">
      <c r="A1210" s="58">
        <v>1208</v>
      </c>
      <c r="B1210" s="272">
        <v>45880</v>
      </c>
      <c r="C1210" s="279" t="s">
        <v>1499</v>
      </c>
      <c r="E1210" s="279" t="s">
        <v>1152</v>
      </c>
      <c r="L1210" s="274">
        <v>-4345000</v>
      </c>
    </row>
    <row r="1211" spans="1:12" x14ac:dyDescent="0.3">
      <c r="A1211" s="58">
        <v>1209</v>
      </c>
      <c r="B1211" s="272">
        <v>45880</v>
      </c>
      <c r="C1211" s="279" t="s">
        <v>2369</v>
      </c>
      <c r="E1211" s="279" t="s">
        <v>1234</v>
      </c>
      <c r="F1211" s="279" t="s">
        <v>1235</v>
      </c>
      <c r="G1211" s="274">
        <v>1200000</v>
      </c>
      <c r="H1211" s="279">
        <v>1</v>
      </c>
      <c r="J1211" s="275">
        <v>120000</v>
      </c>
      <c r="K1211" s="274">
        <v>1320000</v>
      </c>
    </row>
    <row r="1212" spans="1:12" x14ac:dyDescent="0.3">
      <c r="A1212" s="58">
        <v>1210</v>
      </c>
      <c r="B1212" s="272">
        <v>45880</v>
      </c>
      <c r="C1212" s="279" t="s">
        <v>1781</v>
      </c>
      <c r="E1212" s="279" t="s">
        <v>2235</v>
      </c>
      <c r="F1212" s="279" t="s">
        <v>1290</v>
      </c>
      <c r="G1212" s="274">
        <v>130000</v>
      </c>
      <c r="H1212" s="279">
        <v>1</v>
      </c>
      <c r="J1212" s="275">
        <v>13000</v>
      </c>
      <c r="K1212" s="274">
        <v>143000</v>
      </c>
    </row>
    <row r="1213" spans="1:12" x14ac:dyDescent="0.3">
      <c r="A1213" s="58">
        <v>1211</v>
      </c>
      <c r="B1213" s="272">
        <v>45880</v>
      </c>
      <c r="C1213" s="279" t="s">
        <v>1781</v>
      </c>
      <c r="E1213" s="279" t="s">
        <v>2239</v>
      </c>
      <c r="F1213" s="279" t="s">
        <v>1859</v>
      </c>
      <c r="G1213" s="274">
        <v>10000</v>
      </c>
      <c r="H1213" s="279">
        <v>1</v>
      </c>
      <c r="J1213" s="275">
        <v>1000</v>
      </c>
      <c r="K1213" s="274">
        <v>11000</v>
      </c>
    </row>
    <row r="1214" spans="1:12" x14ac:dyDescent="0.3">
      <c r="A1214" s="58">
        <v>1212</v>
      </c>
      <c r="B1214" s="272">
        <v>45880</v>
      </c>
      <c r="C1214" s="279" t="s">
        <v>1613</v>
      </c>
      <c r="E1214" s="279" t="s">
        <v>1234</v>
      </c>
      <c r="F1214" s="279" t="s">
        <v>1595</v>
      </c>
      <c r="G1214" s="274">
        <v>1200000</v>
      </c>
      <c r="H1214" s="279">
        <v>1</v>
      </c>
      <c r="J1214" s="275">
        <v>120000</v>
      </c>
      <c r="K1214" s="274">
        <v>1320000</v>
      </c>
    </row>
    <row r="1215" spans="1:12" x14ac:dyDescent="0.3">
      <c r="A1215" s="58">
        <v>1213</v>
      </c>
      <c r="B1215" s="272">
        <v>45880</v>
      </c>
      <c r="C1215" s="279" t="s">
        <v>1526</v>
      </c>
      <c r="E1215" s="279" t="s">
        <v>2446</v>
      </c>
      <c r="F1215" s="279" t="s">
        <v>3329</v>
      </c>
      <c r="G1215" s="274">
        <v>1550000</v>
      </c>
      <c r="H1215" s="279">
        <v>1</v>
      </c>
      <c r="K1215" s="274">
        <v>1550000</v>
      </c>
    </row>
    <row r="1216" spans="1:12" x14ac:dyDescent="0.3">
      <c r="A1216" s="58">
        <v>1214</v>
      </c>
      <c r="B1216" s="272">
        <v>45880</v>
      </c>
      <c r="C1216" s="279" t="s">
        <v>1431</v>
      </c>
      <c r="E1216" s="279" t="s">
        <v>1232</v>
      </c>
      <c r="F1216" s="279" t="s">
        <v>1786</v>
      </c>
      <c r="G1216" s="274">
        <v>1200000</v>
      </c>
      <c r="H1216" s="279">
        <v>1</v>
      </c>
      <c r="K1216" s="274">
        <v>1200000</v>
      </c>
    </row>
    <row r="1217" spans="1:13" x14ac:dyDescent="0.3">
      <c r="A1217" s="58">
        <v>1215</v>
      </c>
      <c r="B1217" s="272">
        <v>45880</v>
      </c>
      <c r="C1217" s="279" t="s">
        <v>1431</v>
      </c>
      <c r="E1217" s="279" t="s">
        <v>1528</v>
      </c>
      <c r="F1217" s="279" t="s">
        <v>2781</v>
      </c>
      <c r="G1217" s="274">
        <v>350000</v>
      </c>
      <c r="H1217" s="279">
        <v>1</v>
      </c>
      <c r="K1217" s="274">
        <v>350000</v>
      </c>
    </row>
    <row r="1218" spans="1:13" x14ac:dyDescent="0.3">
      <c r="A1218" s="58">
        <v>1216</v>
      </c>
      <c r="B1218" s="272">
        <v>45880</v>
      </c>
      <c r="C1218" s="279" t="s">
        <v>1431</v>
      </c>
      <c r="E1218" s="279" t="s">
        <v>2959</v>
      </c>
      <c r="F1218" s="279" t="s">
        <v>2862</v>
      </c>
      <c r="G1218" s="274">
        <v>129000</v>
      </c>
      <c r="H1218" s="279">
        <v>1</v>
      </c>
      <c r="K1218" s="274">
        <v>129000</v>
      </c>
    </row>
    <row r="1219" spans="1:13" x14ac:dyDescent="0.3">
      <c r="A1219" s="58">
        <v>1217</v>
      </c>
      <c r="B1219" s="272">
        <v>45880</v>
      </c>
      <c r="C1219" s="279" t="s">
        <v>1932</v>
      </c>
      <c r="E1219" s="279" t="s">
        <v>1232</v>
      </c>
      <c r="F1219" s="279" t="s">
        <v>1786</v>
      </c>
      <c r="G1219" s="274">
        <v>1300000</v>
      </c>
      <c r="H1219" s="279">
        <v>1</v>
      </c>
      <c r="K1219" s="274">
        <v>1300000</v>
      </c>
    </row>
    <row r="1220" spans="1:13" x14ac:dyDescent="0.3">
      <c r="A1220" s="58">
        <v>1218</v>
      </c>
      <c r="B1220" s="272">
        <v>45880</v>
      </c>
      <c r="C1220" s="279" t="s">
        <v>3049</v>
      </c>
      <c r="E1220" s="279" t="s">
        <v>2227</v>
      </c>
      <c r="F1220" s="279" t="s">
        <v>1230</v>
      </c>
      <c r="G1220" s="274">
        <v>1500000</v>
      </c>
      <c r="H1220" s="279">
        <v>1</v>
      </c>
      <c r="K1220" s="274">
        <v>1500000</v>
      </c>
    </row>
    <row r="1221" spans="1:13" x14ac:dyDescent="0.3">
      <c r="A1221" s="58">
        <v>1219</v>
      </c>
      <c r="B1221" s="272">
        <v>45880</v>
      </c>
      <c r="C1221" s="279" t="s">
        <v>3049</v>
      </c>
      <c r="E1221" s="279" t="s">
        <v>1152</v>
      </c>
      <c r="L1221" s="274">
        <v>-1500000</v>
      </c>
    </row>
    <row r="1222" spans="1:13" x14ac:dyDescent="0.3">
      <c r="A1222" s="58">
        <v>1220</v>
      </c>
      <c r="B1222" s="272">
        <v>45881</v>
      </c>
      <c r="C1222" s="279" t="s">
        <v>1499</v>
      </c>
      <c r="E1222" s="279" t="s">
        <v>2066</v>
      </c>
      <c r="F1222" s="279" t="s">
        <v>1247</v>
      </c>
      <c r="G1222" s="274">
        <v>1500000</v>
      </c>
      <c r="H1222" s="279">
        <v>1</v>
      </c>
      <c r="J1222" s="275">
        <v>150000</v>
      </c>
      <c r="K1222" s="274">
        <v>1650000</v>
      </c>
    </row>
    <row r="1223" spans="1:13" x14ac:dyDescent="0.3">
      <c r="A1223" s="58">
        <v>1221</v>
      </c>
      <c r="B1223" s="272">
        <v>45881</v>
      </c>
      <c r="C1223" s="279" t="s">
        <v>1505</v>
      </c>
      <c r="E1223" s="279" t="s">
        <v>2234</v>
      </c>
      <c r="F1223" s="279" t="s">
        <v>1236</v>
      </c>
      <c r="G1223" s="274">
        <v>500000</v>
      </c>
      <c r="H1223" s="279">
        <v>2</v>
      </c>
      <c r="K1223" s="274">
        <v>1000000</v>
      </c>
    </row>
    <row r="1224" spans="1:13" x14ac:dyDescent="0.3">
      <c r="A1224" s="58">
        <v>1222</v>
      </c>
      <c r="B1224" s="272">
        <v>45881</v>
      </c>
      <c r="C1224" s="279" t="s">
        <v>2369</v>
      </c>
      <c r="E1224" s="279" t="s">
        <v>2894</v>
      </c>
      <c r="F1224" s="279" t="s">
        <v>1244</v>
      </c>
      <c r="G1224" s="274">
        <v>1500000</v>
      </c>
      <c r="H1224" s="279">
        <v>1</v>
      </c>
      <c r="K1224" s="274">
        <v>1500000</v>
      </c>
      <c r="M1224" s="279" t="s">
        <v>3338</v>
      </c>
    </row>
    <row r="1225" spans="1:13" x14ac:dyDescent="0.3">
      <c r="A1225" s="58">
        <v>1223</v>
      </c>
      <c r="B1225" s="272">
        <v>45881</v>
      </c>
      <c r="C1225" s="279" t="s">
        <v>3144</v>
      </c>
      <c r="E1225" s="279" t="s">
        <v>2225</v>
      </c>
      <c r="F1225" s="279" t="s">
        <v>1496</v>
      </c>
      <c r="G1225" s="274">
        <v>1500000</v>
      </c>
      <c r="H1225" s="279">
        <v>1</v>
      </c>
      <c r="J1225" s="275">
        <v>150000</v>
      </c>
      <c r="K1225" s="274">
        <v>1650000</v>
      </c>
      <c r="M1225" s="295" t="s">
        <v>3340</v>
      </c>
    </row>
    <row r="1226" spans="1:13" x14ac:dyDescent="0.3">
      <c r="A1226" s="58">
        <v>1224</v>
      </c>
      <c r="B1226" s="272">
        <v>45881</v>
      </c>
      <c r="C1226" s="279" t="s">
        <v>1704</v>
      </c>
      <c r="E1226" s="279" t="s">
        <v>1152</v>
      </c>
      <c r="L1226" s="274">
        <v>-1100000</v>
      </c>
    </row>
    <row r="1227" spans="1:13" x14ac:dyDescent="0.3">
      <c r="A1227" s="58">
        <v>1225</v>
      </c>
      <c r="B1227" s="272">
        <v>45881</v>
      </c>
      <c r="C1227" s="279" t="s">
        <v>2369</v>
      </c>
      <c r="E1227" s="279" t="s">
        <v>1152</v>
      </c>
      <c r="L1227" s="274">
        <v>-2820000</v>
      </c>
    </row>
    <row r="1228" spans="1:13" x14ac:dyDescent="0.3">
      <c r="A1228" s="58">
        <v>1226</v>
      </c>
      <c r="B1228" s="272">
        <v>45881</v>
      </c>
      <c r="C1228" s="279" t="s">
        <v>1844</v>
      </c>
      <c r="E1228" s="279" t="s">
        <v>1152</v>
      </c>
      <c r="L1228" s="274">
        <v>-350000</v>
      </c>
    </row>
    <row r="1229" spans="1:13" x14ac:dyDescent="0.3">
      <c r="A1229" s="58">
        <v>1227</v>
      </c>
      <c r="B1229" s="272">
        <v>45881</v>
      </c>
      <c r="C1229" s="279" t="s">
        <v>3324</v>
      </c>
      <c r="E1229" s="279" t="s">
        <v>1152</v>
      </c>
      <c r="L1229" s="274">
        <v>-1550000</v>
      </c>
    </row>
    <row r="1230" spans="1:13" x14ac:dyDescent="0.3">
      <c r="A1230" s="58">
        <v>1228</v>
      </c>
      <c r="B1230" s="272">
        <v>45882</v>
      </c>
      <c r="C1230" s="279" t="s">
        <v>1840</v>
      </c>
      <c r="E1230" s="279" t="s">
        <v>2234</v>
      </c>
      <c r="F1230" s="279" t="s">
        <v>1236</v>
      </c>
      <c r="G1230" s="274">
        <v>526364</v>
      </c>
      <c r="H1230" s="279">
        <v>1</v>
      </c>
      <c r="J1230" s="275">
        <v>52636</v>
      </c>
      <c r="K1230" s="274">
        <v>579000</v>
      </c>
    </row>
    <row r="1231" spans="1:13" x14ac:dyDescent="0.3">
      <c r="A1231" s="58">
        <v>1229</v>
      </c>
      <c r="B1231" s="272">
        <v>45882</v>
      </c>
      <c r="C1231" s="279" t="s">
        <v>1840</v>
      </c>
      <c r="E1231" s="279" t="s">
        <v>2235</v>
      </c>
      <c r="F1231" s="279" t="s">
        <v>1290</v>
      </c>
      <c r="G1231" s="274">
        <v>130000</v>
      </c>
      <c r="H1231" s="279">
        <v>1</v>
      </c>
      <c r="J1231" s="275">
        <v>13000</v>
      </c>
      <c r="K1231" s="274">
        <v>143000</v>
      </c>
    </row>
    <row r="1232" spans="1:13" x14ac:dyDescent="0.3">
      <c r="A1232" s="58">
        <v>1230</v>
      </c>
      <c r="B1232" s="272">
        <v>45882</v>
      </c>
      <c r="C1232" s="279" t="s">
        <v>1613</v>
      </c>
      <c r="E1232" s="279" t="s">
        <v>2234</v>
      </c>
      <c r="F1232" s="279" t="s">
        <v>1236</v>
      </c>
      <c r="G1232" s="274">
        <v>526364</v>
      </c>
      <c r="H1232" s="279">
        <v>1</v>
      </c>
      <c r="J1232" s="275">
        <v>52636</v>
      </c>
      <c r="K1232" s="274">
        <v>579000</v>
      </c>
    </row>
    <row r="1233" spans="1:11" x14ac:dyDescent="0.3">
      <c r="A1233" s="58">
        <v>1231</v>
      </c>
      <c r="B1233" s="272">
        <v>45882</v>
      </c>
      <c r="C1233" s="279" t="s">
        <v>1431</v>
      </c>
      <c r="E1233" s="279" t="s">
        <v>2483</v>
      </c>
      <c r="F1233" s="279" t="s">
        <v>2860</v>
      </c>
      <c r="G1233" s="274">
        <v>1100000</v>
      </c>
      <c r="H1233" s="279">
        <v>1</v>
      </c>
      <c r="K1233" s="274">
        <v>1100000</v>
      </c>
    </row>
    <row r="1234" spans="1:11" x14ac:dyDescent="0.3">
      <c r="A1234" s="58">
        <v>1232</v>
      </c>
      <c r="B1234" s="272">
        <v>45882</v>
      </c>
      <c r="C1234" s="279" t="s">
        <v>1431</v>
      </c>
      <c r="E1234" s="279" t="s">
        <v>2234</v>
      </c>
      <c r="F1234" s="279" t="s">
        <v>1236</v>
      </c>
      <c r="G1234" s="274">
        <v>510000</v>
      </c>
      <c r="H1234" s="279">
        <v>1</v>
      </c>
      <c r="K1234" s="274">
        <v>510000</v>
      </c>
    </row>
    <row r="1235" spans="1:11" x14ac:dyDescent="0.3">
      <c r="A1235" s="58">
        <v>1233</v>
      </c>
      <c r="B1235" s="272">
        <v>45882</v>
      </c>
      <c r="C1235" s="279" t="s">
        <v>1431</v>
      </c>
      <c r="E1235" s="279" t="s">
        <v>2239</v>
      </c>
      <c r="F1235" s="279" t="s">
        <v>1859</v>
      </c>
      <c r="G1235" s="274">
        <v>10000</v>
      </c>
      <c r="H1235" s="279">
        <v>1</v>
      </c>
      <c r="K1235" s="274">
        <v>10000</v>
      </c>
    </row>
    <row r="1236" spans="1:11" x14ac:dyDescent="0.3">
      <c r="A1236" s="58">
        <v>1234</v>
      </c>
      <c r="B1236" s="272">
        <v>45882</v>
      </c>
      <c r="C1236" s="279" t="s">
        <v>1431</v>
      </c>
      <c r="E1236" s="279" t="s">
        <v>2238</v>
      </c>
      <c r="F1236" s="279" t="s">
        <v>1830</v>
      </c>
      <c r="G1236" s="274">
        <v>30000</v>
      </c>
      <c r="H1236" s="279">
        <v>1</v>
      </c>
      <c r="K1236" s="274">
        <v>30000</v>
      </c>
    </row>
    <row r="1237" spans="1:11" x14ac:dyDescent="0.3">
      <c r="A1237" s="58">
        <v>1235</v>
      </c>
      <c r="B1237" s="272">
        <v>45882</v>
      </c>
      <c r="C1237" s="279" t="s">
        <v>1610</v>
      </c>
      <c r="E1237" s="279" t="s">
        <v>2234</v>
      </c>
      <c r="F1237" s="279" t="s">
        <v>1236</v>
      </c>
      <c r="G1237" s="274">
        <v>526364</v>
      </c>
      <c r="H1237" s="279">
        <v>1</v>
      </c>
      <c r="J1237" s="275">
        <v>52636</v>
      </c>
      <c r="K1237" s="274">
        <v>579000</v>
      </c>
    </row>
    <row r="1238" spans="1:11" x14ac:dyDescent="0.3">
      <c r="A1238" s="58">
        <v>1236</v>
      </c>
      <c r="B1238" s="272">
        <v>45882</v>
      </c>
      <c r="C1238" s="279" t="s">
        <v>1610</v>
      </c>
      <c r="E1238" s="279" t="s">
        <v>2237</v>
      </c>
      <c r="F1238" s="279">
        <v>50229</v>
      </c>
      <c r="G1238" s="274">
        <v>72727</v>
      </c>
      <c r="H1238" s="279">
        <v>1</v>
      </c>
      <c r="J1238" s="275">
        <v>7273</v>
      </c>
      <c r="K1238" s="274">
        <v>80000</v>
      </c>
    </row>
    <row r="1239" spans="1:11" x14ac:dyDescent="0.3">
      <c r="A1239" s="58">
        <v>1237</v>
      </c>
      <c r="B1239" s="272">
        <v>45882</v>
      </c>
      <c r="C1239" s="279" t="s">
        <v>1610</v>
      </c>
      <c r="E1239" s="279" t="s">
        <v>2238</v>
      </c>
      <c r="F1239" s="279" t="s">
        <v>1830</v>
      </c>
      <c r="G1239" s="274">
        <v>32000</v>
      </c>
      <c r="H1239" s="279">
        <v>1</v>
      </c>
      <c r="J1239" s="275">
        <v>3200</v>
      </c>
      <c r="K1239" s="274">
        <v>35200</v>
      </c>
    </row>
    <row r="1240" spans="1:11" x14ac:dyDescent="0.3">
      <c r="A1240" s="58">
        <v>1238</v>
      </c>
      <c r="B1240" s="272">
        <v>45882</v>
      </c>
      <c r="C1240" s="279" t="s">
        <v>1610</v>
      </c>
      <c r="E1240" s="279" t="s">
        <v>2239</v>
      </c>
      <c r="F1240" s="279" t="s">
        <v>1859</v>
      </c>
      <c r="G1240" s="274">
        <v>10000</v>
      </c>
      <c r="H1240" s="279">
        <v>1</v>
      </c>
      <c r="J1240" s="275">
        <v>1000</v>
      </c>
      <c r="K1240" s="274">
        <v>11000</v>
      </c>
    </row>
    <row r="1241" spans="1:11" x14ac:dyDescent="0.3">
      <c r="A1241" s="58">
        <v>1239</v>
      </c>
      <c r="B1241" s="272">
        <v>45882</v>
      </c>
      <c r="C1241" s="279" t="s">
        <v>1610</v>
      </c>
      <c r="E1241" s="279" t="s">
        <v>2241</v>
      </c>
      <c r="G1241" s="274">
        <v>600000</v>
      </c>
      <c r="H1241" s="279">
        <v>1</v>
      </c>
      <c r="J1241" s="275">
        <v>60000</v>
      </c>
      <c r="K1241" s="274">
        <v>660000</v>
      </c>
    </row>
    <row r="1242" spans="1:11" x14ac:dyDescent="0.3">
      <c r="A1242" s="58">
        <v>1240</v>
      </c>
      <c r="B1242" s="272">
        <v>45882</v>
      </c>
      <c r="C1242" s="279" t="s">
        <v>1027</v>
      </c>
      <c r="E1242" s="279" t="s">
        <v>2235</v>
      </c>
      <c r="F1242" s="279" t="s">
        <v>1290</v>
      </c>
      <c r="G1242" s="274">
        <v>130000</v>
      </c>
      <c r="H1242" s="279">
        <v>1</v>
      </c>
      <c r="K1242" s="274">
        <v>130000</v>
      </c>
    </row>
    <row r="1243" spans="1:11" x14ac:dyDescent="0.3">
      <c r="A1243" s="58">
        <v>1241</v>
      </c>
      <c r="B1243" s="272">
        <v>45882</v>
      </c>
      <c r="C1243" s="279" t="s">
        <v>1027</v>
      </c>
      <c r="E1243" s="279" t="s">
        <v>2237</v>
      </c>
      <c r="F1243" s="279">
        <v>50229</v>
      </c>
      <c r="G1243" s="274">
        <v>80000</v>
      </c>
      <c r="H1243" s="279">
        <v>1</v>
      </c>
      <c r="K1243" s="274">
        <v>80000</v>
      </c>
    </row>
    <row r="1244" spans="1:11" x14ac:dyDescent="0.3">
      <c r="A1244" s="58">
        <v>1242</v>
      </c>
      <c r="B1244" s="272">
        <v>45882</v>
      </c>
      <c r="C1244" s="279" t="s">
        <v>1027</v>
      </c>
      <c r="E1244" s="279" t="s">
        <v>2239</v>
      </c>
      <c r="F1244" s="279" t="s">
        <v>1859</v>
      </c>
      <c r="G1244" s="274">
        <v>10000</v>
      </c>
      <c r="H1244" s="279">
        <v>1</v>
      </c>
      <c r="K1244" s="274">
        <v>10000</v>
      </c>
    </row>
    <row r="1245" spans="1:11" x14ac:dyDescent="0.3">
      <c r="A1245" s="58">
        <v>1243</v>
      </c>
      <c r="B1245" s="272">
        <v>45882</v>
      </c>
      <c r="C1245" s="279" t="s">
        <v>1027</v>
      </c>
      <c r="E1245" s="279" t="s">
        <v>2238</v>
      </c>
      <c r="F1245" s="279" t="s">
        <v>1830</v>
      </c>
      <c r="G1245" s="274">
        <v>35000</v>
      </c>
      <c r="H1245" s="279">
        <v>1</v>
      </c>
      <c r="K1245" s="274">
        <v>35000</v>
      </c>
    </row>
    <row r="1246" spans="1:11" x14ac:dyDescent="0.3">
      <c r="A1246" s="58">
        <v>1244</v>
      </c>
      <c r="B1246" s="272">
        <v>45882</v>
      </c>
      <c r="C1246" s="279" t="s">
        <v>3352</v>
      </c>
      <c r="E1246" s="279" t="s">
        <v>1232</v>
      </c>
      <c r="F1246" s="279" t="s">
        <v>1786</v>
      </c>
      <c r="G1246" s="274">
        <v>1200000</v>
      </c>
      <c r="H1246" s="279">
        <v>1</v>
      </c>
      <c r="K1246" s="274">
        <v>1200000</v>
      </c>
    </row>
    <row r="1247" spans="1:11" x14ac:dyDescent="0.3">
      <c r="A1247" s="58">
        <v>1245</v>
      </c>
      <c r="B1247" s="272">
        <v>45882</v>
      </c>
      <c r="C1247" s="279" t="s">
        <v>3352</v>
      </c>
      <c r="E1247" s="279" t="s">
        <v>1528</v>
      </c>
      <c r="F1247" s="279" t="s">
        <v>2781</v>
      </c>
      <c r="G1247" s="274">
        <v>350000</v>
      </c>
      <c r="H1247" s="279">
        <v>1</v>
      </c>
      <c r="K1247" s="274">
        <v>350000</v>
      </c>
    </row>
    <row r="1248" spans="1:11" x14ac:dyDescent="0.3">
      <c r="A1248" s="58">
        <v>1246</v>
      </c>
      <c r="B1248" s="272">
        <v>45882</v>
      </c>
      <c r="C1248" s="279" t="s">
        <v>3349</v>
      </c>
      <c r="E1248" s="279" t="s">
        <v>3357</v>
      </c>
      <c r="G1248" s="274">
        <v>100000</v>
      </c>
      <c r="H1248" s="279">
        <v>1</v>
      </c>
      <c r="K1248" s="274">
        <v>100000</v>
      </c>
    </row>
    <row r="1249" spans="1:13" x14ac:dyDescent="0.3">
      <c r="A1249" s="58">
        <v>1247</v>
      </c>
      <c r="B1249" s="272">
        <v>45882</v>
      </c>
      <c r="C1249" s="279" t="s">
        <v>3352</v>
      </c>
      <c r="E1249" s="279" t="s">
        <v>1152</v>
      </c>
      <c r="L1249" s="274">
        <v>-1550000</v>
      </c>
    </row>
    <row r="1250" spans="1:13" x14ac:dyDescent="0.3">
      <c r="A1250" s="58">
        <v>1248</v>
      </c>
      <c r="B1250" s="272">
        <v>45882</v>
      </c>
      <c r="C1250" s="279" t="s">
        <v>3349</v>
      </c>
      <c r="E1250" s="279" t="s">
        <v>1152</v>
      </c>
      <c r="L1250" s="274">
        <v>-100000</v>
      </c>
    </row>
    <row r="1251" spans="1:13" x14ac:dyDescent="0.3">
      <c r="A1251" s="58">
        <v>1249</v>
      </c>
      <c r="B1251" s="272">
        <v>45881</v>
      </c>
      <c r="C1251" s="279" t="s">
        <v>3374</v>
      </c>
      <c r="E1251" s="279" t="s">
        <v>3375</v>
      </c>
      <c r="F1251" s="279" t="s">
        <v>3376</v>
      </c>
      <c r="G1251" s="274">
        <v>1500000</v>
      </c>
      <c r="H1251" s="279">
        <v>-1</v>
      </c>
      <c r="J1251" s="274">
        <v>-150000</v>
      </c>
      <c r="K1251" s="274">
        <v>-1650000</v>
      </c>
      <c r="M1251" s="279" t="s">
        <v>3377</v>
      </c>
    </row>
    <row r="1252" spans="1:13" x14ac:dyDescent="0.3">
      <c r="A1252" s="58">
        <v>1250</v>
      </c>
      <c r="B1252" s="272">
        <v>45883</v>
      </c>
      <c r="C1252" s="279" t="s">
        <v>1526</v>
      </c>
      <c r="E1252" s="279" t="s">
        <v>1152</v>
      </c>
      <c r="L1252" s="274">
        <v>-1550000</v>
      </c>
    </row>
    <row r="1253" spans="1:13" x14ac:dyDescent="0.3">
      <c r="A1253" s="58">
        <v>1251</v>
      </c>
      <c r="B1253" s="272">
        <v>45883</v>
      </c>
      <c r="C1253" s="279" t="s">
        <v>1511</v>
      </c>
      <c r="E1253" s="279" t="s">
        <v>2234</v>
      </c>
      <c r="F1253" s="279" t="s">
        <v>1236</v>
      </c>
      <c r="G1253" s="274">
        <v>550000</v>
      </c>
      <c r="H1253" s="279">
        <v>1</v>
      </c>
      <c r="K1253" s="274">
        <v>550000</v>
      </c>
    </row>
    <row r="1254" spans="1:13" x14ac:dyDescent="0.3">
      <c r="A1254" s="58">
        <v>1252</v>
      </c>
      <c r="B1254" s="272">
        <v>45883</v>
      </c>
      <c r="C1254" s="279" t="s">
        <v>1511</v>
      </c>
      <c r="E1254" s="279" t="s">
        <v>2235</v>
      </c>
      <c r="F1254" s="279" t="s">
        <v>1290</v>
      </c>
      <c r="G1254" s="274">
        <v>130000</v>
      </c>
      <c r="H1254" s="279">
        <v>1</v>
      </c>
      <c r="K1254" s="274">
        <v>130000</v>
      </c>
    </row>
    <row r="1255" spans="1:13" x14ac:dyDescent="0.3">
      <c r="A1255" s="58">
        <v>1253</v>
      </c>
      <c r="B1255" s="272">
        <v>45883</v>
      </c>
      <c r="C1255" s="279" t="s">
        <v>1511</v>
      </c>
      <c r="E1255" s="279" t="s">
        <v>2239</v>
      </c>
      <c r="F1255" s="279" t="s">
        <v>1859</v>
      </c>
      <c r="G1255" s="274">
        <v>10000</v>
      </c>
      <c r="H1255" s="279">
        <v>1</v>
      </c>
      <c r="K1255" s="274">
        <v>10000</v>
      </c>
    </row>
    <row r="1256" spans="1:13" x14ac:dyDescent="0.3">
      <c r="A1256" s="58">
        <v>1254</v>
      </c>
      <c r="B1256" s="272">
        <v>45883</v>
      </c>
      <c r="C1256" s="279" t="s">
        <v>1613</v>
      </c>
      <c r="E1256" s="279" t="s">
        <v>3362</v>
      </c>
      <c r="L1256" s="274">
        <v>-2000000</v>
      </c>
    </row>
    <row r="1257" spans="1:13" x14ac:dyDescent="0.3">
      <c r="A1257" s="58">
        <v>1255</v>
      </c>
      <c r="B1257" s="272">
        <v>45883</v>
      </c>
      <c r="C1257" s="279" t="s">
        <v>994</v>
      </c>
      <c r="E1257" s="279" t="s">
        <v>2227</v>
      </c>
      <c r="F1257" s="279" t="s">
        <v>1230</v>
      </c>
      <c r="G1257" s="274">
        <v>1500000</v>
      </c>
      <c r="H1257" s="279">
        <v>1</v>
      </c>
      <c r="J1257" s="275">
        <v>150000</v>
      </c>
      <c r="K1257" s="274">
        <v>1650000</v>
      </c>
    </row>
    <row r="1258" spans="1:13" x14ac:dyDescent="0.3">
      <c r="A1258" s="58">
        <v>1256</v>
      </c>
      <c r="B1258" s="272">
        <v>45883</v>
      </c>
      <c r="C1258" s="279" t="s">
        <v>1035</v>
      </c>
      <c r="E1258" s="279" t="s">
        <v>2234</v>
      </c>
      <c r="F1258" s="279" t="s">
        <v>1236</v>
      </c>
      <c r="G1258" s="274">
        <v>600000</v>
      </c>
      <c r="H1258" s="279">
        <v>1</v>
      </c>
      <c r="K1258" s="274">
        <v>600000</v>
      </c>
    </row>
    <row r="1259" spans="1:13" x14ac:dyDescent="0.3">
      <c r="A1259" s="58">
        <v>1257</v>
      </c>
      <c r="B1259" s="272">
        <v>45883</v>
      </c>
      <c r="C1259" s="279" t="s">
        <v>1259</v>
      </c>
      <c r="E1259" s="279" t="s">
        <v>2233</v>
      </c>
      <c r="F1259" s="279" t="s">
        <v>1229</v>
      </c>
      <c r="G1259" s="274">
        <v>1000000</v>
      </c>
      <c r="H1259" s="279">
        <v>1</v>
      </c>
      <c r="J1259" s="275">
        <v>100000</v>
      </c>
      <c r="K1259" s="274">
        <v>1100000</v>
      </c>
      <c r="M1259" s="279" t="s">
        <v>3365</v>
      </c>
    </row>
    <row r="1260" spans="1:13" x14ac:dyDescent="0.3">
      <c r="A1260" s="58">
        <v>1258</v>
      </c>
      <c r="B1260" s="272">
        <v>45883</v>
      </c>
      <c r="C1260" s="279" t="s">
        <v>3367</v>
      </c>
      <c r="E1260" s="279" t="s">
        <v>1777</v>
      </c>
      <c r="G1260" s="274">
        <v>600000</v>
      </c>
      <c r="H1260" s="279">
        <v>1</v>
      </c>
      <c r="K1260" s="274">
        <v>600000</v>
      </c>
      <c r="M1260" s="279" t="s">
        <v>3368</v>
      </c>
    </row>
    <row r="1261" spans="1:13" x14ac:dyDescent="0.3">
      <c r="A1261" s="58">
        <v>1259</v>
      </c>
      <c r="B1261" s="272">
        <v>45883</v>
      </c>
      <c r="C1261" s="279" t="s">
        <v>2679</v>
      </c>
      <c r="E1261" s="279" t="s">
        <v>2648</v>
      </c>
      <c r="F1261" s="279" t="s">
        <v>2647</v>
      </c>
      <c r="G1261" s="274">
        <v>1000000</v>
      </c>
      <c r="H1261" s="279">
        <v>1</v>
      </c>
      <c r="K1261" s="274">
        <v>1000000</v>
      </c>
    </row>
    <row r="1262" spans="1:13" x14ac:dyDescent="0.3">
      <c r="A1262" s="58">
        <v>1260</v>
      </c>
      <c r="B1262" s="272">
        <v>45883</v>
      </c>
      <c r="C1262" s="279" t="s">
        <v>1027</v>
      </c>
      <c r="E1262" s="279" t="s">
        <v>1152</v>
      </c>
      <c r="L1262" s="274">
        <v>-1181000</v>
      </c>
    </row>
    <row r="1263" spans="1:13" x14ac:dyDescent="0.3">
      <c r="A1263" s="58">
        <v>1261</v>
      </c>
      <c r="B1263" s="272">
        <v>45883</v>
      </c>
      <c r="C1263" s="279" t="s">
        <v>1259</v>
      </c>
      <c r="E1263" s="279" t="s">
        <v>1152</v>
      </c>
      <c r="L1263" s="274">
        <v>-1100000</v>
      </c>
    </row>
    <row r="1264" spans="1:13" x14ac:dyDescent="0.3">
      <c r="A1264" s="58">
        <v>1262</v>
      </c>
      <c r="B1264" s="272">
        <v>45883</v>
      </c>
      <c r="C1264" s="279" t="s">
        <v>994</v>
      </c>
      <c r="E1264" s="279" t="s">
        <v>1152</v>
      </c>
      <c r="L1264" s="274">
        <v>-1650000</v>
      </c>
    </row>
    <row r="1265" spans="1:13" x14ac:dyDescent="0.3">
      <c r="A1265" s="58">
        <v>1263</v>
      </c>
      <c r="B1265" s="272">
        <v>45883</v>
      </c>
      <c r="C1265" s="279" t="s">
        <v>2475</v>
      </c>
      <c r="E1265" s="279" t="s">
        <v>2782</v>
      </c>
      <c r="G1265" s="274">
        <v>200000</v>
      </c>
      <c r="H1265" s="279">
        <v>1</v>
      </c>
      <c r="K1265" s="274">
        <v>200000</v>
      </c>
    </row>
    <row r="1266" spans="1:13" x14ac:dyDescent="0.3">
      <c r="A1266" s="58">
        <v>1264</v>
      </c>
      <c r="B1266" s="272">
        <v>45883</v>
      </c>
      <c r="C1266" s="279" t="s">
        <v>1932</v>
      </c>
      <c r="E1266" s="279" t="s">
        <v>1152</v>
      </c>
      <c r="L1266" s="274">
        <v>-1300000</v>
      </c>
    </row>
    <row r="1267" spans="1:13" x14ac:dyDescent="0.3">
      <c r="A1267" s="58">
        <v>1265</v>
      </c>
      <c r="B1267" s="272">
        <v>45884</v>
      </c>
      <c r="C1267" s="279" t="s">
        <v>1481</v>
      </c>
      <c r="E1267" s="279" t="s">
        <v>1167</v>
      </c>
      <c r="G1267" s="274">
        <v>1000000</v>
      </c>
      <c r="H1267" s="279">
        <v>1</v>
      </c>
      <c r="K1267" s="274">
        <v>1000000</v>
      </c>
      <c r="M1267" s="279">
        <v>6058008163</v>
      </c>
    </row>
    <row r="1268" spans="1:13" x14ac:dyDescent="0.3">
      <c r="A1268" s="58">
        <v>1266</v>
      </c>
      <c r="B1268" s="272">
        <v>45884</v>
      </c>
      <c r="C1268" s="279" t="s">
        <v>1431</v>
      </c>
      <c r="E1268" s="279" t="s">
        <v>2740</v>
      </c>
      <c r="G1268" s="274">
        <v>1750000</v>
      </c>
      <c r="H1268" s="279">
        <v>1</v>
      </c>
      <c r="K1268" s="274">
        <v>1750000</v>
      </c>
    </row>
    <row r="1269" spans="1:13" x14ac:dyDescent="0.3">
      <c r="A1269" s="58">
        <v>1267</v>
      </c>
      <c r="B1269" s="272">
        <v>45884</v>
      </c>
      <c r="C1269" s="279" t="s">
        <v>3381</v>
      </c>
      <c r="E1269" s="279" t="s">
        <v>2349</v>
      </c>
      <c r="G1269" s="274">
        <v>650000</v>
      </c>
      <c r="H1269" s="279">
        <v>1</v>
      </c>
      <c r="J1269" s="275">
        <v>65000</v>
      </c>
      <c r="K1269" s="274">
        <v>715000</v>
      </c>
    </row>
    <row r="1270" spans="1:13" x14ac:dyDescent="0.3">
      <c r="A1270" s="58">
        <v>1268</v>
      </c>
      <c r="B1270" s="272">
        <v>45884</v>
      </c>
      <c r="C1270" s="279" t="s">
        <v>3381</v>
      </c>
      <c r="E1270" s="279" t="s">
        <v>2959</v>
      </c>
      <c r="F1270" s="279" t="s">
        <v>2862</v>
      </c>
      <c r="G1270" s="274">
        <v>129000</v>
      </c>
      <c r="H1270" s="279">
        <v>1</v>
      </c>
      <c r="J1270" s="275">
        <v>12900</v>
      </c>
      <c r="K1270" s="274">
        <v>141900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F134" sqref="F134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45884</v>
      </c>
      <c r="B3" s="242" t="s">
        <v>1153</v>
      </c>
      <c r="C3" s="297">
        <f>SUMIF($B:$B,A3,I:I)</f>
        <v>3606900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1154</v>
      </c>
      <c r="C4" s="243">
        <f>SUMIFS($I:$I,$B:$B,"&gt;="&amp;DATE(A5,A4,1),$B:$B,"&lt;="&amp;EOMONTH(DATE(A5,A4,1),0))</f>
        <v>65082600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65082600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1128</v>
      </c>
      <c r="B9" s="98">
        <v>45870</v>
      </c>
      <c r="C9" s="88" t="s">
        <v>1610</v>
      </c>
      <c r="D9" s="119" t="s">
        <v>1152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1129</v>
      </c>
      <c r="B10" s="98">
        <v>45870</v>
      </c>
      <c r="C10" s="88" t="s">
        <v>1174</v>
      </c>
      <c r="D10" s="119" t="s">
        <v>1152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1130</v>
      </c>
      <c r="B11" s="98">
        <v>45870</v>
      </c>
      <c r="C11" s="88" t="s">
        <v>1505</v>
      </c>
      <c r="D11" s="119" t="s">
        <v>2234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1131</v>
      </c>
      <c r="B12" s="98">
        <v>45870</v>
      </c>
      <c r="C12" s="88" t="s">
        <v>3250</v>
      </c>
      <c r="D12" s="119" t="s">
        <v>1234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1132</v>
      </c>
      <c r="B13" s="98">
        <v>45870</v>
      </c>
      <c r="C13" s="88" t="s">
        <v>1980</v>
      </c>
      <c r="D13" s="119" t="s">
        <v>2227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1133</v>
      </c>
      <c r="B14" s="98">
        <v>45870</v>
      </c>
      <c r="C14" s="88" t="s">
        <v>1980</v>
      </c>
      <c r="D14" s="119" t="s">
        <v>2228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1134</v>
      </c>
      <c r="B15" s="98">
        <v>45870</v>
      </c>
      <c r="C15" s="88" t="s">
        <v>1431</v>
      </c>
      <c r="D15" s="119" t="s">
        <v>2227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1135</v>
      </c>
      <c r="B16" s="97">
        <v>45870</v>
      </c>
      <c r="C16" s="86" t="s">
        <v>1431</v>
      </c>
      <c r="D16" s="120" t="s">
        <v>2228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1136</v>
      </c>
      <c r="B17" s="98">
        <v>45870</v>
      </c>
      <c r="C17" s="88" t="s">
        <v>1573</v>
      </c>
      <c r="D17" s="119" t="s">
        <v>1152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1137</v>
      </c>
      <c r="B18" s="98">
        <v>45870</v>
      </c>
      <c r="C18" s="88" t="s">
        <v>1980</v>
      </c>
      <c r="D18" s="119" t="s">
        <v>1152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1138</v>
      </c>
      <c r="B19" s="98">
        <v>45870</v>
      </c>
      <c r="C19" s="88" t="s">
        <v>1505</v>
      </c>
      <c r="D19" s="119" t="s">
        <v>1152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1139</v>
      </c>
      <c r="B20" s="98">
        <v>45870</v>
      </c>
      <c r="C20" s="88" t="s">
        <v>3250</v>
      </c>
      <c r="D20" s="119" t="s">
        <v>1152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1141</v>
      </c>
      <c r="B21" s="98">
        <v>45871</v>
      </c>
      <c r="C21" s="88" t="s">
        <v>1501</v>
      </c>
      <c r="D21" s="119" t="s">
        <v>1780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1142</v>
      </c>
      <c r="B22" s="98">
        <v>45873</v>
      </c>
      <c r="C22" s="88" t="s">
        <v>1505</v>
      </c>
      <c r="D22" s="119" t="s">
        <v>1152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1143</v>
      </c>
      <c r="B23" s="98">
        <v>45873</v>
      </c>
      <c r="C23" s="88" t="s">
        <v>1844</v>
      </c>
      <c r="D23" s="119" t="s">
        <v>1152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1144</v>
      </c>
      <c r="B24" s="98">
        <v>45873</v>
      </c>
      <c r="C24" s="88" t="s">
        <v>1840</v>
      </c>
      <c r="D24" s="119" t="s">
        <v>1152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1145</v>
      </c>
      <c r="B25" s="98">
        <v>45873</v>
      </c>
      <c r="C25" s="88" t="s">
        <v>1505</v>
      </c>
      <c r="D25" s="119" t="s">
        <v>2227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1146</v>
      </c>
      <c r="B26" s="98">
        <v>45873</v>
      </c>
      <c r="C26" s="88" t="s">
        <v>1505</v>
      </c>
      <c r="D26" s="119" t="s">
        <v>2227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1147</v>
      </c>
      <c r="B27" s="98">
        <v>45873</v>
      </c>
      <c r="C27" s="88" t="s">
        <v>2194</v>
      </c>
      <c r="D27" s="119" t="s">
        <v>1750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1148</v>
      </c>
      <c r="B28" s="98">
        <v>45873</v>
      </c>
      <c r="C28" s="88" t="s">
        <v>1024</v>
      </c>
      <c r="D28" s="119" t="s">
        <v>1897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1149</v>
      </c>
      <c r="B29" s="98">
        <v>45874</v>
      </c>
      <c r="C29" s="88" t="s">
        <v>1781</v>
      </c>
      <c r="D29" s="119" t="s">
        <v>1780</v>
      </c>
      <c r="E29" s="81"/>
      <c r="F29" s="83"/>
      <c r="J29" s="83">
        <v>-3212000</v>
      </c>
    </row>
    <row r="30" spans="1:16" ht="18" customHeight="1" x14ac:dyDescent="0.3">
      <c r="A30" s="93">
        <v>1150</v>
      </c>
      <c r="B30" s="98">
        <v>45874</v>
      </c>
      <c r="C30" s="88" t="s">
        <v>1781</v>
      </c>
      <c r="D30" s="119" t="s">
        <v>2237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1151</v>
      </c>
      <c r="B31" s="98">
        <v>45874</v>
      </c>
      <c r="C31" s="88" t="s">
        <v>1781</v>
      </c>
      <c r="D31" s="119" t="s">
        <v>2238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1152</v>
      </c>
      <c r="B32" s="98">
        <v>45874</v>
      </c>
      <c r="C32" s="88" t="s">
        <v>2191</v>
      </c>
      <c r="D32" s="119" t="s">
        <v>2959</v>
      </c>
      <c r="E32" s="81"/>
      <c r="F32" s="83">
        <v>129000</v>
      </c>
      <c r="G32" s="88">
        <v>1</v>
      </c>
      <c r="I32" s="83">
        <v>129000</v>
      </c>
    </row>
    <row r="33" spans="1:10" ht="18" customHeight="1" x14ac:dyDescent="0.3">
      <c r="A33" s="93">
        <v>1153</v>
      </c>
      <c r="B33" s="98">
        <v>45874</v>
      </c>
      <c r="C33" s="88" t="s">
        <v>1499</v>
      </c>
      <c r="D33" s="119" t="s">
        <v>2241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10" ht="18" customHeight="1" x14ac:dyDescent="0.3">
      <c r="A34" s="85">
        <v>1154</v>
      </c>
      <c r="B34" s="97">
        <v>45874</v>
      </c>
      <c r="C34" s="86" t="s">
        <v>1629</v>
      </c>
      <c r="D34" s="120" t="s">
        <v>1234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10" ht="18" customHeight="1" x14ac:dyDescent="0.3">
      <c r="A35" s="85">
        <v>1155</v>
      </c>
      <c r="B35" s="97">
        <v>45874</v>
      </c>
      <c r="C35" s="86" t="s">
        <v>2475</v>
      </c>
      <c r="D35" s="120" t="s">
        <v>2483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10" ht="18" customHeight="1" x14ac:dyDescent="0.3">
      <c r="A36" s="85">
        <v>1156</v>
      </c>
      <c r="B36" s="97">
        <v>45874</v>
      </c>
      <c r="C36" s="86" t="s">
        <v>3273</v>
      </c>
      <c r="D36" s="120" t="s">
        <v>2243</v>
      </c>
      <c r="F36" s="127">
        <v>1500000</v>
      </c>
      <c r="G36" s="88">
        <v>1</v>
      </c>
      <c r="I36" s="83">
        <v>1500000</v>
      </c>
    </row>
    <row r="37" spans="1:10" ht="18" customHeight="1" x14ac:dyDescent="0.3">
      <c r="A37" s="85">
        <v>1157</v>
      </c>
      <c r="B37" s="97">
        <v>45874</v>
      </c>
      <c r="C37" s="86" t="s">
        <v>1431</v>
      </c>
      <c r="D37" s="120" t="s">
        <v>1232</v>
      </c>
      <c r="F37" s="127">
        <v>1200000</v>
      </c>
      <c r="G37" s="88">
        <v>1</v>
      </c>
      <c r="I37" s="83">
        <v>1200000</v>
      </c>
    </row>
    <row r="38" spans="1:10" ht="18" customHeight="1" x14ac:dyDescent="0.3">
      <c r="A38" s="85">
        <v>1158</v>
      </c>
      <c r="B38" s="97">
        <v>45874</v>
      </c>
      <c r="C38" s="86" t="s">
        <v>1431</v>
      </c>
      <c r="D38" s="120" t="s">
        <v>2234</v>
      </c>
      <c r="F38" s="127">
        <v>510000</v>
      </c>
      <c r="G38" s="88">
        <v>1</v>
      </c>
      <c r="I38" s="83">
        <v>510000</v>
      </c>
    </row>
    <row r="39" spans="1:10" ht="18" customHeight="1" x14ac:dyDescent="0.3">
      <c r="A39" s="85">
        <v>1159</v>
      </c>
      <c r="B39" s="97">
        <v>45874</v>
      </c>
      <c r="C39" s="86" t="s">
        <v>1431</v>
      </c>
      <c r="D39" s="120" t="s">
        <v>2238</v>
      </c>
      <c r="F39" s="127">
        <v>30000</v>
      </c>
      <c r="G39" s="88">
        <v>1</v>
      </c>
      <c r="I39" s="83">
        <v>30000</v>
      </c>
    </row>
    <row r="40" spans="1:10" ht="18" customHeight="1" x14ac:dyDescent="0.3">
      <c r="A40" s="85">
        <v>1160</v>
      </c>
      <c r="B40" s="97">
        <v>45874</v>
      </c>
      <c r="C40" s="86" t="s">
        <v>2016</v>
      </c>
      <c r="D40" s="120" t="s">
        <v>1232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10" ht="18" customHeight="1" x14ac:dyDescent="0.3">
      <c r="A41" s="85">
        <v>1161</v>
      </c>
      <c r="B41" s="97">
        <v>45874</v>
      </c>
      <c r="C41" s="86" t="s">
        <v>2016</v>
      </c>
      <c r="D41" s="120" t="s">
        <v>3341</v>
      </c>
      <c r="F41" s="127">
        <v>25000</v>
      </c>
      <c r="G41" s="88">
        <v>1</v>
      </c>
      <c r="I41" s="83">
        <v>25000</v>
      </c>
    </row>
    <row r="42" spans="1:10" ht="18" customHeight="1" x14ac:dyDescent="0.3">
      <c r="A42" s="85">
        <v>1162</v>
      </c>
      <c r="B42" s="98">
        <v>45874</v>
      </c>
      <c r="C42" s="88" t="s">
        <v>1586</v>
      </c>
      <c r="D42" s="119" t="s">
        <v>3275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10" ht="18" customHeight="1" x14ac:dyDescent="0.3">
      <c r="A43" s="93">
        <v>1163</v>
      </c>
      <c r="B43" s="98">
        <v>45874</v>
      </c>
      <c r="C43" s="88" t="s">
        <v>1586</v>
      </c>
      <c r="D43" s="119" t="s">
        <v>3276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10" ht="18" customHeight="1" x14ac:dyDescent="0.3">
      <c r="A44" s="85">
        <v>1164</v>
      </c>
      <c r="B44" s="98">
        <v>45874</v>
      </c>
      <c r="C44" s="88" t="s">
        <v>1586</v>
      </c>
      <c r="D44" s="119" t="s">
        <v>3277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10" ht="18" customHeight="1" x14ac:dyDescent="0.3">
      <c r="A45" s="85">
        <v>1165</v>
      </c>
      <c r="B45" s="98">
        <v>45874</v>
      </c>
      <c r="C45" s="88" t="s">
        <v>1476</v>
      </c>
      <c r="D45" s="119" t="s">
        <v>2227</v>
      </c>
      <c r="E45" s="81"/>
      <c r="F45" s="83">
        <v>1500000</v>
      </c>
      <c r="G45" s="88">
        <v>1</v>
      </c>
      <c r="I45" s="83">
        <v>1500000</v>
      </c>
    </row>
    <row r="46" spans="1:10" ht="18" customHeight="1" x14ac:dyDescent="0.3">
      <c r="A46" s="93">
        <v>1166</v>
      </c>
      <c r="B46" s="98">
        <v>45874</v>
      </c>
      <c r="C46" s="88" t="s">
        <v>1476</v>
      </c>
      <c r="D46" s="119" t="s">
        <v>2228</v>
      </c>
      <c r="E46" s="81"/>
      <c r="F46" s="83">
        <v>50000</v>
      </c>
      <c r="G46" s="88">
        <v>1</v>
      </c>
      <c r="I46" s="83">
        <v>50000</v>
      </c>
    </row>
    <row r="47" spans="1:10" ht="18" customHeight="1" x14ac:dyDescent="0.3">
      <c r="A47" s="85">
        <v>1167</v>
      </c>
      <c r="B47" s="97">
        <v>45874</v>
      </c>
      <c r="C47" s="86" t="s">
        <v>2016</v>
      </c>
      <c r="D47" s="120" t="s">
        <v>1152</v>
      </c>
      <c r="J47" s="83">
        <v>-1345000</v>
      </c>
    </row>
    <row r="48" spans="1:10" ht="18" customHeight="1" x14ac:dyDescent="0.3">
      <c r="A48" s="85">
        <v>1168</v>
      </c>
      <c r="B48" s="97">
        <v>45874</v>
      </c>
      <c r="C48" s="86" t="s">
        <v>3273</v>
      </c>
      <c r="D48" s="120" t="s">
        <v>1152</v>
      </c>
      <c r="J48" s="83">
        <v>-1500000</v>
      </c>
    </row>
    <row r="49" spans="1:10" ht="18" customHeight="1" x14ac:dyDescent="0.3">
      <c r="A49" s="85">
        <v>1169</v>
      </c>
      <c r="B49" s="97">
        <v>45874</v>
      </c>
      <c r="C49" s="86" t="s">
        <v>2194</v>
      </c>
      <c r="D49" s="120" t="s">
        <v>1152</v>
      </c>
      <c r="J49" s="83">
        <v>-150000</v>
      </c>
    </row>
    <row r="50" spans="1:10" ht="18" customHeight="1" x14ac:dyDescent="0.3">
      <c r="A50" s="85">
        <v>1170</v>
      </c>
      <c r="B50" s="97">
        <v>45874</v>
      </c>
      <c r="C50" s="86" t="s">
        <v>1505</v>
      </c>
      <c r="D50" s="120" t="s">
        <v>1152</v>
      </c>
      <c r="J50" s="83">
        <v>-3000000</v>
      </c>
    </row>
    <row r="51" spans="1:10" ht="18" customHeight="1" x14ac:dyDescent="0.3">
      <c r="A51" s="85">
        <v>1171</v>
      </c>
      <c r="B51" s="97">
        <v>45875</v>
      </c>
      <c r="C51" s="86" t="s">
        <v>2475</v>
      </c>
      <c r="D51" s="120" t="s">
        <v>1152</v>
      </c>
      <c r="J51" s="83">
        <v>-1210000</v>
      </c>
    </row>
    <row r="52" spans="1:10" ht="18" customHeight="1" x14ac:dyDescent="0.3">
      <c r="A52" s="85">
        <v>1172</v>
      </c>
      <c r="B52" s="97">
        <v>45875</v>
      </c>
      <c r="C52" s="86" t="s">
        <v>1526</v>
      </c>
      <c r="D52" s="120" t="s">
        <v>1232</v>
      </c>
      <c r="F52" s="127">
        <v>1200000</v>
      </c>
      <c r="G52" s="88">
        <v>1</v>
      </c>
      <c r="I52" s="83">
        <v>1200000</v>
      </c>
    </row>
    <row r="53" spans="1:10" ht="18" customHeight="1" x14ac:dyDescent="0.3">
      <c r="A53" s="85">
        <v>1173</v>
      </c>
      <c r="B53" s="97">
        <v>45875</v>
      </c>
      <c r="C53" s="86" t="s">
        <v>1035</v>
      </c>
      <c r="D53" s="120" t="s">
        <v>2157</v>
      </c>
      <c r="F53" s="127">
        <v>70000</v>
      </c>
      <c r="G53" s="88">
        <v>1</v>
      </c>
      <c r="I53" s="83">
        <v>70000</v>
      </c>
    </row>
    <row r="54" spans="1:10" ht="18" customHeight="1" x14ac:dyDescent="0.3">
      <c r="A54" s="85">
        <v>1174</v>
      </c>
      <c r="B54" s="97">
        <v>45875</v>
      </c>
      <c r="C54" s="86" t="s">
        <v>3279</v>
      </c>
      <c r="D54" s="120" t="s">
        <v>2227</v>
      </c>
      <c r="F54" s="127">
        <v>1500000</v>
      </c>
      <c r="G54" s="88">
        <v>1</v>
      </c>
      <c r="H54" s="133">
        <v>150000</v>
      </c>
      <c r="I54" s="83">
        <v>1650000</v>
      </c>
    </row>
    <row r="55" spans="1:10" ht="18" customHeight="1" x14ac:dyDescent="0.3">
      <c r="A55" s="85">
        <v>1175</v>
      </c>
      <c r="B55" s="97">
        <v>45875</v>
      </c>
      <c r="C55" s="86" t="s">
        <v>3279</v>
      </c>
      <c r="D55" s="120" t="s">
        <v>2228</v>
      </c>
      <c r="F55" s="127">
        <v>50000</v>
      </c>
      <c r="G55" s="88">
        <v>1</v>
      </c>
      <c r="H55" s="133">
        <v>5000</v>
      </c>
      <c r="I55" s="83">
        <v>55000</v>
      </c>
    </row>
    <row r="56" spans="1:10" ht="18" customHeight="1" x14ac:dyDescent="0.3">
      <c r="A56" s="85">
        <v>1176</v>
      </c>
      <c r="B56" s="97">
        <v>45875</v>
      </c>
      <c r="C56" s="86" t="s">
        <v>1174</v>
      </c>
      <c r="D56" s="120" t="s">
        <v>3292</v>
      </c>
      <c r="F56" s="127">
        <v>1100000</v>
      </c>
      <c r="G56" s="88">
        <v>1</v>
      </c>
      <c r="I56" s="83">
        <v>1100000</v>
      </c>
    </row>
    <row r="57" spans="1:10" ht="18" customHeight="1" x14ac:dyDescent="0.3">
      <c r="A57" s="85">
        <v>1177</v>
      </c>
      <c r="B57" s="97">
        <v>45875</v>
      </c>
      <c r="C57" s="86" t="s">
        <v>1844</v>
      </c>
      <c r="D57" s="120" t="s">
        <v>1528</v>
      </c>
      <c r="F57" s="127">
        <v>350000</v>
      </c>
      <c r="G57" s="88">
        <v>1</v>
      </c>
      <c r="I57" s="83">
        <v>350000</v>
      </c>
    </row>
    <row r="58" spans="1:10" ht="18" customHeight="1" x14ac:dyDescent="0.3">
      <c r="A58" s="85">
        <v>1178</v>
      </c>
      <c r="B58" s="97">
        <v>45875</v>
      </c>
      <c r="C58" s="86" t="s">
        <v>3295</v>
      </c>
      <c r="D58" s="120" t="s">
        <v>1234</v>
      </c>
      <c r="F58" s="127">
        <v>1300000</v>
      </c>
      <c r="G58" s="88">
        <v>1</v>
      </c>
      <c r="H58" s="133" t="s">
        <v>3304</v>
      </c>
      <c r="I58" s="83">
        <v>1430000</v>
      </c>
    </row>
    <row r="59" spans="1:10" ht="18" customHeight="1" x14ac:dyDescent="0.3">
      <c r="A59" s="85">
        <v>1179</v>
      </c>
      <c r="B59" s="97">
        <v>45875</v>
      </c>
      <c r="C59" s="86" t="s">
        <v>2191</v>
      </c>
      <c r="D59" s="120" t="s">
        <v>2243</v>
      </c>
      <c r="F59" s="127">
        <v>1600000</v>
      </c>
      <c r="G59" s="88">
        <v>1</v>
      </c>
      <c r="I59" s="83">
        <v>1600000</v>
      </c>
    </row>
    <row r="60" spans="1:10" ht="18" customHeight="1" x14ac:dyDescent="0.3">
      <c r="A60" s="85">
        <v>1180</v>
      </c>
      <c r="B60" s="97">
        <v>45875</v>
      </c>
      <c r="C60" s="86" t="s">
        <v>2191</v>
      </c>
      <c r="D60" s="120" t="s">
        <v>3032</v>
      </c>
      <c r="F60" s="127">
        <v>30000</v>
      </c>
      <c r="G60" s="88">
        <v>1</v>
      </c>
      <c r="I60" s="83">
        <v>30000</v>
      </c>
    </row>
    <row r="61" spans="1:10" ht="18" customHeight="1" x14ac:dyDescent="0.3">
      <c r="A61" s="85">
        <v>1181</v>
      </c>
      <c r="B61" s="97">
        <v>45875</v>
      </c>
      <c r="C61" s="86" t="s">
        <v>1610</v>
      </c>
      <c r="D61" s="120" t="s">
        <v>3298</v>
      </c>
      <c r="F61" s="127">
        <v>250000</v>
      </c>
      <c r="G61" s="88">
        <v>1</v>
      </c>
      <c r="H61" s="133">
        <v>25000</v>
      </c>
      <c r="I61" s="83">
        <v>275000</v>
      </c>
    </row>
    <row r="62" spans="1:10" ht="18" customHeight="1" x14ac:dyDescent="0.3">
      <c r="A62" s="85">
        <v>1182</v>
      </c>
      <c r="B62" s="97">
        <v>45875</v>
      </c>
      <c r="C62" s="86" t="s">
        <v>1781</v>
      </c>
      <c r="D62" s="120" t="s">
        <v>2243</v>
      </c>
      <c r="F62" s="127">
        <v>1500000</v>
      </c>
      <c r="G62" s="88">
        <v>1</v>
      </c>
      <c r="H62" s="133">
        <v>150000</v>
      </c>
      <c r="I62" s="83">
        <v>1650000</v>
      </c>
    </row>
    <row r="63" spans="1:10" ht="18" customHeight="1" x14ac:dyDescent="0.3">
      <c r="A63" s="85">
        <v>1183</v>
      </c>
      <c r="B63" s="97">
        <v>45875</v>
      </c>
      <c r="C63" s="86" t="s">
        <v>1781</v>
      </c>
      <c r="D63" s="120" t="s">
        <v>1551</v>
      </c>
      <c r="F63" s="127">
        <v>20000</v>
      </c>
      <c r="G63" s="88">
        <v>1</v>
      </c>
      <c r="H63" s="133">
        <v>2000</v>
      </c>
      <c r="I63" s="83">
        <v>22000</v>
      </c>
    </row>
    <row r="64" spans="1:10" ht="18" customHeight="1" x14ac:dyDescent="0.3">
      <c r="A64" s="85">
        <v>1184</v>
      </c>
      <c r="B64" s="97">
        <v>45875</v>
      </c>
      <c r="C64" s="86" t="s">
        <v>3279</v>
      </c>
      <c r="D64" s="120" t="s">
        <v>1152</v>
      </c>
      <c r="J64" s="83">
        <v>-1705000</v>
      </c>
    </row>
    <row r="65" spans="1:10" ht="18" customHeight="1" x14ac:dyDescent="0.3">
      <c r="A65" s="85">
        <v>1185</v>
      </c>
      <c r="B65" s="97">
        <v>45876</v>
      </c>
      <c r="C65" s="86" t="s">
        <v>2191</v>
      </c>
      <c r="D65" s="120" t="s">
        <v>1152</v>
      </c>
      <c r="J65" s="83">
        <v>-1759000</v>
      </c>
    </row>
    <row r="66" spans="1:10" ht="18" customHeight="1" x14ac:dyDescent="0.3">
      <c r="A66" s="85">
        <v>1186</v>
      </c>
      <c r="B66" s="97">
        <v>45876</v>
      </c>
      <c r="C66" s="86" t="s">
        <v>3295</v>
      </c>
      <c r="D66" s="120" t="s">
        <v>1152</v>
      </c>
      <c r="J66" s="83">
        <v>-1430000</v>
      </c>
    </row>
    <row r="67" spans="1:10" ht="18" customHeight="1" x14ac:dyDescent="0.3">
      <c r="A67" s="85">
        <v>1187</v>
      </c>
      <c r="B67" s="97">
        <v>45876</v>
      </c>
      <c r="C67" s="86" t="s">
        <v>1476</v>
      </c>
      <c r="D67" s="120" t="s">
        <v>2924</v>
      </c>
      <c r="F67" s="127">
        <v>250000</v>
      </c>
      <c r="G67" s="88">
        <v>1</v>
      </c>
      <c r="I67" s="83">
        <v>250000</v>
      </c>
    </row>
    <row r="68" spans="1:10" ht="18" customHeight="1" x14ac:dyDescent="0.3">
      <c r="A68" s="85">
        <v>1188</v>
      </c>
      <c r="B68" s="97">
        <v>45876</v>
      </c>
      <c r="C68" s="86" t="s">
        <v>1476</v>
      </c>
      <c r="D68" s="120" t="s">
        <v>2230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1189</v>
      </c>
      <c r="B69" s="97">
        <v>45876</v>
      </c>
      <c r="C69" s="86" t="s">
        <v>2902</v>
      </c>
      <c r="D69" s="120" t="s">
        <v>2227</v>
      </c>
      <c r="F69" s="127">
        <v>1500000</v>
      </c>
      <c r="G69" s="88">
        <v>1</v>
      </c>
      <c r="I69" s="83">
        <v>1500000</v>
      </c>
    </row>
    <row r="70" spans="1:10" ht="18" customHeight="1" x14ac:dyDescent="0.3">
      <c r="A70" s="85">
        <v>1190</v>
      </c>
      <c r="B70" s="97">
        <v>45876</v>
      </c>
      <c r="C70" s="86" t="s">
        <v>2902</v>
      </c>
      <c r="D70" s="120" t="s">
        <v>2228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1191</v>
      </c>
      <c r="B71" s="97">
        <v>45876</v>
      </c>
      <c r="C71" s="86" t="s">
        <v>2475</v>
      </c>
      <c r="D71" s="120" t="s">
        <v>2483</v>
      </c>
      <c r="F71" s="127">
        <v>1100000</v>
      </c>
      <c r="G71" s="88">
        <v>1</v>
      </c>
      <c r="H71" s="133">
        <v>110000</v>
      </c>
      <c r="I71" s="83">
        <v>1210000</v>
      </c>
    </row>
    <row r="72" spans="1:10" ht="18" customHeight="1" x14ac:dyDescent="0.3">
      <c r="A72" s="85">
        <v>1192</v>
      </c>
      <c r="B72" s="97">
        <v>45876</v>
      </c>
      <c r="C72" s="86" t="s">
        <v>2475</v>
      </c>
      <c r="D72" s="120" t="s">
        <v>3342</v>
      </c>
      <c r="F72" s="127">
        <v>200000</v>
      </c>
      <c r="G72" s="88">
        <v>1</v>
      </c>
      <c r="H72" s="133">
        <v>20000</v>
      </c>
      <c r="I72" s="83">
        <v>220000</v>
      </c>
    </row>
    <row r="73" spans="1:10" ht="18" customHeight="1" x14ac:dyDescent="0.3">
      <c r="A73" s="85">
        <v>1193</v>
      </c>
      <c r="B73" s="97">
        <v>45876</v>
      </c>
      <c r="C73" s="86" t="s">
        <v>1526</v>
      </c>
      <c r="D73" s="120" t="s">
        <v>1152</v>
      </c>
      <c r="J73" s="83">
        <v>-1200000</v>
      </c>
    </row>
    <row r="74" spans="1:10" ht="18" customHeight="1" x14ac:dyDescent="0.3">
      <c r="A74" s="85">
        <v>1194</v>
      </c>
      <c r="B74" s="97">
        <v>45877</v>
      </c>
      <c r="C74" s="86" t="s">
        <v>1511</v>
      </c>
      <c r="D74" s="120" t="s">
        <v>1152</v>
      </c>
      <c r="J74" s="83">
        <v>-4338000</v>
      </c>
    </row>
    <row r="75" spans="1:10" ht="18" customHeight="1" x14ac:dyDescent="0.3">
      <c r="A75" s="85">
        <v>1195</v>
      </c>
      <c r="B75" s="97">
        <v>45877</v>
      </c>
      <c r="C75" s="86" t="s">
        <v>1755</v>
      </c>
      <c r="D75" s="120" t="s">
        <v>1152</v>
      </c>
      <c r="J75" s="83">
        <v>-4045000</v>
      </c>
    </row>
    <row r="76" spans="1:10" ht="18" customHeight="1" x14ac:dyDescent="0.3">
      <c r="A76" s="85">
        <v>1196</v>
      </c>
      <c r="B76" s="97">
        <v>45877</v>
      </c>
      <c r="C76" s="86" t="s">
        <v>2902</v>
      </c>
      <c r="D76" s="120" t="s">
        <v>1152</v>
      </c>
      <c r="J76" s="83">
        <v>-1550000</v>
      </c>
    </row>
    <row r="77" spans="1:10" ht="18" customHeight="1" x14ac:dyDescent="0.3">
      <c r="A77" s="85">
        <v>1197</v>
      </c>
      <c r="B77" s="97">
        <v>45877</v>
      </c>
      <c r="C77" s="86" t="s">
        <v>2475</v>
      </c>
      <c r="D77" s="120" t="s">
        <v>1152</v>
      </c>
      <c r="J77" s="83">
        <v>-1430000</v>
      </c>
    </row>
    <row r="78" spans="1:10" ht="18" customHeight="1" x14ac:dyDescent="0.3">
      <c r="A78" s="85">
        <v>1198</v>
      </c>
      <c r="B78" s="97">
        <v>45877</v>
      </c>
      <c r="C78" s="86" t="s">
        <v>3311</v>
      </c>
      <c r="D78" s="120" t="s">
        <v>1528</v>
      </c>
      <c r="F78" s="127">
        <v>350000</v>
      </c>
      <c r="G78" s="88">
        <v>1</v>
      </c>
      <c r="I78" s="83">
        <v>350000</v>
      </c>
    </row>
    <row r="79" spans="1:10" ht="18" customHeight="1" x14ac:dyDescent="0.3">
      <c r="A79" s="85">
        <v>1199</v>
      </c>
      <c r="B79" s="97">
        <v>45877</v>
      </c>
      <c r="C79" s="86" t="s">
        <v>3311</v>
      </c>
      <c r="D79" s="120" t="s">
        <v>1551</v>
      </c>
      <c r="F79" s="127">
        <v>20000</v>
      </c>
      <c r="G79" s="88">
        <v>1</v>
      </c>
      <c r="I79" s="83">
        <v>20000</v>
      </c>
    </row>
    <row r="80" spans="1:10" ht="18" customHeight="1" x14ac:dyDescent="0.3">
      <c r="A80" s="85">
        <v>1200</v>
      </c>
      <c r="B80" s="97">
        <v>45877</v>
      </c>
      <c r="C80" s="86" t="s">
        <v>3311</v>
      </c>
      <c r="D80" s="120" t="s">
        <v>1152</v>
      </c>
      <c r="J80" s="83">
        <v>-370000</v>
      </c>
    </row>
    <row r="81" spans="1:10" ht="18" customHeight="1" x14ac:dyDescent="0.3">
      <c r="A81" s="85">
        <v>1201</v>
      </c>
      <c r="B81" s="97">
        <v>45877</v>
      </c>
      <c r="C81" s="86" t="s">
        <v>3314</v>
      </c>
      <c r="D81" s="120" t="s">
        <v>2349</v>
      </c>
      <c r="F81" s="127">
        <v>650000</v>
      </c>
      <c r="G81" s="88">
        <v>1</v>
      </c>
      <c r="I81" s="83">
        <v>650000</v>
      </c>
    </row>
    <row r="82" spans="1:10" ht="18" customHeight="1" x14ac:dyDescent="0.3">
      <c r="A82" s="85">
        <v>1202</v>
      </c>
      <c r="B82" s="97">
        <v>45877</v>
      </c>
      <c r="C82" s="86" t="s">
        <v>3314</v>
      </c>
      <c r="D82" s="120" t="s">
        <v>1152</v>
      </c>
      <c r="J82" s="83">
        <v>-650000</v>
      </c>
    </row>
    <row r="83" spans="1:10" ht="18" customHeight="1" x14ac:dyDescent="0.3">
      <c r="A83" s="85">
        <v>1203</v>
      </c>
      <c r="B83" s="97">
        <v>45878</v>
      </c>
      <c r="C83" s="86" t="s">
        <v>1027</v>
      </c>
      <c r="D83" s="120" t="s">
        <v>2952</v>
      </c>
      <c r="F83" s="127">
        <v>550000</v>
      </c>
      <c r="G83" s="88">
        <v>1</v>
      </c>
      <c r="I83" s="83">
        <v>550000</v>
      </c>
    </row>
    <row r="84" spans="1:10" ht="18" customHeight="1" x14ac:dyDescent="0.3">
      <c r="A84" s="85">
        <v>1204</v>
      </c>
      <c r="B84" s="97">
        <v>45878</v>
      </c>
      <c r="C84" s="86" t="s">
        <v>1027</v>
      </c>
      <c r="D84" s="120" t="s">
        <v>3322</v>
      </c>
      <c r="F84" s="127">
        <v>70000</v>
      </c>
      <c r="G84" s="88">
        <v>1</v>
      </c>
      <c r="I84" s="83">
        <v>70000</v>
      </c>
    </row>
    <row r="85" spans="1:10" ht="18" customHeight="1" x14ac:dyDescent="0.3">
      <c r="A85" s="85">
        <v>1205</v>
      </c>
      <c r="B85" s="97">
        <v>45878</v>
      </c>
      <c r="C85" s="86" t="s">
        <v>1027</v>
      </c>
      <c r="D85" s="120" t="s">
        <v>1297</v>
      </c>
      <c r="F85" s="127">
        <v>50000</v>
      </c>
      <c r="G85" s="88">
        <v>1</v>
      </c>
      <c r="I85" s="83">
        <v>50000</v>
      </c>
    </row>
    <row r="86" spans="1:10" ht="18" customHeight="1" x14ac:dyDescent="0.3">
      <c r="A86" s="85">
        <v>1206</v>
      </c>
      <c r="B86" s="97">
        <v>45878</v>
      </c>
      <c r="C86" s="86" t="s">
        <v>3324</v>
      </c>
      <c r="D86" s="120" t="s">
        <v>2227</v>
      </c>
      <c r="F86" s="83">
        <v>1500000</v>
      </c>
      <c r="G86" s="88">
        <v>1</v>
      </c>
      <c r="I86" s="83">
        <v>1500000</v>
      </c>
    </row>
    <row r="87" spans="1:10" ht="18" customHeight="1" x14ac:dyDescent="0.3">
      <c r="A87" s="85">
        <v>1207</v>
      </c>
      <c r="B87" s="97">
        <v>45878</v>
      </c>
      <c r="C87" s="86" t="s">
        <v>3324</v>
      </c>
      <c r="D87" s="120" t="s">
        <v>2228</v>
      </c>
      <c r="F87" s="127">
        <v>50000</v>
      </c>
      <c r="G87" s="88">
        <v>1</v>
      </c>
      <c r="I87" s="83">
        <v>50000</v>
      </c>
    </row>
    <row r="88" spans="1:10" ht="18" customHeight="1" x14ac:dyDescent="0.3">
      <c r="A88" s="85">
        <v>1208</v>
      </c>
      <c r="B88" s="97">
        <v>45880</v>
      </c>
      <c r="C88" s="86" t="s">
        <v>1499</v>
      </c>
      <c r="D88" s="120" t="s">
        <v>1152</v>
      </c>
      <c r="F88" s="83"/>
      <c r="J88" s="83">
        <v>-4345000</v>
      </c>
    </row>
    <row r="89" spans="1:10" ht="18" customHeight="1" x14ac:dyDescent="0.3">
      <c r="A89" s="85">
        <v>1209</v>
      </c>
      <c r="B89" s="97">
        <v>45880</v>
      </c>
      <c r="C89" s="86" t="s">
        <v>2369</v>
      </c>
      <c r="D89" s="120" t="s">
        <v>1234</v>
      </c>
      <c r="F89" s="127">
        <v>1200000</v>
      </c>
      <c r="G89" s="88">
        <v>1</v>
      </c>
      <c r="H89" s="133">
        <v>120000</v>
      </c>
      <c r="I89" s="83">
        <v>1320000</v>
      </c>
    </row>
    <row r="90" spans="1:10" ht="18" customHeight="1" x14ac:dyDescent="0.3">
      <c r="A90" s="85">
        <v>1210</v>
      </c>
      <c r="B90" s="97">
        <v>45880</v>
      </c>
      <c r="C90" s="86" t="s">
        <v>1781</v>
      </c>
      <c r="D90" s="120" t="s">
        <v>2235</v>
      </c>
      <c r="F90" s="83">
        <v>130000</v>
      </c>
      <c r="G90" s="88">
        <v>1</v>
      </c>
      <c r="H90" s="133">
        <v>13000</v>
      </c>
      <c r="I90" s="83">
        <v>143000</v>
      </c>
    </row>
    <row r="91" spans="1:10" ht="18" customHeight="1" x14ac:dyDescent="0.3">
      <c r="A91" s="85">
        <v>1211</v>
      </c>
      <c r="B91" s="97">
        <v>45880</v>
      </c>
      <c r="C91" s="86" t="s">
        <v>1781</v>
      </c>
      <c r="D91" s="120" t="s">
        <v>2239</v>
      </c>
      <c r="F91" s="127">
        <v>10000</v>
      </c>
      <c r="G91" s="88">
        <v>1</v>
      </c>
      <c r="H91" s="133">
        <v>1000</v>
      </c>
      <c r="I91" s="83">
        <v>11000</v>
      </c>
    </row>
    <row r="92" spans="1:10" ht="18" customHeight="1" x14ac:dyDescent="0.3">
      <c r="A92" s="85">
        <v>1212</v>
      </c>
      <c r="B92" s="97">
        <v>45880</v>
      </c>
      <c r="C92" s="86" t="s">
        <v>1613</v>
      </c>
      <c r="D92" s="120" t="s">
        <v>1234</v>
      </c>
      <c r="F92" s="83">
        <v>1200000</v>
      </c>
      <c r="G92" s="127">
        <v>1</v>
      </c>
      <c r="H92" s="133">
        <v>120000</v>
      </c>
      <c r="I92" s="83">
        <v>1320000</v>
      </c>
    </row>
    <row r="93" spans="1:10" ht="18" customHeight="1" x14ac:dyDescent="0.3">
      <c r="A93" s="85">
        <v>1213</v>
      </c>
      <c r="B93" s="97">
        <v>45880</v>
      </c>
      <c r="C93" s="86" t="s">
        <v>1526</v>
      </c>
      <c r="D93" s="120" t="s">
        <v>2446</v>
      </c>
      <c r="F93" s="83">
        <v>1550000</v>
      </c>
      <c r="G93" s="127">
        <v>1</v>
      </c>
      <c r="I93" s="83">
        <v>1550000</v>
      </c>
    </row>
    <row r="94" spans="1:10" ht="18" customHeight="1" x14ac:dyDescent="0.3">
      <c r="A94" s="85">
        <v>1214</v>
      </c>
      <c r="B94" s="97">
        <v>45880</v>
      </c>
      <c r="C94" s="86" t="s">
        <v>1431</v>
      </c>
      <c r="D94" s="120" t="s">
        <v>1232</v>
      </c>
      <c r="F94" s="83">
        <v>1200000</v>
      </c>
      <c r="G94" s="127">
        <v>1</v>
      </c>
      <c r="I94" s="83">
        <v>1200000</v>
      </c>
    </row>
    <row r="95" spans="1:10" ht="18" customHeight="1" x14ac:dyDescent="0.3">
      <c r="A95" s="85">
        <v>1215</v>
      </c>
      <c r="B95" s="97">
        <v>45880</v>
      </c>
      <c r="C95" s="86" t="s">
        <v>1431</v>
      </c>
      <c r="D95" s="120" t="s">
        <v>1528</v>
      </c>
      <c r="F95" s="83">
        <v>350000</v>
      </c>
      <c r="G95" s="127">
        <v>1</v>
      </c>
      <c r="I95" s="83">
        <v>350000</v>
      </c>
    </row>
    <row r="96" spans="1:10" ht="18" customHeight="1" x14ac:dyDescent="0.3">
      <c r="A96" s="85">
        <v>1216</v>
      </c>
      <c r="B96" s="97">
        <v>45880</v>
      </c>
      <c r="C96" s="86" t="s">
        <v>1431</v>
      </c>
      <c r="D96" s="120" t="s">
        <v>2959</v>
      </c>
      <c r="F96" s="83">
        <v>129000</v>
      </c>
      <c r="G96" s="127">
        <v>1</v>
      </c>
      <c r="I96" s="83">
        <v>129000</v>
      </c>
    </row>
    <row r="97" spans="1:10" ht="18" customHeight="1" x14ac:dyDescent="0.3">
      <c r="A97" s="85">
        <v>1217</v>
      </c>
      <c r="B97" s="97">
        <v>45880</v>
      </c>
      <c r="C97" s="86" t="s">
        <v>1932</v>
      </c>
      <c r="D97" s="120" t="s">
        <v>1232</v>
      </c>
      <c r="F97" s="83">
        <v>1300000</v>
      </c>
      <c r="G97" s="127">
        <v>1</v>
      </c>
      <c r="I97" s="83">
        <v>1300000</v>
      </c>
    </row>
    <row r="98" spans="1:10" ht="18" customHeight="1" x14ac:dyDescent="0.3">
      <c r="A98" s="85">
        <v>1218</v>
      </c>
      <c r="B98" s="97">
        <v>45880</v>
      </c>
      <c r="C98" s="86" t="s">
        <v>3049</v>
      </c>
      <c r="D98" s="120" t="s">
        <v>2227</v>
      </c>
      <c r="F98" s="83">
        <v>1500000</v>
      </c>
      <c r="G98" s="127">
        <v>1</v>
      </c>
      <c r="I98" s="83">
        <v>1500000</v>
      </c>
    </row>
    <row r="99" spans="1:10" ht="18" customHeight="1" x14ac:dyDescent="0.3">
      <c r="A99" s="85">
        <v>1219</v>
      </c>
      <c r="B99" s="97">
        <v>45880</v>
      </c>
      <c r="C99" s="86" t="s">
        <v>3049</v>
      </c>
      <c r="D99" s="120" t="s">
        <v>1152</v>
      </c>
      <c r="F99" s="83"/>
      <c r="G99" s="127"/>
      <c r="J99" s="83">
        <v>-1500000</v>
      </c>
    </row>
    <row r="100" spans="1:10" ht="18" customHeight="1" x14ac:dyDescent="0.3">
      <c r="A100" s="85">
        <v>1220</v>
      </c>
      <c r="B100" s="97">
        <v>45881</v>
      </c>
      <c r="C100" s="86" t="s">
        <v>1499</v>
      </c>
      <c r="D100" s="120" t="s">
        <v>2066</v>
      </c>
      <c r="F100" s="83">
        <v>1500000</v>
      </c>
      <c r="G100" s="127">
        <v>1</v>
      </c>
      <c r="H100" s="133">
        <v>150000</v>
      </c>
      <c r="I100" s="83">
        <v>1650000</v>
      </c>
    </row>
    <row r="101" spans="1:10" ht="18" customHeight="1" x14ac:dyDescent="0.3">
      <c r="A101" s="85">
        <v>1221</v>
      </c>
      <c r="B101" s="97">
        <v>45881</v>
      </c>
      <c r="C101" s="86" t="s">
        <v>1505</v>
      </c>
      <c r="D101" s="120" t="s">
        <v>2234</v>
      </c>
      <c r="F101" s="83">
        <v>500000</v>
      </c>
      <c r="G101" s="127">
        <v>2</v>
      </c>
      <c r="I101" s="83">
        <v>1000000</v>
      </c>
    </row>
    <row r="102" spans="1:10" ht="18" customHeight="1" x14ac:dyDescent="0.3">
      <c r="A102" s="85">
        <v>1222</v>
      </c>
      <c r="B102" s="97">
        <v>45881</v>
      </c>
      <c r="C102" s="86" t="s">
        <v>2369</v>
      </c>
      <c r="D102" s="120" t="s">
        <v>2894</v>
      </c>
      <c r="F102" s="83">
        <v>1500000</v>
      </c>
      <c r="G102" s="127">
        <v>1</v>
      </c>
      <c r="I102" s="83">
        <v>1500000</v>
      </c>
    </row>
    <row r="103" spans="1:10" ht="18" customHeight="1" x14ac:dyDescent="0.3">
      <c r="A103" s="85">
        <v>1223</v>
      </c>
      <c r="B103" s="97">
        <v>45881</v>
      </c>
      <c r="C103" s="86" t="s">
        <v>3144</v>
      </c>
      <c r="D103" s="120" t="s">
        <v>2225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1224</v>
      </c>
      <c r="B104" s="97">
        <v>45881</v>
      </c>
      <c r="C104" s="86" t="s">
        <v>1704</v>
      </c>
      <c r="D104" s="120" t="s">
        <v>1152</v>
      </c>
      <c r="F104" s="83"/>
      <c r="G104" s="127"/>
      <c r="J104" s="83">
        <v>-1100000</v>
      </c>
    </row>
    <row r="105" spans="1:10" ht="18" customHeight="1" x14ac:dyDescent="0.3">
      <c r="A105" s="85">
        <v>1225</v>
      </c>
      <c r="B105" s="97">
        <v>45881</v>
      </c>
      <c r="C105" s="86" t="s">
        <v>2369</v>
      </c>
      <c r="D105" s="120" t="s">
        <v>1152</v>
      </c>
      <c r="F105" s="83"/>
      <c r="G105" s="127"/>
      <c r="J105" s="83">
        <v>-2820000</v>
      </c>
    </row>
    <row r="106" spans="1:10" ht="18" customHeight="1" x14ac:dyDescent="0.3">
      <c r="A106" s="85">
        <v>1226</v>
      </c>
      <c r="B106" s="97">
        <v>45881</v>
      </c>
      <c r="C106" s="86" t="s">
        <v>1844</v>
      </c>
      <c r="D106" s="120" t="s">
        <v>1152</v>
      </c>
      <c r="F106" s="83"/>
      <c r="G106" s="127"/>
      <c r="J106" s="83">
        <v>-350000</v>
      </c>
    </row>
    <row r="107" spans="1:10" ht="18" customHeight="1" x14ac:dyDescent="0.3">
      <c r="A107" s="85">
        <v>1227</v>
      </c>
      <c r="B107" s="97">
        <v>45881</v>
      </c>
      <c r="C107" s="86" t="s">
        <v>3324</v>
      </c>
      <c r="D107" s="120" t="s">
        <v>1152</v>
      </c>
      <c r="F107" s="83"/>
      <c r="G107" s="127"/>
      <c r="J107" s="83">
        <v>-1550000</v>
      </c>
    </row>
    <row r="108" spans="1:10" ht="18" customHeight="1" x14ac:dyDescent="0.3">
      <c r="A108" s="85">
        <v>1228</v>
      </c>
      <c r="B108" s="97">
        <v>45882</v>
      </c>
      <c r="C108" s="86" t="s">
        <v>1840</v>
      </c>
      <c r="D108" s="120" t="s">
        <v>2234</v>
      </c>
      <c r="F108" s="83">
        <v>526364</v>
      </c>
      <c r="G108" s="127">
        <v>1</v>
      </c>
      <c r="H108" s="133">
        <v>52636</v>
      </c>
      <c r="I108" s="83">
        <v>579000</v>
      </c>
    </row>
    <row r="109" spans="1:10" ht="18" customHeight="1" x14ac:dyDescent="0.3">
      <c r="A109" s="85">
        <v>1229</v>
      </c>
      <c r="B109" s="97">
        <v>45882</v>
      </c>
      <c r="C109" s="86" t="s">
        <v>1840</v>
      </c>
      <c r="D109" s="120" t="s">
        <v>2235</v>
      </c>
      <c r="F109" s="83">
        <v>130000</v>
      </c>
      <c r="G109" s="127">
        <v>1</v>
      </c>
      <c r="H109" s="133">
        <v>13000</v>
      </c>
      <c r="I109" s="83">
        <v>143000</v>
      </c>
    </row>
    <row r="110" spans="1:10" ht="18" customHeight="1" x14ac:dyDescent="0.3">
      <c r="A110" s="85">
        <v>1230</v>
      </c>
      <c r="B110" s="97">
        <v>45882</v>
      </c>
      <c r="C110" s="86" t="s">
        <v>1613</v>
      </c>
      <c r="D110" s="120" t="s">
        <v>2234</v>
      </c>
      <c r="F110" s="83">
        <v>526364</v>
      </c>
      <c r="G110" s="127">
        <v>1</v>
      </c>
      <c r="H110" s="133">
        <v>52636</v>
      </c>
      <c r="I110" s="83">
        <v>579000</v>
      </c>
    </row>
    <row r="111" spans="1:10" ht="18" customHeight="1" x14ac:dyDescent="0.3">
      <c r="A111" s="85">
        <v>1231</v>
      </c>
      <c r="B111" s="97">
        <v>45882</v>
      </c>
      <c r="C111" s="86" t="s">
        <v>1431</v>
      </c>
      <c r="D111" s="120" t="s">
        <v>2483</v>
      </c>
      <c r="F111" s="83">
        <v>1100000</v>
      </c>
      <c r="G111" s="127">
        <v>1</v>
      </c>
      <c r="I111" s="83">
        <v>1100000</v>
      </c>
    </row>
    <row r="112" spans="1:10" ht="18" customHeight="1" x14ac:dyDescent="0.3">
      <c r="A112" s="85">
        <v>1232</v>
      </c>
      <c r="B112" s="97">
        <v>45882</v>
      </c>
      <c r="C112" s="86" t="s">
        <v>1431</v>
      </c>
      <c r="D112" s="120" t="s">
        <v>2234</v>
      </c>
      <c r="F112" s="83">
        <v>510000</v>
      </c>
      <c r="G112" s="127">
        <v>1</v>
      </c>
      <c r="I112" s="83">
        <v>510000</v>
      </c>
    </row>
    <row r="113" spans="1:10" ht="18" customHeight="1" x14ac:dyDescent="0.3">
      <c r="A113" s="85">
        <v>1233</v>
      </c>
      <c r="B113" s="97">
        <v>45882</v>
      </c>
      <c r="C113" s="86" t="s">
        <v>1431</v>
      </c>
      <c r="D113" s="120" t="s">
        <v>2239</v>
      </c>
      <c r="F113" s="83">
        <v>10000</v>
      </c>
      <c r="G113" s="127">
        <v>1</v>
      </c>
      <c r="I113" s="83">
        <v>10000</v>
      </c>
    </row>
    <row r="114" spans="1:10" ht="18" customHeight="1" x14ac:dyDescent="0.3">
      <c r="A114" s="85">
        <v>1234</v>
      </c>
      <c r="B114" s="97">
        <v>45882</v>
      </c>
      <c r="C114" s="86" t="s">
        <v>1431</v>
      </c>
      <c r="D114" s="120" t="s">
        <v>2238</v>
      </c>
      <c r="F114" s="83">
        <v>30000</v>
      </c>
      <c r="G114" s="127">
        <v>1</v>
      </c>
      <c r="I114" s="83">
        <v>30000</v>
      </c>
    </row>
    <row r="115" spans="1:10" ht="18" customHeight="1" x14ac:dyDescent="0.3">
      <c r="A115" s="85">
        <v>1235</v>
      </c>
      <c r="B115" s="97">
        <v>45882</v>
      </c>
      <c r="C115" s="86" t="s">
        <v>1610</v>
      </c>
      <c r="D115" s="120" t="s">
        <v>2234</v>
      </c>
      <c r="F115" s="83">
        <v>526364</v>
      </c>
      <c r="G115" s="127">
        <v>1</v>
      </c>
      <c r="H115" s="133">
        <v>52636</v>
      </c>
      <c r="I115" s="83">
        <v>579000</v>
      </c>
    </row>
    <row r="116" spans="1:10" ht="18" customHeight="1" x14ac:dyDescent="0.3">
      <c r="A116" s="85">
        <v>1236</v>
      </c>
      <c r="B116" s="97">
        <v>45882</v>
      </c>
      <c r="C116" s="86" t="s">
        <v>1610</v>
      </c>
      <c r="D116" s="120" t="s">
        <v>2237</v>
      </c>
      <c r="F116" s="83">
        <v>72727</v>
      </c>
      <c r="G116" s="127">
        <v>1</v>
      </c>
      <c r="H116" s="133">
        <v>7273</v>
      </c>
      <c r="I116" s="83">
        <v>80000</v>
      </c>
    </row>
    <row r="117" spans="1:10" ht="18" customHeight="1" x14ac:dyDescent="0.3">
      <c r="A117" s="85">
        <v>1237</v>
      </c>
      <c r="B117" s="97">
        <v>45882</v>
      </c>
      <c r="C117" s="86" t="s">
        <v>1610</v>
      </c>
      <c r="D117" s="120" t="s">
        <v>2238</v>
      </c>
      <c r="F117" s="83">
        <v>32000</v>
      </c>
      <c r="G117" s="127">
        <v>1</v>
      </c>
      <c r="H117" s="133">
        <v>3200</v>
      </c>
      <c r="I117" s="83">
        <v>35200</v>
      </c>
    </row>
    <row r="118" spans="1:10" ht="18" customHeight="1" x14ac:dyDescent="0.3">
      <c r="A118" s="85">
        <v>1238</v>
      </c>
      <c r="B118" s="97">
        <v>45882</v>
      </c>
      <c r="C118" s="86" t="s">
        <v>1610</v>
      </c>
      <c r="D118" s="120" t="s">
        <v>2239</v>
      </c>
      <c r="F118" s="83">
        <v>10000</v>
      </c>
      <c r="G118" s="127">
        <v>1</v>
      </c>
      <c r="H118" s="133">
        <v>1000</v>
      </c>
      <c r="I118" s="83">
        <v>11000</v>
      </c>
    </row>
    <row r="119" spans="1:10" ht="18" customHeight="1" x14ac:dyDescent="0.3">
      <c r="A119" s="85">
        <v>1239</v>
      </c>
      <c r="B119" s="97">
        <v>45882</v>
      </c>
      <c r="C119" s="86" t="s">
        <v>1610</v>
      </c>
      <c r="D119" s="120" t="s">
        <v>2241</v>
      </c>
      <c r="F119" s="83">
        <v>600000</v>
      </c>
      <c r="G119" s="127">
        <v>1</v>
      </c>
      <c r="H119" s="133">
        <v>60000</v>
      </c>
      <c r="I119" s="83">
        <v>660000</v>
      </c>
    </row>
    <row r="120" spans="1:10" ht="18" customHeight="1" x14ac:dyDescent="0.3">
      <c r="A120" s="85">
        <v>1240</v>
      </c>
      <c r="B120" s="97">
        <v>45882</v>
      </c>
      <c r="C120" s="86" t="s">
        <v>1027</v>
      </c>
      <c r="D120" s="120" t="s">
        <v>2235</v>
      </c>
      <c r="F120" s="83">
        <v>130000</v>
      </c>
      <c r="G120" s="127">
        <v>1</v>
      </c>
      <c r="I120" s="83">
        <v>130000</v>
      </c>
    </row>
    <row r="121" spans="1:10" ht="18" customHeight="1" x14ac:dyDescent="0.3">
      <c r="A121" s="85">
        <v>1241</v>
      </c>
      <c r="B121" s="97">
        <v>45882</v>
      </c>
      <c r="C121" s="86" t="s">
        <v>1027</v>
      </c>
      <c r="D121" s="120" t="s">
        <v>2237</v>
      </c>
      <c r="F121" s="83">
        <v>80000</v>
      </c>
      <c r="G121" s="127">
        <v>1</v>
      </c>
      <c r="I121" s="83">
        <v>80000</v>
      </c>
    </row>
    <row r="122" spans="1:10" ht="18" customHeight="1" x14ac:dyDescent="0.3">
      <c r="A122" s="85">
        <v>1242</v>
      </c>
      <c r="B122" s="97">
        <v>45882</v>
      </c>
      <c r="C122" s="86" t="s">
        <v>1027</v>
      </c>
      <c r="D122" s="120" t="s">
        <v>2239</v>
      </c>
      <c r="F122" s="127">
        <v>10000</v>
      </c>
      <c r="G122" s="88">
        <v>1</v>
      </c>
      <c r="I122" s="83">
        <v>10000</v>
      </c>
    </row>
    <row r="123" spans="1:10" ht="18" customHeight="1" x14ac:dyDescent="0.3">
      <c r="A123" s="85">
        <v>1243</v>
      </c>
      <c r="B123" s="97">
        <v>45882</v>
      </c>
      <c r="C123" s="86" t="s">
        <v>1027</v>
      </c>
      <c r="D123" s="120" t="s">
        <v>2238</v>
      </c>
      <c r="F123" s="127">
        <v>35000</v>
      </c>
      <c r="G123" s="88">
        <v>1</v>
      </c>
      <c r="I123" s="83">
        <v>35000</v>
      </c>
    </row>
    <row r="124" spans="1:10" ht="18" customHeight="1" x14ac:dyDescent="0.3">
      <c r="A124" s="85">
        <v>1244</v>
      </c>
      <c r="B124" s="97">
        <v>45882</v>
      </c>
      <c r="C124" s="86" t="s">
        <v>3352</v>
      </c>
      <c r="D124" s="120" t="s">
        <v>1232</v>
      </c>
      <c r="F124" s="127">
        <v>1200000</v>
      </c>
      <c r="G124" s="88">
        <v>1</v>
      </c>
      <c r="I124" s="83">
        <v>1200000</v>
      </c>
    </row>
    <row r="125" spans="1:10" ht="18" customHeight="1" x14ac:dyDescent="0.3">
      <c r="A125" s="85">
        <v>1245</v>
      </c>
      <c r="B125" s="97">
        <v>45882</v>
      </c>
      <c r="C125" s="86" t="s">
        <v>3352</v>
      </c>
      <c r="D125" s="120" t="s">
        <v>1528</v>
      </c>
      <c r="F125" s="127">
        <v>350000</v>
      </c>
      <c r="G125" s="88">
        <v>1</v>
      </c>
      <c r="I125" s="83">
        <v>350000</v>
      </c>
    </row>
    <row r="126" spans="1:10" ht="18" customHeight="1" x14ac:dyDescent="0.3">
      <c r="A126" s="85">
        <v>1246</v>
      </c>
      <c r="B126" s="97">
        <v>45882</v>
      </c>
      <c r="C126" s="86" t="s">
        <v>3349</v>
      </c>
      <c r="D126" s="120" t="s">
        <v>3357</v>
      </c>
      <c r="F126" s="127">
        <v>100000</v>
      </c>
      <c r="G126" s="88">
        <v>1</v>
      </c>
      <c r="I126" s="83">
        <v>100000</v>
      </c>
    </row>
    <row r="127" spans="1:10" ht="18" customHeight="1" x14ac:dyDescent="0.3">
      <c r="A127" s="85">
        <v>1247</v>
      </c>
      <c r="B127" s="97">
        <v>45882</v>
      </c>
      <c r="C127" s="86" t="s">
        <v>3352</v>
      </c>
      <c r="D127" s="120" t="s">
        <v>1152</v>
      </c>
      <c r="J127" s="83">
        <v>-1550000</v>
      </c>
    </row>
    <row r="128" spans="1:10" ht="18" customHeight="1" x14ac:dyDescent="0.3">
      <c r="A128" s="85">
        <v>1248</v>
      </c>
      <c r="B128" s="97">
        <v>45882</v>
      </c>
      <c r="C128" s="86" t="s">
        <v>3349</v>
      </c>
      <c r="D128" s="120" t="s">
        <v>1152</v>
      </c>
      <c r="J128" s="83">
        <v>-100000</v>
      </c>
    </row>
    <row r="129" spans="1:10" ht="18" customHeight="1" x14ac:dyDescent="0.3">
      <c r="A129" s="85">
        <v>1249</v>
      </c>
      <c r="B129" s="97">
        <v>45881</v>
      </c>
      <c r="C129" s="86" t="s">
        <v>1499</v>
      </c>
      <c r="D129" s="120" t="s">
        <v>2066</v>
      </c>
      <c r="F129" s="127">
        <v>1500000</v>
      </c>
      <c r="G129" s="88">
        <v>-1</v>
      </c>
      <c r="H129" s="133">
        <v>-150000</v>
      </c>
      <c r="I129" s="83">
        <v>-1650000</v>
      </c>
    </row>
    <row r="130" spans="1:10" ht="18" customHeight="1" x14ac:dyDescent="0.3">
      <c r="A130" s="85">
        <v>1250</v>
      </c>
      <c r="B130" s="97">
        <v>45883</v>
      </c>
      <c r="C130" s="86" t="s">
        <v>1526</v>
      </c>
      <c r="D130" s="120" t="s">
        <v>1152</v>
      </c>
      <c r="J130" s="83">
        <v>-1550000</v>
      </c>
    </row>
    <row r="131" spans="1:10" ht="18" customHeight="1" x14ac:dyDescent="0.3">
      <c r="A131" s="85">
        <v>1251</v>
      </c>
      <c r="B131" s="97">
        <v>45883</v>
      </c>
      <c r="C131" s="86" t="s">
        <v>1511</v>
      </c>
      <c r="D131" s="120" t="s">
        <v>2234</v>
      </c>
      <c r="F131" s="127">
        <v>550000</v>
      </c>
      <c r="G131" s="88">
        <v>1</v>
      </c>
      <c r="I131" s="83">
        <v>550000</v>
      </c>
    </row>
    <row r="132" spans="1:10" ht="18" customHeight="1" x14ac:dyDescent="0.3">
      <c r="A132" s="85">
        <v>1252</v>
      </c>
      <c r="B132" s="97">
        <v>45883</v>
      </c>
      <c r="C132" s="86" t="s">
        <v>1511</v>
      </c>
      <c r="D132" s="120" t="s">
        <v>2235</v>
      </c>
      <c r="F132" s="127">
        <v>130000</v>
      </c>
      <c r="G132" s="88">
        <v>1</v>
      </c>
      <c r="I132" s="83">
        <v>130000</v>
      </c>
    </row>
    <row r="133" spans="1:10" ht="18" customHeight="1" x14ac:dyDescent="0.3">
      <c r="A133" s="85">
        <v>1253</v>
      </c>
      <c r="B133" s="97">
        <v>45883</v>
      </c>
      <c r="C133" s="86" t="s">
        <v>1511</v>
      </c>
      <c r="D133" s="120" t="s">
        <v>2239</v>
      </c>
      <c r="F133" s="127">
        <v>10000</v>
      </c>
      <c r="G133" s="88">
        <v>1</v>
      </c>
      <c r="I133" s="83">
        <v>10000</v>
      </c>
    </row>
    <row r="134" spans="1:10" ht="18" customHeight="1" x14ac:dyDescent="0.3">
      <c r="A134" s="85">
        <v>1254</v>
      </c>
      <c r="B134" s="97">
        <v>45883</v>
      </c>
      <c r="C134" s="86" t="s">
        <v>1613</v>
      </c>
      <c r="D134" s="120" t="s">
        <v>3362</v>
      </c>
      <c r="J134" s="83">
        <v>-2000000</v>
      </c>
    </row>
    <row r="135" spans="1:10" ht="18" customHeight="1" x14ac:dyDescent="0.3">
      <c r="A135" s="85">
        <v>1255</v>
      </c>
      <c r="B135" s="97">
        <v>45883</v>
      </c>
      <c r="C135" s="86" t="s">
        <v>994</v>
      </c>
      <c r="D135" s="120" t="s">
        <v>2227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1256</v>
      </c>
      <c r="B136" s="97">
        <v>45883</v>
      </c>
      <c r="C136" s="86" t="s">
        <v>1035</v>
      </c>
      <c r="D136" s="120" t="s">
        <v>2234</v>
      </c>
      <c r="F136" s="127">
        <v>600000</v>
      </c>
      <c r="G136" s="88">
        <v>1</v>
      </c>
      <c r="I136" s="83">
        <v>600000</v>
      </c>
    </row>
    <row r="137" spans="1:10" ht="18" customHeight="1" x14ac:dyDescent="0.3">
      <c r="A137" s="85">
        <v>1257</v>
      </c>
      <c r="B137" s="97">
        <v>45883</v>
      </c>
      <c r="C137" s="86" t="s">
        <v>1259</v>
      </c>
      <c r="D137" s="120" t="s">
        <v>2233</v>
      </c>
      <c r="F137" s="127">
        <v>1000000</v>
      </c>
      <c r="G137" s="88">
        <v>1</v>
      </c>
      <c r="H137" s="133">
        <v>100000</v>
      </c>
      <c r="I137" s="83">
        <v>1100000</v>
      </c>
    </row>
    <row r="138" spans="1:10" ht="18" customHeight="1" x14ac:dyDescent="0.3">
      <c r="A138" s="85">
        <v>1258</v>
      </c>
      <c r="B138" s="97">
        <v>45883</v>
      </c>
      <c r="C138" s="86" t="s">
        <v>3367</v>
      </c>
      <c r="D138" s="120" t="s">
        <v>1777</v>
      </c>
      <c r="F138" s="127">
        <v>600000</v>
      </c>
      <c r="G138" s="88">
        <v>1</v>
      </c>
      <c r="I138" s="83">
        <v>600000</v>
      </c>
    </row>
    <row r="139" spans="1:10" ht="18" customHeight="1" x14ac:dyDescent="0.3">
      <c r="A139" s="85">
        <v>1259</v>
      </c>
      <c r="B139" s="97">
        <v>45883</v>
      </c>
      <c r="C139" s="86" t="s">
        <v>2679</v>
      </c>
      <c r="D139" s="120" t="s">
        <v>2648</v>
      </c>
      <c r="F139" s="127">
        <v>1000000</v>
      </c>
      <c r="G139" s="88">
        <v>1</v>
      </c>
      <c r="I139" s="83">
        <v>1000000</v>
      </c>
    </row>
    <row r="140" spans="1:10" ht="18" customHeight="1" x14ac:dyDescent="0.3">
      <c r="A140" s="85">
        <v>1260</v>
      </c>
      <c r="B140" s="97">
        <v>45883</v>
      </c>
      <c r="C140" s="86" t="s">
        <v>1027</v>
      </c>
      <c r="D140" s="120" t="s">
        <v>1152</v>
      </c>
      <c r="J140" s="83">
        <v>-1181000</v>
      </c>
    </row>
    <row r="141" spans="1:10" ht="18" customHeight="1" x14ac:dyDescent="0.3">
      <c r="A141" s="85">
        <v>1261</v>
      </c>
      <c r="B141" s="97">
        <v>45883</v>
      </c>
      <c r="C141" s="86" t="s">
        <v>1259</v>
      </c>
      <c r="D141" s="120" t="s">
        <v>1152</v>
      </c>
      <c r="J141" s="83">
        <v>-1100000</v>
      </c>
    </row>
    <row r="142" spans="1:10" ht="18" customHeight="1" x14ac:dyDescent="0.3">
      <c r="A142" s="85">
        <v>1262</v>
      </c>
      <c r="B142" s="97">
        <v>45883</v>
      </c>
      <c r="C142" s="86" t="s">
        <v>994</v>
      </c>
      <c r="D142" s="120" t="s">
        <v>1152</v>
      </c>
      <c r="J142" s="83">
        <v>-1650000</v>
      </c>
    </row>
    <row r="143" spans="1:10" ht="18" customHeight="1" x14ac:dyDescent="0.3">
      <c r="A143" s="85">
        <v>1263</v>
      </c>
      <c r="B143" s="97">
        <v>45883</v>
      </c>
      <c r="C143" s="86" t="s">
        <v>2475</v>
      </c>
      <c r="D143" s="120" t="s">
        <v>2782</v>
      </c>
      <c r="F143" s="127">
        <v>200000</v>
      </c>
      <c r="G143" s="88">
        <v>1</v>
      </c>
      <c r="I143" s="83">
        <v>200000</v>
      </c>
    </row>
    <row r="144" spans="1:10" ht="18" customHeight="1" x14ac:dyDescent="0.3">
      <c r="A144" s="85">
        <v>1264</v>
      </c>
      <c r="B144" s="97">
        <v>45883</v>
      </c>
      <c r="C144" s="86" t="s">
        <v>1932</v>
      </c>
      <c r="D144" s="120" t="s">
        <v>1152</v>
      </c>
      <c r="J144" s="83">
        <v>-1300000</v>
      </c>
    </row>
    <row r="145" spans="1:9" ht="18" customHeight="1" x14ac:dyDescent="0.3">
      <c r="A145" s="85">
        <v>1265</v>
      </c>
      <c r="B145" s="97">
        <v>45884</v>
      </c>
      <c r="C145" s="86" t="s">
        <v>1481</v>
      </c>
      <c r="D145" s="120" t="s">
        <v>1167</v>
      </c>
      <c r="F145" s="127">
        <v>1000000</v>
      </c>
      <c r="G145" s="88">
        <v>1</v>
      </c>
      <c r="I145" s="83">
        <v>1000000</v>
      </c>
    </row>
    <row r="146" spans="1:9" ht="18" customHeight="1" x14ac:dyDescent="0.3">
      <c r="A146" s="85">
        <v>1266</v>
      </c>
      <c r="B146" s="97">
        <v>45884</v>
      </c>
      <c r="C146" s="86" t="s">
        <v>1431</v>
      </c>
      <c r="D146" s="120" t="s">
        <v>2740</v>
      </c>
      <c r="F146" s="127">
        <v>1750000</v>
      </c>
      <c r="G146" s="88">
        <v>1</v>
      </c>
      <c r="I146" s="83">
        <v>1750000</v>
      </c>
    </row>
    <row r="147" spans="1:9" ht="18" customHeight="1" x14ac:dyDescent="0.3">
      <c r="A147" s="85">
        <v>1267</v>
      </c>
      <c r="B147" s="97">
        <v>45884</v>
      </c>
      <c r="C147" s="86" t="s">
        <v>3381</v>
      </c>
      <c r="D147" s="120" t="s">
        <v>2349</v>
      </c>
      <c r="F147" s="127">
        <v>650000</v>
      </c>
      <c r="G147" s="88">
        <v>1</v>
      </c>
      <c r="H147" s="133">
        <v>65000</v>
      </c>
      <c r="I147" s="83">
        <v>715000</v>
      </c>
    </row>
    <row r="148" spans="1:9" ht="18" customHeight="1" x14ac:dyDescent="0.3">
      <c r="A148" s="85">
        <v>1268</v>
      </c>
      <c r="B148" s="97">
        <v>45884</v>
      </c>
      <c r="C148" s="86" t="s">
        <v>3381</v>
      </c>
      <c r="D148" s="120" t="s">
        <v>2959</v>
      </c>
      <c r="F148" s="127">
        <v>129000</v>
      </c>
      <c r="G148" s="88">
        <v>1</v>
      </c>
      <c r="H148" s="133">
        <v>12900</v>
      </c>
      <c r="I148" s="83">
        <v>141900</v>
      </c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1850000</v>
      </c>
      <c r="D2">
        <f t="shared" ref="D2:D65" si="0">RANK(C2,C:C,0)</f>
        <v>8</v>
      </c>
    </row>
    <row r="3" spans="1:6" x14ac:dyDescent="0.3">
      <c r="B3" t="s">
        <v>1070</v>
      </c>
      <c r="C3" s="52">
        <f>SUMIF(BTS_매출관리!C:C,B3,BTS_매출관리!I:I)</f>
        <v>2840000</v>
      </c>
      <c r="D3">
        <f t="shared" si="0"/>
        <v>3</v>
      </c>
    </row>
    <row r="4" spans="1:6" x14ac:dyDescent="0.3">
      <c r="B4" t="s">
        <v>1333</v>
      </c>
      <c r="C4" s="52">
        <f>SUMIF(BTS_매출관리!C:C,B4,BTS_매출관리!I:I)</f>
        <v>8369000</v>
      </c>
      <c r="D4">
        <f t="shared" si="0"/>
        <v>1</v>
      </c>
    </row>
    <row r="5" spans="1:6" x14ac:dyDescent="0.3">
      <c r="B5" t="s">
        <v>1318</v>
      </c>
      <c r="C5" s="52">
        <f>SUMIF(BTS_매출관리!C:C,B5,BTS_매출관리!I:I)</f>
        <v>1899000</v>
      </c>
      <c r="D5">
        <f t="shared" si="0"/>
        <v>7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37</v>
      </c>
    </row>
    <row r="7" spans="1:6" x14ac:dyDescent="0.3">
      <c r="B7" t="s">
        <v>2263</v>
      </c>
      <c r="C7" s="52">
        <f>SUMIF(BTS_매출관리!C:C,B7,BTS_매출관리!I:I)</f>
        <v>1210000</v>
      </c>
      <c r="D7">
        <f t="shared" si="0"/>
        <v>23</v>
      </c>
    </row>
    <row r="8" spans="1:6" x14ac:dyDescent="0.3">
      <c r="B8" t="s">
        <v>1175</v>
      </c>
      <c r="C8" s="52">
        <f>SUMIF(BTS_매출관리!C:C,B8,BTS_매출관리!I:I)</f>
        <v>1100000</v>
      </c>
      <c r="D8">
        <f t="shared" si="0"/>
        <v>24</v>
      </c>
    </row>
    <row r="9" spans="1:6" x14ac:dyDescent="0.3">
      <c r="B9" t="s">
        <v>1321</v>
      </c>
      <c r="C9" s="52">
        <f>SUMIF(BTS_매출관리!C:C,B9,BTS_매출관리!I:I)</f>
        <v>660000</v>
      </c>
      <c r="D9">
        <f t="shared" si="0"/>
        <v>32</v>
      </c>
    </row>
    <row r="10" spans="1:6" x14ac:dyDescent="0.3">
      <c r="B10" t="s">
        <v>1364</v>
      </c>
      <c r="C10" s="52">
        <f>SUMIF(BTS_매출관리!C:C,B10,BTS_매출관리!I:I)</f>
        <v>0</v>
      </c>
      <c r="D10">
        <f t="shared" si="0"/>
        <v>37</v>
      </c>
    </row>
    <row r="11" spans="1:6" x14ac:dyDescent="0.3">
      <c r="B11" t="s">
        <v>1367</v>
      </c>
      <c r="C11" s="52">
        <f>SUMIF(BTS_매출관리!C:C,B11,BTS_매출관리!I:I)</f>
        <v>0</v>
      </c>
      <c r="D11">
        <f t="shared" si="0"/>
        <v>37</v>
      </c>
    </row>
    <row r="12" spans="1:6" x14ac:dyDescent="0.3">
      <c r="B12" t="s">
        <v>1348</v>
      </c>
      <c r="C12" s="52">
        <f>SUMIF(BTS_매출관리!C:C,B12,BTS_매출관리!I:I)</f>
        <v>690000</v>
      </c>
      <c r="D12">
        <f t="shared" si="0"/>
        <v>30</v>
      </c>
      <c r="F12" t="str">
        <f>IF(D12 &lt; 10,,"")</f>
        <v/>
      </c>
    </row>
    <row r="13" spans="1:6" x14ac:dyDescent="0.3">
      <c r="B13" t="s">
        <v>1323</v>
      </c>
      <c r="C13" s="52">
        <f>SUMIF(BTS_매출관리!C:C,B13,BTS_매출관리!I:I)</f>
        <v>0</v>
      </c>
      <c r="D13">
        <f t="shared" si="0"/>
        <v>37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0</v>
      </c>
      <c r="D14">
        <f t="shared" si="0"/>
        <v>37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1640200</v>
      </c>
      <c r="D15">
        <f t="shared" si="0"/>
        <v>13</v>
      </c>
    </row>
    <row r="16" spans="1:6" x14ac:dyDescent="0.3">
      <c r="B16" t="s">
        <v>2908</v>
      </c>
      <c r="C16" s="52">
        <f>SUMIF(BTS_매출관리!C:C,B16,BTS_매출관리!I:I)</f>
        <v>0</v>
      </c>
      <c r="D16">
        <f t="shared" si="0"/>
        <v>37</v>
      </c>
    </row>
    <row r="17" spans="2:4" x14ac:dyDescent="0.3">
      <c r="B17" t="s">
        <v>2548</v>
      </c>
      <c r="C17" s="52">
        <f>SUMIF(BTS_매출관리!C:C,B17,BTS_매출관리!I:I)</f>
        <v>2820000</v>
      </c>
      <c r="D17">
        <f t="shared" si="0"/>
        <v>4</v>
      </c>
    </row>
    <row r="18" spans="2:4" x14ac:dyDescent="0.3">
      <c r="B18" t="s">
        <v>1376</v>
      </c>
      <c r="C18" s="52">
        <f>SUMIF(BTS_매출관리!C:C,B18,BTS_매출관리!I:I)</f>
        <v>0</v>
      </c>
      <c r="D18">
        <f t="shared" si="0"/>
        <v>37</v>
      </c>
    </row>
    <row r="19" spans="2:4" x14ac:dyDescent="0.3">
      <c r="B19" t="s">
        <v>2884</v>
      </c>
      <c r="C19" s="52">
        <f>SUMIF(BTS_매출관리!C:C,B19,BTS_매출관리!I:I)</f>
        <v>0</v>
      </c>
      <c r="D19">
        <f t="shared" si="0"/>
        <v>37</v>
      </c>
    </row>
    <row r="20" spans="2:4" x14ac:dyDescent="0.3">
      <c r="B20" t="s">
        <v>2874</v>
      </c>
      <c r="C20" s="52">
        <f>SUMIF(BTS_매출관리!C:C,B20,BTS_매출관리!I:I)</f>
        <v>0</v>
      </c>
      <c r="D20">
        <f t="shared" si="0"/>
        <v>37</v>
      </c>
    </row>
    <row r="21" spans="2:4" x14ac:dyDescent="0.3">
      <c r="B21" t="s">
        <v>1520</v>
      </c>
      <c r="C21" s="52">
        <f>SUMIF(BTS_매출관리!C:C,B21,BTS_매출관리!I:I)</f>
        <v>0</v>
      </c>
      <c r="D21">
        <f t="shared" si="0"/>
        <v>37</v>
      </c>
    </row>
    <row r="22" spans="2:4" x14ac:dyDescent="0.3">
      <c r="B22" t="s">
        <v>1352</v>
      </c>
      <c r="C22" s="52">
        <f>SUMIF(BTS_매출관리!C:C,B22,BTS_매출관리!I:I)</f>
        <v>1000000</v>
      </c>
      <c r="D22">
        <f t="shared" si="0"/>
        <v>26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14</v>
      </c>
    </row>
    <row r="24" spans="2:4" x14ac:dyDescent="0.3">
      <c r="B24" t="s">
        <v>1035</v>
      </c>
      <c r="C24" s="52">
        <f>SUMIF(BTS_매출관리!C:C,B24,BTS_매출관리!I:I)</f>
        <v>670000</v>
      </c>
      <c r="D24">
        <f t="shared" si="0"/>
        <v>31</v>
      </c>
    </row>
    <row r="25" spans="2:4" x14ac:dyDescent="0.3">
      <c r="B25" t="s">
        <v>1384</v>
      </c>
      <c r="C25" s="52">
        <f>SUMIF(BTS_매출관리!C:C,B25,BTS_매출관리!I:I)</f>
        <v>2029500</v>
      </c>
      <c r="D25">
        <f t="shared" si="0"/>
        <v>6</v>
      </c>
    </row>
    <row r="26" spans="2:4" x14ac:dyDescent="0.3">
      <c r="B26" t="s">
        <v>1359</v>
      </c>
      <c r="C26" s="52">
        <f>SUMIF(BTS_매출관리!C:C,B26,BTS_매출관리!I:I)</f>
        <v>0</v>
      </c>
      <c r="D26">
        <f t="shared" si="0"/>
        <v>37</v>
      </c>
    </row>
    <row r="27" spans="2:4" x14ac:dyDescent="0.3">
      <c r="B27" t="s">
        <v>2869</v>
      </c>
      <c r="C27" s="52">
        <f>SUMIF(BTS_매출관리!C:C,B27,BTS_매출관리!I:I)</f>
        <v>0</v>
      </c>
      <c r="D27">
        <f t="shared" si="0"/>
        <v>37</v>
      </c>
    </row>
    <row r="28" spans="2:4" x14ac:dyDescent="0.3">
      <c r="B28" t="s">
        <v>2854</v>
      </c>
      <c r="C28" s="52">
        <f>SUMIF(BTS_매출관리!C:C,B28,BTS_매출관리!I:I)</f>
        <v>0</v>
      </c>
      <c r="D28">
        <f t="shared" si="0"/>
        <v>37</v>
      </c>
    </row>
    <row r="29" spans="2:4" x14ac:dyDescent="0.3">
      <c r="B29" t="s">
        <v>1186</v>
      </c>
      <c r="C29" s="52">
        <f>SUMIF(BTS_매출관리!C:C,B29,BTS_매출관리!I:I)</f>
        <v>0</v>
      </c>
      <c r="D29">
        <f t="shared" si="0"/>
        <v>37</v>
      </c>
    </row>
    <row r="30" spans="2:4" x14ac:dyDescent="0.3">
      <c r="B30" t="s">
        <v>1332</v>
      </c>
      <c r="C30" s="52">
        <f>SUMIF(BTS_매출관리!C:C,B30,BTS_매출관리!I:I)</f>
        <v>0</v>
      </c>
      <c r="D30">
        <f t="shared" si="0"/>
        <v>37</v>
      </c>
    </row>
    <row r="31" spans="2:4" x14ac:dyDescent="0.3">
      <c r="B31" t="s">
        <v>1365</v>
      </c>
      <c r="C31" s="52">
        <f>SUMIF(BTS_매출관리!C:C,B31,BTS_매출관리!I:I)</f>
        <v>1000000</v>
      </c>
      <c r="D31">
        <f t="shared" si="0"/>
        <v>26</v>
      </c>
    </row>
    <row r="32" spans="2:4" x14ac:dyDescent="0.3">
      <c r="B32" t="s">
        <v>2928</v>
      </c>
      <c r="C32" s="52">
        <f>SUMIF(BTS_매출관리!C:C,B32,BTS_매출관리!I:I)</f>
        <v>0</v>
      </c>
      <c r="D32">
        <f t="shared" si="0"/>
        <v>37</v>
      </c>
    </row>
    <row r="33" spans="2:4" x14ac:dyDescent="0.3">
      <c r="B33" t="s">
        <v>1315</v>
      </c>
      <c r="C33" s="52">
        <f>SUMIF(BTS_매출관리!C:C,B33,BTS_매출관리!I:I)</f>
        <v>350000</v>
      </c>
      <c r="D33">
        <f t="shared" si="0"/>
        <v>35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37</v>
      </c>
    </row>
    <row r="35" spans="2:4" x14ac:dyDescent="0.3">
      <c r="B35" t="s">
        <v>1387</v>
      </c>
      <c r="C35" s="52">
        <f>SUMIF(BTS_매출관리!C:C,B35,BTS_매출관리!I:I)</f>
        <v>0</v>
      </c>
      <c r="D35">
        <f t="shared" si="0"/>
        <v>37</v>
      </c>
    </row>
    <row r="36" spans="2:4" x14ac:dyDescent="0.3">
      <c r="B36" t="s">
        <v>2843</v>
      </c>
      <c r="C36" s="52">
        <f>SUMIF(BTS_매출관리!C:C,B36,BTS_매출관리!I:I)</f>
        <v>0</v>
      </c>
      <c r="D36">
        <f t="shared" si="0"/>
        <v>37</v>
      </c>
    </row>
    <row r="37" spans="2:4" x14ac:dyDescent="0.3">
      <c r="B37" t="s">
        <v>2308</v>
      </c>
      <c r="C37" s="52">
        <f>SUMIF(BTS_매출관리!C:C,B37,BTS_매출관리!I:I)</f>
        <v>0</v>
      </c>
      <c r="D37">
        <f t="shared" si="0"/>
        <v>37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37</v>
      </c>
    </row>
    <row r="39" spans="2:4" x14ac:dyDescent="0.3">
      <c r="B39" t="s">
        <v>1027</v>
      </c>
      <c r="C39" s="52">
        <f>SUMIF(BTS_매출관리!C:C,B39,BTS_매출관리!I:I)</f>
        <v>925000</v>
      </c>
      <c r="D39">
        <f t="shared" si="0"/>
        <v>28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37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37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37</v>
      </c>
    </row>
    <row r="43" spans="2:4" x14ac:dyDescent="0.3">
      <c r="B43" t="s">
        <v>1307</v>
      </c>
      <c r="C43" s="52">
        <f>SUMIF(BTS_매출관리!C:C,B43,BTS_매출관리!I:I)</f>
        <v>1345000</v>
      </c>
      <c r="D43">
        <f t="shared" si="0"/>
        <v>20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37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37</v>
      </c>
    </row>
    <row r="46" spans="2:4" x14ac:dyDescent="0.3">
      <c r="B46" t="s">
        <v>2418</v>
      </c>
      <c r="C46" s="52">
        <f>SUMIF(BTS_매출관리!C:C,B46,BTS_매출관리!I:I)</f>
        <v>1650000</v>
      </c>
      <c r="D46">
        <f t="shared" si="0"/>
        <v>10</v>
      </c>
    </row>
    <row r="47" spans="2:4" x14ac:dyDescent="0.3">
      <c r="B47" t="s">
        <v>1044</v>
      </c>
      <c r="C47" s="52">
        <f>SUMIF(BTS_매출관리!C:C,B47,BTS_매출관리!I:I)</f>
        <v>1397000</v>
      </c>
      <c r="D47">
        <f t="shared" si="0"/>
        <v>18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37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37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37</v>
      </c>
    </row>
    <row r="51" spans="2:4" x14ac:dyDescent="0.3">
      <c r="B51" t="s">
        <v>1372</v>
      </c>
      <c r="C51" s="52">
        <f>SUMIF(BTS_매출관리!C:C,B51,BTS_매출관리!I:I)</f>
        <v>4500000</v>
      </c>
      <c r="D51">
        <f t="shared" si="0"/>
        <v>2</v>
      </c>
    </row>
    <row r="52" spans="2:4" x14ac:dyDescent="0.3">
      <c r="B52" t="s">
        <v>1327</v>
      </c>
      <c r="C52" s="52">
        <f>SUMIF(BTS_매출관리!C:C,B52,BTS_매출관리!I:I)</f>
        <v>1300000</v>
      </c>
      <c r="D52">
        <f t="shared" si="0"/>
        <v>22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37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37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37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37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37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37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37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37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37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37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37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37</v>
      </c>
    </row>
    <row r="65" spans="2:4" x14ac:dyDescent="0.3">
      <c r="B65" t="s">
        <v>1604</v>
      </c>
      <c r="C65" s="52">
        <f>SUMIF(BTS_매출관리!C:C,B65,BTS_매출관리!I:I)</f>
        <v>1650000</v>
      </c>
      <c r="D65">
        <f t="shared" si="0"/>
        <v>10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37</v>
      </c>
    </row>
    <row r="67" spans="2:4" x14ac:dyDescent="0.3">
      <c r="B67" t="s">
        <v>1380</v>
      </c>
      <c r="C67" s="52">
        <f>SUMIF(BTS_매출관리!C:C,B67,BTS_매출관리!I:I)</f>
        <v>722000</v>
      </c>
      <c r="D67">
        <f t="shared" si="1"/>
        <v>29</v>
      </c>
    </row>
    <row r="68" spans="2:4" x14ac:dyDescent="0.3">
      <c r="B68" t="s">
        <v>1314</v>
      </c>
      <c r="C68" s="52">
        <f>SUMIF(BTS_매출관리!C:C,B68,BTS_매출관리!I:I)</f>
        <v>1320000</v>
      </c>
      <c r="D68">
        <f t="shared" si="1"/>
        <v>21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37</v>
      </c>
    </row>
    <row r="70" spans="2:4" x14ac:dyDescent="0.3">
      <c r="B70" t="s">
        <v>1357</v>
      </c>
      <c r="C70" s="52">
        <f>SUMIF(BTS_매출관리!C:C,B70,BTS_매출관리!I:I)</f>
        <v>2750000</v>
      </c>
      <c r="D70">
        <f t="shared" si="1"/>
        <v>5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37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37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37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37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37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37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37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37</v>
      </c>
    </row>
    <row r="79" spans="2:4" x14ac:dyDescent="0.3">
      <c r="B79" t="s">
        <v>1259</v>
      </c>
      <c r="C79" s="52">
        <f>SUMIF(BTS_매출관리!C:C,B79,BTS_매출관리!I:I)</f>
        <v>1100000</v>
      </c>
      <c r="D79">
        <f t="shared" si="1"/>
        <v>24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37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37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37</v>
      </c>
    </row>
    <row r="83" spans="2:4" x14ac:dyDescent="0.3">
      <c r="B83" t="s">
        <v>1390</v>
      </c>
      <c r="C83" s="52">
        <f>SUMIF(BTS_매출관리!C:C,B83,BTS_매출관리!I:I)</f>
        <v>0</v>
      </c>
      <c r="D83">
        <f t="shared" si="1"/>
        <v>37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37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37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37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37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37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37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37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37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37</v>
      </c>
    </row>
    <row r="93" spans="2:4" x14ac:dyDescent="0.3">
      <c r="B93" t="s">
        <v>2194</v>
      </c>
      <c r="C93" s="52">
        <f>SUMIF(BTS_매출관리!C:C,B93,BTS_매출관리!I:I)</f>
        <v>150000</v>
      </c>
      <c r="D93">
        <f t="shared" si="1"/>
        <v>36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37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37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37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37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37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37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37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37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37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37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37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37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37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37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37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37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37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37</v>
      </c>
    </row>
    <row r="112" spans="2:4" x14ac:dyDescent="0.3">
      <c r="B112" t="s">
        <v>1350</v>
      </c>
      <c r="C112" s="52">
        <f>SUMIF(BTS_매출관리!C:C,B112,BTS_매출관리!I:I)</f>
        <v>0</v>
      </c>
      <c r="D112">
        <f t="shared" si="1"/>
        <v>37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37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37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37</v>
      </c>
    </row>
    <row r="116" spans="2:4" x14ac:dyDescent="0.3">
      <c r="B116" t="s">
        <v>1373</v>
      </c>
      <c r="C116" s="52">
        <f>SUMIF(BTS_매출관리!C:C,B116,BTS_매출관리!I:I)</f>
        <v>1759000</v>
      </c>
      <c r="D116">
        <f t="shared" si="1"/>
        <v>9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37</v>
      </c>
    </row>
    <row r="118" spans="2:4" x14ac:dyDescent="0.3">
      <c r="B118" t="s">
        <v>1309</v>
      </c>
      <c r="C118" s="52">
        <f>SUMIF(BTS_매출관리!C:C,B118,BTS_매출관리!I:I)</f>
        <v>1375000</v>
      </c>
      <c r="D118">
        <f t="shared" si="1"/>
        <v>19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37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37</v>
      </c>
    </row>
    <row r="121" spans="2:4" x14ac:dyDescent="0.3">
      <c r="B121" t="s">
        <v>1265</v>
      </c>
      <c r="C121" s="52">
        <f>SUMIF(BTS_매출관리!C:C,B121,BTS_매출관리!I:I)</f>
        <v>600000</v>
      </c>
      <c r="D121">
        <f t="shared" si="1"/>
        <v>33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37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37</v>
      </c>
    </row>
    <row r="124" spans="2:4" x14ac:dyDescent="0.3">
      <c r="B124" t="s">
        <v>1328</v>
      </c>
      <c r="C124" s="52">
        <f>SUMIF(BTS_매출관리!C:C,B124,BTS_매출관리!I:I)</f>
        <v>370000</v>
      </c>
      <c r="D124">
        <f t="shared" si="1"/>
        <v>34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37</v>
      </c>
    </row>
    <row r="126" spans="2:4" x14ac:dyDescent="0.3">
      <c r="B126" t="s">
        <v>1330</v>
      </c>
      <c r="C126" s="52">
        <f>SUMIF(BTS_매출관리!C:C,B126,BTS_매출관리!I:I)</f>
        <v>1500000</v>
      </c>
      <c r="D126">
        <f t="shared" si="1"/>
        <v>16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37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37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37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37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37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37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37</v>
      </c>
    </row>
    <row r="134" spans="2:4" x14ac:dyDescent="0.3">
      <c r="B134" t="s">
        <v>1347</v>
      </c>
      <c r="C134" s="52">
        <f>SUMIF(BTS_매출관리!C:C,B134,BTS_매출관리!I:I)</f>
        <v>1430000</v>
      </c>
      <c r="D134">
        <f t="shared" si="2"/>
        <v>17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37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37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37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37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37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37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37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37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37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37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37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37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37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37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37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37</v>
      </c>
    </row>
    <row r="151" spans="2:4" x14ac:dyDescent="0.3">
      <c r="B151" t="s">
        <v>1032</v>
      </c>
      <c r="C151" s="52">
        <f>SUMIF(BTS_매출관리!C:C,B151,BTS_매출관리!I:I)</f>
        <v>1650000</v>
      </c>
      <c r="D151">
        <f t="shared" si="2"/>
        <v>10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37</v>
      </c>
    </row>
    <row r="153" spans="2:4" x14ac:dyDescent="0.3">
      <c r="B153" t="s">
        <v>1391</v>
      </c>
      <c r="C153" s="52">
        <f>SUMIF(BTS_매출관리!C:C,B153,BTS_매출관리!I:I)</f>
        <v>1550000</v>
      </c>
      <c r="D153">
        <f t="shared" si="2"/>
        <v>14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37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37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37</v>
      </c>
    </row>
    <row r="157" spans="2:4" x14ac:dyDescent="0.3">
      <c r="C157" s="52">
        <f>SUMIF(BTS_매출관리!C:C,B157,BTS_매출관리!I:I)</f>
        <v>0</v>
      </c>
      <c r="D157">
        <f t="shared" si="2"/>
        <v>37</v>
      </c>
    </row>
    <row r="158" spans="2:4" x14ac:dyDescent="0.3">
      <c r="C158" s="52">
        <f>SUMIF(BTS_매출관리!C:C,B158,BTS_매출관리!I:I)</f>
        <v>0</v>
      </c>
      <c r="D158">
        <f t="shared" si="2"/>
        <v>37</v>
      </c>
    </row>
    <row r="159" spans="2:4" x14ac:dyDescent="0.3">
      <c r="C159" s="52">
        <f>SUMIF(BTS_매출관리!C:C,B159,BTS_매출관리!I:I)</f>
        <v>0</v>
      </c>
      <c r="D159">
        <f t="shared" si="2"/>
        <v>37</v>
      </c>
    </row>
    <row r="160" spans="2:4" x14ac:dyDescent="0.3">
      <c r="C160" s="52">
        <f>SUMIF(BTS_매출관리!C:C,B160,BTS_매출관리!I:I)</f>
        <v>0</v>
      </c>
      <c r="D160">
        <f t="shared" si="2"/>
        <v>37</v>
      </c>
    </row>
    <row r="161" spans="3:4" x14ac:dyDescent="0.3">
      <c r="C161" s="52">
        <f>SUMIF(BTS_매출관리!C:C,B161,BTS_매출관리!I:I)</f>
        <v>0</v>
      </c>
      <c r="D161">
        <f t="shared" si="2"/>
        <v>37</v>
      </c>
    </row>
    <row r="162" spans="3:4" x14ac:dyDescent="0.3">
      <c r="C162" s="52">
        <f>SUMIF(BTS_매출관리!C:C,B162,BTS_매출관리!I:I)</f>
        <v>0</v>
      </c>
      <c r="D162">
        <f t="shared" si="2"/>
        <v>37</v>
      </c>
    </row>
    <row r="163" spans="3:4" x14ac:dyDescent="0.3">
      <c r="C163" s="52">
        <f>SUMIF(BTS_매출관리!C:C,B163,BTS_매출관리!I:I)</f>
        <v>0</v>
      </c>
      <c r="D163">
        <f t="shared" si="2"/>
        <v>37</v>
      </c>
    </row>
    <row r="164" spans="3:4" x14ac:dyDescent="0.3">
      <c r="C164" s="52">
        <f>SUMIF(BTS_매출관리!C:C,B164,BTS_매출관리!I:I)</f>
        <v>0</v>
      </c>
      <c r="D164">
        <f t="shared" si="2"/>
        <v>37</v>
      </c>
    </row>
    <row r="165" spans="3:4" x14ac:dyDescent="0.3">
      <c r="C165" s="52">
        <f>SUMIF(BTS_매출관리!C:C,B165,BTS_매출관리!I:I)</f>
        <v>0</v>
      </c>
      <c r="D165">
        <f t="shared" si="2"/>
        <v>37</v>
      </c>
    </row>
    <row r="166" spans="3:4" x14ac:dyDescent="0.3">
      <c r="C166" s="52">
        <f>SUMIF(BTS_매출관리!C:C,B166,BTS_매출관리!I:I)</f>
        <v>0</v>
      </c>
      <c r="D166">
        <f t="shared" si="2"/>
        <v>37</v>
      </c>
    </row>
    <row r="167" spans="3:4" x14ac:dyDescent="0.3">
      <c r="C167" s="52">
        <f>SUMIF(BTS_매출관리!C:C,B167,BTS_매출관리!I:I)</f>
        <v>0</v>
      </c>
      <c r="D167">
        <f t="shared" si="2"/>
        <v>37</v>
      </c>
    </row>
    <row r="168" spans="3:4" x14ac:dyDescent="0.3">
      <c r="C168" s="52">
        <f>SUMIF(BTS_매출관리!C:C,B168,BTS_매출관리!I:I)</f>
        <v>0</v>
      </c>
      <c r="D168">
        <f t="shared" si="2"/>
        <v>37</v>
      </c>
    </row>
    <row r="169" spans="3:4" x14ac:dyDescent="0.3">
      <c r="C169" s="52">
        <f>SUMIF(BTS_매출관리!C:C,B169,BTS_매출관리!I:I)</f>
        <v>0</v>
      </c>
      <c r="D169">
        <f t="shared" si="2"/>
        <v>37</v>
      </c>
    </row>
    <row r="170" spans="3:4" x14ac:dyDescent="0.3">
      <c r="C170" s="52">
        <f>SUMIF(BTS_매출관리!C:C,B170,BTS_매출관리!I:I)</f>
        <v>0</v>
      </c>
      <c r="D170">
        <f t="shared" si="2"/>
        <v>37</v>
      </c>
    </row>
    <row r="171" spans="3:4" x14ac:dyDescent="0.3">
      <c r="C171" s="52">
        <f>SUMIF(BTS_매출관리!C:C,B171,BTS_매출관리!I:I)</f>
        <v>0</v>
      </c>
      <c r="D171">
        <f t="shared" si="2"/>
        <v>37</v>
      </c>
    </row>
    <row r="172" spans="3:4" x14ac:dyDescent="0.3">
      <c r="C172" s="52">
        <f>SUMIF(BTS_매출관리!C:C,B172,BTS_매출관리!I:I)</f>
        <v>0</v>
      </c>
      <c r="D172">
        <f t="shared" si="2"/>
        <v>37</v>
      </c>
    </row>
    <row r="173" spans="3:4" x14ac:dyDescent="0.3">
      <c r="C173" s="52">
        <f>SUMIF(BTS_매출관리!C:C,B173,BTS_매출관리!I:I)</f>
        <v>0</v>
      </c>
      <c r="D173">
        <f t="shared" si="2"/>
        <v>37</v>
      </c>
    </row>
    <row r="174" spans="3:4" x14ac:dyDescent="0.3">
      <c r="C174" s="52">
        <f>SUMIF(BTS_매출관리!C:C,B174,BTS_매출관리!I:I)</f>
        <v>0</v>
      </c>
      <c r="D174">
        <f t="shared" si="2"/>
        <v>37</v>
      </c>
    </row>
    <row r="175" spans="3:4" x14ac:dyDescent="0.3">
      <c r="C175" s="52">
        <f>SUMIF(BTS_매출관리!C:C,B175,BTS_매출관리!I:I)</f>
        <v>0</v>
      </c>
      <c r="D175">
        <f t="shared" si="2"/>
        <v>37</v>
      </c>
    </row>
    <row r="176" spans="3:4" x14ac:dyDescent="0.3">
      <c r="C176" s="52">
        <f>SUMIF(BTS_매출관리!C:C,B176,BTS_매출관리!I:I)</f>
        <v>0</v>
      </c>
      <c r="D176">
        <f t="shared" si="2"/>
        <v>37</v>
      </c>
    </row>
    <row r="177" spans="3:4" x14ac:dyDescent="0.3">
      <c r="C177" s="52">
        <f>SUMIF(BTS_매출관리!C:C,B177,BTS_매출관리!I:I)</f>
        <v>0</v>
      </c>
      <c r="D177">
        <f t="shared" si="2"/>
        <v>37</v>
      </c>
    </row>
    <row r="178" spans="3:4" x14ac:dyDescent="0.3">
      <c r="C178" s="52">
        <f>SUMIF(BTS_매출관리!C:C,B178,BTS_매출관리!I:I)</f>
        <v>0</v>
      </c>
      <c r="D178">
        <f t="shared" si="2"/>
        <v>37</v>
      </c>
    </row>
    <row r="179" spans="3:4" x14ac:dyDescent="0.3">
      <c r="C179" s="52">
        <f>SUMIF(BTS_매출관리!C:C,B179,BTS_매출관리!I:I)</f>
        <v>0</v>
      </c>
      <c r="D179">
        <f t="shared" si="2"/>
        <v>37</v>
      </c>
    </row>
    <row r="180" spans="3:4" x14ac:dyDescent="0.3">
      <c r="C180" s="52">
        <f>SUMIF(BTS_매출관리!C:C,B180,BTS_매출관리!I:I)</f>
        <v>0</v>
      </c>
      <c r="D180">
        <f t="shared" si="2"/>
        <v>37</v>
      </c>
    </row>
    <row r="181" spans="3:4" x14ac:dyDescent="0.3">
      <c r="C181" s="52">
        <f>SUMIF(BTS_매출관리!C:C,B181,BTS_매출관리!I:I)</f>
        <v>0</v>
      </c>
      <c r="D181">
        <f t="shared" si="2"/>
        <v>37</v>
      </c>
    </row>
    <row r="182" spans="3:4" x14ac:dyDescent="0.3">
      <c r="C182" s="52">
        <f>SUMIF(BTS_매출관리!C:C,B182,BTS_매출관리!I:I)</f>
        <v>0</v>
      </c>
      <c r="D182">
        <f t="shared" si="2"/>
        <v>37</v>
      </c>
    </row>
    <row r="183" spans="3:4" x14ac:dyDescent="0.3">
      <c r="C183" s="52">
        <f>SUMIF(BTS_매출관리!C:C,B183,BTS_매출관리!I:I)</f>
        <v>0</v>
      </c>
      <c r="D183">
        <f t="shared" si="2"/>
        <v>37</v>
      </c>
    </row>
    <row r="184" spans="3:4" x14ac:dyDescent="0.3">
      <c r="C184" s="52">
        <f>SUMIF(BTS_매출관리!C:C,B184,BTS_매출관리!I:I)</f>
        <v>0</v>
      </c>
      <c r="D184">
        <f t="shared" si="2"/>
        <v>37</v>
      </c>
    </row>
    <row r="185" spans="3:4" x14ac:dyDescent="0.3">
      <c r="C185" s="52">
        <f>SUMIF(BTS_매출관리!C:C,B185,BTS_매출관리!I:I)</f>
        <v>0</v>
      </c>
      <c r="D185">
        <f t="shared" si="2"/>
        <v>37</v>
      </c>
    </row>
    <row r="186" spans="3:4" x14ac:dyDescent="0.3">
      <c r="C186" s="52">
        <f>SUMIF(BTS_매출관리!C:C,B186,BTS_매출관리!I:I)</f>
        <v>0</v>
      </c>
      <c r="D186">
        <f t="shared" si="2"/>
        <v>37</v>
      </c>
    </row>
    <row r="187" spans="3:4" x14ac:dyDescent="0.3">
      <c r="C187" s="52">
        <f>SUMIF(BTS_매출관리!C:C,B187,BTS_매출관리!I:I)</f>
        <v>0</v>
      </c>
      <c r="D187">
        <f t="shared" si="2"/>
        <v>37</v>
      </c>
    </row>
    <row r="188" spans="3:4" x14ac:dyDescent="0.3">
      <c r="C188" s="52">
        <f>SUMIF(BTS_매출관리!C:C,B188,BTS_매출관리!I:I)</f>
        <v>0</v>
      </c>
      <c r="D188">
        <f t="shared" si="2"/>
        <v>37</v>
      </c>
    </row>
    <row r="189" spans="3:4" x14ac:dyDescent="0.3">
      <c r="C189" s="52">
        <f>SUMIF(BTS_매출관리!C:C,B189,BTS_매출관리!I:I)</f>
        <v>0</v>
      </c>
      <c r="D189">
        <f t="shared" si="2"/>
        <v>37</v>
      </c>
    </row>
    <row r="190" spans="3:4" x14ac:dyDescent="0.3">
      <c r="C190" s="52">
        <f>SUMIF(BTS_매출관리!C:C,B190,BTS_매출관리!I:I)</f>
        <v>0</v>
      </c>
      <c r="D190">
        <f t="shared" si="2"/>
        <v>37</v>
      </c>
    </row>
    <row r="191" spans="3:4" x14ac:dyDescent="0.3">
      <c r="C191" s="52">
        <f>SUMIF(BTS_매출관리!C:C,B191,BTS_매출관리!I:I)</f>
        <v>0</v>
      </c>
      <c r="D191">
        <f t="shared" si="2"/>
        <v>37</v>
      </c>
    </row>
    <row r="192" spans="3:4" x14ac:dyDescent="0.3">
      <c r="C192" s="52">
        <f>SUMIF(BTS_매출관리!C:C,B192,BTS_매출관리!I:I)</f>
        <v>0</v>
      </c>
      <c r="D192">
        <f t="shared" si="2"/>
        <v>37</v>
      </c>
    </row>
    <row r="193" spans="3:4" x14ac:dyDescent="0.3">
      <c r="C193" s="52">
        <f>SUMIF(BTS_매출관리!C:C,B193,BTS_매출관리!I:I)</f>
        <v>0</v>
      </c>
      <c r="D193">
        <f t="shared" si="2"/>
        <v>37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37</v>
      </c>
    </row>
    <row r="195" spans="3:4" x14ac:dyDescent="0.3">
      <c r="C195" s="52">
        <f>SUMIF(BTS_매출관리!C:C,B195,BTS_매출관리!I:I)</f>
        <v>0</v>
      </c>
      <c r="D195">
        <f t="shared" si="3"/>
        <v>37</v>
      </c>
    </row>
    <row r="196" spans="3:4" x14ac:dyDescent="0.3">
      <c r="C196" s="52">
        <f>SUMIF(BTS_매출관리!C:C,B196,BTS_매출관리!I:I)</f>
        <v>0</v>
      </c>
      <c r="D196">
        <f t="shared" si="3"/>
        <v>37</v>
      </c>
    </row>
    <row r="197" spans="3:4" x14ac:dyDescent="0.3">
      <c r="C197" s="52">
        <f>SUMIF(BTS_매출관리!C:C,B197,BTS_매출관리!I:I)</f>
        <v>0</v>
      </c>
      <c r="D197">
        <f t="shared" si="3"/>
        <v>37</v>
      </c>
    </row>
    <row r="198" spans="3:4" x14ac:dyDescent="0.3">
      <c r="C198" s="52">
        <f>SUMIF(BTS_매출관리!C:C,B198,BTS_매출관리!I:I)</f>
        <v>0</v>
      </c>
      <c r="D198">
        <f t="shared" si="3"/>
        <v>37</v>
      </c>
    </row>
    <row r="199" spans="3:4" x14ac:dyDescent="0.3">
      <c r="C199" s="52">
        <f>SUMIF(BTS_매출관리!C:C,B199,BTS_매출관리!I:I)</f>
        <v>0</v>
      </c>
      <c r="D199">
        <f t="shared" si="3"/>
        <v>37</v>
      </c>
    </row>
    <row r="200" spans="3:4" x14ac:dyDescent="0.3">
      <c r="C200" s="52">
        <f>SUMIF(BTS_매출관리!C:C,B200,BTS_매출관리!I:I)</f>
        <v>0</v>
      </c>
      <c r="D200">
        <f t="shared" si="3"/>
        <v>37</v>
      </c>
    </row>
    <row r="201" spans="3:4" x14ac:dyDescent="0.3">
      <c r="C201" s="52">
        <f>SUMIF(BTS_매출관리!C:C,B201,BTS_매출관리!I:I)</f>
        <v>0</v>
      </c>
      <c r="D201">
        <f t="shared" si="3"/>
        <v>37</v>
      </c>
    </row>
    <row r="202" spans="3:4" x14ac:dyDescent="0.3">
      <c r="C202" s="52">
        <f>SUMIF(BTS_매출관리!C:C,B202,BTS_매출관리!I:I)</f>
        <v>0</v>
      </c>
      <c r="D202">
        <f t="shared" si="3"/>
        <v>37</v>
      </c>
    </row>
    <row r="203" spans="3:4" x14ac:dyDescent="0.3">
      <c r="C203" s="52">
        <f>SUMIF(BTS_매출관리!C:C,B203,BTS_매출관리!I:I)</f>
        <v>0</v>
      </c>
      <c r="D203">
        <f t="shared" si="3"/>
        <v>37</v>
      </c>
    </row>
    <row r="204" spans="3:4" x14ac:dyDescent="0.3">
      <c r="C204" s="52">
        <f>SUMIF(BTS_매출관리!C:C,B204,BTS_매출관리!I:I)</f>
        <v>0</v>
      </c>
      <c r="D204">
        <f t="shared" si="3"/>
        <v>37</v>
      </c>
    </row>
    <row r="205" spans="3:4" x14ac:dyDescent="0.3">
      <c r="C205" s="52">
        <f>SUMIF(BTS_매출관리!C:C,B205,BTS_매출관리!I:I)</f>
        <v>0</v>
      </c>
      <c r="D205">
        <f t="shared" si="3"/>
        <v>37</v>
      </c>
    </row>
    <row r="206" spans="3:4" x14ac:dyDescent="0.3">
      <c r="C206" s="52">
        <f>SUMIF(BTS_매출관리!C:C,B206,BTS_매출관리!I:I)</f>
        <v>0</v>
      </c>
      <c r="D206">
        <f t="shared" si="3"/>
        <v>37</v>
      </c>
    </row>
    <row r="207" spans="3:4" x14ac:dyDescent="0.3">
      <c r="C207" s="52">
        <f>SUMIF(BTS_매출관리!C:C,B207,BTS_매출관리!I:I)</f>
        <v>0</v>
      </c>
      <c r="D207">
        <f t="shared" si="3"/>
        <v>37</v>
      </c>
    </row>
    <row r="208" spans="3:4" x14ac:dyDescent="0.3">
      <c r="C208" s="52">
        <f>SUMIF(BTS_매출관리!C:C,B208,BTS_매출관리!I:I)</f>
        <v>0</v>
      </c>
      <c r="D208">
        <f t="shared" si="3"/>
        <v>37</v>
      </c>
    </row>
    <row r="209" spans="3:4" x14ac:dyDescent="0.3">
      <c r="C209" s="52">
        <f>SUMIF(BTS_매출관리!C:C,B209,BTS_매출관리!I:I)</f>
        <v>0</v>
      </c>
      <c r="D209">
        <f t="shared" si="3"/>
        <v>37</v>
      </c>
    </row>
    <row r="210" spans="3:4" x14ac:dyDescent="0.3">
      <c r="C210" s="52">
        <f>SUMIF(BTS_매출관리!C:C,B210,BTS_매출관리!I:I)</f>
        <v>0</v>
      </c>
      <c r="D210">
        <f t="shared" si="3"/>
        <v>37</v>
      </c>
    </row>
    <row r="211" spans="3:4" x14ac:dyDescent="0.3">
      <c r="C211" s="52">
        <f>SUMIF(BTS_매출관리!C:C,B211,BTS_매출관리!I:I)</f>
        <v>0</v>
      </c>
      <c r="D211">
        <f t="shared" si="3"/>
        <v>37</v>
      </c>
    </row>
    <row r="212" spans="3:4" x14ac:dyDescent="0.3">
      <c r="C212" s="52">
        <f>SUMIF(BTS_매출관리!C:C,B212,BTS_매출관리!I:I)</f>
        <v>0</v>
      </c>
      <c r="D212">
        <f t="shared" si="3"/>
        <v>37</v>
      </c>
    </row>
    <row r="213" spans="3:4" x14ac:dyDescent="0.3">
      <c r="C213" s="52">
        <f>SUMIF(BTS_매출관리!C:C,B213,BTS_매출관리!I:I)</f>
        <v>0</v>
      </c>
      <c r="D213">
        <f t="shared" si="3"/>
        <v>37</v>
      </c>
    </row>
    <row r="214" spans="3:4" x14ac:dyDescent="0.3">
      <c r="C214" s="52">
        <f>SUMIF(BTS_매출관리!C:C,B214,BTS_매출관리!I:I)</f>
        <v>0</v>
      </c>
      <c r="D214">
        <f t="shared" si="3"/>
        <v>37</v>
      </c>
    </row>
    <row r="215" spans="3:4" x14ac:dyDescent="0.3">
      <c r="C215" s="52">
        <f>SUMIF(BTS_매출관리!C:C,B215,BTS_매출관리!I:I)</f>
        <v>0</v>
      </c>
      <c r="D215">
        <f t="shared" si="3"/>
        <v>37</v>
      </c>
    </row>
    <row r="216" spans="3:4" x14ac:dyDescent="0.3">
      <c r="C216" s="52">
        <f>SUMIF(BTS_매출관리!C:C,B216,BTS_매출관리!I:I)</f>
        <v>0</v>
      </c>
      <c r="D216">
        <f t="shared" si="3"/>
        <v>37</v>
      </c>
    </row>
    <row r="217" spans="3:4" x14ac:dyDescent="0.3">
      <c r="C217" s="52">
        <f>SUMIF(BTS_매출관리!C:C,B217,BTS_매출관리!I:I)</f>
        <v>0</v>
      </c>
      <c r="D217">
        <f t="shared" si="3"/>
        <v>37</v>
      </c>
    </row>
    <row r="218" spans="3:4" x14ac:dyDescent="0.3">
      <c r="C218" s="52">
        <f>SUMIF(BTS_매출관리!C:C,B218,BTS_매출관리!I:I)</f>
        <v>0</v>
      </c>
      <c r="D218">
        <f t="shared" si="3"/>
        <v>37</v>
      </c>
    </row>
    <row r="219" spans="3:4" x14ac:dyDescent="0.3">
      <c r="C219" s="52">
        <f>SUMIF(BTS_매출관리!C:C,B219,BTS_매출관리!I:I)</f>
        <v>0</v>
      </c>
      <c r="D219">
        <f t="shared" si="3"/>
        <v>37</v>
      </c>
    </row>
    <row r="220" spans="3:4" x14ac:dyDescent="0.3">
      <c r="C220" s="52">
        <f>SUMIF(BTS_매출관리!C:C,B220,BTS_매출관리!I:I)</f>
        <v>0</v>
      </c>
      <c r="D220">
        <f t="shared" si="3"/>
        <v>37</v>
      </c>
    </row>
    <row r="221" spans="3:4" x14ac:dyDescent="0.3">
      <c r="C221" s="52">
        <f>SUMIF(BTS_매출관리!C:C,B221,BTS_매출관리!I:I)</f>
        <v>0</v>
      </c>
      <c r="D221">
        <f t="shared" si="3"/>
        <v>37</v>
      </c>
    </row>
    <row r="222" spans="3:4" x14ac:dyDescent="0.3">
      <c r="C222" s="52">
        <f>SUMIF(BTS_매출관리!C:C,B222,BTS_매출관리!I:I)</f>
        <v>0</v>
      </c>
      <c r="D222">
        <f t="shared" si="3"/>
        <v>37</v>
      </c>
    </row>
    <row r="223" spans="3:4" x14ac:dyDescent="0.3">
      <c r="C223" s="52">
        <f>SUMIF(BTS_매출관리!C:C,B223,BTS_매출관리!I:I)</f>
        <v>0</v>
      </c>
      <c r="D223">
        <f t="shared" si="3"/>
        <v>37</v>
      </c>
    </row>
    <row r="224" spans="3:4" x14ac:dyDescent="0.3">
      <c r="C224" s="52">
        <f>SUMIF(BTS_매출관리!C:C,B224,BTS_매출관리!I:I)</f>
        <v>0</v>
      </c>
      <c r="D224">
        <f t="shared" si="3"/>
        <v>37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I64" sqref="I6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41" t="s">
        <v>2</v>
      </c>
      <c r="B1" s="446" t="s">
        <v>2372</v>
      </c>
      <c r="C1" s="444" t="s">
        <v>2604</v>
      </c>
      <c r="D1" s="441" t="s">
        <v>2633</v>
      </c>
      <c r="E1" s="441" t="s">
        <v>40</v>
      </c>
      <c r="F1" s="441" t="s">
        <v>2811</v>
      </c>
      <c r="G1" s="441"/>
      <c r="H1" s="441" t="s">
        <v>2812</v>
      </c>
      <c r="I1" s="441"/>
      <c r="J1" s="441" t="s">
        <v>2813</v>
      </c>
      <c r="K1" s="441"/>
      <c r="L1" s="286"/>
    </row>
    <row r="2" spans="1:15" ht="17.25" thickBot="1" x14ac:dyDescent="0.35">
      <c r="A2" s="442"/>
      <c r="B2" s="447"/>
      <c r="C2" s="445"/>
      <c r="D2" s="442"/>
      <c r="E2" s="442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7" si="0">L3/F3/1.1</f>
        <v>278181.81818181818</v>
      </c>
      <c r="H3" s="290">
        <f t="shared" ref="H3:H67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8" si="3">H4*10%</f>
        <v>2181.8181818181815</v>
      </c>
      <c r="J4" s="261">
        <f t="shared" ref="J4:J68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3207</v>
      </c>
      <c r="D49" s="259" t="s">
        <v>3208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3211</v>
      </c>
      <c r="E51" s="259" t="s">
        <v>2614</v>
      </c>
      <c r="F51" s="296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3209</v>
      </c>
      <c r="D52" s="259" t="s">
        <v>3210</v>
      </c>
      <c r="E52" s="259" t="s">
        <v>2614</v>
      </c>
      <c r="F52" s="296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3211</v>
      </c>
      <c r="E53" s="259" t="s">
        <v>2614</v>
      </c>
      <c r="F53" s="296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3212</v>
      </c>
      <c r="D54" s="259" t="s">
        <v>3213</v>
      </c>
      <c r="E54" s="259" t="s">
        <v>2614</v>
      </c>
      <c r="F54" s="296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>
        <v>45881</v>
      </c>
      <c r="C55" s="259" t="s">
        <v>2619</v>
      </c>
      <c r="D55" s="259" t="s">
        <v>2610</v>
      </c>
      <c r="E55" s="259" t="s">
        <v>2614</v>
      </c>
      <c r="F55" s="296">
        <v>1</v>
      </c>
      <c r="G55" s="260">
        <f t="shared" si="0"/>
        <v>486363.63636363635</v>
      </c>
      <c r="H55" s="261">
        <f t="shared" si="1"/>
        <v>486363.63636363635</v>
      </c>
      <c r="I55" s="261">
        <f t="shared" si="3"/>
        <v>48636.36363636364</v>
      </c>
      <c r="J55" s="261">
        <f t="shared" si="4"/>
        <v>0</v>
      </c>
      <c r="K55" s="261"/>
      <c r="L55" s="262">
        <v>535000</v>
      </c>
    </row>
    <row r="56" spans="1:12" ht="18" customHeight="1" x14ac:dyDescent="0.3">
      <c r="A56" s="258">
        <v>54</v>
      </c>
      <c r="B56" s="264">
        <v>45881</v>
      </c>
      <c r="C56" s="259" t="s">
        <v>2625</v>
      </c>
      <c r="D56" s="259" t="s">
        <v>2622</v>
      </c>
      <c r="E56" s="259" t="s">
        <v>2614</v>
      </c>
      <c r="F56" s="296">
        <v>1</v>
      </c>
      <c r="G56" s="260">
        <f t="shared" si="0"/>
        <v>218727.27272727271</v>
      </c>
      <c r="H56" s="261">
        <f t="shared" si="1"/>
        <v>218727.27272727271</v>
      </c>
      <c r="I56" s="261">
        <f t="shared" si="3"/>
        <v>21872.727272727272</v>
      </c>
      <c r="J56" s="261">
        <f t="shared" si="4"/>
        <v>0</v>
      </c>
      <c r="K56" s="261"/>
      <c r="L56" s="262">
        <v>240600</v>
      </c>
    </row>
    <row r="57" spans="1:12" ht="18" customHeight="1" x14ac:dyDescent="0.3">
      <c r="A57" s="258">
        <v>55</v>
      </c>
      <c r="B57" s="264">
        <v>45881</v>
      </c>
      <c r="C57" s="259" t="s">
        <v>2621</v>
      </c>
      <c r="D57" s="259" t="s">
        <v>2622</v>
      </c>
      <c r="E57" s="259" t="s">
        <v>2614</v>
      </c>
      <c r="F57" s="296">
        <v>1</v>
      </c>
      <c r="G57" s="260">
        <f t="shared" si="0"/>
        <v>22454.545454545452</v>
      </c>
      <c r="H57" s="261">
        <f t="shared" si="1"/>
        <v>22454.545454545452</v>
      </c>
      <c r="I57" s="261">
        <f t="shared" si="3"/>
        <v>2245.4545454545455</v>
      </c>
      <c r="J57" s="261">
        <f t="shared" si="4"/>
        <v>0</v>
      </c>
      <c r="K57" s="261"/>
      <c r="L57" s="262">
        <v>24700</v>
      </c>
    </row>
    <row r="58" spans="1:12" ht="18" customHeight="1" x14ac:dyDescent="0.3">
      <c r="A58" s="258">
        <v>56</v>
      </c>
      <c r="B58" s="264">
        <v>45881</v>
      </c>
      <c r="C58" s="259" t="s">
        <v>2620</v>
      </c>
      <c r="D58" s="259" t="s">
        <v>2610</v>
      </c>
      <c r="E58" s="259" t="s">
        <v>2614</v>
      </c>
      <c r="F58" s="296">
        <v>1</v>
      </c>
      <c r="G58" s="260">
        <f t="shared" si="0"/>
        <v>116363.63636363635</v>
      </c>
      <c r="H58" s="261">
        <f t="shared" si="1"/>
        <v>116363.63636363635</v>
      </c>
      <c r="I58" s="261">
        <f t="shared" si="3"/>
        <v>11636.363636363636</v>
      </c>
      <c r="J58" s="261">
        <f t="shared" si="4"/>
        <v>0</v>
      </c>
      <c r="K58" s="261"/>
      <c r="L58" s="262">
        <v>128000</v>
      </c>
    </row>
    <row r="59" spans="1:12" ht="18" customHeight="1" x14ac:dyDescent="0.3">
      <c r="A59" s="258">
        <v>57</v>
      </c>
      <c r="B59" s="264">
        <v>45881</v>
      </c>
      <c r="C59" s="259" t="s">
        <v>2615</v>
      </c>
      <c r="D59" s="259" t="s">
        <v>2616</v>
      </c>
      <c r="E59" s="259" t="s">
        <v>2614</v>
      </c>
      <c r="F59" s="296">
        <v>1</v>
      </c>
      <c r="G59" s="260">
        <f t="shared" si="0"/>
        <v>61818.181818181816</v>
      </c>
      <c r="H59" s="261">
        <f t="shared" si="1"/>
        <v>61818.181818181816</v>
      </c>
      <c r="I59" s="261">
        <f t="shared" si="3"/>
        <v>6181.818181818182</v>
      </c>
      <c r="J59" s="261">
        <f t="shared" si="4"/>
        <v>0</v>
      </c>
      <c r="K59" s="261">
        <f>J59*10%</f>
        <v>0</v>
      </c>
      <c r="L59" s="262">
        <v>68000</v>
      </c>
    </row>
    <row r="60" spans="1:12" ht="18" customHeight="1" x14ac:dyDescent="0.3">
      <c r="A60" s="258">
        <v>58</v>
      </c>
      <c r="B60" s="264">
        <v>45881</v>
      </c>
      <c r="C60" s="259" t="s">
        <v>2609</v>
      </c>
      <c r="D60" s="259" t="s">
        <v>2610</v>
      </c>
      <c r="E60" s="259" t="s">
        <v>2614</v>
      </c>
      <c r="F60" s="296">
        <v>1</v>
      </c>
      <c r="G60" s="260">
        <f t="shared" si="0"/>
        <v>777272.72727272718</v>
      </c>
      <c r="H60" s="261">
        <f t="shared" si="1"/>
        <v>777272.72727272718</v>
      </c>
      <c r="I60" s="261">
        <f t="shared" si="3"/>
        <v>77727.272727272721</v>
      </c>
      <c r="J60" s="261">
        <f t="shared" si="4"/>
        <v>0</v>
      </c>
      <c r="K60" s="261"/>
      <c r="L60" s="262">
        <v>855000</v>
      </c>
    </row>
    <row r="61" spans="1:12" ht="18" customHeight="1" x14ac:dyDescent="0.3">
      <c r="A61" s="258">
        <v>60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61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62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63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>
        <f>J64*10%</f>
        <v>0</v>
      </c>
      <c r="L64" s="262"/>
    </row>
    <row r="65" spans="1:12" ht="18" customHeight="1" x14ac:dyDescent="0.3">
      <c r="A65" s="258">
        <v>64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/>
      <c r="L65" s="262"/>
    </row>
    <row r="66" spans="1:12" ht="18" customHeight="1" x14ac:dyDescent="0.3">
      <c r="A66" s="258">
        <v>65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66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67</v>
      </c>
      <c r="B68" s="264"/>
      <c r="C68" s="259"/>
      <c r="D68" s="259"/>
      <c r="E68" s="259" t="s">
        <v>2614</v>
      </c>
      <c r="F68" s="260">
        <v>1</v>
      </c>
      <c r="G68" s="260">
        <f t="shared" ref="G68:G131" si="6">L68/F68/1.1</f>
        <v>0</v>
      </c>
      <c r="H68" s="261">
        <f t="shared" ref="H68:H131" si="7">F68*G68</f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68</v>
      </c>
      <c r="B69" s="264"/>
      <c r="C69" s="259"/>
      <c r="D69" s="259"/>
      <c r="E69" s="259" t="s">
        <v>2614</v>
      </c>
      <c r="F69" s="260">
        <v>1</v>
      </c>
      <c r="G69" s="260">
        <f t="shared" si="6"/>
        <v>0</v>
      </c>
      <c r="H69" s="261">
        <f t="shared" si="7"/>
        <v>0</v>
      </c>
      <c r="I69" s="261">
        <f t="shared" ref="I69:I132" si="8">H69*10%</f>
        <v>0</v>
      </c>
      <c r="J69" s="261">
        <f t="shared" ref="J69:J132" si="9">IF(E69="매출",F69*G69,0)</f>
        <v>0</v>
      </c>
      <c r="K69" s="261"/>
      <c r="L69" s="262"/>
    </row>
    <row r="70" spans="1:12" ht="18" customHeight="1" x14ac:dyDescent="0.3">
      <c r="A70" s="258">
        <v>69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si="8"/>
        <v>0</v>
      </c>
      <c r="J70" s="261">
        <f t="shared" si="9"/>
        <v>0</v>
      </c>
      <c r="K70" s="261">
        <f>J70*10%</f>
        <v>0</v>
      </c>
      <c r="L70" s="262"/>
    </row>
    <row r="71" spans="1:12" ht="18" customHeight="1" x14ac:dyDescent="0.3">
      <c r="A71" s="258">
        <v>70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/>
      <c r="L71" s="262"/>
    </row>
    <row r="72" spans="1:12" ht="18" customHeight="1" x14ac:dyDescent="0.3">
      <c r="A72" s="258">
        <v>71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72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73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74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75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>
        <f>J76*10%</f>
        <v>0</v>
      </c>
      <c r="L76" s="262"/>
    </row>
    <row r="77" spans="1:12" ht="18" customHeight="1" x14ac:dyDescent="0.3">
      <c r="A77" s="258">
        <v>76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/>
      <c r="L77" s="262"/>
    </row>
    <row r="78" spans="1:12" ht="18" customHeight="1" x14ac:dyDescent="0.3">
      <c r="A78" s="258">
        <v>77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78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79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80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81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>
        <f>J82*10%</f>
        <v>0</v>
      </c>
      <c r="L82" s="262"/>
    </row>
    <row r="83" spans="1:12" ht="18" customHeight="1" x14ac:dyDescent="0.3">
      <c r="A83" s="258"/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/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>
        <f>J88*10%</f>
        <v>0</v>
      </c>
      <c r="L88" s="262"/>
    </row>
    <row r="89" spans="1:12" ht="18" customHeight="1" x14ac:dyDescent="0.3">
      <c r="A89" s="258"/>
      <c r="B89" s="264"/>
      <c r="C89" s="259"/>
      <c r="D89" s="259"/>
      <c r="E89" s="259" t="s">
        <v>2611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/>
      <c r="L89" s="262"/>
    </row>
    <row r="90" spans="1:12" ht="18" customHeight="1" x14ac:dyDescent="0.3">
      <c r="A90" s="258"/>
      <c r="B90" s="264"/>
      <c r="C90" s="259"/>
      <c r="D90" s="259"/>
      <c r="E90" s="259" t="s">
        <v>2614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>
        <f>J94*10%</f>
        <v>0</v>
      </c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/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>
        <f>J100*10%</f>
        <v>0</v>
      </c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/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>
        <f>J106*10%</f>
        <v>0</v>
      </c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/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>
        <f>J112*10%</f>
        <v>0</v>
      </c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/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>
        <f>J118*10%</f>
        <v>0</v>
      </c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/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>
        <f>J124*10%</f>
        <v>0</v>
      </c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/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>
        <f>J130*10%</f>
        <v>0</v>
      </c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/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ref="G132:G148" si="10">L132/F132/1.1</f>
        <v>0</v>
      </c>
      <c r="H132" s="261">
        <f t="shared" ref="H132:H148" si="11">F132*G132</f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si="10"/>
        <v>0</v>
      </c>
      <c r="H133" s="261">
        <f t="shared" si="11"/>
        <v>0</v>
      </c>
      <c r="I133" s="261">
        <f t="shared" ref="I133:I148" si="12">H133*10%</f>
        <v>0</v>
      </c>
      <c r="J133" s="261">
        <f t="shared" ref="J133:J148" si="13">IF(E133="매출",F133*G133,0)</f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si="12"/>
        <v>0</v>
      </c>
      <c r="J134" s="261">
        <f t="shared" si="13"/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/>
      <c r="F135" s="260"/>
      <c r="G135" s="260" t="e">
        <f t="shared" si="10"/>
        <v>#DIV/0!</v>
      </c>
      <c r="H135" s="261" t="e">
        <f t="shared" si="11"/>
        <v>#DIV/0!</v>
      </c>
      <c r="I135" s="261" t="e">
        <f t="shared" si="12"/>
        <v>#DIV/0!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>
        <f>J136*10%</f>
        <v>0</v>
      </c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/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>
        <f>J142*10%</f>
        <v>0</v>
      </c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/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>
        <f>J148*10%</f>
        <v>0</v>
      </c>
      <c r="L148" s="262"/>
    </row>
    <row r="149" spans="1:12" ht="37.5" customHeight="1" x14ac:dyDescent="0.3">
      <c r="A149" s="258"/>
      <c r="B149" s="443" t="s">
        <v>2632</v>
      </c>
      <c r="C149" s="443"/>
      <c r="D149" s="443"/>
      <c r="E149" s="443"/>
      <c r="F149" s="443"/>
      <c r="G149" s="443"/>
      <c r="H149" s="263" t="e">
        <f>SUM(H3:H148)</f>
        <v>#DIV/0!</v>
      </c>
      <c r="I149" s="263" t="e">
        <f>SUM(I3:I148)</f>
        <v>#DIV/0!</v>
      </c>
      <c r="J149" s="263">
        <f>SUM(J3:J148)</f>
        <v>0</v>
      </c>
      <c r="K149" s="263">
        <f>SUM(K3:K148)</f>
        <v>0</v>
      </c>
      <c r="L149" s="262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8"/>
      <c r="B1" s="299"/>
      <c r="C1" s="299"/>
      <c r="D1" s="299"/>
      <c r="E1" s="299"/>
      <c r="F1" s="299"/>
      <c r="G1" s="29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00" t="s">
        <v>1226</v>
      </c>
      <c r="R1" s="300"/>
      <c r="S1" s="301"/>
      <c r="T1" s="301"/>
      <c r="U1" s="302"/>
    </row>
    <row r="2" spans="1:21" x14ac:dyDescent="0.3">
      <c r="A2" s="303" t="s">
        <v>70</v>
      </c>
      <c r="B2" s="304"/>
      <c r="C2" s="305" t="s">
        <v>2271</v>
      </c>
      <c r="D2" s="306"/>
      <c r="E2" s="306"/>
      <c r="F2" s="306"/>
      <c r="G2" s="307"/>
      <c r="H2" s="305" t="s">
        <v>81</v>
      </c>
      <c r="I2" s="306"/>
      <c r="J2" s="306"/>
      <c r="K2" s="306"/>
      <c r="L2" s="306"/>
      <c r="M2" s="306"/>
      <c r="N2" s="306"/>
      <c r="O2" s="307"/>
      <c r="P2" s="308" t="s">
        <v>68</v>
      </c>
      <c r="Q2" s="309"/>
      <c r="R2" s="309"/>
      <c r="S2" s="304"/>
      <c r="T2" s="310">
        <v>45804</v>
      </c>
      <c r="U2" s="311"/>
    </row>
    <row r="3" spans="1:21" ht="24" customHeight="1" x14ac:dyDescent="0.3">
      <c r="A3" s="321" t="s">
        <v>1194</v>
      </c>
      <c r="B3" s="37" t="s">
        <v>64</v>
      </c>
      <c r="C3" s="479" t="s">
        <v>1573</v>
      </c>
      <c r="D3" s="480"/>
      <c r="E3" s="480"/>
      <c r="F3" s="480"/>
      <c r="G3" s="480"/>
      <c r="H3" s="480"/>
      <c r="I3" s="480"/>
      <c r="J3" s="481"/>
      <c r="K3" s="327" t="s">
        <v>1195</v>
      </c>
      <c r="L3" s="37" t="s">
        <v>64</v>
      </c>
      <c r="M3" s="476" t="s">
        <v>970</v>
      </c>
      <c r="N3" s="477"/>
      <c r="O3" s="477"/>
      <c r="P3" s="477"/>
      <c r="Q3" s="477"/>
      <c r="R3" s="477"/>
      <c r="S3" s="477"/>
      <c r="T3" s="477"/>
      <c r="U3" s="478"/>
    </row>
    <row r="4" spans="1:21" ht="24.95" customHeight="1" x14ac:dyDescent="0.3">
      <c r="A4" s="322"/>
      <c r="B4" s="37" t="s">
        <v>66</v>
      </c>
      <c r="C4" s="333"/>
      <c r="D4" s="334"/>
      <c r="E4" s="334"/>
      <c r="F4" s="334"/>
      <c r="G4" s="334"/>
      <c r="H4" s="334"/>
      <c r="I4" s="334"/>
      <c r="J4" s="335"/>
      <c r="K4" s="328"/>
      <c r="L4" s="37" t="s">
        <v>66</v>
      </c>
      <c r="M4" s="312" t="s">
        <v>968</v>
      </c>
      <c r="N4" s="313"/>
      <c r="O4" s="313"/>
      <c r="P4" s="313"/>
      <c r="Q4" s="313"/>
      <c r="R4" s="314"/>
      <c r="S4" s="38" t="s">
        <v>67</v>
      </c>
      <c r="T4" s="482" t="s">
        <v>78</v>
      </c>
      <c r="U4" s="483"/>
    </row>
    <row r="5" spans="1:21" ht="15.75" customHeight="1" x14ac:dyDescent="0.3">
      <c r="A5" s="322"/>
      <c r="B5" s="38" t="s">
        <v>65</v>
      </c>
      <c r="C5" s="312" t="s">
        <v>1111</v>
      </c>
      <c r="D5" s="313"/>
      <c r="E5" s="313"/>
      <c r="F5" s="313"/>
      <c r="G5" s="313"/>
      <c r="H5" s="313"/>
      <c r="I5" s="313"/>
      <c r="J5" s="314"/>
      <c r="K5" s="328"/>
      <c r="L5" s="38" t="s">
        <v>65</v>
      </c>
      <c r="M5" s="312" t="s">
        <v>79</v>
      </c>
      <c r="N5" s="313"/>
      <c r="O5" s="313"/>
      <c r="P5" s="313"/>
      <c r="Q5" s="313"/>
      <c r="R5" s="313"/>
      <c r="S5" s="313"/>
      <c r="T5" s="313"/>
      <c r="U5" s="315"/>
    </row>
    <row r="6" spans="1:21" ht="15.75" customHeight="1" x14ac:dyDescent="0.3">
      <c r="A6" s="323"/>
      <c r="B6" s="38" t="s">
        <v>80</v>
      </c>
      <c r="C6" s="312" t="s">
        <v>1110</v>
      </c>
      <c r="D6" s="313"/>
      <c r="E6" s="313"/>
      <c r="F6" s="313"/>
      <c r="G6" s="313"/>
      <c r="H6" s="313"/>
      <c r="I6" s="313"/>
      <c r="J6" s="314"/>
      <c r="K6" s="329"/>
      <c r="L6" s="38" t="s">
        <v>80</v>
      </c>
      <c r="M6" s="312" t="s">
        <v>71</v>
      </c>
      <c r="N6" s="313"/>
      <c r="O6" s="313"/>
      <c r="P6" s="313"/>
      <c r="Q6" s="313"/>
      <c r="R6" s="314"/>
      <c r="S6" s="38" t="s">
        <v>26</v>
      </c>
      <c r="T6" s="312" t="s">
        <v>980</v>
      </c>
      <c r="U6" s="315"/>
    </row>
    <row r="7" spans="1:21" ht="15.75" customHeight="1" x14ac:dyDescent="0.3">
      <c r="A7" s="316" t="s">
        <v>75</v>
      </c>
      <c r="B7" s="317"/>
      <c r="C7" s="317"/>
      <c r="D7" s="317"/>
      <c r="E7" s="318"/>
      <c r="F7" s="319" t="s">
        <v>83</v>
      </c>
      <c r="G7" s="317"/>
      <c r="H7" s="317"/>
      <c r="I7" s="318"/>
      <c r="J7" s="319" t="s">
        <v>72</v>
      </c>
      <c r="K7" s="318"/>
      <c r="L7" s="319" t="s">
        <v>46</v>
      </c>
      <c r="M7" s="317"/>
      <c r="N7" s="317"/>
      <c r="O7" s="317"/>
      <c r="P7" s="318"/>
      <c r="Q7" s="319" t="s">
        <v>73</v>
      </c>
      <c r="R7" s="317"/>
      <c r="S7" s="318"/>
      <c r="T7" s="319" t="s">
        <v>74</v>
      </c>
      <c r="U7" s="320"/>
    </row>
    <row r="8" spans="1:21" ht="15" customHeight="1" x14ac:dyDescent="0.3">
      <c r="A8" s="484" t="s">
        <v>1158</v>
      </c>
      <c r="B8" s="485"/>
      <c r="C8" s="485"/>
      <c r="D8" s="485"/>
      <c r="E8" s="486"/>
      <c r="F8" s="487"/>
      <c r="G8" s="485"/>
      <c r="H8" s="485"/>
      <c r="I8" s="486"/>
      <c r="J8" s="348">
        <v>1</v>
      </c>
      <c r="K8" s="347"/>
      <c r="L8" s="466">
        <v>1000000</v>
      </c>
      <c r="M8" s="467"/>
      <c r="N8" s="467"/>
      <c r="O8" s="467"/>
      <c r="P8" s="468"/>
      <c r="Q8" s="466">
        <v>1000000</v>
      </c>
      <c r="R8" s="467"/>
      <c r="S8" s="468"/>
      <c r="T8" s="352"/>
      <c r="U8" s="353"/>
    </row>
    <row r="9" spans="1:21" ht="15" customHeight="1" x14ac:dyDescent="0.3">
      <c r="A9" s="469"/>
      <c r="B9" s="470"/>
      <c r="C9" s="470"/>
      <c r="D9" s="470"/>
      <c r="E9" s="471"/>
      <c r="F9" s="472"/>
      <c r="G9" s="470"/>
      <c r="H9" s="470"/>
      <c r="I9" s="471"/>
      <c r="J9" s="339"/>
      <c r="K9" s="338"/>
      <c r="L9" s="473"/>
      <c r="M9" s="474"/>
      <c r="N9" s="474"/>
      <c r="O9" s="474"/>
      <c r="P9" s="475"/>
      <c r="Q9" s="473"/>
      <c r="R9" s="474"/>
      <c r="S9" s="475"/>
      <c r="T9" s="343"/>
      <c r="U9" s="344"/>
    </row>
    <row r="10" spans="1:21" ht="15" customHeight="1" x14ac:dyDescent="0.3">
      <c r="A10" s="469"/>
      <c r="B10" s="470"/>
      <c r="C10" s="470"/>
      <c r="D10" s="470"/>
      <c r="E10" s="471"/>
      <c r="F10" s="472"/>
      <c r="G10" s="470"/>
      <c r="H10" s="470"/>
      <c r="I10" s="471"/>
      <c r="J10" s="339"/>
      <c r="K10" s="338"/>
      <c r="L10" s="473"/>
      <c r="M10" s="474"/>
      <c r="N10" s="474"/>
      <c r="O10" s="474"/>
      <c r="P10" s="475"/>
      <c r="Q10" s="473"/>
      <c r="R10" s="474"/>
      <c r="S10" s="475"/>
      <c r="T10" s="343"/>
      <c r="U10" s="344"/>
    </row>
    <row r="11" spans="1:21" ht="15" customHeight="1" x14ac:dyDescent="0.3">
      <c r="A11" s="469"/>
      <c r="B11" s="470"/>
      <c r="C11" s="470"/>
      <c r="D11" s="470"/>
      <c r="E11" s="471"/>
      <c r="F11" s="472"/>
      <c r="G11" s="470"/>
      <c r="H11" s="470"/>
      <c r="I11" s="471"/>
      <c r="J11" s="339"/>
      <c r="K11" s="338"/>
      <c r="L11" s="473"/>
      <c r="M11" s="474"/>
      <c r="N11" s="474"/>
      <c r="O11" s="474"/>
      <c r="P11" s="475"/>
      <c r="Q11" s="473"/>
      <c r="R11" s="474"/>
      <c r="S11" s="475"/>
      <c r="T11" s="343"/>
      <c r="U11" s="344"/>
    </row>
    <row r="12" spans="1:21" ht="15" customHeight="1" x14ac:dyDescent="0.3">
      <c r="A12" s="469"/>
      <c r="B12" s="470"/>
      <c r="C12" s="470"/>
      <c r="D12" s="470"/>
      <c r="E12" s="471"/>
      <c r="F12" s="472"/>
      <c r="G12" s="470"/>
      <c r="H12" s="470"/>
      <c r="I12" s="471"/>
      <c r="J12" s="339"/>
      <c r="K12" s="338"/>
      <c r="L12" s="473"/>
      <c r="M12" s="474"/>
      <c r="N12" s="474"/>
      <c r="O12" s="474"/>
      <c r="P12" s="475"/>
      <c r="Q12" s="473"/>
      <c r="R12" s="474"/>
      <c r="S12" s="475"/>
      <c r="T12" s="343"/>
      <c r="U12" s="344"/>
    </row>
    <row r="13" spans="1:21" ht="15" customHeight="1" x14ac:dyDescent="0.3">
      <c r="A13" s="469"/>
      <c r="B13" s="470"/>
      <c r="C13" s="470"/>
      <c r="D13" s="470"/>
      <c r="E13" s="471"/>
      <c r="F13" s="488"/>
      <c r="G13" s="489"/>
      <c r="H13" s="489"/>
      <c r="I13" s="490"/>
      <c r="J13" s="339"/>
      <c r="K13" s="338"/>
      <c r="L13" s="473"/>
      <c r="M13" s="474"/>
      <c r="N13" s="474"/>
      <c r="O13" s="474"/>
      <c r="P13" s="475"/>
      <c r="Q13" s="473"/>
      <c r="R13" s="474"/>
      <c r="S13" s="475"/>
      <c r="T13" s="343"/>
      <c r="U13" s="344"/>
    </row>
    <row r="14" spans="1:21" ht="15" customHeight="1" x14ac:dyDescent="0.3">
      <c r="A14" s="469"/>
      <c r="B14" s="470"/>
      <c r="C14" s="470"/>
      <c r="D14" s="470"/>
      <c r="E14" s="471"/>
      <c r="F14" s="472"/>
      <c r="G14" s="470"/>
      <c r="H14" s="470"/>
      <c r="I14" s="471"/>
      <c r="J14" s="339"/>
      <c r="K14" s="338"/>
      <c r="L14" s="473"/>
      <c r="M14" s="474"/>
      <c r="N14" s="474"/>
      <c r="O14" s="474"/>
      <c r="P14" s="475"/>
      <c r="Q14" s="473"/>
      <c r="R14" s="474"/>
      <c r="S14" s="475"/>
      <c r="T14" s="343"/>
      <c r="U14" s="344"/>
    </row>
    <row r="15" spans="1:21" ht="15" customHeight="1" x14ac:dyDescent="0.3">
      <c r="A15" s="336"/>
      <c r="B15" s="337"/>
      <c r="C15" s="337"/>
      <c r="D15" s="337"/>
      <c r="E15" s="338"/>
      <c r="F15" s="339"/>
      <c r="G15" s="337"/>
      <c r="H15" s="337"/>
      <c r="I15" s="338"/>
      <c r="J15" s="339"/>
      <c r="K15" s="338"/>
      <c r="L15" s="491"/>
      <c r="M15" s="492"/>
      <c r="N15" s="492"/>
      <c r="O15" s="492"/>
      <c r="P15" s="493"/>
      <c r="Q15" s="491"/>
      <c r="R15" s="492"/>
      <c r="S15" s="493"/>
      <c r="T15" s="343"/>
      <c r="U15" s="344"/>
    </row>
    <row r="16" spans="1:21" ht="15" customHeight="1" x14ac:dyDescent="0.3">
      <c r="A16" s="336"/>
      <c r="B16" s="337"/>
      <c r="C16" s="337"/>
      <c r="D16" s="337"/>
      <c r="E16" s="338"/>
      <c r="F16" s="339"/>
      <c r="G16" s="337"/>
      <c r="H16" s="337"/>
      <c r="I16" s="338"/>
      <c r="J16" s="339"/>
      <c r="K16" s="338"/>
      <c r="L16" s="491"/>
      <c r="M16" s="492"/>
      <c r="N16" s="492"/>
      <c r="O16" s="492"/>
      <c r="P16" s="493"/>
      <c r="Q16" s="491"/>
      <c r="R16" s="492"/>
      <c r="S16" s="493"/>
      <c r="T16" s="343"/>
      <c r="U16" s="344"/>
    </row>
    <row r="17" spans="1:21" ht="15" customHeight="1" x14ac:dyDescent="0.3">
      <c r="A17" s="336"/>
      <c r="B17" s="337"/>
      <c r="C17" s="337"/>
      <c r="D17" s="337"/>
      <c r="E17" s="338"/>
      <c r="F17" s="339"/>
      <c r="G17" s="337"/>
      <c r="H17" s="337"/>
      <c r="I17" s="338"/>
      <c r="J17" s="339"/>
      <c r="K17" s="338"/>
      <c r="L17" s="491"/>
      <c r="M17" s="492"/>
      <c r="N17" s="492"/>
      <c r="O17" s="492"/>
      <c r="P17" s="493"/>
      <c r="Q17" s="491"/>
      <c r="R17" s="492"/>
      <c r="S17" s="493"/>
      <c r="T17" s="343"/>
      <c r="U17" s="344"/>
    </row>
    <row r="18" spans="1:21" ht="15" customHeight="1" x14ac:dyDescent="0.3">
      <c r="A18" s="336"/>
      <c r="B18" s="337"/>
      <c r="C18" s="337"/>
      <c r="D18" s="337"/>
      <c r="E18" s="338"/>
      <c r="F18" s="339"/>
      <c r="G18" s="337"/>
      <c r="H18" s="337"/>
      <c r="I18" s="338"/>
      <c r="J18" s="339"/>
      <c r="K18" s="338"/>
      <c r="L18" s="491"/>
      <c r="M18" s="492"/>
      <c r="N18" s="492"/>
      <c r="O18" s="492"/>
      <c r="P18" s="493"/>
      <c r="Q18" s="491"/>
      <c r="R18" s="492"/>
      <c r="S18" s="493"/>
      <c r="T18" s="343"/>
      <c r="U18" s="344"/>
    </row>
    <row r="19" spans="1:21" ht="15" customHeight="1" x14ac:dyDescent="0.3">
      <c r="A19" s="514"/>
      <c r="B19" s="515"/>
      <c r="C19" s="515"/>
      <c r="D19" s="515"/>
      <c r="E19" s="511"/>
      <c r="F19" s="510"/>
      <c r="G19" s="515"/>
      <c r="H19" s="515"/>
      <c r="I19" s="511"/>
      <c r="J19" s="510"/>
      <c r="K19" s="511"/>
      <c r="L19" s="462"/>
      <c r="M19" s="463"/>
      <c r="N19" s="463"/>
      <c r="O19" s="463"/>
      <c r="P19" s="464"/>
      <c r="Q19" s="462"/>
      <c r="R19" s="463"/>
      <c r="S19" s="464"/>
      <c r="T19" s="512"/>
      <c r="U19" s="513"/>
    </row>
    <row r="20" spans="1:21" x14ac:dyDescent="0.3">
      <c r="A20" s="316" t="s">
        <v>86</v>
      </c>
      <c r="B20" s="317"/>
      <c r="C20" s="317"/>
      <c r="D20" s="317"/>
      <c r="E20" s="317"/>
      <c r="F20" s="393">
        <v>2450000</v>
      </c>
      <c r="G20" s="393"/>
      <c r="H20" s="393"/>
      <c r="I20" s="394"/>
      <c r="J20" s="465">
        <f>SUM(J8:K19)</f>
        <v>1</v>
      </c>
      <c r="K20" s="465"/>
      <c r="L20" s="448" t="s">
        <v>965</v>
      </c>
      <c r="M20" s="449"/>
      <c r="N20" s="449"/>
      <c r="O20" s="449"/>
      <c r="P20" s="450"/>
      <c r="Q20" s="392">
        <f>SUM(Q8:S19)</f>
        <v>1000000</v>
      </c>
      <c r="R20" s="393"/>
      <c r="S20" s="393"/>
      <c r="T20" s="393"/>
      <c r="U20" s="395"/>
    </row>
    <row r="21" spans="1:21" ht="17.25" thickBot="1" x14ac:dyDescent="0.35">
      <c r="A21" s="417" t="s">
        <v>96</v>
      </c>
      <c r="B21" s="418"/>
      <c r="C21" s="418"/>
      <c r="D21" s="418"/>
      <c r="E21" s="418"/>
      <c r="F21" s="419">
        <f>F20+Q20</f>
        <v>3450000</v>
      </c>
      <c r="G21" s="419"/>
      <c r="H21" s="419"/>
      <c r="I21" s="420"/>
      <c r="J21" s="421" t="s">
        <v>971</v>
      </c>
      <c r="K21" s="418"/>
      <c r="L21" s="387" t="str">
        <f>T4</f>
        <v>장효주</v>
      </c>
      <c r="M21" s="387"/>
      <c r="N21" s="387"/>
      <c r="O21" s="421" t="s">
        <v>69</v>
      </c>
      <c r="P21" s="423"/>
      <c r="Q21" s="454" t="str">
        <f>C3</f>
        <v>제이오토(대구)</v>
      </c>
      <c r="R21" s="455"/>
      <c r="S21" s="455"/>
      <c r="T21" s="455"/>
      <c r="U21" s="456"/>
    </row>
    <row r="22" spans="1:21" ht="9" customHeight="1" x14ac:dyDescent="0.3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11.25" customHeight="1" thickBot="1" x14ac:dyDescent="0.35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1:21" ht="24" customHeight="1" thickBot="1" x14ac:dyDescent="0.35">
      <c r="A24" s="507" t="s">
        <v>76</v>
      </c>
      <c r="B24" s="508"/>
      <c r="C24" s="508"/>
      <c r="D24" s="508"/>
      <c r="E24" s="508"/>
      <c r="F24" s="508"/>
      <c r="G24" s="508"/>
      <c r="H24" s="508"/>
      <c r="I24" s="508"/>
      <c r="J24" s="508"/>
      <c r="K24" s="508"/>
      <c r="L24" s="508"/>
      <c r="M24" s="508"/>
      <c r="N24" s="508"/>
      <c r="O24" s="508"/>
      <c r="P24" s="508"/>
      <c r="Q24" s="508"/>
      <c r="R24" s="508"/>
      <c r="S24" s="508"/>
      <c r="T24" s="508"/>
      <c r="U24" s="509"/>
    </row>
    <row r="25" spans="1:21" x14ac:dyDescent="0.3">
      <c r="A25" s="303" t="s">
        <v>70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82</v>
      </c>
      <c r="I25" s="306"/>
      <c r="J25" s="306"/>
      <c r="K25" s="306"/>
      <c r="L25" s="306"/>
      <c r="M25" s="306"/>
      <c r="N25" s="306"/>
      <c r="O25" s="307"/>
      <c r="P25" s="308" t="s">
        <v>68</v>
      </c>
      <c r="Q25" s="309"/>
      <c r="R25" s="309"/>
      <c r="S25" s="304"/>
      <c r="T25" s="310">
        <f>T2</f>
        <v>45804</v>
      </c>
      <c r="U25" s="311"/>
    </row>
    <row r="26" spans="1:21" ht="27" customHeight="1" x14ac:dyDescent="0.3">
      <c r="A26" s="321" t="s">
        <v>1194</v>
      </c>
      <c r="B26" s="37" t="s">
        <v>64</v>
      </c>
      <c r="C26" s="497" t="str">
        <f>C3</f>
        <v>제이오토(대구)</v>
      </c>
      <c r="D26" s="498"/>
      <c r="E26" s="498"/>
      <c r="F26" s="498"/>
      <c r="G26" s="498"/>
      <c r="H26" s="498"/>
      <c r="I26" s="498"/>
      <c r="J26" s="499"/>
      <c r="K26" s="327" t="s">
        <v>1195</v>
      </c>
      <c r="L26" s="37" t="s">
        <v>64</v>
      </c>
      <c r="M26" s="476" t="str">
        <f>M3</f>
        <v>BTS&amp;P</v>
      </c>
      <c r="N26" s="477"/>
      <c r="O26" s="477"/>
      <c r="P26" s="477"/>
      <c r="Q26" s="477"/>
      <c r="R26" s="477"/>
      <c r="S26" s="477"/>
      <c r="T26" s="477"/>
      <c r="U26" s="478"/>
    </row>
    <row r="27" spans="1:21" ht="24.95" customHeight="1" x14ac:dyDescent="0.3">
      <c r="A27" s="322"/>
      <c r="B27" s="37" t="s">
        <v>66</v>
      </c>
      <c r="C27" s="459">
        <f>C4</f>
        <v>0</v>
      </c>
      <c r="D27" s="460"/>
      <c r="E27" s="460"/>
      <c r="F27" s="460"/>
      <c r="G27" s="460"/>
      <c r="H27" s="460"/>
      <c r="I27" s="460"/>
      <c r="J27" s="461"/>
      <c r="K27" s="328"/>
      <c r="L27" s="37" t="s">
        <v>66</v>
      </c>
      <c r="M27" s="312" t="str">
        <f>M4</f>
        <v>259-12-01768</v>
      </c>
      <c r="N27" s="313"/>
      <c r="O27" s="313"/>
      <c r="P27" s="313"/>
      <c r="Q27" s="313"/>
      <c r="R27" s="314"/>
      <c r="S27" s="38" t="s">
        <v>67</v>
      </c>
      <c r="T27" s="482" t="str">
        <f>T4</f>
        <v>장효주</v>
      </c>
      <c r="U27" s="483"/>
    </row>
    <row r="28" spans="1:21" ht="15.75" customHeight="1" x14ac:dyDescent="0.3">
      <c r="A28" s="322"/>
      <c r="B28" s="38" t="s">
        <v>10</v>
      </c>
      <c r="C28" s="312" t="str">
        <f>C5</f>
        <v>대구광역시 서구 가르뱅이로 53</v>
      </c>
      <c r="D28" s="313"/>
      <c r="E28" s="313"/>
      <c r="F28" s="313"/>
      <c r="G28" s="313"/>
      <c r="H28" s="313"/>
      <c r="I28" s="313"/>
      <c r="J28" s="314"/>
      <c r="K28" s="328"/>
      <c r="L28" s="38" t="s">
        <v>10</v>
      </c>
      <c r="M28" s="312" t="str">
        <f>M5</f>
        <v>대구 달서구 용산로 28(본리동)</v>
      </c>
      <c r="N28" s="313"/>
      <c r="O28" s="313"/>
      <c r="P28" s="313"/>
      <c r="Q28" s="313"/>
      <c r="R28" s="313"/>
      <c r="S28" s="313"/>
      <c r="T28" s="313"/>
      <c r="U28" s="315"/>
    </row>
    <row r="29" spans="1:21" ht="15.75" customHeight="1" x14ac:dyDescent="0.3">
      <c r="A29" s="323"/>
      <c r="B29" s="38" t="s">
        <v>80</v>
      </c>
      <c r="C29" s="312" t="str">
        <f>C6</f>
        <v>010-5102-8176</v>
      </c>
      <c r="D29" s="313"/>
      <c r="E29" s="313"/>
      <c r="F29" s="313"/>
      <c r="G29" s="313"/>
      <c r="H29" s="313"/>
      <c r="I29" s="313"/>
      <c r="J29" s="314"/>
      <c r="K29" s="329"/>
      <c r="L29" s="38" t="s">
        <v>80</v>
      </c>
      <c r="M29" s="312" t="str">
        <f>M6</f>
        <v>010-5168-3542</v>
      </c>
      <c r="N29" s="313"/>
      <c r="O29" s="313"/>
      <c r="P29" s="313"/>
      <c r="Q29" s="313"/>
      <c r="R29" s="314"/>
      <c r="S29" s="38" t="s">
        <v>26</v>
      </c>
      <c r="T29" s="312"/>
      <c r="U29" s="315"/>
    </row>
    <row r="30" spans="1:21" ht="15.75" customHeight="1" x14ac:dyDescent="0.3">
      <c r="A30" s="316" t="s">
        <v>75</v>
      </c>
      <c r="B30" s="317"/>
      <c r="C30" s="317"/>
      <c r="D30" s="317"/>
      <c r="E30" s="318"/>
      <c r="F30" s="319" t="s">
        <v>48</v>
      </c>
      <c r="G30" s="317"/>
      <c r="H30" s="317"/>
      <c r="I30" s="318"/>
      <c r="J30" s="319" t="s">
        <v>72</v>
      </c>
      <c r="K30" s="318"/>
      <c r="L30" s="319" t="s">
        <v>46</v>
      </c>
      <c r="M30" s="317"/>
      <c r="N30" s="317"/>
      <c r="O30" s="317"/>
      <c r="P30" s="318"/>
      <c r="Q30" s="319" t="s">
        <v>73</v>
      </c>
      <c r="R30" s="317"/>
      <c r="S30" s="318"/>
      <c r="T30" s="319" t="s">
        <v>74</v>
      </c>
      <c r="U30" s="320"/>
    </row>
    <row r="31" spans="1:21" ht="15" customHeight="1" x14ac:dyDescent="0.3">
      <c r="A31" s="502" t="str">
        <f>A8</f>
        <v>8HP70 VALBEBODY</v>
      </c>
      <c r="B31" s="500"/>
      <c r="C31" s="500"/>
      <c r="D31" s="500"/>
      <c r="E31" s="500"/>
      <c r="F31" s="500">
        <f>F8</f>
        <v>0</v>
      </c>
      <c r="G31" s="500"/>
      <c r="H31" s="500"/>
      <c r="I31" s="500"/>
      <c r="J31" s="500">
        <f>J8</f>
        <v>1</v>
      </c>
      <c r="K31" s="500"/>
      <c r="L31" s="457">
        <f>L8</f>
        <v>1000000</v>
      </c>
      <c r="M31" s="457"/>
      <c r="N31" s="457"/>
      <c r="O31" s="457"/>
      <c r="P31" s="457"/>
      <c r="Q31" s="457">
        <f>Q8</f>
        <v>1000000</v>
      </c>
      <c r="R31" s="457"/>
      <c r="S31" s="457"/>
      <c r="T31" s="500">
        <f>T8</f>
        <v>0</v>
      </c>
      <c r="U31" s="501"/>
    </row>
    <row r="32" spans="1:21" ht="15" customHeight="1" x14ac:dyDescent="0.3">
      <c r="A32" s="496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58">
        <f t="shared" ref="L32:L42" si="3">L9</f>
        <v>0</v>
      </c>
      <c r="M32" s="458"/>
      <c r="N32" s="458"/>
      <c r="O32" s="458"/>
      <c r="P32" s="458"/>
      <c r="Q32" s="458">
        <f t="shared" ref="Q32:Q42" si="4">Q9</f>
        <v>0</v>
      </c>
      <c r="R32" s="458"/>
      <c r="S32" s="458"/>
      <c r="T32" s="494">
        <f t="shared" ref="T32:T42" si="5">T9</f>
        <v>0</v>
      </c>
      <c r="U32" s="495"/>
    </row>
    <row r="33" spans="1:21" ht="15" customHeight="1" x14ac:dyDescent="0.3">
      <c r="A33" s="496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58">
        <f t="shared" si="3"/>
        <v>0</v>
      </c>
      <c r="M33" s="458"/>
      <c r="N33" s="458"/>
      <c r="O33" s="458"/>
      <c r="P33" s="458"/>
      <c r="Q33" s="458">
        <f t="shared" si="4"/>
        <v>0</v>
      </c>
      <c r="R33" s="458"/>
      <c r="S33" s="458"/>
      <c r="T33" s="494">
        <f t="shared" si="5"/>
        <v>0</v>
      </c>
      <c r="U33" s="495"/>
    </row>
    <row r="34" spans="1:21" ht="15" customHeight="1" x14ac:dyDescent="0.3">
      <c r="A34" s="496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58">
        <f t="shared" si="3"/>
        <v>0</v>
      </c>
      <c r="M34" s="458"/>
      <c r="N34" s="458"/>
      <c r="O34" s="458"/>
      <c r="P34" s="458"/>
      <c r="Q34" s="458">
        <f t="shared" si="4"/>
        <v>0</v>
      </c>
      <c r="R34" s="458"/>
      <c r="S34" s="458"/>
      <c r="T34" s="494">
        <f t="shared" si="5"/>
        <v>0</v>
      </c>
      <c r="U34" s="495"/>
    </row>
    <row r="35" spans="1:21" ht="15" customHeight="1" x14ac:dyDescent="0.3">
      <c r="A35" s="496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58">
        <f t="shared" si="3"/>
        <v>0</v>
      </c>
      <c r="M35" s="458"/>
      <c r="N35" s="458"/>
      <c r="O35" s="458"/>
      <c r="P35" s="458"/>
      <c r="Q35" s="458">
        <f t="shared" si="4"/>
        <v>0</v>
      </c>
      <c r="R35" s="458"/>
      <c r="S35" s="458"/>
      <c r="T35" s="494">
        <f t="shared" si="5"/>
        <v>0</v>
      </c>
      <c r="U35" s="495"/>
    </row>
    <row r="36" spans="1:21" ht="15" customHeight="1" x14ac:dyDescent="0.3">
      <c r="A36" s="496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58">
        <f t="shared" si="3"/>
        <v>0</v>
      </c>
      <c r="M36" s="458"/>
      <c r="N36" s="458"/>
      <c r="O36" s="458"/>
      <c r="P36" s="458"/>
      <c r="Q36" s="458">
        <f t="shared" si="4"/>
        <v>0</v>
      </c>
      <c r="R36" s="458"/>
      <c r="S36" s="458"/>
      <c r="T36" s="494">
        <f t="shared" si="5"/>
        <v>0</v>
      </c>
      <c r="U36" s="495"/>
    </row>
    <row r="37" spans="1:21" ht="15" customHeight="1" x14ac:dyDescent="0.3">
      <c r="A37" s="496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58">
        <f t="shared" si="3"/>
        <v>0</v>
      </c>
      <c r="M37" s="458"/>
      <c r="N37" s="458"/>
      <c r="O37" s="458"/>
      <c r="P37" s="458"/>
      <c r="Q37" s="458">
        <f t="shared" si="4"/>
        <v>0</v>
      </c>
      <c r="R37" s="458"/>
      <c r="S37" s="458"/>
      <c r="T37" s="494">
        <f t="shared" si="5"/>
        <v>0</v>
      </c>
      <c r="U37" s="495"/>
    </row>
    <row r="38" spans="1:21" ht="15" customHeight="1" x14ac:dyDescent="0.3">
      <c r="A38" s="496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58">
        <f t="shared" si="3"/>
        <v>0</v>
      </c>
      <c r="M38" s="458"/>
      <c r="N38" s="458"/>
      <c r="O38" s="458"/>
      <c r="P38" s="458"/>
      <c r="Q38" s="458">
        <f t="shared" si="4"/>
        <v>0</v>
      </c>
      <c r="R38" s="458"/>
      <c r="S38" s="458"/>
      <c r="T38" s="494">
        <f t="shared" si="5"/>
        <v>0</v>
      </c>
      <c r="U38" s="495"/>
    </row>
    <row r="39" spans="1:21" ht="15" customHeight="1" x14ac:dyDescent="0.3">
      <c r="A39" s="496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58">
        <f t="shared" si="3"/>
        <v>0</v>
      </c>
      <c r="M39" s="458"/>
      <c r="N39" s="458"/>
      <c r="O39" s="458"/>
      <c r="P39" s="458"/>
      <c r="Q39" s="458">
        <f t="shared" si="4"/>
        <v>0</v>
      </c>
      <c r="R39" s="458"/>
      <c r="S39" s="458"/>
      <c r="T39" s="494">
        <f t="shared" si="5"/>
        <v>0</v>
      </c>
      <c r="U39" s="495"/>
    </row>
    <row r="40" spans="1:21" ht="15" customHeight="1" x14ac:dyDescent="0.3">
      <c r="A40" s="496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58">
        <f t="shared" si="3"/>
        <v>0</v>
      </c>
      <c r="M40" s="458"/>
      <c r="N40" s="458"/>
      <c r="O40" s="458"/>
      <c r="P40" s="458"/>
      <c r="Q40" s="458">
        <f t="shared" si="4"/>
        <v>0</v>
      </c>
      <c r="R40" s="458"/>
      <c r="S40" s="458"/>
      <c r="T40" s="494">
        <f t="shared" si="5"/>
        <v>0</v>
      </c>
      <c r="U40" s="495"/>
    </row>
    <row r="41" spans="1:21" ht="15" customHeight="1" x14ac:dyDescent="0.3">
      <c r="A41" s="496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58">
        <f t="shared" si="3"/>
        <v>0</v>
      </c>
      <c r="M41" s="458"/>
      <c r="N41" s="458"/>
      <c r="O41" s="458"/>
      <c r="P41" s="458"/>
      <c r="Q41" s="458">
        <f t="shared" si="4"/>
        <v>0</v>
      </c>
      <c r="R41" s="458"/>
      <c r="S41" s="458"/>
      <c r="T41" s="494">
        <f t="shared" si="5"/>
        <v>0</v>
      </c>
      <c r="U41" s="495"/>
    </row>
    <row r="42" spans="1:21" ht="15" customHeight="1" x14ac:dyDescent="0.3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 x14ac:dyDescent="0.3">
      <c r="A43" s="316" t="s">
        <v>86</v>
      </c>
      <c r="B43" s="317"/>
      <c r="C43" s="317"/>
      <c r="D43" s="317"/>
      <c r="E43" s="317"/>
      <c r="F43" s="393">
        <f>F20</f>
        <v>2450000</v>
      </c>
      <c r="G43" s="393"/>
      <c r="H43" s="393"/>
      <c r="I43" s="394"/>
      <c r="J43" s="465">
        <f>J20</f>
        <v>1</v>
      </c>
      <c r="K43" s="465"/>
      <c r="L43" s="448" t="s">
        <v>965</v>
      </c>
      <c r="M43" s="449"/>
      <c r="N43" s="449"/>
      <c r="O43" s="449"/>
      <c r="P43" s="450"/>
      <c r="Q43" s="451">
        <f>Q20</f>
        <v>1000000</v>
      </c>
      <c r="R43" s="452"/>
      <c r="S43" s="452"/>
      <c r="T43" s="452"/>
      <c r="U43" s="453"/>
    </row>
    <row r="44" spans="1:21" ht="17.25" thickBot="1" x14ac:dyDescent="0.35">
      <c r="A44" s="417" t="s">
        <v>96</v>
      </c>
      <c r="B44" s="418"/>
      <c r="C44" s="418"/>
      <c r="D44" s="418"/>
      <c r="E44" s="418"/>
      <c r="F44" s="419">
        <f>F21</f>
        <v>3450000</v>
      </c>
      <c r="G44" s="419"/>
      <c r="H44" s="419"/>
      <c r="I44" s="420"/>
      <c r="J44" s="421" t="s">
        <v>971</v>
      </c>
      <c r="K44" s="418"/>
      <c r="L44" s="387" t="str">
        <f>L21</f>
        <v>장효주</v>
      </c>
      <c r="M44" s="387"/>
      <c r="N44" s="387"/>
      <c r="O44" s="421" t="s">
        <v>69</v>
      </c>
      <c r="P44" s="423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86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711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3166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3167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3168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3169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3170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3171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3172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3173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3174</v>
      </c>
    </row>
    <row r="595" spans="1:4" x14ac:dyDescent="0.3">
      <c r="A595">
        <v>619</v>
      </c>
      <c r="B595" s="13">
        <v>45866</v>
      </c>
      <c r="C595" t="s">
        <v>3175</v>
      </c>
      <c r="D595" t="s">
        <v>3178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3179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3180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3181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3182</v>
      </c>
    </row>
    <row r="600" spans="1:4" x14ac:dyDescent="0.3">
      <c r="A600">
        <v>624</v>
      </c>
      <c r="B600" s="13">
        <v>45866</v>
      </c>
      <c r="C600" t="s">
        <v>3183</v>
      </c>
      <c r="D600" t="s">
        <v>3188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3216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3217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3218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3219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3220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3221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3222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3223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3228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3229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3230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3232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3233</v>
      </c>
    </row>
    <row r="614" spans="1:4" x14ac:dyDescent="0.3">
      <c r="A614">
        <v>638</v>
      </c>
      <c r="B614" s="13">
        <v>45868</v>
      </c>
      <c r="C614" t="s">
        <v>3234</v>
      </c>
      <c r="D614" t="s">
        <v>3238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3239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3242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3243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3244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3245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3246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3249</v>
      </c>
    </row>
    <row r="622" spans="1:4" x14ac:dyDescent="0.3">
      <c r="A622">
        <v>646</v>
      </c>
      <c r="B622" s="13">
        <v>45870</v>
      </c>
      <c r="C622" t="s">
        <v>3250</v>
      </c>
      <c r="D622" t="s">
        <v>3251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3252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3253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3257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3258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3259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3260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3261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3262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3264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3265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3266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3267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3269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3270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3271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3272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3285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3286</v>
      </c>
    </row>
    <row r="641" spans="1:4" x14ac:dyDescent="0.3">
      <c r="A641">
        <v>665</v>
      </c>
      <c r="B641" s="13">
        <v>45875</v>
      </c>
      <c r="C641" t="s">
        <v>3279</v>
      </c>
      <c r="D641" t="s">
        <v>3291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3293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3294</v>
      </c>
    </row>
    <row r="644" spans="1:4" x14ac:dyDescent="0.3">
      <c r="A644">
        <v>668</v>
      </c>
      <c r="B644" s="13">
        <v>45875</v>
      </c>
      <c r="C644" t="s">
        <v>3295</v>
      </c>
      <c r="D644" t="s">
        <v>3296</v>
      </c>
    </row>
    <row r="645" spans="1:4" x14ac:dyDescent="0.3">
      <c r="A645">
        <v>669</v>
      </c>
      <c r="B645" s="13">
        <v>45875</v>
      </c>
      <c r="C645" t="s">
        <v>2191</v>
      </c>
      <c r="D645" t="s">
        <v>3297</v>
      </c>
    </row>
    <row r="646" spans="1:4" x14ac:dyDescent="0.3">
      <c r="A646">
        <v>670</v>
      </c>
      <c r="B646" s="13">
        <v>45875</v>
      </c>
      <c r="C646" t="s">
        <v>1610</v>
      </c>
      <c r="D646" t="s">
        <v>3299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3300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3306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3307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3308</v>
      </c>
    </row>
    <row r="651" spans="1:4" x14ac:dyDescent="0.3">
      <c r="A651">
        <v>675</v>
      </c>
      <c r="B651" s="13">
        <v>45877</v>
      </c>
      <c r="C651" t="s">
        <v>3311</v>
      </c>
      <c r="D651" t="s">
        <v>3312</v>
      </c>
    </row>
    <row r="652" spans="1:4" x14ac:dyDescent="0.3">
      <c r="A652">
        <v>676</v>
      </c>
      <c r="B652" s="13">
        <v>45877</v>
      </c>
      <c r="C652" t="s">
        <v>3314</v>
      </c>
      <c r="D652" t="s">
        <v>3318</v>
      </c>
    </row>
    <row r="653" spans="1:4" x14ac:dyDescent="0.3">
      <c r="A653">
        <v>677</v>
      </c>
      <c r="B653" s="13">
        <v>45877</v>
      </c>
      <c r="C653" t="s">
        <v>3311</v>
      </c>
      <c r="D653" t="s">
        <v>3319</v>
      </c>
    </row>
    <row r="654" spans="1:4" x14ac:dyDescent="0.3">
      <c r="A654">
        <v>678</v>
      </c>
      <c r="B654" s="13">
        <v>45877</v>
      </c>
      <c r="C654" t="s">
        <v>3314</v>
      </c>
      <c r="D654" t="s">
        <v>3320</v>
      </c>
    </row>
    <row r="655" spans="1:4" x14ac:dyDescent="0.3">
      <c r="A655">
        <v>679</v>
      </c>
      <c r="B655" s="13">
        <v>45877</v>
      </c>
      <c r="C655" t="s">
        <v>3311</v>
      </c>
      <c r="D655" t="s">
        <v>3321</v>
      </c>
    </row>
    <row r="656" spans="1:4" x14ac:dyDescent="0.3">
      <c r="A656">
        <v>680</v>
      </c>
      <c r="B656" s="13">
        <v>45878</v>
      </c>
      <c r="C656" t="s">
        <v>1027</v>
      </c>
      <c r="D656" t="s">
        <v>3323</v>
      </c>
    </row>
    <row r="657" spans="1:4" x14ac:dyDescent="0.3">
      <c r="A657">
        <v>681</v>
      </c>
      <c r="B657" s="13">
        <v>45878</v>
      </c>
      <c r="C657" t="s">
        <v>3324</v>
      </c>
      <c r="D657" t="s">
        <v>3325</v>
      </c>
    </row>
    <row r="658" spans="1:4" x14ac:dyDescent="0.3">
      <c r="A658">
        <v>682</v>
      </c>
      <c r="B658" s="13">
        <v>45880</v>
      </c>
      <c r="C658" t="s">
        <v>2369</v>
      </c>
      <c r="D658" t="s">
        <v>3326</v>
      </c>
    </row>
    <row r="659" spans="1:4" x14ac:dyDescent="0.3">
      <c r="A659">
        <v>683</v>
      </c>
      <c r="B659" s="13">
        <v>45880</v>
      </c>
      <c r="C659" t="s">
        <v>1781</v>
      </c>
      <c r="D659" t="s">
        <v>3327</v>
      </c>
    </row>
    <row r="660" spans="1:4" x14ac:dyDescent="0.3">
      <c r="A660">
        <v>684</v>
      </c>
      <c r="B660" s="13">
        <v>45880</v>
      </c>
      <c r="C660" t="s">
        <v>1613</v>
      </c>
      <c r="D660" t="s">
        <v>3328</v>
      </c>
    </row>
    <row r="661" spans="1:4" x14ac:dyDescent="0.3">
      <c r="A661">
        <v>685</v>
      </c>
      <c r="B661" t="s">
        <v>3330</v>
      </c>
      <c r="C661" t="s">
        <v>1526</v>
      </c>
      <c r="D661" t="s">
        <v>3331</v>
      </c>
    </row>
    <row r="662" spans="1:4" x14ac:dyDescent="0.3">
      <c r="A662">
        <v>686</v>
      </c>
      <c r="B662" s="13">
        <v>45880</v>
      </c>
      <c r="C662" t="s">
        <v>1431</v>
      </c>
      <c r="D662" t="s">
        <v>3332</v>
      </c>
    </row>
    <row r="663" spans="1:4" x14ac:dyDescent="0.3">
      <c r="A663">
        <v>687</v>
      </c>
      <c r="B663" s="13">
        <v>45880</v>
      </c>
      <c r="C663" t="s">
        <v>1932</v>
      </c>
      <c r="D663" t="s">
        <v>3333</v>
      </c>
    </row>
    <row r="664" spans="1:4" x14ac:dyDescent="0.3">
      <c r="A664">
        <v>688</v>
      </c>
      <c r="B664" s="13">
        <v>45880</v>
      </c>
      <c r="C664" t="s">
        <v>3049</v>
      </c>
      <c r="D664" t="s">
        <v>3334</v>
      </c>
    </row>
    <row r="665" spans="1:4" x14ac:dyDescent="0.3">
      <c r="A665">
        <v>689</v>
      </c>
      <c r="B665" s="13">
        <v>45881</v>
      </c>
      <c r="C665" t="s">
        <v>1499</v>
      </c>
      <c r="D665" t="s">
        <v>3335</v>
      </c>
    </row>
    <row r="666" spans="1:4" x14ac:dyDescent="0.3">
      <c r="A666">
        <v>690</v>
      </c>
      <c r="B666" s="13">
        <v>45881</v>
      </c>
      <c r="C666" t="s">
        <v>1505</v>
      </c>
      <c r="D666" t="s">
        <v>3336</v>
      </c>
    </row>
    <row r="667" spans="1:4" x14ac:dyDescent="0.3">
      <c r="A667">
        <v>691</v>
      </c>
      <c r="B667" s="13">
        <v>45881</v>
      </c>
      <c r="C667" t="s">
        <v>2369</v>
      </c>
      <c r="D667" t="s">
        <v>3337</v>
      </c>
    </row>
    <row r="668" spans="1:4" x14ac:dyDescent="0.3">
      <c r="A668">
        <v>692</v>
      </c>
      <c r="B668" s="13">
        <v>45881</v>
      </c>
      <c r="C668" t="s">
        <v>3144</v>
      </c>
      <c r="D668" t="s">
        <v>3339</v>
      </c>
    </row>
    <row r="669" spans="1:4" x14ac:dyDescent="0.3">
      <c r="A669">
        <v>693</v>
      </c>
      <c r="B669" s="13">
        <v>45882</v>
      </c>
      <c r="C669" t="s">
        <v>1840</v>
      </c>
      <c r="D669" t="s">
        <v>3344</v>
      </c>
    </row>
    <row r="670" spans="1:4" x14ac:dyDescent="0.3">
      <c r="A670">
        <v>694</v>
      </c>
      <c r="B670" s="13">
        <v>45882</v>
      </c>
      <c r="C670" t="s">
        <v>1613</v>
      </c>
      <c r="D670" t="s">
        <v>3345</v>
      </c>
    </row>
    <row r="671" spans="1:4" x14ac:dyDescent="0.3">
      <c r="A671">
        <v>695</v>
      </c>
      <c r="B671" s="13">
        <v>45882</v>
      </c>
      <c r="C671" t="s">
        <v>1431</v>
      </c>
      <c r="D671" t="s">
        <v>3346</v>
      </c>
    </row>
    <row r="672" spans="1:4" x14ac:dyDescent="0.3">
      <c r="A672">
        <v>696</v>
      </c>
      <c r="B672" s="13">
        <v>45882</v>
      </c>
      <c r="C672" t="s">
        <v>1610</v>
      </c>
      <c r="D672" t="s">
        <v>3347</v>
      </c>
    </row>
    <row r="673" spans="1:4" x14ac:dyDescent="0.3">
      <c r="A673">
        <v>697</v>
      </c>
      <c r="B673" s="13">
        <v>45882</v>
      </c>
      <c r="C673" t="s">
        <v>1027</v>
      </c>
      <c r="D673" t="s">
        <v>3348</v>
      </c>
    </row>
    <row r="674" spans="1:4" x14ac:dyDescent="0.3">
      <c r="A674">
        <v>698</v>
      </c>
      <c r="B674" s="13">
        <v>45882</v>
      </c>
      <c r="C674" t="s">
        <v>3352</v>
      </c>
      <c r="D674" t="s">
        <v>3356</v>
      </c>
    </row>
    <row r="675" spans="1:4" x14ac:dyDescent="0.3">
      <c r="A675">
        <v>699</v>
      </c>
      <c r="B675" s="13">
        <v>45882</v>
      </c>
      <c r="C675" t="s">
        <v>3349</v>
      </c>
      <c r="D675" t="s">
        <v>3358</v>
      </c>
    </row>
    <row r="676" spans="1:4" x14ac:dyDescent="0.3">
      <c r="A676">
        <v>700</v>
      </c>
      <c r="B676" s="13">
        <v>45883</v>
      </c>
      <c r="C676" t="s">
        <v>1499</v>
      </c>
      <c r="D676" t="s">
        <v>3359</v>
      </c>
    </row>
    <row r="677" spans="1:4" x14ac:dyDescent="0.3">
      <c r="A677">
        <v>701</v>
      </c>
      <c r="B677" s="13">
        <v>45883</v>
      </c>
      <c r="C677" t="s">
        <v>1511</v>
      </c>
      <c r="D677" t="s">
        <v>3361</v>
      </c>
    </row>
    <row r="678" spans="1:4" x14ac:dyDescent="0.3">
      <c r="A678">
        <v>702</v>
      </c>
      <c r="B678" s="13">
        <v>45883</v>
      </c>
      <c r="C678" t="s">
        <v>994</v>
      </c>
      <c r="D678" t="s">
        <v>3363</v>
      </c>
    </row>
    <row r="679" spans="1:4" x14ac:dyDescent="0.3">
      <c r="A679">
        <v>703</v>
      </c>
      <c r="B679" s="13">
        <v>45883</v>
      </c>
      <c r="C679" t="s">
        <v>1035</v>
      </c>
      <c r="D679" t="s">
        <v>3364</v>
      </c>
    </row>
    <row r="680" spans="1:4" x14ac:dyDescent="0.3">
      <c r="A680">
        <v>704</v>
      </c>
      <c r="B680" s="13">
        <v>45883</v>
      </c>
      <c r="C680" t="s">
        <v>1259</v>
      </c>
      <c r="D680" t="s">
        <v>3366</v>
      </c>
    </row>
    <row r="681" spans="1:4" x14ac:dyDescent="0.3">
      <c r="A681">
        <v>705</v>
      </c>
      <c r="B681" s="13">
        <v>45883</v>
      </c>
      <c r="C681" t="s">
        <v>3367</v>
      </c>
      <c r="D681" t="s">
        <v>3369</v>
      </c>
    </row>
    <row r="682" spans="1:4" x14ac:dyDescent="0.3">
      <c r="A682">
        <v>706</v>
      </c>
      <c r="B682" s="13">
        <v>45883</v>
      </c>
      <c r="C682" t="s">
        <v>2679</v>
      </c>
      <c r="D682" t="s">
        <v>3370</v>
      </c>
    </row>
    <row r="683" spans="1:4" x14ac:dyDescent="0.3">
      <c r="A683">
        <v>707</v>
      </c>
      <c r="B683" s="13">
        <v>45883</v>
      </c>
      <c r="C683" t="s">
        <v>2475</v>
      </c>
      <c r="D683" t="s">
        <v>3371</v>
      </c>
    </row>
    <row r="684" spans="1:4" x14ac:dyDescent="0.3">
      <c r="A684">
        <v>708</v>
      </c>
      <c r="B684" s="13">
        <v>45884</v>
      </c>
      <c r="C684" t="s">
        <v>1481</v>
      </c>
      <c r="D684" t="s">
        <v>3379</v>
      </c>
    </row>
    <row r="685" spans="1:4" x14ac:dyDescent="0.3">
      <c r="A685">
        <v>709</v>
      </c>
      <c r="B685" s="13">
        <v>45884</v>
      </c>
      <c r="C685" t="s">
        <v>1431</v>
      </c>
      <c r="D685" t="s">
        <v>3380</v>
      </c>
    </row>
    <row r="686" spans="1:4" x14ac:dyDescent="0.3">
      <c r="A686">
        <v>710</v>
      </c>
      <c r="B686" s="13">
        <v>45884</v>
      </c>
      <c r="C686" t="s">
        <v>3381</v>
      </c>
      <c r="D686" t="s">
        <v>3389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174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1640199.6000000015</v>
      </c>
      <c r="I2" s="201" t="s">
        <v>3372</v>
      </c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  <c r="I10" s="52" t="s">
        <v>3372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  <c r="I13" s="52" t="s">
        <v>3372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14065000.199999999</v>
      </c>
      <c r="I17" s="52" t="s">
        <v>3372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3240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12507000</v>
      </c>
      <c r="I19" s="52" t="s">
        <v>3372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659999.69999999925</v>
      </c>
      <c r="J20" t="s">
        <v>3373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600000</v>
      </c>
      <c r="I21" s="52" t="s">
        <v>3372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9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8369000</v>
      </c>
      <c r="I37" s="52" t="s">
        <v>3372</v>
      </c>
    </row>
    <row r="38" spans="1:9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  <c r="I38" s="52" t="s">
        <v>3372</v>
      </c>
    </row>
    <row r="39" spans="1:9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  <c r="I54" s="52" t="s">
        <v>3372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690000</v>
      </c>
      <c r="I57" s="52" t="s">
        <v>3372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1000000</v>
      </c>
      <c r="I62" s="52" t="s">
        <v>3372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3372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3247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1000000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0</v>
      </c>
      <c r="I79" s="52" t="s">
        <v>3310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3247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1000000</v>
      </c>
      <c r="I84" s="52" t="s">
        <v>3372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3278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722000.09999999963</v>
      </c>
      <c r="I92" s="52" t="s">
        <v>3372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  <c r="I94" s="52" t="s">
        <v>3372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2029500</v>
      </c>
      <c r="I97" s="52" t="s">
        <v>3372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200000</v>
      </c>
      <c r="I99" s="52" t="s">
        <v>3372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3287</v>
      </c>
      <c r="C107" t="s">
        <v>3288</v>
      </c>
      <c r="E107" t="s">
        <v>3289</v>
      </c>
      <c r="F107" t="s">
        <v>969</v>
      </c>
      <c r="G107" t="s">
        <v>3290</v>
      </c>
      <c r="H107" s="201">
        <f>SUMIF(주문_리스트!C:C,거래처!B107,주문_리스트!K:K)+SUMIF(주문_리스트!C:C,거래처!B107,주문_리스트!L:L)-450000</f>
        <v>670000</v>
      </c>
      <c r="I107" s="52" t="s">
        <v>3372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1650000</v>
      </c>
      <c r="I108" s="52" t="s">
        <v>3372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925000</v>
      </c>
      <c r="I109" s="52" t="s">
        <v>3372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3240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3189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0</v>
      </c>
      <c r="I117" s="52" t="s">
        <v>3343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1876</v>
      </c>
      <c r="C126" t="s">
        <v>3254</v>
      </c>
      <c r="E126" t="s">
        <v>3255</v>
      </c>
      <c r="F126" t="s">
        <v>969</v>
      </c>
      <c r="G126" t="s">
        <v>3256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0</v>
      </c>
      <c r="I132" s="52" t="s">
        <v>3310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3278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3240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3175</v>
      </c>
      <c r="C167" t="s">
        <v>3176</v>
      </c>
      <c r="E167" t="s">
        <v>3177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3183</v>
      </c>
      <c r="C168" t="s">
        <v>3184</v>
      </c>
      <c r="D168" t="s">
        <v>3185</v>
      </c>
      <c r="E168" t="s">
        <v>3186</v>
      </c>
      <c r="F168" t="s">
        <v>983</v>
      </c>
      <c r="G168" t="s">
        <v>3187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3234</v>
      </c>
      <c r="C169" t="s">
        <v>3235</v>
      </c>
      <c r="E169" t="s">
        <v>3236</v>
      </c>
      <c r="F169" t="s">
        <v>983</v>
      </c>
      <c r="G169" t="s">
        <v>3237</v>
      </c>
      <c r="H169" s="201">
        <f>SUMIF(주문_리스트!C:C,거래처!B169,주문_리스트!K:K)+SUMIF(주문_리스트!C:C,거래처!B169,주문_리스트!L:L)</f>
        <v>0</v>
      </c>
      <c r="I169" s="52" t="s">
        <v>3240</v>
      </c>
    </row>
    <row r="170" spans="1:9" x14ac:dyDescent="0.3">
      <c r="A170">
        <v>169</v>
      </c>
      <c r="B170" t="s">
        <v>3279</v>
      </c>
      <c r="C170" t="s">
        <v>3280</v>
      </c>
      <c r="E170" t="s">
        <v>3281</v>
      </c>
      <c r="F170" t="s">
        <v>969</v>
      </c>
      <c r="G170" t="s">
        <v>3282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3314</v>
      </c>
      <c r="C171" t="s">
        <v>3315</v>
      </c>
      <c r="E171" t="s">
        <v>3316</v>
      </c>
      <c r="F171" t="s">
        <v>983</v>
      </c>
      <c r="G171" t="s">
        <v>3317</v>
      </c>
      <c r="H171" s="201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3349</v>
      </c>
      <c r="C172" t="s">
        <v>3350</v>
      </c>
      <c r="E172" t="s">
        <v>3351</v>
      </c>
      <c r="F172" t="s">
        <v>969</v>
      </c>
      <c r="H172" s="201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3353</v>
      </c>
      <c r="C173" t="s">
        <v>3354</v>
      </c>
      <c r="E173" t="s">
        <v>3355</v>
      </c>
      <c r="F173" t="s">
        <v>36</v>
      </c>
      <c r="G173" t="s">
        <v>3360</v>
      </c>
      <c r="H173" s="201">
        <f>SUMIF(주문_리스트!C:C,거래처!B173,주문_리스트!K:K)+SUMIF(주문_리스트!C:C,거래처!B173,주문_리스트!L:L)</f>
        <v>0</v>
      </c>
    </row>
    <row r="174" spans="1:9" x14ac:dyDescent="0.3">
      <c r="A174">
        <v>173</v>
      </c>
      <c r="B174" t="s">
        <v>3381</v>
      </c>
      <c r="C174" t="s">
        <v>3382</v>
      </c>
      <c r="E174" t="s">
        <v>3383</v>
      </c>
      <c r="F174" t="s">
        <v>969</v>
      </c>
      <c r="G174" t="s">
        <v>136</v>
      </c>
      <c r="H174" s="201">
        <f>SUMIF(주문_리스트!C:C,거래처!B174,주문_리스트!K:K)+SUMIF(주문_리스트!C:C,거래처!B174,주문_리스트!L:L)</f>
        <v>856900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8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A218" sqref="A218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218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-22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-11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-10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-60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-75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-32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-11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-3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-15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-32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-15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-6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-4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-13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-17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-50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-75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3231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3283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3292</v>
      </c>
      <c r="F217" s="52">
        <v>110000</v>
      </c>
    </row>
    <row r="218" spans="1:7" x14ac:dyDescent="0.3">
      <c r="A218">
        <v>217</v>
      </c>
      <c r="B218">
        <v>1</v>
      </c>
      <c r="C218" s="198" t="s">
        <v>3329</v>
      </c>
      <c r="D218" s="197" t="s">
        <v>2446</v>
      </c>
      <c r="E218" s="197" t="s">
        <v>3329</v>
      </c>
      <c r="F218" s="52">
        <v>1550000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209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A126">
        <v>125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A127">
        <v>126</v>
      </c>
      <c r="D127" s="197" t="s">
        <v>1964</v>
      </c>
      <c r="F127" s="52">
        <v>1200000</v>
      </c>
    </row>
    <row r="128" spans="1:6" x14ac:dyDescent="0.3">
      <c r="A128">
        <v>127</v>
      </c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1:6" x14ac:dyDescent="0.3">
      <c r="A129">
        <v>128</v>
      </c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1:6" x14ac:dyDescent="0.3">
      <c r="A130">
        <v>129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6" x14ac:dyDescent="0.3">
      <c r="A131">
        <v>130</v>
      </c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1:6" x14ac:dyDescent="0.3">
      <c r="A132">
        <v>131</v>
      </c>
      <c r="D132" s="197" t="s">
        <v>1991</v>
      </c>
      <c r="F132" s="52">
        <v>50000</v>
      </c>
    </row>
    <row r="133" spans="1:6" x14ac:dyDescent="0.3">
      <c r="A133">
        <v>132</v>
      </c>
      <c r="D133" s="197" t="s">
        <v>1997</v>
      </c>
      <c r="F133" s="52">
        <v>1600000</v>
      </c>
    </row>
    <row r="134" spans="1:6" x14ac:dyDescent="0.3">
      <c r="A134">
        <v>133</v>
      </c>
      <c r="D134" s="197" t="s">
        <v>2241</v>
      </c>
      <c r="F134" s="52">
        <v>600000</v>
      </c>
    </row>
    <row r="135" spans="1:6" x14ac:dyDescent="0.3">
      <c r="A135">
        <v>134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6" x14ac:dyDescent="0.3">
      <c r="A136">
        <v>135</v>
      </c>
      <c r="D136" s="197" t="s">
        <v>2024</v>
      </c>
      <c r="F136" s="52">
        <v>150000</v>
      </c>
    </row>
    <row r="137" spans="1:6" x14ac:dyDescent="0.3">
      <c r="A137">
        <v>136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6" x14ac:dyDescent="0.3">
      <c r="A138">
        <v>137</v>
      </c>
      <c r="D138" s="197" t="s">
        <v>2049</v>
      </c>
      <c r="F138" s="52">
        <v>2000000</v>
      </c>
    </row>
    <row r="139" spans="1:6" x14ac:dyDescent="0.3">
      <c r="A139">
        <v>138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6" x14ac:dyDescent="0.3">
      <c r="A140">
        <v>139</v>
      </c>
      <c r="D140" s="197" t="s">
        <v>2068</v>
      </c>
      <c r="F140" s="52">
        <v>84000</v>
      </c>
    </row>
    <row r="141" spans="1:6" x14ac:dyDescent="0.3">
      <c r="A141">
        <v>140</v>
      </c>
      <c r="D141" s="197" t="s">
        <v>2071</v>
      </c>
      <c r="F141" s="52">
        <v>1000000</v>
      </c>
    </row>
    <row r="142" spans="1:6" x14ac:dyDescent="0.3">
      <c r="A142">
        <v>141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6" x14ac:dyDescent="0.3">
      <c r="A143">
        <v>142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6" x14ac:dyDescent="0.3">
      <c r="A144">
        <v>143</v>
      </c>
      <c r="D144" s="197" t="s">
        <v>2088</v>
      </c>
      <c r="F144" s="52">
        <v>900000</v>
      </c>
    </row>
    <row r="145" spans="1:6" x14ac:dyDescent="0.3">
      <c r="A145">
        <v>144</v>
      </c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1:6" x14ac:dyDescent="0.3">
      <c r="A146">
        <v>145</v>
      </c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1:6" x14ac:dyDescent="0.3">
      <c r="A147">
        <v>146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6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6" x14ac:dyDescent="0.3">
      <c r="A149">
        <v>148</v>
      </c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1:6" x14ac:dyDescent="0.3">
      <c r="A150">
        <v>149</v>
      </c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1:6" x14ac:dyDescent="0.3">
      <c r="A151">
        <v>150</v>
      </c>
      <c r="C151" s="198">
        <v>6058008211</v>
      </c>
      <c r="D151" s="197" t="s">
        <v>2082</v>
      </c>
      <c r="E151" s="197">
        <v>6058008211</v>
      </c>
    </row>
    <row r="152" spans="1:6" x14ac:dyDescent="0.3">
      <c r="A152">
        <v>151</v>
      </c>
      <c r="D152" s="197" t="s">
        <v>2171</v>
      </c>
      <c r="F152" s="52">
        <v>200000</v>
      </c>
    </row>
    <row r="153" spans="1:6" x14ac:dyDescent="0.3">
      <c r="A153">
        <v>152</v>
      </c>
      <c r="D153" s="197" t="s">
        <v>2172</v>
      </c>
      <c r="F153" s="52">
        <v>250000</v>
      </c>
    </row>
    <row r="154" spans="1:6" x14ac:dyDescent="0.3">
      <c r="A154">
        <v>153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6" x14ac:dyDescent="0.3">
      <c r="A155">
        <v>154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6" x14ac:dyDescent="0.3">
      <c r="A156">
        <v>155</v>
      </c>
      <c r="D156" s="197" t="s">
        <v>2202</v>
      </c>
      <c r="F156" s="52">
        <v>990000</v>
      </c>
    </row>
    <row r="157" spans="1:6" x14ac:dyDescent="0.3">
      <c r="A157">
        <v>156</v>
      </c>
      <c r="D157" s="197" t="s">
        <v>2204</v>
      </c>
      <c r="F157" s="52">
        <v>1000000</v>
      </c>
    </row>
    <row r="158" spans="1:6" x14ac:dyDescent="0.3">
      <c r="A158">
        <v>157</v>
      </c>
      <c r="D158" s="197" t="s">
        <v>2206</v>
      </c>
      <c r="F158" s="52">
        <v>1200000</v>
      </c>
    </row>
    <row r="159" spans="1:6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6" x14ac:dyDescent="0.3">
      <c r="A160">
        <v>159</v>
      </c>
      <c r="D160" s="197" t="s">
        <v>2663</v>
      </c>
      <c r="F160" s="52">
        <v>500000</v>
      </c>
    </row>
    <row r="161" spans="1:6" x14ac:dyDescent="0.3">
      <c r="A161">
        <v>160</v>
      </c>
      <c r="D161" s="197" t="s">
        <v>2278</v>
      </c>
      <c r="F161" s="52">
        <v>150000</v>
      </c>
    </row>
    <row r="162" spans="1:6" x14ac:dyDescent="0.3">
      <c r="A162">
        <v>161</v>
      </c>
      <c r="D162" s="197" t="s">
        <v>2289</v>
      </c>
      <c r="F162" s="52">
        <v>800000</v>
      </c>
    </row>
    <row r="163" spans="1:6" x14ac:dyDescent="0.3">
      <c r="A163">
        <v>162</v>
      </c>
      <c r="D163" s="197" t="s">
        <v>2295</v>
      </c>
      <c r="F163" s="52">
        <v>900000</v>
      </c>
    </row>
    <row r="164" spans="1:6" x14ac:dyDescent="0.3">
      <c r="A164">
        <v>163</v>
      </c>
      <c r="D164" s="197" t="s">
        <v>2306</v>
      </c>
      <c r="F164" s="52">
        <v>900000</v>
      </c>
    </row>
    <row r="165" spans="1:6" x14ac:dyDescent="0.3">
      <c r="A165">
        <v>164</v>
      </c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1:6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1:6" x14ac:dyDescent="0.3">
      <c r="A167">
        <v>166</v>
      </c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1:6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1:6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6" x14ac:dyDescent="0.3">
      <c r="A170">
        <v>169</v>
      </c>
      <c r="D170" s="197" t="s">
        <v>2340</v>
      </c>
      <c r="F170" s="52">
        <v>1600000</v>
      </c>
    </row>
    <row r="171" spans="1:6" x14ac:dyDescent="0.3">
      <c r="A171">
        <v>170</v>
      </c>
      <c r="D171" s="197" t="s">
        <v>2368</v>
      </c>
      <c r="F171" s="52">
        <v>1200000</v>
      </c>
    </row>
    <row r="172" spans="1:6" x14ac:dyDescent="0.3">
      <c r="A172">
        <v>171</v>
      </c>
      <c r="D172" s="197" t="s">
        <v>2349</v>
      </c>
      <c r="F172" s="52">
        <v>650000</v>
      </c>
    </row>
    <row r="173" spans="1:6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1:6" x14ac:dyDescent="0.3">
      <c r="A174">
        <v>173</v>
      </c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1:6" x14ac:dyDescent="0.3">
      <c r="A175">
        <v>174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6" x14ac:dyDescent="0.3">
      <c r="A176">
        <v>175</v>
      </c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1:6" x14ac:dyDescent="0.3">
      <c r="A177">
        <v>176</v>
      </c>
      <c r="D177" s="197" t="s">
        <v>2395</v>
      </c>
      <c r="F177" s="52">
        <v>150000</v>
      </c>
    </row>
    <row r="178" spans="1:6" x14ac:dyDescent="0.3">
      <c r="A178">
        <v>177</v>
      </c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1:6" x14ac:dyDescent="0.3">
      <c r="A179">
        <v>178</v>
      </c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1:6" x14ac:dyDescent="0.3">
      <c r="A180">
        <v>179</v>
      </c>
      <c r="D180" s="197" t="s">
        <v>2462</v>
      </c>
      <c r="F180" s="52">
        <v>600000</v>
      </c>
    </row>
    <row r="181" spans="1:6" x14ac:dyDescent="0.3">
      <c r="A181">
        <v>180</v>
      </c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1:6" x14ac:dyDescent="0.3">
      <c r="A182">
        <v>181</v>
      </c>
      <c r="D182" s="197" t="s">
        <v>2469</v>
      </c>
      <c r="F182" s="52">
        <v>200000</v>
      </c>
    </row>
    <row r="183" spans="1:6" x14ac:dyDescent="0.3">
      <c r="A183">
        <v>182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6" x14ac:dyDescent="0.3">
      <c r="A184">
        <v>183</v>
      </c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1:6" x14ac:dyDescent="0.3">
      <c r="A185">
        <v>184</v>
      </c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1:6" x14ac:dyDescent="0.3">
      <c r="A186">
        <v>185</v>
      </c>
      <c r="D186" s="197" t="s">
        <v>2529</v>
      </c>
      <c r="F186" s="52">
        <v>850000</v>
      </c>
    </row>
    <row r="187" spans="1:6" x14ac:dyDescent="0.3">
      <c r="A187">
        <v>186</v>
      </c>
      <c r="D187" s="197" t="s">
        <v>2576</v>
      </c>
      <c r="F187" s="52">
        <v>500000</v>
      </c>
    </row>
    <row r="188" spans="1:6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6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6" x14ac:dyDescent="0.3">
      <c r="A190">
        <v>189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6" x14ac:dyDescent="0.3">
      <c r="A191">
        <v>190</v>
      </c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1:6" x14ac:dyDescent="0.3">
      <c r="A192">
        <v>191</v>
      </c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1:6" x14ac:dyDescent="0.3">
      <c r="A193">
        <v>192</v>
      </c>
      <c r="D193" s="197" t="s">
        <v>2710</v>
      </c>
      <c r="F193" s="52">
        <v>1100000</v>
      </c>
    </row>
    <row r="194" spans="1:6" x14ac:dyDescent="0.3">
      <c r="A194">
        <v>193</v>
      </c>
      <c r="D194" s="197" t="s">
        <v>2740</v>
      </c>
      <c r="F194" s="52">
        <v>1700000</v>
      </c>
    </row>
    <row r="195" spans="1:6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6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6" x14ac:dyDescent="0.3">
      <c r="A197">
        <v>196</v>
      </c>
      <c r="D197" s="197" t="s">
        <v>2834</v>
      </c>
      <c r="F197" s="52">
        <v>150000</v>
      </c>
    </row>
    <row r="198" spans="1:6" x14ac:dyDescent="0.3">
      <c r="A198">
        <v>197</v>
      </c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1:6" x14ac:dyDescent="0.3">
      <c r="A199">
        <v>198</v>
      </c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1:6" x14ac:dyDescent="0.3">
      <c r="A200">
        <v>199</v>
      </c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1:6" x14ac:dyDescent="0.3">
      <c r="A201">
        <v>200</v>
      </c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1:6" x14ac:dyDescent="0.3">
      <c r="A202">
        <v>201</v>
      </c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1:6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1:6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6" x14ac:dyDescent="0.3">
      <c r="A205">
        <v>204</v>
      </c>
      <c r="C205" s="198">
        <v>709013001</v>
      </c>
      <c r="D205" s="197" t="s">
        <v>3014</v>
      </c>
      <c r="E205" s="197">
        <v>709013001</v>
      </c>
    </row>
    <row r="206" spans="1:6" x14ac:dyDescent="0.3">
      <c r="A206">
        <v>205</v>
      </c>
      <c r="D206" s="197" t="s">
        <v>3032</v>
      </c>
      <c r="F206" s="52">
        <v>50000</v>
      </c>
    </row>
    <row r="207" spans="1:6" x14ac:dyDescent="0.3">
      <c r="A207">
        <v>206</v>
      </c>
      <c r="D207" s="197" t="s">
        <v>3060</v>
      </c>
      <c r="F207" s="52">
        <v>35000</v>
      </c>
    </row>
    <row r="208" spans="1:6" x14ac:dyDescent="0.3">
      <c r="A208">
        <v>207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6" x14ac:dyDescent="0.3">
      <c r="A209">
        <v>208</v>
      </c>
      <c r="D209" s="197" t="s">
        <v>3076</v>
      </c>
      <c r="F209" s="52">
        <v>1000000</v>
      </c>
    </row>
    <row r="210" spans="1:6" x14ac:dyDescent="0.3"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6" x14ac:dyDescent="0.3"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6" x14ac:dyDescent="0.3">
      <c r="C212" s="198" t="s">
        <v>3133</v>
      </c>
      <c r="D212" s="197" t="s">
        <v>3134</v>
      </c>
      <c r="E212" s="197" t="s">
        <v>3133</v>
      </c>
      <c r="F212" s="52">
        <v>250000</v>
      </c>
    </row>
    <row r="213" spans="1:6" x14ac:dyDescent="0.3">
      <c r="D213" s="197" t="s">
        <v>3231</v>
      </c>
      <c r="F213" s="52">
        <v>200000</v>
      </c>
    </row>
    <row r="214" spans="1:6" x14ac:dyDescent="0.3"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6" x14ac:dyDescent="0.3"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6" x14ac:dyDescent="0.3">
      <c r="C216" s="198">
        <v>6058008068</v>
      </c>
      <c r="D216" s="197" t="s">
        <v>3283</v>
      </c>
      <c r="E216" s="197">
        <v>6058008068</v>
      </c>
    </row>
    <row r="217" spans="1:6" x14ac:dyDescent="0.3">
      <c r="D217" s="197" t="s">
        <v>3292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6" t="s">
        <v>12</v>
      </c>
      <c r="C4" s="517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3199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3199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3190</v>
      </c>
      <c r="J86" s="53" t="s">
        <v>2226</v>
      </c>
      <c r="K86" s="17" t="s">
        <v>3190</v>
      </c>
      <c r="L86" s="17">
        <v>2200000</v>
      </c>
    </row>
    <row r="87" spans="6:12" ht="18" customHeight="1" x14ac:dyDescent="0.3">
      <c r="F87" s="17">
        <v>72</v>
      </c>
      <c r="I87" s="17" t="s">
        <v>3191</v>
      </c>
      <c r="J87" s="53" t="s">
        <v>3203</v>
      </c>
      <c r="K87" s="17" t="s">
        <v>3191</v>
      </c>
      <c r="L87" s="17">
        <v>1500000</v>
      </c>
    </row>
    <row r="88" spans="6:12" ht="18" customHeight="1" x14ac:dyDescent="0.3">
      <c r="F88" s="17">
        <v>73</v>
      </c>
      <c r="I88" s="17" t="s">
        <v>3192</v>
      </c>
      <c r="J88" s="53" t="s">
        <v>2245</v>
      </c>
      <c r="K88" s="17" t="s">
        <v>3192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3204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3193</v>
      </c>
      <c r="J118" s="53" t="s">
        <v>3205</v>
      </c>
      <c r="K118" s="17" t="s">
        <v>3193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3206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2025-08-15T09:30:44Z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